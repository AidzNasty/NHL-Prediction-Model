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04" documentId="14_{BC0C37BD-5950-BD49-823D-87212FE79B51}" xr6:coauthVersionLast="47" xr6:coauthVersionMax="47" xr10:uidLastSave="{F3A626DD-32BC-C144-8056-8D6BDB450043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'NHL2025-26PlayerStats'!$A$1:$AE$955</definedName>
    <definedName name="ExternalData_1" localSheetId="0" hidden="1">'NHL2025-26Results'!$A$1:$J$1313</definedName>
    <definedName name="ExternalData_4" localSheetId="4" hidden="1">'ML Prediction Model'!$A$1:$T$219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8" i="1" l="1"/>
  <c r="E639" i="1"/>
  <c r="E640" i="1"/>
  <c r="E641" i="1"/>
  <c r="H641" i="1" s="1"/>
  <c r="E642" i="1"/>
  <c r="H642" i="1" s="1"/>
  <c r="E643" i="1"/>
  <c r="H643" i="1" s="1"/>
  <c r="E644" i="1"/>
  <c r="H644" i="1" s="1"/>
  <c r="E645" i="1"/>
  <c r="G638" i="1"/>
  <c r="H638" i="1" s="1"/>
  <c r="I638" i="1"/>
  <c r="G639" i="1"/>
  <c r="H639" i="1"/>
  <c r="I639" i="1"/>
  <c r="G640" i="1"/>
  <c r="H640" i="1" s="1"/>
  <c r="I640" i="1"/>
  <c r="G641" i="1"/>
  <c r="I641" i="1"/>
  <c r="G642" i="1"/>
  <c r="I642" i="1"/>
  <c r="G643" i="1"/>
  <c r="I643" i="1"/>
  <c r="G644" i="1"/>
  <c r="I644" i="1"/>
  <c r="G645" i="1"/>
  <c r="H645" i="1"/>
  <c r="I645" i="1"/>
  <c r="J645" i="1" s="1"/>
  <c r="G628" i="1"/>
  <c r="I628" i="1"/>
  <c r="G629" i="1"/>
  <c r="I629" i="1"/>
  <c r="G630" i="1"/>
  <c r="I630" i="1"/>
  <c r="G631" i="1"/>
  <c r="I631" i="1"/>
  <c r="G632" i="1"/>
  <c r="I632" i="1"/>
  <c r="G633" i="1"/>
  <c r="H633" i="1" s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0" i="1" l="1"/>
  <c r="J639" i="1"/>
  <c r="J638" i="1"/>
  <c r="J642" i="1"/>
  <c r="J643" i="1"/>
  <c r="J644" i="1"/>
  <c r="J641" i="1"/>
  <c r="H635" i="1"/>
  <c r="H636" i="1"/>
  <c r="H631" i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35" i="1"/>
  <c r="J631" i="1"/>
  <c r="J630" i="1"/>
  <c r="J633" i="1"/>
  <c r="J636" i="1"/>
  <c r="J628" i="1"/>
  <c r="H625" i="1"/>
  <c r="H624" i="1"/>
  <c r="J624" i="1" s="1"/>
  <c r="H605" i="1"/>
  <c r="J605" i="1" s="1"/>
  <c r="J626" i="1"/>
  <c r="H557" i="1"/>
  <c r="H602" i="1"/>
  <c r="J602" i="1" s="1"/>
  <c r="J623" i="1"/>
  <c r="J625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3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<sst xmlns="http://schemas.openxmlformats.org/spreadsheetml/2006/main" count="21630" uniqueCount="2849">
  <si>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</si>
  <si>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</si>
  <si>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</si>
  <si>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</si>
  <si>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</si>
  <si>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</si>
  <si>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</si>
  <si>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</si>
  <si>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</si>
  <si>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</si>
  <si>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</si>
  <si>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</si>
  <si>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</si>
  <si>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</si>
  <si>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</si>
  <si>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</si>
  <si>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</si>
  <si>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</si>
  <si>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</si>
  <si>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</si>
  <si>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</si>
  <si>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</si>
  <si>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</si>
  <si>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</si>
  <si>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</si>
  <si>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</si>
  <si>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</si>
  <si>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</si>
  <si>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</si>
  <si>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</si>
  <si>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</si>
  <si>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</si>
  <si>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</si>
  <si>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</si>
  <si>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</si>
  <si>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</si>
  <si>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</si>
  <si>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</si>
  <si>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</si>
  <si>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</si>
  <si>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</si>
  <si>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</si>
  <si>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</si>
  <si>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</si>
  <si>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</si>
  <si>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</si>
  <si>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</si>
  <si>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</si>
  <si>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</si>
  <si>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</si>
  <si>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</si>
  <si>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</si>
  <si>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</si>
  <si>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</si>
  <si>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</si>
  <si>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</si>
  <si>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</si>
  <si>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</si>
  <si>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</si>
  <si>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</si>
  <si>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</si>
  <si>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</si>
  <si>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</si>
  <si>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</si>
  <si>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</si>
  <si>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</si>
  <si>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</si>
  <si>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</si>
  <si>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</si>
  <si>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</si>
  <si>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</si>
  <si>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</si>
  <si>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</si>
  <si>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</si>
  <si>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</si>
  <si>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</si>
  <si>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</si>
  <si>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</si>
  <si>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</si>
  <si>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</si>
  <si>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</si>
  <si>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</si>
  <si>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</si>
  <si>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</si>
  <si>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</si>
  <si>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</si>
  <si>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</si>
  <si>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</si>
  <si>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</si>
  <si>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</si>
  <si>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</si>
  <si>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</si>
  <si>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</si>
  <si>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</si>
  <si>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</si>
  <si>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</si>
  <si>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</si>
  <si>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</si>
  <si>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</si>
  <si>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</si>
  <si>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</si>
  <si>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</si>
  <si>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</si>
  <si>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</si>
  <si>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</si>
  <si>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</si>
  <si>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</si>
  <si>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</si>
  <si>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</si>
  <si>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</si>
  <si>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</si>
  <si>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</si>
  <si>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</si>
  <si>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</si>
  <si>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</si>
  <si>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</si>
  <si>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</si>
  <si>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</si>
  <si>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</si>
  <si>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</si>
  <si>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</si>
  <si>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</si>
  <si>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</si>
  <si>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</si>
  <si>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</si>
  <si>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</si>
  <si>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</si>
  <si>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</si>
  <si>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</si>
  <si>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</si>
  <si>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</si>
  <si>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</si>
  <si>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</si>
  <si>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</si>
  <si>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</si>
  <si>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</si>
  <si>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</si>
  <si>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</si>
  <si>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</si>
  <si>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</si>
  <si>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</si>
  <si>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</si>
  <si>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</si>
  <si>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</si>
  <si>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</si>
  <si>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</si>
  <si>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</si>
  <si>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</si>
  <si>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</si>
  <si>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</si>
  <si>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</si>
  <si>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</si>
  <si>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</si>
  <si>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</si>
  <si>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</si>
  <si>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</si>
  <si>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</si>
  <si>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</si>
  <si>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</si>
  <si>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</si>
  <si>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</si>
  <si>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</si>
  <si>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</si>
  <si>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</si>
  <si>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</si>
  <si>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</si>
  <si>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</si>
  <si>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</si>
  <si>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</si>
  <si>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</si>
  <si>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</si>
  <si>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</si>
  <si>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</si>
  <si>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</si>
  <si>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</si>
  <si>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</si>
  <si>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</si>
  <si>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</si>
  <si>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</si>
  <si>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</si>
  <si>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</si>
  <si>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</si>
  <si>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</si>
  <si>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</si>
  <si>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</si>
  <si>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</si>
  <si>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</si>
  <si>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</si>
  <si>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</si>
  <si>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</si>
  <si>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</si>
  <si>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</si>
  <si>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</si>
  <si>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</si>
  <si>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</si>
  <si>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</si>
  <si>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</si>
  <si>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</si>
  <si>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</si>
  <si>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</si>
  <si>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</si>
  <si>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</si>
  <si>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</si>
  <si>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</si>
  <si>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</si>
  <si>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</si>
  <si>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</si>
  <si>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</si>
  <si>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</si>
  <si>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</si>
  <si>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</si>
  <si>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</si>
  <si>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</si>
  <si>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</si>
  <si>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</si>
  <si>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</si>
  <si>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</si>
  <si>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</si>
  <si>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</si>
  <si>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</si>
  <si>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</si>
  <si>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</si>
  <si>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</si>
  <si>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</si>
  <si>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</si>
  <si>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</si>
  <si>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</si>
  <si>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</si>
  <si>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</si>
  <si>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</si>
  <si>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</si>
  <si>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</si>
  <si>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</si>
  <si>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</si>
  <si>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</si>
  <si>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</si>
  <si>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</si>
  <si>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</si>
  <si>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</si>
  <si>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</si>
  <si>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</si>
  <si>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</si>
  <si>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</si>
  <si>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</si>
  <si>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</si>
  <si>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</si>
  <si>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</si>
  <si>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</si>
  <si>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</si>
  <si>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</si>
  <si>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</si>
  <si>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</si>
  <si>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</si>
  <si>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</si>
  <si>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</si>
  <si>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</si>
  <si>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</si>
  <si>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</si>
  <si>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</si>
  <si>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</si>
  <si>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</si>
  <si>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</si>
  <si>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</si>
  <si>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</si>
  <si>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</si>
  <si>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</si>
  <si>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</si>
  <si>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</si>
  <si>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</si>
  <si>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</si>
  <si>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</si>
  <si>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</si>
  <si>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</si>
  <si>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</si>
  <si>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</si>
  <si>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</si>
  <si>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</si>
  <si>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</si>
  <si>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</si>
  <si>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</si>
  <si>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</si>
  <si>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</si>
  <si>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</si>
  <si>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</si>
  <si>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</si>
  <si>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</si>
  <si>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</si>
  <si>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</si>
  <si>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</si>
  <si>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</si>
  <si>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</si>
  <si>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</si>
  <si>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</si>
  <si>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</si>
  <si>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</si>
  <si>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</si>
  <si>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</si>
  <si>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</si>
  <si>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</si>
  <si>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</si>
  <si>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</si>
  <si>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</si>
  <si>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</si>
  <si>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</si>
  <si>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</si>
  <si>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</si>
  <si>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</si>
  <si>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</si>
  <si>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</si>
  <si>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</si>
  <si>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</si>
  <si>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</si>
  <si>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</si>
  <si>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</si>
  <si>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</si>
  <si>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</si>
  <si>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</si>
  <si>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</si>
  <si>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</si>
  <si>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</si>
  <si>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</si>
  <si>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</si>
  <si>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</si>
  <si>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</si>
  <si>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</si>
  <si>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</si>
  <si>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</si>
  <si>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</si>
  <si>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</si>
  <si>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</si>
  <si>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</si>
  <si>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</si>
  <si>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</si>
  <si>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</si>
  <si>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</si>
  <si>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</si>
  <si>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</si>
  <si>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</si>
  <si>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</si>
  <si>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</si>
  <si>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</si>
  <si>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</si>
  <si>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</si>
  <si>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</si>
  <si>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</si>
  <si>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</si>
  <si>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</si>
  <si>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</si>
  <si>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</si>
  <si>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</si>
  <si>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</si>
  <si>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</si>
  <si>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</si>
  <si>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</si>
  <si>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</si>
  <si>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</si>
  <si>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</si>
  <si>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</si>
  <si>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</si>
  <si>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</si>
  <si>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</si>
  <si>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</si>
  <si>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</si>
  <si>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</si>
  <si>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</si>
  <si>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</si>
  <si>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</si>
  <si>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</si>
  <si>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</si>
  <si>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</si>
  <si>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</si>
  <si>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</si>
  <si>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</si>
  <si>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</si>
  <si>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</si>
  <si>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</si>
  <si>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</si>
  <si>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</si>
  <si>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</si>
  <si>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</si>
  <si>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</si>
  <si>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</si>
  <si>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</si>
  <si>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</si>
  <si>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</si>
  <si>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</si>
  <si>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</si>
  <si>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</si>
  <si>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</si>
  <si>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</si>
  <si>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</si>
  <si>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</si>
  <si>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</si>
  <si>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</si>
  <si>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</si>
  <si>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</si>
  <si>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</si>
  <si>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</si>
  <si>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</si>
  <si>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</si>
  <si>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</si>
  <si>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</si>
  <si>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</si>
  <si>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</si>
  <si>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</si>
  <si>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</si>
  <si>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</si>
  <si>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</si>
  <si>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</si>
  <si>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</si>
  <si>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</si>
  <si>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</si>
  <si>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</si>
  <si>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</si>
  <si>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</si>
  <si>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</si>
  <si>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</si>
  <si>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</si>
  <si>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</si>
  <si>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</si>
  <si>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</si>
  <si>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</si>
  <si>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</si>
  <si>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</si>
  <si>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</si>
  <si>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</si>
  <si>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</si>
  <si>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</si>
  <si>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</si>
  <si>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</si>
  <si>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</si>
  <si>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</si>
  <si>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</si>
  <si>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</si>
  <si>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</si>
  <si>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</si>
  <si>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</si>
  <si>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</si>
  <si>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</si>
  <si>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</si>
  <si>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</si>
  <si>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</si>
  <si>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</si>
  <si>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</si>
  <si>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</si>
  <si>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</si>
  <si>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</si>
  <si>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</si>
  <si>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</si>
  <si>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</si>
  <si>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</si>
  <si>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</si>
  <si>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</si>
  <si>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</si>
  <si>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</si>
  <si>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</si>
  <si>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</si>
  <si>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</si>
  <si>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</si>
  <si>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</si>
  <si>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</si>
  <si>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</si>
  <si>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</si>
  <si>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</si>
  <si>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</si>
  <si>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</si>
  <si>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</si>
  <si>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</si>
  <si>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</si>
  <si>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</si>
  <si>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</si>
  <si>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</si>
  <si>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</si>
  <si>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</si>
  <si>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</si>
  <si>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</si>
  <si>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</si>
  <si>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</si>
  <si>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</si>
  <si>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</si>
  <si>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</si>
  <si>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</si>
  <si>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</si>
  <si>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</si>
  <si>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</si>
  <si>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</si>
  <si>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</si>
  <si>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</si>
  <si>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</si>
  <si>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</si>
  <si>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</si>
  <si>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</si>
  <si>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</si>
  <si>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</si>
  <si>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</si>
  <si>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</si>
  <si>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</si>
  <si>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</si>
  <si>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</si>
  <si>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</si>
  <si>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</si>
  <si>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</si>
  <si>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</si>
  <si>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</si>
  <si>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</si>
  <si>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</si>
  <si>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</si>
  <si>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</si>
  <si>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</si>
  <si>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</si>
  <si>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</si>
  <si>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</si>
  <si>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</si>
  <si>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</si>
  <si>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</si>
  <si>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</si>
  <si>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</si>
  <si>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</si>
  <si>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</si>
  <si>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</si>
  <si>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</si>
  <si>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</si>
  <si>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</si>
  <si>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</si>
  <si>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</si>
  <si>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</si>
  <si>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</si>
  <si>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</si>
  <si>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</si>
  <si>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</si>
  <si>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</si>
  <si>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</si>
  <si>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</si>
  <si>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</si>
  <si>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</si>
  <si>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</si>
  <si>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</si>
  <si>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</si>
  <si>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</si>
  <si>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</si>
  <si>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</si>
  <si>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</si>
  <si>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</si>
  <si>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</si>
  <si>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</si>
  <si>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</si>
  <si>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</si>
  <si>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</si>
  <si>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</si>
  <si>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</si>
  <si>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</si>
  <si>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</si>
  <si>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</si>
  <si>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</si>
  <si>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</si>
  <si>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</si>
  <si>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</si>
  <si>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</si>
  <si>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</si>
  <si>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</si>
  <si>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</si>
  <si>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</si>
  <si>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</si>
  <si>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</si>
  <si>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</si>
  <si>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</si>
  <si>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</si>
  <si>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</si>
  <si>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</si>
  <si>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</si>
  <si>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</si>
  <si>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</si>
  <si>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</si>
  <si>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</si>
  <si>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</si>
  <si>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</si>
  <si>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</si>
  <si>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</si>
  <si>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</si>
  <si>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</si>
  <si>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</si>
  <si>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</si>
  <si>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</si>
  <si>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</si>
  <si>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</si>
  <si>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</si>
  <si>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</si>
  <si>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</si>
  <si>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</si>
  <si>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</si>
  <si>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</si>
  <si>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</si>
  <si>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</si>
  <si>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</si>
  <si>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</si>
  <si>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</si>
  <si>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</si>
  <si>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</si>
  <si>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</si>
  <si>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</si>
  <si>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</si>
  <si>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</si>
  <si>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</si>
  <si>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</si>
  <si>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</si>
  <si>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</si>
  <si>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</si>
  <si>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</si>
  <si>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</si>
  <si>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</si>
  <si>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</si>
  <si>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</si>
  <si>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</si>
  <si>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</si>
  <si>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</si>
  <si>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</si>
  <si>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</si>
  <si>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</si>
  <si>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</si>
  <si>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</si>
  <si>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</si>
  <si>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</si>
  <si>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</si>
  <si>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</si>
  <si>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</si>
  <si>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</si>
  <si>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</si>
  <si>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</si>
  <si>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</si>
  <si>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</si>
  <si>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</si>
  <si>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</si>
  <si>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</si>
  <si>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</si>
  <si>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</si>
  <si>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</si>
  <si>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</si>
  <si>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</si>
  <si>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</si>
  <si>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</si>
  <si>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</si>
  <si>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</si>
  <si>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</si>
  <si>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</si>
  <si>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</si>
  <si>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</si>
  <si>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</si>
  <si>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</si>
  <si>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</si>
  <si>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</si>
  <si>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</si>
  <si>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</si>
  <si>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</si>
  <si>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</si>
  <si>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</si>
  <si>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</si>
  <si>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</si>
  <si>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</si>
  <si>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</si>
  <si>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</si>
  <si>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</si>
  <si>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</si>
  <si>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</si>
  <si>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</si>
  <si>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</si>
  <si>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</si>
  <si>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</si>
  <si>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</si>
  <si>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</si>
  <si>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</si>
  <si>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</si>
  <si>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</si>
  <si>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</si>
  <si>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</si>
  <si>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</si>
  <si>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</si>
  <si>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</si>
  <si>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</si>
  <si>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</si>
  <si>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</si>
  <si>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</si>
  <si>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</si>
  <si>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</si>
  <si>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</si>
  <si>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</si>
  <si>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</si>
  <si>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</si>
  <si>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</si>
  <si>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</si>
  <si>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</si>
  <si>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</si>
  <si>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</si>
  <si>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</si>
  <si>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</si>
  <si>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</si>
  <si>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</si>
  <si>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</si>
  <si>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</si>
  <si>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</si>
  <si>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</si>
  <si>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</si>
  <si>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</si>
  <si>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</si>
  <si>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</si>
  <si>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</si>
  <si>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</si>
  <si>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</si>
  <si>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</si>
  <si>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</si>
  <si>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</si>
  <si>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</si>
  <si>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</si>
  <si>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</si>
  <si>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</si>
  <si>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</si>
  <si>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</si>
  <si>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</si>
  <si>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</si>
  <si>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</si>
  <si>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</si>
  <si>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</si>
  <si>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</si>
  <si>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</si>
  <si>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</si>
  <si>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</si>
  <si>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</si>
  <si>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</si>
  <si>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</si>
  <si>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</si>
  <si>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</si>
  <si>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</si>
  <si>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</si>
  <si>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</si>
  <si>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</si>
  <si>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</si>
  <si>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</si>
  <si>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</si>
  <si>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</si>
  <si>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</si>
  <si>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</si>
  <si>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</si>
  <si>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</si>
  <si>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</si>
  <si>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</si>
  <si>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</si>
  <si>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</si>
  <si>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</si>
  <si>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</si>
  <si>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</si>
  <si>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</si>
  <si>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</si>
  <si>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</si>
  <si>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</si>
  <si>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</si>
  <si>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</si>
  <si>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</si>
  <si>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</si>
  <si>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</si>
  <si>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</si>
  <si>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</si>
  <si>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</si>
  <si>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</si>
  <si>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</si>
  <si>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</si>
  <si>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</si>
  <si>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</si>
  <si>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</si>
  <si>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</si>
  <si>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</si>
  <si>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</si>
  <si>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</si>
  <si>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</si>
  <si>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</si>
  <si>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</si>
  <si>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</si>
  <si>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</si>
  <si>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</si>
  <si>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</si>
  <si>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</si>
  <si>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</si>
  <si>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</si>
  <si>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</si>
  <si>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</si>
  <si>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</si>
  <si>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</si>
  <si>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</si>
  <si>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</si>
  <si>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</si>
  <si>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</si>
  <si>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</si>
  <si>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</si>
  <si>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</si>
  <si>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</si>
  <si>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</si>
  <si>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</si>
  <si>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</si>
  <si>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</si>
  <si>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</si>
  <si>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</si>
  <si>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</si>
  <si>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</si>
  <si>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</si>
  <si>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</si>
  <si>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</si>
  <si>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</si>
  <si>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</si>
  <si>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</si>
  <si>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</si>
  <si>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</si>
  <si>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</si>
  <si>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</si>
  <si>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</si>
  <si>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</si>
  <si>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</si>
  <si>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</si>
  <si>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</si>
  <si>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</si>
  <si>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</si>
  <si>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</si>
  <si>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</si>
  <si>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</si>
  <si>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</si>
  <si>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</si>
  <si>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</si>
  <si>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</si>
  <si>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</si>
  <si>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</si>
  <si>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</si>
  <si>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</si>
  <si>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</si>
  <si>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</si>
  <si>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</si>
  <si>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</si>
  <si>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</si>
  <si>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</si>
  <si>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</si>
  <si>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</si>
  <si>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</si>
  <si>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</si>
  <si>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</si>
  <si>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</si>
  <si>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</si>
  <si>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</si>
  <si>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</si>
  <si>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</si>
  <si>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</si>
  <si>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</si>
  <si>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</si>
  <si>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</si>
  <si>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</si>
  <si>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</si>
  <si>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</si>
  <si>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</si>
  <si>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</si>
  <si>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</si>
  <si>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</si>
  <si>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</si>
  <si>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</si>
  <si>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</si>
  <si>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</si>
  <si>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</si>
  <si>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</si>
  <si>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</si>
  <si>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</si>
  <si>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</si>
  <si>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</si>
  <si>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</si>
  <si>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</si>
  <si>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</si>
  <si>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</si>
  <si>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</si>
  <si>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</si>
  <si>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</si>
  <si>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</si>
  <si>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</si>
  <si>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</si>
  <si>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</si>
  <si>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</si>
  <si>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</si>
  <si>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</si>
  <si>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</si>
  <si>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</si>
  <si>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</si>
  <si>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</si>
  <si>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</si>
  <si>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</si>
  <si>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</si>
  <si>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</si>
  <si>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</si>
  <si>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</si>
  <si>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</si>
  <si>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</si>
  <si>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</si>
  <si>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</si>
  <si>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</si>
  <si>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</si>
  <si>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</si>
  <si>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</si>
  <si>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</si>
  <si>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</si>
  <si>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</si>
  <si>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</si>
  <si>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</si>
  <si>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</si>
  <si>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</si>
  <si>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</si>
  <si>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</si>
  <si>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</si>
  <si>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</si>
  <si>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</si>
  <si>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</si>
  <si>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</si>
  <si>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</si>
  <si>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</si>
  <si>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</si>
  <si>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</si>
  <si>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</si>
  <si>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</si>
  <si>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</si>
  <si>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</si>
  <si>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</si>
  <si>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</si>
  <si>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</si>
  <si>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</si>
  <si>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</si>
  <si>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</si>
  <si>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</si>
  <si>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</si>
  <si>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</si>
  <si>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</si>
  <si>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</si>
  <si>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</si>
  <si>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</si>
  <si>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</si>
  <si>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</si>
  <si>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</si>
  <si>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</si>
  <si>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</si>
  <si>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</si>
  <si>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</si>
  <si>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</si>
  <si>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</si>
  <si>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</si>
  <si>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</si>
  <si>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</si>
  <si>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</si>
  <si>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</si>
  <si>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</si>
  <si>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</si>
  <si>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</si>
  <si>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</si>
  <si>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</si>
  <si>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</si>
  <si>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</si>
  <si>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</si>
  <si>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</si>
  <si>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</si>
  <si>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</si>
  <si>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</si>
  <si>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</si>
  <si>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</si>
  <si>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</si>
  <si>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</si>
  <si>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</si>
  <si>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</si>
  <si>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</si>
  <si>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</si>
  <si>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</si>
  <si>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</si>
  <si>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</si>
  <si>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</si>
  <si>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</si>
  <si>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</si>
  <si>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</si>
  <si>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</si>
  <si>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</si>
  <si>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</si>
  <si>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</si>
  <si>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</si>
  <si>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</si>
  <si>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</si>
  <si>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</si>
  <si>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</si>
  <si>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</si>
  <si>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</si>
  <si>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</si>
  <si>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</si>
  <si>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</si>
  <si>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</si>
  <si>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</si>
  <si>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</si>
  <si>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</si>
  <si>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</si>
  <si>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</si>
  <si>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</si>
  <si>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</si>
  <si>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</si>
  <si>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</si>
  <si>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</si>
  <si>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</si>
  <si>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</si>
  <si>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</si>
  <si>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</si>
  <si>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</si>
  <si>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</si>
  <si>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</si>
  <si>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</si>
  <si>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</si>
  <si>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</si>
  <si>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</si>
  <si>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</si>
  <si>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</si>
  <si>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</si>
  <si>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</si>
  <si>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</si>
  <si>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</si>
  <si>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</si>
  <si>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</si>
  <si>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</si>
  <si>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</si>
  <si>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</si>
  <si>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</si>
  <si>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</si>
  <si>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</si>
  <si>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</si>
  <si>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</si>
  <si>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</si>
  <si>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</si>
  <si>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</si>
  <si>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</si>
  <si>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</si>
  <si>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</si>
  <si>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</si>
  <si>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</si>
  <si>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</si>
  <si>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</si>
  <si>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</si>
  <si>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</si>
  <si>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</si>
  <si>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</si>
  <si>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</si>
  <si>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</si>
  <si>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</si>
  <si>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</si>
  <si>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</si>
  <si>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</si>
  <si>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</si>
  <si>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</si>
  <si>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</si>
  <si>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</si>
  <si>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</si>
  <si>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</si>
  <si>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</si>
  <si>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</si>
  <si>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</si>
  <si>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</si>
  <si>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</si>
  <si>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</si>
  <si>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</si>
  <si>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</si>
  <si>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</si>
  <si>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</si>
  <si>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</si>
  <si>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</si>
  <si>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</si>
  <si>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</si>
  <si>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</si>
  <si>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</si>
  <si>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</si>
  <si>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</si>
  <si>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</si>
  <si>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</si>
  <si>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</si>
  <si>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</si>
  <si>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</si>
  <si>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</si>
  <si>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</si>
  <si>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</si>
  <si>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</si>
  <si>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</si>
  <si>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</si>
  <si>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</si>
  <si>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</si>
  <si>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</si>
  <si>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</si>
  <si>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</si>
  <si>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</si>
  <si>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</si>
  <si>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</si>
  <si>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</si>
  <si>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</si>
  <si>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</si>
  <si>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</si>
  <si>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</si>
  <si>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</si>
  <si>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</si>
  <si>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</si>
  <si>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</si>
  <si>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</si>
  <si>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</si>
  <si>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</si>
  <si>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</si>
  <si>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</si>
  <si>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</si>
  <si>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</si>
  <si>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</si>
  <si>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</si>
  <si>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</si>
  <si>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</si>
  <si>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</si>
  <si>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</si>
  <si>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</si>
  <si>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</si>
  <si>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</si>
  <si>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</si>
  <si>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</si>
  <si>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</si>
  <si>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</si>
  <si>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</si>
  <si>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</si>
  <si>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</si>
  <si>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</si>
  <si>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</si>
  <si>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</si>
  <si>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</si>
  <si>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</si>
  <si>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</si>
  <si>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</si>
  <si>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</si>
  <si>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</si>
  <si>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</si>
  <si>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</si>
  <si>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</si>
  <si>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</si>
  <si>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</si>
  <si>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</si>
  <si>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</si>
  <si>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</si>
  <si>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</si>
  <si>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</si>
  <si>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</si>
  <si>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</si>
  <si>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</si>
  <si>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</si>
  <si>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</si>
  <si>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</si>
  <si>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</si>
  <si>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</si>
  <si>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</si>
  <si>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</si>
  <si>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</si>
  <si>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</si>
  <si>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</si>
  <si>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</si>
  <si>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</si>
  <si>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</si>
  <si>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</si>
  <si>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</si>
  <si>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</si>
  <si>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</si>
  <si>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</si>
  <si>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</si>
  <si>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</si>
  <si>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</si>
  <si>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</si>
  <si>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</si>
  <si>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</si>
  <si>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</si>
  <si>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</si>
  <si>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</si>
  <si>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</si>
  <si>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</si>
  <si>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</si>
  <si>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</si>
  <si>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</si>
  <si>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</si>
  <si>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</si>
  <si>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</si>
  <si>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</si>
  <si>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</si>
  <si>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</si>
  <si>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</si>
  <si>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</si>
  <si>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</si>
  <si>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</si>
  <si>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</si>
  <si>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</si>
  <si>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</si>
  <si>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</si>
  <si>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</si>
  <si>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</si>
  <si>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</si>
  <si>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</si>
  <si>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</si>
  <si>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</si>
  <si>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</si>
  <si>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</si>
  <si>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</si>
  <si>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</si>
  <si>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</si>
  <si>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</si>
  <si>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</si>
  <si>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</si>
  <si>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</si>
  <si>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</si>
  <si>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</si>
  <si>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</si>
  <si>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</si>
  <si>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</si>
  <si>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</si>
  <si>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</si>
  <si>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</si>
  <si>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</si>
  <si>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</si>
  <si>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</si>
  <si>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</si>
  <si>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</si>
  <si>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</si>
  <si>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</si>
  <si>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</si>
  <si>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</si>
  <si>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</si>
  <si>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</si>
  <si>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</si>
  <si>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</si>
  <si>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</si>
  <si>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</si>
  <si>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</si>
  <si>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</si>
  <si>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</si>
  <si>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</si>
  <si>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</si>
  <si>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</si>
  <si>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</si>
  <si>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</si>
  <si>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</si>
  <si>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</si>
  <si>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</si>
  <si>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</si>
  <si>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</si>
  <si>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</si>
  <si>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</si>
  <si>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</si>
  <si>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</si>
  <si>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</si>
  <si>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</si>
  <si>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</si>
  <si>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</si>
  <si>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</si>
  <si>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</si>
  <si>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</si>
  <si>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</si>
  <si>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</si>
  <si>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</si>
  <si>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</si>
  <si>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</si>
  <si>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</si>
  <si>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</si>
  <si>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</si>
  <si>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</si>
  <si>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</si>
  <si>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</si>
  <si>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</si>
  <si>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</si>
  <si>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</si>
  <si>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</si>
  <si>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</si>
  <si>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</si>
  <si>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</si>
  <si>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</si>
  <si>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</si>
  <si>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</si>
  <si>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</si>
  <si>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</si>
  <si>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</si>
  <si>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</si>
  <si>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</si>
  <si>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</si>
  <si>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</si>
  <si>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</si>
  <si>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</si>
  <si>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</si>
  <si>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</si>
  <si>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</si>
  <si>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</si>
  <si>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</si>
  <si>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</si>
  <si>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</si>
  <si>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</si>
  <si>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</si>
  <si>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</si>
  <si>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</si>
  <si>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</si>
  <si>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</si>
  <si>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</si>
  <si>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</si>
  <si>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</si>
  <si>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</si>
  <si>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</si>
  <si>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</si>
  <si>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</si>
  <si>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</si>
  <si>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</si>
  <si>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</si>
  <si>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</si>
  <si>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</si>
  <si>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</si>
  <si>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</si>
  <si>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</si>
  <si>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</si>
  <si>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</si>
  <si>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</si>
  <si>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</si>
  <si>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</si>
  <si>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</si>
  <si>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</si>
  <si>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</si>
  <si>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</si>
  <si>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</si>
  <si>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</si>
  <si>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</si>
  <si>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</si>
  <si>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</si>
  <si>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</si>
  <si>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</si>
  <si>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</si>
  <si>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</si>
  <si>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</si>
  <si>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</si>
  <si>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</si>
  <si>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</si>
  <si>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</si>
  <si>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</si>
  <si>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</si>
  <si>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</si>
  <si>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</si>
  <si>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</si>
  <si>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</si>
  <si>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</si>
  <si>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</si>
  <si>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</si>
  <si>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</si>
  <si>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</si>
  <si>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</si>
  <si>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</si>
  <si>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</si>
  <si>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</si>
  <si>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</si>
  <si>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</si>
  <si>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</si>
  <si>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</si>
  <si>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</si>
  <si>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</si>
  <si>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</si>
  <si>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</si>
  <si>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</si>
  <si>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</si>
  <si>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</si>
  <si>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</si>
  <si>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</si>
  <si>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</si>
  <si>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</si>
  <si>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</si>
  <si>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</si>
  <si>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</si>
  <si>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</si>
  <si>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</si>
  <si>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</si>
  <si>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</si>
  <si>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</si>
  <si>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</si>
  <si>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</si>
  <si>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</si>
  <si>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</si>
  <si>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</si>
  <si>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</si>
  <si>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</si>
  <si>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</si>
  <si>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</si>
  <si>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</si>
  <si>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</si>
  <si>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</si>
  <si>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</si>
  <si>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</si>
  <si>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</si>
  <si>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</si>
  <si>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</si>
  <si>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</si>
  <si>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</si>
  <si>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</si>
  <si>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</si>
  <si>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</si>
  <si>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</si>
  <si>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</si>
  <si>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</si>
  <si>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</si>
  <si>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</si>
  <si>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</si>
  <si>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</si>
  <si>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</si>
  <si>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</si>
  <si>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</si>
  <si>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</si>
  <si>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</si>
  <si>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</si>
  <si>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</si>
  <si>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</si>
  <si>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</si>
  <si>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</si>
  <si>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</si>
  <si>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</si>
  <si>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</si>
  <si>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</si>
  <si>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</si>
  <si>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</si>
  <si>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</si>
  <si>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</si>
  <si>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</si>
  <si>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</si>
  <si>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</si>
  <si>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</si>
  <si>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</si>
  <si>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</si>
  <si>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</si>
  <si>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</si>
  <si>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</si>
  <si>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</si>
  <si>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</si>
  <si>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</si>
  <si>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</si>
  <si>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</si>
  <si>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</si>
  <si>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</si>
  <si>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</si>
  <si>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</si>
  <si>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</si>
  <si>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</si>
  <si>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</si>
  <si>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</si>
  <si>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</si>
  <si>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</si>
  <si>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</si>
  <si>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</si>
  <si>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</si>
  <si>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</si>
  <si>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</si>
  <si>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</si>
  <si>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</si>
  <si>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</si>
  <si>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</si>
  <si>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</si>
  <si>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</si>
  <si>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</si>
  <si>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</si>
  <si>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</si>
  <si>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</si>
  <si>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</si>
  <si>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</si>
  <si>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</si>
  <si>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</si>
  <si>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</si>
  <si>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</si>
  <si>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</si>
  <si>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</si>
  <si>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</si>
  <si>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</si>
  <si>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</si>
  <si>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</si>
  <si>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</si>
  <si>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</si>
  <si>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</si>
  <si>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</si>
  <si>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</si>
  <si>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</si>
  <si>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</si>
  <si>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</si>
  <si>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</si>
  <si>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</si>
  <si>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</si>
  <si>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</si>
  <si>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</si>
  <si>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</si>
  <si>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</si>
  <si>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</si>
  <si>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</si>
  <si>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</si>
  <si>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</si>
  <si>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</si>
  <si>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</si>
  <si>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</si>
  <si>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</si>
  <si>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</si>
  <si>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</si>
  <si>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</si>
  <si>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Rutger McGroarty</t>
  </si>
  <si>
    <t>Dylan McIlrath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</si>
  <si>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</si>
  <si>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</si>
  <si>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</si>
  <si>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</si>
  <si>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</si>
  <si>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</si>
  <si>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</si>
  <si>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</si>
  <si>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</si>
  <si>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</si>
  <si>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</si>
  <si>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</si>
  <si>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</si>
  <si>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</si>
  <si>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</si>
  <si>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</si>
  <si>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</si>
  <si>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</si>
  <si>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</si>
  <si>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</si>
  <si>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</si>
  <si>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</si>
  <si>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</si>
  <si>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</si>
  <si>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</si>
  <si>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</si>
  <si>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</si>
  <si>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</si>
  <si>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</si>
  <si>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</si>
  <si>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</si>
  <si>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</si>
  <si>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</si>
  <si>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</si>
  <si>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</si>
  <si>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</si>
  <si>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</si>
  <si>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</si>
  <si>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</si>
  <si>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</si>
  <si>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</si>
  <si>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</si>
  <si>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</si>
  <si>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</si>
  <si>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</si>
  <si>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</si>
  <si>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</si>
  <si>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</si>
  <si>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</si>
  <si>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</si>
  <si>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</si>
  <si>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</si>
  <si>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</si>
  <si>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</si>
  <si>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</si>
  <si>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</si>
  <si>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</si>
  <si>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</si>
  <si>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</si>
  <si>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</si>
  <si>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</si>
  <si>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</si>
  <si>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</si>
  <si>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</si>
  <si>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</si>
  <si>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</si>
  <si>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</si>
  <si>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</si>
  <si>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</si>
  <si>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</si>
  <si>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</si>
  <si>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</si>
  <si>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</si>
  <si>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</si>
  <si>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</si>
  <si>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</si>
  <si>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</si>
  <si>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</si>
  <si>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</si>
  <si>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</si>
  <si>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</si>
  <si>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</si>
  <si>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</si>
  <si>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</si>
  <si>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</si>
  <si>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</si>
  <si>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</si>
  <si>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</si>
  <si>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</si>
  <si>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</si>
  <si>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</si>
  <si>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19:45</t>
  </si>
  <si>
    <t>327:45</t>
  </si>
  <si>
    <t>18:27</t>
  </si>
  <si>
    <t>21:01</t>
  </si>
  <si>
    <t>20:48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</si>
  <si>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</si>
  <si>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</si>
  <si>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</si>
  <si>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</si>
  <si>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</si>
  <si>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</si>
  <si>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</si>
  <si>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</si>
  <si>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</si>
  <si>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</si>
  <si>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</si>
  <si>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18:29</t>
  </si>
  <si>
    <t>16:53</t>
  </si>
  <si>
    <t>13:38</t>
  </si>
  <si>
    <t>20:33</t>
  </si>
  <si>
    <t>15:45</t>
  </si>
  <si>
    <t>15:16</t>
  </si>
  <si>
    <t>379:36</t>
  </si>
  <si>
    <t>21:05</t>
  </si>
  <si>
    <t>15:33</t>
  </si>
  <si>
    <t>21:03</t>
  </si>
  <si>
    <t>286:09</t>
  </si>
  <si>
    <t>11:27</t>
  </si>
  <si>
    <t>17:21</t>
  </si>
  <si>
    <t>15:25</t>
  </si>
  <si>
    <t>16:52</t>
  </si>
  <si>
    <t>10:59</t>
  </si>
  <si>
    <t>12:13</t>
  </si>
  <si>
    <t>Vyacheslav Buteyets</t>
  </si>
  <si>
    <t>Ty Murchison</t>
  </si>
  <si>
    <t>19:05</t>
  </si>
  <si>
    <t>19:10</t>
  </si>
  <si>
    <t>17:26</t>
  </si>
  <si>
    <t>18:55</t>
  </si>
  <si>
    <t>22:43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</si>
  <si>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</si>
  <si>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</si>
  <si>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</si>
  <si>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</si>
  <si>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</si>
  <si>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</si>
  <si>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</si>
  <si>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</si>
  <si>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</si>
  <si>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</si>
  <si>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17:52</t>
  </si>
  <si>
    <t>18:11</t>
  </si>
  <si>
    <t>18:28</t>
  </si>
  <si>
    <t>713:08</t>
  </si>
  <si>
    <t>27:26</t>
  </si>
  <si>
    <t>621:38</t>
  </si>
  <si>
    <t>18:09</t>
  </si>
  <si>
    <t>572:19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</si>
  <si>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</si>
  <si>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</si>
  <si>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</si>
  <si>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</si>
  <si>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</si>
  <si>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</si>
  <si>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</si>
  <si>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</si>
  <si>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</si>
  <si>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</si>
  <si>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</si>
  <si>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</si>
  <si>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</si>
  <si>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</si>
  <si>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</si>
  <si>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</si>
  <si>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</si>
  <si>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</si>
  <si>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</si>
  <si>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</si>
  <si>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</si>
  <si>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</si>
  <si>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</si>
  <si>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</si>
  <si>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</si>
  <si>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</si>
  <si>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</si>
  <si>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</si>
  <si>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</si>
  <si>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</si>
  <si>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</si>
  <si>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</si>
  <si>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</si>
  <si>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</si>
  <si>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22:41</t>
  </si>
  <si>
    <t>744:37</t>
  </si>
  <si>
    <t>24:01</t>
  </si>
  <si>
    <t>496:54</t>
  </si>
  <si>
    <t>15:26</t>
  </si>
  <si>
    <t>11:55</t>
  </si>
  <si>
    <t>19:59</t>
  </si>
  <si>
    <t>555:00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</si>
  <si>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</si>
  <si>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</si>
  <si>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</si>
  <si>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</si>
  <si>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</si>
  <si>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</si>
  <si>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</si>
  <si>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</si>
  <si>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</si>
  <si>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</si>
  <si>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</si>
  <si>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</si>
  <si>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</si>
  <si>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</si>
  <si>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</si>
  <si>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</si>
  <si>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</si>
  <si>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</si>
  <si>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</si>
  <si>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</si>
  <si>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</si>
  <si>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</si>
  <si>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120:51</t>
  </si>
  <si>
    <t>592:03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</si>
  <si>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</si>
  <si>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</si>
  <si>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</si>
  <si>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</si>
  <si>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</si>
  <si>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</si>
  <si>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</si>
  <si>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</si>
  <si>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</si>
  <si>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</si>
  <si>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</si>
  <si>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</si>
  <si>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</si>
  <si>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</si>
  <si>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</si>
  <si>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</si>
  <si>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</si>
  <si>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</si>
  <si>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</si>
  <si>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20:50</t>
  </si>
  <si>
    <t>491:34</t>
  </si>
  <si>
    <t>22:44</t>
  </si>
  <si>
    <t>634:48</t>
  </si>
  <si>
    <t>286:44</t>
  </si>
  <si>
    <t>562:53</t>
  </si>
  <si>
    <t>151:41</t>
  </si>
  <si>
    <t>48:32</t>
  </si>
  <si>
    <t>6:43</t>
  </si>
  <si>
    <t>46:17</t>
  </si>
  <si>
    <t>45:40</t>
  </si>
  <si>
    <t>53:13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</si>
  <si>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</si>
  <si>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</si>
  <si>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</si>
  <si>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</si>
  <si>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</si>
  <si>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</si>
  <si>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</si>
  <si>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</si>
  <si>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</si>
  <si>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</si>
  <si>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</si>
  <si>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</si>
  <si>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</si>
  <si>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197:11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</si>
  <si>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</si>
  <si>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</si>
  <si>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</si>
  <si>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</si>
  <si>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</si>
  <si>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</si>
  <si>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</si>
  <si>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</si>
  <si>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</si>
  <si>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</si>
  <si>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</si>
  <si>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</si>
  <si>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</si>
  <si>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</si>
  <si>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17:53</t>
  </si>
  <si>
    <t>18:18</t>
  </si>
  <si>
    <t>18:15</t>
  </si>
  <si>
    <t>19:06</t>
  </si>
  <si>
    <t>17:44</t>
  </si>
  <si>
    <t>17:28</t>
  </si>
  <si>
    <t>17:54</t>
  </si>
  <si>
    <t>15:39</t>
  </si>
  <si>
    <t>15:53</t>
  </si>
  <si>
    <t>15:29</t>
  </si>
  <si>
    <t>16:18</t>
  </si>
  <si>
    <t>726:47</t>
  </si>
  <si>
    <t>18:13</t>
  </si>
  <si>
    <t>602:14</t>
  </si>
  <si>
    <t>16:04</t>
  </si>
  <si>
    <t>18:42</t>
  </si>
  <si>
    <t>16:43</t>
  </si>
  <si>
    <t>16:00</t>
  </si>
  <si>
    <t>18:04</t>
  </si>
  <si>
    <t>13:30</t>
  </si>
  <si>
    <t>21:35</t>
  </si>
  <si>
    <t>18:41</t>
  </si>
  <si>
    <t>17:32</t>
  </si>
  <si>
    <t>15:34</t>
  </si>
  <si>
    <t>17:03</t>
  </si>
  <si>
    <t>23:12</t>
  </si>
  <si>
    <t>13:03</t>
  </si>
  <si>
    <t>15:41</t>
  </si>
  <si>
    <t>13:29</t>
  </si>
  <si>
    <t>18:48</t>
  </si>
  <si>
    <t>516:56</t>
  </si>
  <si>
    <t>15:12</t>
  </si>
  <si>
    <t>22:42</t>
  </si>
  <si>
    <t>13:33</t>
  </si>
  <si>
    <t>13:47</t>
  </si>
  <si>
    <t>16:23</t>
  </si>
  <si>
    <t>14:32</t>
  </si>
  <si>
    <t>298:42</t>
  </si>
  <si>
    <t>10:18</t>
  </si>
  <si>
    <t>12:14</t>
  </si>
  <si>
    <t>15:04</t>
  </si>
  <si>
    <t>11:34</t>
  </si>
  <si>
    <t>11:41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</si>
  <si>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</si>
  <si>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</si>
  <si>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</si>
  <si>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</si>
  <si>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</si>
  <si>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</si>
  <si>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</si>
  <si>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</si>
  <si>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</si>
  <si>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</si>
  <si>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</si>
  <si>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</si>
  <si>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</si>
  <si>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</si>
  <si>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</si>
  <si>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</si>
  <si>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</si>
  <si>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</si>
  <si>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</si>
  <si>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56:32</t>
  </si>
  <si>
    <t>58:47</t>
  </si>
  <si>
    <t>95:03</t>
  </si>
  <si>
    <t>19:35</t>
  </si>
  <si>
    <t>19:36</t>
  </si>
  <si>
    <t>23:16</t>
  </si>
  <si>
    <t>24:11</t>
  </si>
  <si>
    <t>17:58</t>
  </si>
  <si>
    <t>13:13</t>
  </si>
  <si>
    <t>11:51</t>
  </si>
  <si>
    <t>14:18</t>
  </si>
  <si>
    <t>18:16</t>
  </si>
  <si>
    <t>156:22</t>
  </si>
  <si>
    <t>14:33</t>
  </si>
  <si>
    <t>16:45</t>
  </si>
  <si>
    <t>12:54</t>
  </si>
  <si>
    <t>16:56</t>
  </si>
  <si>
    <t>13:14</t>
  </si>
  <si>
    <t>178:57</t>
  </si>
  <si>
    <t>247:17</t>
  </si>
  <si>
    <t>9:31</t>
  </si>
  <si>
    <t>9:46</t>
  </si>
  <si>
    <t>259:48</t>
  </si>
  <si>
    <t>13:40</t>
  </si>
  <si>
    <t>12:32</t>
  </si>
  <si>
    <t>21:06</t>
  </si>
  <si>
    <t>85:32</t>
  </si>
  <si>
    <t>276:08</t>
  </si>
  <si>
    <t>109:25</t>
  </si>
  <si>
    <t>13:41</t>
  </si>
  <si>
    <t>59:52</t>
  </si>
  <si>
    <t>Connor Ingram</t>
  </si>
  <si>
    <t>218:16</t>
  </si>
  <si>
    <t>10:13</t>
  </si>
  <si>
    <t>9:39</t>
  </si>
  <si>
    <t>59:44</t>
  </si>
  <si>
    <t>360:04</t>
  </si>
  <si>
    <t>20:49</t>
  </si>
  <si>
    <t>256:55</t>
  </si>
  <si>
    <t>432:37</t>
  </si>
  <si>
    <t>116:23</t>
  </si>
  <si>
    <t>10:33</t>
  </si>
  <si>
    <t>13:36</t>
  </si>
  <si>
    <t>114:04</t>
  </si>
  <si>
    <t>21:11</t>
  </si>
  <si>
    <t>18:05</t>
  </si>
  <si>
    <t>22:39</t>
  </si>
  <si>
    <t>15:52</t>
  </si>
  <si>
    <t>16:59</t>
  </si>
  <si>
    <t>14:35</t>
  </si>
  <si>
    <t>18:43</t>
  </si>
  <si>
    <t>15:42</t>
  </si>
  <si>
    <t>520:05</t>
  </si>
  <si>
    <t>12:57</t>
  </si>
  <si>
    <t>21:50</t>
  </si>
  <si>
    <t>19:26</t>
  </si>
  <si>
    <t>215:03</t>
  </si>
  <si>
    <t>9:21</t>
  </si>
  <si>
    <t>273:52</t>
  </si>
  <si>
    <t>8:24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</si>
  <si>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</si>
  <si>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</si>
  <si>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</si>
  <si>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</si>
  <si>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</si>
  <si>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</si>
  <si>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</si>
  <si>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</si>
  <si>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961:01</t>
  </si>
  <si>
    <t>58:12</t>
  </si>
  <si>
    <t>Pheonix Copley</t>
  </si>
  <si>
    <t>58:34</t>
  </si>
  <si>
    <t>58:03</t>
  </si>
  <si>
    <t>21:10</t>
  </si>
  <si>
    <t>25:09</t>
  </si>
  <si>
    <t>632:37</t>
  </si>
  <si>
    <t>17:38</t>
  </si>
  <si>
    <t>20:55</t>
  </si>
  <si>
    <t>22:34</t>
  </si>
  <si>
    <t>562:00</t>
  </si>
  <si>
    <t>24:10</t>
  </si>
  <si>
    <t>25:01</t>
  </si>
  <si>
    <t>13:32</t>
  </si>
  <si>
    <t>10:20</t>
  </si>
  <si>
    <t>606:26</t>
  </si>
  <si>
    <t>23:10</t>
  </si>
  <si>
    <t>466:53</t>
  </si>
  <si>
    <t>462:47</t>
  </si>
  <si>
    <t>22:35</t>
  </si>
  <si>
    <t>548:12</t>
  </si>
  <si>
    <t>397:48</t>
  </si>
  <si>
    <t>14:04</t>
  </si>
  <si>
    <t>588:24</t>
  </si>
  <si>
    <t>449:06</t>
  </si>
  <si>
    <t>10:03</t>
  </si>
  <si>
    <t>11:54</t>
  </si>
  <si>
    <t>469:05</t>
  </si>
  <si>
    <t>11:29</t>
  </si>
  <si>
    <t>21:32</t>
  </si>
  <si>
    <t>234:07</t>
  </si>
  <si>
    <t>165:49</t>
  </si>
  <si>
    <t>163:02</t>
  </si>
  <si>
    <t>263:44</t>
  </si>
  <si>
    <t>161:11</t>
  </si>
  <si>
    <t>5:58</t>
  </si>
  <si>
    <t>9:11</t>
  </si>
  <si>
    <t>104:02</t>
  </si>
  <si>
    <t>45:59</t>
  </si>
  <si>
    <t>1378:30</t>
  </si>
  <si>
    <t>Xavier Bourgault</t>
  </si>
  <si>
    <t>817:40</t>
  </si>
  <si>
    <t>49:01</t>
  </si>
  <si>
    <t>1665:51</t>
  </si>
  <si>
    <t>59:30</t>
  </si>
  <si>
    <t>23:36</t>
  </si>
  <si>
    <t>23:47</t>
  </si>
  <si>
    <t>16:54</t>
  </si>
  <si>
    <t>673:51</t>
  </si>
  <si>
    <t>376:43</t>
  </si>
  <si>
    <t>18:50</t>
  </si>
  <si>
    <t>14:00</t>
  </si>
  <si>
    <t>443:33</t>
  </si>
  <si>
    <t>356:43</t>
  </si>
  <si>
    <t>11:03</t>
  </si>
  <si>
    <t>364:28</t>
  </si>
  <si>
    <t>85:51</t>
  </si>
  <si>
    <t>73:49</t>
  </si>
  <si>
    <t>153:10</t>
  </si>
  <si>
    <t>197:42</t>
  </si>
  <si>
    <t>Maxim Groshev</t>
  </si>
  <si>
    <t>59:15</t>
  </si>
  <si>
    <t>364:16</t>
  </si>
  <si>
    <t>745:45</t>
  </si>
  <si>
    <t>57:22</t>
  </si>
  <si>
    <t>59:43</t>
  </si>
  <si>
    <t>855:09</t>
  </si>
  <si>
    <t>930:16</t>
  </si>
  <si>
    <t>821:19</t>
  </si>
  <si>
    <t>20:32</t>
  </si>
  <si>
    <t>901:59</t>
  </si>
  <si>
    <t>21:60</t>
  </si>
  <si>
    <t>801:13</t>
  </si>
  <si>
    <t>20:02</t>
  </si>
  <si>
    <t>737:02</t>
  </si>
  <si>
    <t>20:28</t>
  </si>
  <si>
    <t>801:20</t>
  </si>
  <si>
    <t>811:27</t>
  </si>
  <si>
    <t>19:47</t>
  </si>
  <si>
    <t>810:29</t>
  </si>
  <si>
    <t>20:47</t>
  </si>
  <si>
    <t>861:41</t>
  </si>
  <si>
    <t>909:20</t>
  </si>
  <si>
    <t>22:11</t>
  </si>
  <si>
    <t>815:43</t>
  </si>
  <si>
    <t>823:30</t>
  </si>
  <si>
    <t>20:05</t>
  </si>
  <si>
    <t>973:28</t>
  </si>
  <si>
    <t>712:27</t>
  </si>
  <si>
    <t>18:45</t>
  </si>
  <si>
    <t>832:31</t>
  </si>
  <si>
    <t>718:43</t>
  </si>
  <si>
    <t>19:58</t>
  </si>
  <si>
    <t>760:14</t>
  </si>
  <si>
    <t>764:06</t>
  </si>
  <si>
    <t>822:59</t>
  </si>
  <si>
    <t>767:32</t>
  </si>
  <si>
    <t>805:46</t>
  </si>
  <si>
    <t>20:40</t>
  </si>
  <si>
    <t>788:35</t>
  </si>
  <si>
    <t>19:43</t>
  </si>
  <si>
    <t>756:05</t>
  </si>
  <si>
    <t>18:00</t>
  </si>
  <si>
    <t>718:53</t>
  </si>
  <si>
    <t>830:46</t>
  </si>
  <si>
    <t>853:45</t>
  </si>
  <si>
    <t>793:43</t>
  </si>
  <si>
    <t>19:51</t>
  </si>
  <si>
    <t>738:16</t>
  </si>
  <si>
    <t>943:31</t>
  </si>
  <si>
    <t>23:35</t>
  </si>
  <si>
    <t>769:03</t>
  </si>
  <si>
    <t>20:14</t>
  </si>
  <si>
    <t>728:10</t>
  </si>
  <si>
    <t>712:49</t>
  </si>
  <si>
    <t>867:08</t>
  </si>
  <si>
    <t>20:39</t>
  </si>
  <si>
    <t>749:55</t>
  </si>
  <si>
    <t>657:59</t>
  </si>
  <si>
    <t>18:17</t>
  </si>
  <si>
    <t>998:24</t>
  </si>
  <si>
    <t>725:22</t>
  </si>
  <si>
    <t>18:08</t>
  </si>
  <si>
    <t>732:59</t>
  </si>
  <si>
    <t>707:46</t>
  </si>
  <si>
    <t>17:16</t>
  </si>
  <si>
    <t>785:35</t>
  </si>
  <si>
    <t>719:31</t>
  </si>
  <si>
    <t>740:35</t>
  </si>
  <si>
    <t>18:59</t>
  </si>
  <si>
    <t>803:15</t>
  </si>
  <si>
    <t>602:07</t>
  </si>
  <si>
    <t>15:03</t>
  </si>
  <si>
    <t>671:19</t>
  </si>
  <si>
    <t>19:11</t>
  </si>
  <si>
    <t>1065:12</t>
  </si>
  <si>
    <t>25:59</t>
  </si>
  <si>
    <t>792:00</t>
  </si>
  <si>
    <t>19:48</t>
  </si>
  <si>
    <t>749:17</t>
  </si>
  <si>
    <t>20:15</t>
  </si>
  <si>
    <t>740:09</t>
  </si>
  <si>
    <t>730:11</t>
  </si>
  <si>
    <t>738:10</t>
  </si>
  <si>
    <t>20:30</t>
  </si>
  <si>
    <t>626:37</t>
  </si>
  <si>
    <t>785:25</t>
  </si>
  <si>
    <t>748:12</t>
  </si>
  <si>
    <t>759:58</t>
  </si>
  <si>
    <t>19:29</t>
  </si>
  <si>
    <t>605:04</t>
  </si>
  <si>
    <t>712:24</t>
  </si>
  <si>
    <t>702:39</t>
  </si>
  <si>
    <t>755:16</t>
  </si>
  <si>
    <t>954:05</t>
  </si>
  <si>
    <t>748:36</t>
  </si>
  <si>
    <t>626:21</t>
  </si>
  <si>
    <t>832:26</t>
  </si>
  <si>
    <t>746:06</t>
  </si>
  <si>
    <t>667:50</t>
  </si>
  <si>
    <t>706:43</t>
  </si>
  <si>
    <t>950:42</t>
  </si>
  <si>
    <t>24:23</t>
  </si>
  <si>
    <t>742:56</t>
  </si>
  <si>
    <t>18:07</t>
  </si>
  <si>
    <t>732:08</t>
  </si>
  <si>
    <t>1056:45</t>
  </si>
  <si>
    <t>25:10</t>
  </si>
  <si>
    <t>426:35</t>
  </si>
  <si>
    <t>19:23</t>
  </si>
  <si>
    <t>610:23</t>
  </si>
  <si>
    <t>836:18</t>
  </si>
  <si>
    <t>680:00</t>
  </si>
  <si>
    <t>18:23</t>
  </si>
  <si>
    <t>639:48</t>
  </si>
  <si>
    <t>16:24</t>
  </si>
  <si>
    <t>668:40</t>
  </si>
  <si>
    <t>17:36</t>
  </si>
  <si>
    <t>927:27</t>
  </si>
  <si>
    <t>728:36</t>
  </si>
  <si>
    <t>668:54</t>
  </si>
  <si>
    <t>719:25</t>
  </si>
  <si>
    <t>17:59</t>
  </si>
  <si>
    <t>672:14</t>
  </si>
  <si>
    <t>16:48</t>
  </si>
  <si>
    <t>849:41</t>
  </si>
  <si>
    <t>20:43</t>
  </si>
  <si>
    <t>960:06</t>
  </si>
  <si>
    <t>246:58</t>
  </si>
  <si>
    <t>703:04</t>
  </si>
  <si>
    <t>836:21</t>
  </si>
  <si>
    <t>22:36</t>
  </si>
  <si>
    <t>688:39</t>
  </si>
  <si>
    <t>17:39</t>
  </si>
  <si>
    <t>664:54</t>
  </si>
  <si>
    <t>16:37</t>
  </si>
  <si>
    <t>809:32</t>
  </si>
  <si>
    <t>696:25</t>
  </si>
  <si>
    <t>998:38</t>
  </si>
  <si>
    <t>703:15</t>
  </si>
  <si>
    <t>845:35</t>
  </si>
  <si>
    <t>670:53</t>
  </si>
  <si>
    <t>664:55</t>
  </si>
  <si>
    <t>23:45</t>
  </si>
  <si>
    <t>598:09</t>
  </si>
  <si>
    <t>980:41</t>
  </si>
  <si>
    <t>666:28</t>
  </si>
  <si>
    <t>911:28</t>
  </si>
  <si>
    <t>22:47</t>
  </si>
  <si>
    <t>737:38</t>
  </si>
  <si>
    <t>677:51</t>
  </si>
  <si>
    <t>966:40</t>
  </si>
  <si>
    <t>618:44</t>
  </si>
  <si>
    <t>728:46</t>
  </si>
  <si>
    <t>708:48</t>
  </si>
  <si>
    <t>555:26</t>
  </si>
  <si>
    <t>852:38</t>
  </si>
  <si>
    <t>21:52</t>
  </si>
  <si>
    <t>979:02</t>
  </si>
  <si>
    <t>23:53</t>
  </si>
  <si>
    <t>696:52</t>
  </si>
  <si>
    <t>633:41</t>
  </si>
  <si>
    <t>823:39</t>
  </si>
  <si>
    <t>698:21</t>
  </si>
  <si>
    <t>687:28</t>
  </si>
  <si>
    <t>17:11</t>
  </si>
  <si>
    <t>602:52</t>
  </si>
  <si>
    <t>682:46</t>
  </si>
  <si>
    <t>646:29</t>
  </si>
  <si>
    <t>17:01</t>
  </si>
  <si>
    <t>821:50</t>
  </si>
  <si>
    <t>730:07</t>
  </si>
  <si>
    <t>637:42</t>
  </si>
  <si>
    <t>534:01</t>
  </si>
  <si>
    <t>659:13</t>
  </si>
  <si>
    <t>16:29</t>
  </si>
  <si>
    <t>619:40</t>
  </si>
  <si>
    <t>618:35</t>
  </si>
  <si>
    <t>685:27</t>
  </si>
  <si>
    <t>17:08</t>
  </si>
  <si>
    <t>653:30</t>
  </si>
  <si>
    <t>936:36</t>
  </si>
  <si>
    <t>463:30</t>
  </si>
  <si>
    <t>655:31</t>
  </si>
  <si>
    <t>749:36</t>
  </si>
  <si>
    <t>616:24</t>
  </si>
  <si>
    <t>762:56</t>
  </si>
  <si>
    <t>757:26</t>
  </si>
  <si>
    <t>733:31</t>
  </si>
  <si>
    <t>1000:33</t>
  </si>
  <si>
    <t>637:56</t>
  </si>
  <si>
    <t>636:39</t>
  </si>
  <si>
    <t>657:47</t>
  </si>
  <si>
    <t>639:54</t>
  </si>
  <si>
    <t>645:23</t>
  </si>
  <si>
    <t>654:06</t>
  </si>
  <si>
    <t>954:39</t>
  </si>
  <si>
    <t>24:29</t>
  </si>
  <si>
    <t>465:43</t>
  </si>
  <si>
    <t>439:33</t>
  </si>
  <si>
    <t>625:16</t>
  </si>
  <si>
    <t>460:58</t>
  </si>
  <si>
    <t>621:55</t>
  </si>
  <si>
    <t>695:49</t>
  </si>
  <si>
    <t>568:10</t>
  </si>
  <si>
    <t>619:19</t>
  </si>
  <si>
    <t>591:06</t>
  </si>
  <si>
    <t>749:31</t>
  </si>
  <si>
    <t>757:36</t>
  </si>
  <si>
    <t>666:20</t>
  </si>
  <si>
    <t>1003:47</t>
  </si>
  <si>
    <t>637:26</t>
  </si>
  <si>
    <t>663:57</t>
  </si>
  <si>
    <t>16:36</t>
  </si>
  <si>
    <t>940:38</t>
  </si>
  <si>
    <t>23:31</t>
  </si>
  <si>
    <t>583:42</t>
  </si>
  <si>
    <t>624:49</t>
  </si>
  <si>
    <t>569:30</t>
  </si>
  <si>
    <t>688:49</t>
  </si>
  <si>
    <t>539:44</t>
  </si>
  <si>
    <t>331:46</t>
  </si>
  <si>
    <t>757:47</t>
  </si>
  <si>
    <t>851:19</t>
  </si>
  <si>
    <t>682:15</t>
  </si>
  <si>
    <t>832:51</t>
  </si>
  <si>
    <t>932:05</t>
  </si>
  <si>
    <t>652:20</t>
  </si>
  <si>
    <t>658:36</t>
  </si>
  <si>
    <t>18:49</t>
  </si>
  <si>
    <t>730:28</t>
  </si>
  <si>
    <t>843:28</t>
  </si>
  <si>
    <t>21:38</t>
  </si>
  <si>
    <t>695:45</t>
  </si>
  <si>
    <t>23:59</t>
  </si>
  <si>
    <t>529:36</t>
  </si>
  <si>
    <t>863:38</t>
  </si>
  <si>
    <t>445:23</t>
  </si>
  <si>
    <t>549:04</t>
  </si>
  <si>
    <t>470:28</t>
  </si>
  <si>
    <t>678:46</t>
  </si>
  <si>
    <t>517:24</t>
  </si>
  <si>
    <t>15:13</t>
  </si>
  <si>
    <t>605:00</t>
  </si>
  <si>
    <t>15:31</t>
  </si>
  <si>
    <t>709:49</t>
  </si>
  <si>
    <t>631:35</t>
  </si>
  <si>
    <t>652:55</t>
  </si>
  <si>
    <t>690:04</t>
  </si>
  <si>
    <t>18:10</t>
  </si>
  <si>
    <t>507:51</t>
  </si>
  <si>
    <t>13:01</t>
  </si>
  <si>
    <t>481:14</t>
  </si>
  <si>
    <t>662:53</t>
  </si>
  <si>
    <t>16:60</t>
  </si>
  <si>
    <t>834:53</t>
  </si>
  <si>
    <t>731:23</t>
  </si>
  <si>
    <t>587:58</t>
  </si>
  <si>
    <t>96:24</t>
  </si>
  <si>
    <t>565:22</t>
  </si>
  <si>
    <t>725:34</t>
  </si>
  <si>
    <t>18:36</t>
  </si>
  <si>
    <t>646:50</t>
  </si>
  <si>
    <t>545:00</t>
  </si>
  <si>
    <t>14:21</t>
  </si>
  <si>
    <t>847:08</t>
  </si>
  <si>
    <t>21:43</t>
  </si>
  <si>
    <t>679:57</t>
  </si>
  <si>
    <t>669:50</t>
  </si>
  <si>
    <t>640:21</t>
  </si>
  <si>
    <t>648:33</t>
  </si>
  <si>
    <t>651:23</t>
  </si>
  <si>
    <t>16:42</t>
  </si>
  <si>
    <t>521:37</t>
  </si>
  <si>
    <t>16:50</t>
  </si>
  <si>
    <t>928:27</t>
  </si>
  <si>
    <t>25:06</t>
  </si>
  <si>
    <t>557:56</t>
  </si>
  <si>
    <t>15:05</t>
  </si>
  <si>
    <t>339:38</t>
  </si>
  <si>
    <t>574:05</t>
  </si>
  <si>
    <t>416:04</t>
  </si>
  <si>
    <t>433:49</t>
  </si>
  <si>
    <t>559:12</t>
  </si>
  <si>
    <t>705:39</t>
  </si>
  <si>
    <t>561:00</t>
  </si>
  <si>
    <t>551:45</t>
  </si>
  <si>
    <t>672:30</t>
  </si>
  <si>
    <t>613:19</t>
  </si>
  <si>
    <t>633:02</t>
  </si>
  <si>
    <t>850:20</t>
  </si>
  <si>
    <t>20:44</t>
  </si>
  <si>
    <t>542:20</t>
  </si>
  <si>
    <t>564:22</t>
  </si>
  <si>
    <t>14:07</t>
  </si>
  <si>
    <t>411:01</t>
  </si>
  <si>
    <t>498:19</t>
  </si>
  <si>
    <t>975:33</t>
  </si>
  <si>
    <t>23:48</t>
  </si>
  <si>
    <t>836:20</t>
  </si>
  <si>
    <t>788:38</t>
  </si>
  <si>
    <t>445:57</t>
  </si>
  <si>
    <t>15:23</t>
  </si>
  <si>
    <t>868:39</t>
  </si>
  <si>
    <t>957:56</t>
  </si>
  <si>
    <t>24:34</t>
  </si>
  <si>
    <t>889:18</t>
  </si>
  <si>
    <t>22:14</t>
  </si>
  <si>
    <t>377:10</t>
  </si>
  <si>
    <t>738:36</t>
  </si>
  <si>
    <t>166:17</t>
  </si>
  <si>
    <t>612:49</t>
  </si>
  <si>
    <t>557:39</t>
  </si>
  <si>
    <t>591:17</t>
  </si>
  <si>
    <t>378:56</t>
  </si>
  <si>
    <t>670:16</t>
  </si>
  <si>
    <t>21:37</t>
  </si>
  <si>
    <t>884:51</t>
  </si>
  <si>
    <t>22:07</t>
  </si>
  <si>
    <t>467:59</t>
  </si>
  <si>
    <t>753:40</t>
  </si>
  <si>
    <t>531:33</t>
  </si>
  <si>
    <t>634:09</t>
  </si>
  <si>
    <t>673:09</t>
  </si>
  <si>
    <t>16:25</t>
  </si>
  <si>
    <t>753:52</t>
  </si>
  <si>
    <t>19:20</t>
  </si>
  <si>
    <t>575:38</t>
  </si>
  <si>
    <t>624:52</t>
  </si>
  <si>
    <t>15:37</t>
  </si>
  <si>
    <t>501:26</t>
  </si>
  <si>
    <t>867:00</t>
  </si>
  <si>
    <t>845:48</t>
  </si>
  <si>
    <t>22:15</t>
  </si>
  <si>
    <t>471:48</t>
  </si>
  <si>
    <t>11:48</t>
  </si>
  <si>
    <t>1002:52</t>
  </si>
  <si>
    <t>389:55</t>
  </si>
  <si>
    <t>17:43</t>
  </si>
  <si>
    <t>445:30</t>
  </si>
  <si>
    <t>563:34</t>
  </si>
  <si>
    <t>599:10</t>
  </si>
  <si>
    <t>397:19</t>
  </si>
  <si>
    <t>13:42</t>
  </si>
  <si>
    <t>722:48</t>
  </si>
  <si>
    <t>598:16</t>
  </si>
  <si>
    <t>524:01</t>
  </si>
  <si>
    <t>852:08</t>
  </si>
  <si>
    <t>507:15</t>
  </si>
  <si>
    <t>15:22</t>
  </si>
  <si>
    <t>744:47</t>
  </si>
  <si>
    <t>770:26</t>
  </si>
  <si>
    <t>731:59</t>
  </si>
  <si>
    <t>22:52</t>
  </si>
  <si>
    <t>697:11</t>
  </si>
  <si>
    <t>457:19</t>
  </si>
  <si>
    <t>149:37</t>
  </si>
  <si>
    <t>416:52</t>
  </si>
  <si>
    <t>285:40</t>
  </si>
  <si>
    <t>828:02</t>
  </si>
  <si>
    <t>712:55</t>
  </si>
  <si>
    <t>434:57</t>
  </si>
  <si>
    <t>845:19</t>
  </si>
  <si>
    <t>21:40</t>
  </si>
  <si>
    <t>893:12</t>
  </si>
  <si>
    <t>21:47</t>
  </si>
  <si>
    <t>398:38</t>
  </si>
  <si>
    <t>12:05</t>
  </si>
  <si>
    <t>655:54</t>
  </si>
  <si>
    <t>565:35</t>
  </si>
  <si>
    <t>660:48</t>
  </si>
  <si>
    <t>653:56</t>
  </si>
  <si>
    <t>22:33</t>
  </si>
  <si>
    <t>574:43</t>
  </si>
  <si>
    <t>543:23</t>
  </si>
  <si>
    <t>495:20</t>
  </si>
  <si>
    <t>694:19</t>
  </si>
  <si>
    <t>17:48</t>
  </si>
  <si>
    <t>834:47</t>
  </si>
  <si>
    <t>21:58</t>
  </si>
  <si>
    <t>440:37</t>
  </si>
  <si>
    <t>13:21</t>
  </si>
  <si>
    <t>1010:17</t>
  </si>
  <si>
    <t>25:54</t>
  </si>
  <si>
    <t>559:18</t>
  </si>
  <si>
    <t>393:56</t>
  </si>
  <si>
    <t>670:15</t>
  </si>
  <si>
    <t>939:34</t>
  </si>
  <si>
    <t>23:29</t>
  </si>
  <si>
    <t>414:07</t>
  </si>
  <si>
    <t>12:33</t>
  </si>
  <si>
    <t>525:48</t>
  </si>
  <si>
    <t>591:21</t>
  </si>
  <si>
    <t>629:50</t>
  </si>
  <si>
    <t>575:06</t>
  </si>
  <si>
    <t>344:56</t>
  </si>
  <si>
    <t>14:60</t>
  </si>
  <si>
    <t>951:18</t>
  </si>
  <si>
    <t>477:01</t>
  </si>
  <si>
    <t>536:54</t>
  </si>
  <si>
    <t>22:22</t>
  </si>
  <si>
    <t>652:22</t>
  </si>
  <si>
    <t>629:42</t>
  </si>
  <si>
    <t>733:40</t>
  </si>
  <si>
    <t>725:03</t>
  </si>
  <si>
    <t>505:41</t>
  </si>
  <si>
    <t>12:58</t>
  </si>
  <si>
    <t>353:02</t>
  </si>
  <si>
    <t>11:46</t>
  </si>
  <si>
    <t>515:25</t>
  </si>
  <si>
    <t>650:23</t>
  </si>
  <si>
    <t>484:57</t>
  </si>
  <si>
    <t>555:20</t>
  </si>
  <si>
    <t>461:39</t>
  </si>
  <si>
    <t>498:04</t>
  </si>
  <si>
    <t>731:21</t>
  </si>
  <si>
    <t>22:10</t>
  </si>
  <si>
    <t>527:43</t>
  </si>
  <si>
    <t>14:16</t>
  </si>
  <si>
    <t>584:54</t>
  </si>
  <si>
    <t>15:48</t>
  </si>
  <si>
    <t>355:33</t>
  </si>
  <si>
    <t>663:50</t>
  </si>
  <si>
    <t>584:25</t>
  </si>
  <si>
    <t>562:13</t>
  </si>
  <si>
    <t>885:27</t>
  </si>
  <si>
    <t>559:44</t>
  </si>
  <si>
    <t>633:56</t>
  </si>
  <si>
    <t>16:15</t>
  </si>
  <si>
    <t>876:26</t>
  </si>
  <si>
    <t>22:28</t>
  </si>
  <si>
    <t>809:11</t>
  </si>
  <si>
    <t>424:58</t>
  </si>
  <si>
    <t>895:40</t>
  </si>
  <si>
    <t>21:51</t>
  </si>
  <si>
    <t>532:12</t>
  </si>
  <si>
    <t>782:05</t>
  </si>
  <si>
    <t>756:59</t>
  </si>
  <si>
    <t>594:40</t>
  </si>
  <si>
    <t>531:16</t>
  </si>
  <si>
    <t>567:42</t>
  </si>
  <si>
    <t>771:57</t>
  </si>
  <si>
    <t>439:58</t>
  </si>
  <si>
    <t>425:08</t>
  </si>
  <si>
    <t>555:08</t>
  </si>
  <si>
    <t>634:44</t>
  </si>
  <si>
    <t>216:46</t>
  </si>
  <si>
    <t>369:32</t>
  </si>
  <si>
    <t>13:12</t>
  </si>
  <si>
    <t>409:22</t>
  </si>
  <si>
    <t>12:02</t>
  </si>
  <si>
    <t>828:56</t>
  </si>
  <si>
    <t>20:13</t>
  </si>
  <si>
    <t>444:43</t>
  </si>
  <si>
    <t>585:47</t>
  </si>
  <si>
    <t>15:01</t>
  </si>
  <si>
    <t>549:54</t>
  </si>
  <si>
    <t>400:43</t>
  </si>
  <si>
    <t>423:31</t>
  </si>
  <si>
    <t>767:27</t>
  </si>
  <si>
    <t>20:12</t>
  </si>
  <si>
    <t>436:16</t>
  </si>
  <si>
    <t>419:14</t>
  </si>
  <si>
    <t>14:27</t>
  </si>
  <si>
    <t>727:21</t>
  </si>
  <si>
    <t>408:07</t>
  </si>
  <si>
    <t>17:00</t>
  </si>
  <si>
    <t>555:16</t>
  </si>
  <si>
    <t>509:02</t>
  </si>
  <si>
    <t>465:26</t>
  </si>
  <si>
    <t>511:33</t>
  </si>
  <si>
    <t>362:05</t>
  </si>
  <si>
    <t>622:34</t>
  </si>
  <si>
    <t>574:53</t>
  </si>
  <si>
    <t>382:50</t>
  </si>
  <si>
    <t>11:36</t>
  </si>
  <si>
    <t>534:51</t>
  </si>
  <si>
    <t>13:22</t>
  </si>
  <si>
    <t>582:41</t>
  </si>
  <si>
    <t>12:44</t>
  </si>
  <si>
    <t>928:57</t>
  </si>
  <si>
    <t>796:49</t>
  </si>
  <si>
    <t>468:54</t>
  </si>
  <si>
    <t>12:01</t>
  </si>
  <si>
    <t>369:26</t>
  </si>
  <si>
    <t>845:28</t>
  </si>
  <si>
    <t>839:25</t>
  </si>
  <si>
    <t>297:48</t>
  </si>
  <si>
    <t>12:25</t>
  </si>
  <si>
    <t>913:12</t>
  </si>
  <si>
    <t>22:50</t>
  </si>
  <si>
    <t>408:54</t>
  </si>
  <si>
    <t>14:06</t>
  </si>
  <si>
    <t>488:16</t>
  </si>
  <si>
    <t>486:42</t>
  </si>
  <si>
    <t>388:56</t>
  </si>
  <si>
    <t>402:38</t>
  </si>
  <si>
    <t>579:48</t>
  </si>
  <si>
    <t>569:51</t>
  </si>
  <si>
    <t>233:13</t>
  </si>
  <si>
    <t>358:42</t>
  </si>
  <si>
    <t>394:46</t>
  </si>
  <si>
    <t>474:56</t>
  </si>
  <si>
    <t>598:20</t>
  </si>
  <si>
    <t>428:10</t>
  </si>
  <si>
    <t>13:23</t>
  </si>
  <si>
    <t>266:24</t>
  </si>
  <si>
    <t>12:41</t>
  </si>
  <si>
    <t>86:39</t>
  </si>
  <si>
    <t>271:30</t>
  </si>
  <si>
    <t>314:05</t>
  </si>
  <si>
    <t>781:45</t>
  </si>
  <si>
    <t>19:33</t>
  </si>
  <si>
    <t>886:35</t>
  </si>
  <si>
    <t>504:36</t>
  </si>
  <si>
    <t>437:24</t>
  </si>
  <si>
    <t>424:24</t>
  </si>
  <si>
    <t>840:49</t>
  </si>
  <si>
    <t>396:42</t>
  </si>
  <si>
    <t>625:09</t>
  </si>
  <si>
    <t>19:32</t>
  </si>
  <si>
    <t>655:20</t>
  </si>
  <si>
    <t>18:12</t>
  </si>
  <si>
    <t>636:35</t>
  </si>
  <si>
    <t>765:14</t>
  </si>
  <si>
    <t>307:12</t>
  </si>
  <si>
    <t>637:52</t>
  </si>
  <si>
    <t>306:01</t>
  </si>
  <si>
    <t>365:19</t>
  </si>
  <si>
    <t>312:28</t>
  </si>
  <si>
    <t>14:53</t>
  </si>
  <si>
    <t>839:41</t>
  </si>
  <si>
    <t>20:29</t>
  </si>
  <si>
    <t>616:09</t>
  </si>
  <si>
    <t>539:23</t>
  </si>
  <si>
    <t>619:13</t>
  </si>
  <si>
    <t>173:14</t>
  </si>
  <si>
    <t>467:27</t>
  </si>
  <si>
    <t>12:18</t>
  </si>
  <si>
    <t>334:58</t>
  </si>
  <si>
    <t>252:55</t>
  </si>
  <si>
    <t>343:48</t>
  </si>
  <si>
    <t>774:32</t>
  </si>
  <si>
    <t>19:52</t>
  </si>
  <si>
    <t>382:18</t>
  </si>
  <si>
    <t>11:35</t>
  </si>
  <si>
    <t>110:43</t>
  </si>
  <si>
    <t>453:09</t>
  </si>
  <si>
    <t>339:55</t>
  </si>
  <si>
    <t>15:27</t>
  </si>
  <si>
    <t>417:07</t>
  </si>
  <si>
    <t>748:22</t>
  </si>
  <si>
    <t>400:03</t>
  </si>
  <si>
    <t>467:51</t>
  </si>
  <si>
    <t>297:02</t>
  </si>
  <si>
    <t>168:43</t>
  </si>
  <si>
    <t>674:15</t>
  </si>
  <si>
    <t>16:51</t>
  </si>
  <si>
    <t>774:51</t>
  </si>
  <si>
    <t>21:31</t>
  </si>
  <si>
    <t>394:31</t>
  </si>
  <si>
    <t>10:07</t>
  </si>
  <si>
    <t>829:02</t>
  </si>
  <si>
    <t>21:49</t>
  </si>
  <si>
    <t>420:44</t>
  </si>
  <si>
    <t>597:59</t>
  </si>
  <si>
    <t>17:35</t>
  </si>
  <si>
    <t>794:55</t>
  </si>
  <si>
    <t>20:23</t>
  </si>
  <si>
    <t>556:17</t>
  </si>
  <si>
    <t>388:24</t>
  </si>
  <si>
    <t>460:31</t>
  </si>
  <si>
    <t>522:08</t>
  </si>
  <si>
    <t>741:17</t>
  </si>
  <si>
    <t>362:58</t>
  </si>
  <si>
    <t>14:31</t>
  </si>
  <si>
    <t>536:43</t>
  </si>
  <si>
    <t>818:59</t>
  </si>
  <si>
    <t>838:42</t>
  </si>
  <si>
    <t>338:44</t>
  </si>
  <si>
    <t>821:32</t>
  </si>
  <si>
    <t>21:04</t>
  </si>
  <si>
    <t>361:41</t>
  </si>
  <si>
    <t>394:10</t>
  </si>
  <si>
    <t>828:42</t>
  </si>
  <si>
    <t>21:15</t>
  </si>
  <si>
    <t>412:54</t>
  </si>
  <si>
    <t>433:58</t>
  </si>
  <si>
    <t>449:48</t>
  </si>
  <si>
    <t>451:18</t>
  </si>
  <si>
    <t>674:45</t>
  </si>
  <si>
    <t>649:05</t>
  </si>
  <si>
    <t>19:40</t>
  </si>
  <si>
    <t>489:53</t>
  </si>
  <si>
    <t>297:37</t>
  </si>
  <si>
    <t>242:53</t>
  </si>
  <si>
    <t>15:11</t>
  </si>
  <si>
    <t>563:17</t>
  </si>
  <si>
    <t>257:22</t>
  </si>
  <si>
    <t>494:33</t>
  </si>
  <si>
    <t>299:44</t>
  </si>
  <si>
    <t>350:22</t>
  </si>
  <si>
    <t>535:16</t>
  </si>
  <si>
    <t>381:31</t>
  </si>
  <si>
    <t>479:59</t>
  </si>
  <si>
    <t>561:57</t>
  </si>
  <si>
    <t>14:25</t>
  </si>
  <si>
    <t>400:55</t>
  </si>
  <si>
    <t>601:06</t>
  </si>
  <si>
    <t>794:52</t>
  </si>
  <si>
    <t>532:08</t>
  </si>
  <si>
    <t>507:05</t>
  </si>
  <si>
    <t>425:21</t>
  </si>
  <si>
    <t>420:27</t>
  </si>
  <si>
    <t>110:35</t>
  </si>
  <si>
    <t>8:30</t>
  </si>
  <si>
    <t>44:18</t>
  </si>
  <si>
    <t>309:48</t>
  </si>
  <si>
    <t>11:06</t>
  </si>
  <si>
    <t>469:29</t>
  </si>
  <si>
    <t>631:41</t>
  </si>
  <si>
    <t>16:12</t>
  </si>
  <si>
    <t>436:39</t>
  </si>
  <si>
    <t>14:05</t>
  </si>
  <si>
    <t>121:37</t>
  </si>
  <si>
    <t>8:06</t>
  </si>
  <si>
    <t>553:19</t>
  </si>
  <si>
    <t>14:57</t>
  </si>
  <si>
    <t>311:55</t>
  </si>
  <si>
    <t>11:08</t>
  </si>
  <si>
    <t>324:48</t>
  </si>
  <si>
    <t>316:45</t>
  </si>
  <si>
    <t>544:53</t>
  </si>
  <si>
    <t>13:17</t>
  </si>
  <si>
    <t>261:34</t>
  </si>
  <si>
    <t>10:28</t>
  </si>
  <si>
    <t>409:46</t>
  </si>
  <si>
    <t>267:15</t>
  </si>
  <si>
    <t>344:14</t>
  </si>
  <si>
    <t>9:04</t>
  </si>
  <si>
    <t>293:32</t>
  </si>
  <si>
    <t>723:17</t>
  </si>
  <si>
    <t>441:06</t>
  </si>
  <si>
    <t>782:21</t>
  </si>
  <si>
    <t>383:20</t>
  </si>
  <si>
    <t>14:45</t>
  </si>
  <si>
    <t>372:32</t>
  </si>
  <si>
    <t>627:52</t>
  </si>
  <si>
    <t>365:57</t>
  </si>
  <si>
    <t>11:05</t>
  </si>
  <si>
    <t>480:17</t>
  </si>
  <si>
    <t>13:43</t>
  </si>
  <si>
    <t>429:19</t>
  </si>
  <si>
    <t>668:16</t>
  </si>
  <si>
    <t>248:56</t>
  </si>
  <si>
    <t>217:07</t>
  </si>
  <si>
    <t>9:55</t>
  </si>
  <si>
    <t>509:20</t>
  </si>
  <si>
    <t>185:41</t>
  </si>
  <si>
    <t>7:09</t>
  </si>
  <si>
    <t>313:41</t>
  </si>
  <si>
    <t>554:50</t>
  </si>
  <si>
    <t>65:10</t>
  </si>
  <si>
    <t>281:06</t>
  </si>
  <si>
    <t>658:27</t>
  </si>
  <si>
    <t>380:54</t>
  </si>
  <si>
    <t>574:00</t>
  </si>
  <si>
    <t>378:58</t>
  </si>
  <si>
    <t>316:44</t>
  </si>
  <si>
    <t>8:48</t>
  </si>
  <si>
    <t>696:35</t>
  </si>
  <si>
    <t>214:49</t>
  </si>
  <si>
    <t>10:44</t>
  </si>
  <si>
    <t>845:05</t>
  </si>
  <si>
    <t>126:37</t>
  </si>
  <si>
    <t>485:43</t>
  </si>
  <si>
    <t>489:45</t>
  </si>
  <si>
    <t>21:18</t>
  </si>
  <si>
    <t>290:23</t>
  </si>
  <si>
    <t>488:30</t>
  </si>
  <si>
    <t>701:47</t>
  </si>
  <si>
    <t>648:07</t>
  </si>
  <si>
    <t>18:31</t>
  </si>
  <si>
    <t>405:46</t>
  </si>
  <si>
    <t>468:40</t>
  </si>
  <si>
    <t>250:49</t>
  </si>
  <si>
    <t>175:17</t>
  </si>
  <si>
    <t>313:24</t>
  </si>
  <si>
    <t>13:04</t>
  </si>
  <si>
    <t>199:19</t>
  </si>
  <si>
    <t>331:01</t>
  </si>
  <si>
    <t>222:52</t>
  </si>
  <si>
    <t>421:34</t>
  </si>
  <si>
    <t>261:19</t>
  </si>
  <si>
    <t>89:43</t>
  </si>
  <si>
    <t>11:13</t>
  </si>
  <si>
    <t>333:13</t>
  </si>
  <si>
    <t>172:45</t>
  </si>
  <si>
    <t>10:10</t>
  </si>
  <si>
    <t>365:18</t>
  </si>
  <si>
    <t>744:43</t>
  </si>
  <si>
    <t>94:43</t>
  </si>
  <si>
    <t>194:37</t>
  </si>
  <si>
    <t>612:43</t>
  </si>
  <si>
    <t>312:58</t>
  </si>
  <si>
    <t>176:52</t>
  </si>
  <si>
    <t>265:34</t>
  </si>
  <si>
    <t>13:59</t>
  </si>
  <si>
    <t>1385:05</t>
  </si>
  <si>
    <t>57:43</t>
  </si>
  <si>
    <t>241:35</t>
  </si>
  <si>
    <t>104:23</t>
  </si>
  <si>
    <t>399:51</t>
  </si>
  <si>
    <t>446:41</t>
  </si>
  <si>
    <t>11:10</t>
  </si>
  <si>
    <t>10:17</t>
  </si>
  <si>
    <t>162:31</t>
  </si>
  <si>
    <t>240:55</t>
  </si>
  <si>
    <t>274:48</t>
  </si>
  <si>
    <t>226:03</t>
  </si>
  <si>
    <t>254:52</t>
  </si>
  <si>
    <t>8:47</t>
  </si>
  <si>
    <t>278:26</t>
  </si>
  <si>
    <t>183:53</t>
  </si>
  <si>
    <t>7:60</t>
  </si>
  <si>
    <t>183:08</t>
  </si>
  <si>
    <t>790:06</t>
  </si>
  <si>
    <t>249:03</t>
  </si>
  <si>
    <t>198:17</t>
  </si>
  <si>
    <t>274:08</t>
  </si>
  <si>
    <t>8:04</t>
  </si>
  <si>
    <t>362:00</t>
  </si>
  <si>
    <t>786:39</t>
  </si>
  <si>
    <t>428:03</t>
  </si>
  <si>
    <t>91:49</t>
  </si>
  <si>
    <t>242:23</t>
  </si>
  <si>
    <t>10:06</t>
  </si>
  <si>
    <t>179:57</t>
  </si>
  <si>
    <t>9:60</t>
  </si>
  <si>
    <t>704:30</t>
  </si>
  <si>
    <t>155:38</t>
  </si>
  <si>
    <t>338:09</t>
  </si>
  <si>
    <t>78:37</t>
  </si>
  <si>
    <t>142:49</t>
  </si>
  <si>
    <t>152:01</t>
  </si>
  <si>
    <t>60:34</t>
  </si>
  <si>
    <t>114:17</t>
  </si>
  <si>
    <t>12:42</t>
  </si>
  <si>
    <t>185:20</t>
  </si>
  <si>
    <t>9:16</t>
  </si>
  <si>
    <t>361:55</t>
  </si>
  <si>
    <t>1103:43</t>
  </si>
  <si>
    <t>55:11</t>
  </si>
  <si>
    <t>75:37</t>
  </si>
  <si>
    <t>291:06</t>
  </si>
  <si>
    <t>165:14</t>
  </si>
  <si>
    <t>40:02</t>
  </si>
  <si>
    <t>163:24</t>
  </si>
  <si>
    <t>20:26</t>
  </si>
  <si>
    <t>1032:37</t>
  </si>
  <si>
    <t>142:58</t>
  </si>
  <si>
    <t>166:10</t>
  </si>
  <si>
    <t>116:01</t>
  </si>
  <si>
    <t>306:00</t>
  </si>
  <si>
    <t>428:06</t>
  </si>
  <si>
    <t>368:07</t>
  </si>
  <si>
    <t>14:10</t>
  </si>
  <si>
    <t>1298:46</t>
  </si>
  <si>
    <t>54:07</t>
  </si>
  <si>
    <t>1588:24</t>
  </si>
  <si>
    <t>58:50</t>
  </si>
  <si>
    <t>979:58</t>
  </si>
  <si>
    <t>61:15</t>
  </si>
  <si>
    <t>238:50</t>
  </si>
  <si>
    <t>972:01</t>
  </si>
  <si>
    <t>57:11</t>
  </si>
  <si>
    <t>132:52</t>
  </si>
  <si>
    <t>1332:20</t>
  </si>
  <si>
    <t>57:56</t>
  </si>
  <si>
    <t>238:00</t>
  </si>
  <si>
    <t>144:18</t>
  </si>
  <si>
    <t>54:20</t>
  </si>
  <si>
    <t>1665:12</t>
  </si>
  <si>
    <t>59:28</t>
  </si>
  <si>
    <t>1108:55</t>
  </si>
  <si>
    <t>58:22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</si>
  <si>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</si>
  <si>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</si>
  <si>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</si>
  <si>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</si>
  <si>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</si>
  <si>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</si>
  <si>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</si>
  <si>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</si>
  <si>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1563:14</t>
  </si>
  <si>
    <t>60:07</t>
  </si>
  <si>
    <t>148:02</t>
  </si>
  <si>
    <t>8:42</t>
  </si>
  <si>
    <t>1202:23</t>
  </si>
  <si>
    <t>1704:45</t>
  </si>
  <si>
    <t>215:36</t>
  </si>
  <si>
    <t>9:48</t>
  </si>
  <si>
    <t>698:23</t>
  </si>
  <si>
    <t>1417:04</t>
  </si>
  <si>
    <t>59:03</t>
  </si>
  <si>
    <t>1746:10</t>
  </si>
  <si>
    <t>1238:42</t>
  </si>
  <si>
    <t>58:59</t>
  </si>
  <si>
    <t>957:54</t>
  </si>
  <si>
    <t>602:05</t>
  </si>
  <si>
    <t>50:10</t>
  </si>
  <si>
    <t>1448:34</t>
  </si>
  <si>
    <t>55:43</t>
  </si>
  <si>
    <t>870:09</t>
  </si>
  <si>
    <t>54:23</t>
  </si>
  <si>
    <t>122:06</t>
  </si>
  <si>
    <t>876:09</t>
  </si>
  <si>
    <t>54:46</t>
  </si>
  <si>
    <t>911:17</t>
  </si>
  <si>
    <t>60:45</t>
  </si>
  <si>
    <t>1196:31</t>
  </si>
  <si>
    <t>56:59</t>
  </si>
  <si>
    <t>1429:21</t>
  </si>
  <si>
    <t>57:10</t>
  </si>
  <si>
    <t>137:56</t>
  </si>
  <si>
    <t>931:34</t>
  </si>
  <si>
    <t>62:06</t>
  </si>
  <si>
    <t>888:51</t>
  </si>
  <si>
    <t>1559:44</t>
  </si>
  <si>
    <t>59:59</t>
  </si>
  <si>
    <t>698:33</t>
  </si>
  <si>
    <t>53:44</t>
  </si>
  <si>
    <t>1506:11</t>
  </si>
  <si>
    <t>60:15</t>
  </si>
  <si>
    <t>527:31</t>
  </si>
  <si>
    <t>58:37</t>
  </si>
  <si>
    <t>71:58</t>
  </si>
  <si>
    <t>5:60</t>
  </si>
  <si>
    <t>1313:36</t>
  </si>
  <si>
    <t>745:23</t>
  </si>
  <si>
    <t>49:42</t>
  </si>
  <si>
    <t>1170:51</t>
  </si>
  <si>
    <t>Marcus Hgberg</t>
  </si>
  <si>
    <t>71:39</t>
  </si>
  <si>
    <t>973:56</t>
  </si>
  <si>
    <t>57:17</t>
  </si>
  <si>
    <t>243:47</t>
  </si>
  <si>
    <t>1403:29</t>
  </si>
  <si>
    <t>58:29</t>
  </si>
  <si>
    <t>756:34</t>
  </si>
  <si>
    <t>56:04</t>
  </si>
  <si>
    <t>675:59</t>
  </si>
  <si>
    <t>56:20</t>
  </si>
  <si>
    <t>99:21</t>
  </si>
  <si>
    <t>175:37</t>
  </si>
  <si>
    <t>868:08</t>
  </si>
  <si>
    <t>54:16</t>
  </si>
  <si>
    <t>475:53</t>
  </si>
  <si>
    <t>52:53</t>
  </si>
  <si>
    <t>746:59</t>
  </si>
  <si>
    <t>53:21</t>
  </si>
  <si>
    <t>596:42</t>
  </si>
  <si>
    <t>59:40</t>
  </si>
  <si>
    <t>24:19</t>
  </si>
  <si>
    <t>1023:24</t>
  </si>
  <si>
    <t>60:12</t>
  </si>
  <si>
    <t>1801:01</t>
  </si>
  <si>
    <t>58:06</t>
  </si>
  <si>
    <t>1152:52</t>
  </si>
  <si>
    <t>57:39</t>
  </si>
  <si>
    <t>1933:00</t>
  </si>
  <si>
    <t>60:24</t>
  </si>
  <si>
    <t>1548:50</t>
  </si>
  <si>
    <t>232:11</t>
  </si>
  <si>
    <t>35:09</t>
  </si>
  <si>
    <t>96:55</t>
  </si>
  <si>
    <t>7:27</t>
  </si>
  <si>
    <t>1650:06</t>
  </si>
  <si>
    <t>58:56</t>
  </si>
  <si>
    <t>750:36</t>
  </si>
  <si>
    <t>57:44</t>
  </si>
  <si>
    <t>1373:45</t>
  </si>
  <si>
    <t>979:09</t>
  </si>
  <si>
    <t>61:12</t>
  </si>
  <si>
    <t>1700:43</t>
  </si>
  <si>
    <t>54:52</t>
  </si>
  <si>
    <t>766:52</t>
  </si>
  <si>
    <t>54:47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</si>
</sst>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19" tableType="queryTable" totalsRowShown="0">
  <autoFilter ref="A1:T219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5" tableType="queryTable" totalsRowShown="0">
  <autoFilter ref="A1:AE95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03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7.4217653904830524E-2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3768.609088385394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-6.6593655044643821E-4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0.66691054557534701</v>
      </c>
      <c r="J7">
        <f>(Table3[[#This Row],[HomeMargin]]-Table3[[#This Row],[HomeForecast]])^2</f>
        <v>0.11094858464891298</v>
      </c>
    </row>
    <row r="8" spans="1:10" x14ac:dyDescent="0.2">
      <c r="A8" s="4" t="s">
        <v>21</v>
      </c>
      <c r="B8">
        <v>3.9572996236628868E-2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-1.7691068930095266</v>
      </c>
      <c r="J8">
        <f>(Table3[[#This Row],[HomeMargin]]-Table3[[#This Row],[HomeForecast]])^2</f>
        <v>1.5150978408366609</v>
      </c>
    </row>
    <row r="9" spans="1:10" x14ac:dyDescent="0.2">
      <c r="A9" s="4" t="s">
        <v>23</v>
      </c>
      <c r="B9">
        <v>0.18511137883580026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2.8630652195806752E-2</v>
      </c>
      <c r="J9">
        <f>(Table3[[#This Row],[HomeMargin]]-Table3[[#This Row],[HomeForecast]])^2</f>
        <v>9.1726036274199991</v>
      </c>
    </row>
    <row r="10" spans="1:10" x14ac:dyDescent="0.2">
      <c r="A10" s="4" t="s">
        <v>16</v>
      </c>
      <c r="B10">
        <v>-0.21926170023436534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0.36452896857031913</v>
      </c>
      <c r="J10">
        <f>(Table3[[#This Row],[HomeMargin]]-Table3[[#This Row],[HomeForecast]])^2</f>
        <v>1.8619393060675786</v>
      </c>
    </row>
    <row r="11" spans="1:10" x14ac:dyDescent="0.2">
      <c r="A11" s="4" t="s">
        <v>25</v>
      </c>
      <c r="B11">
        <v>0.45392063308446812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-3.5548153571461377E-2</v>
      </c>
      <c r="J11">
        <f>(Table3[[#This Row],[HomeMargin]]-Table3[[#This Row],[HomeForecast]])^2</f>
        <v>9.214552592651108</v>
      </c>
    </row>
    <row r="12" spans="1:10" x14ac:dyDescent="0.2">
      <c r="A12" s="4" t="s">
        <v>10</v>
      </c>
      <c r="B12">
        <v>-0.39984103039900787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0.20393673341017313</v>
      </c>
      <c r="J12">
        <f>(Table3[[#This Row],[HomeMargin]]-Table3[[#This Row],[HomeForecast]])^2</f>
        <v>1.4494636580543583</v>
      </c>
    </row>
    <row r="13" spans="1:10" x14ac:dyDescent="0.2">
      <c r="A13" s="4" t="s">
        <v>12</v>
      </c>
      <c r="B13">
        <v>1.8591692540144091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0.49075170198813362</v>
      </c>
      <c r="J13">
        <f>(Table3[[#This Row],[HomeMargin]]-Table3[[#This Row],[HomeForecast]])^2</f>
        <v>6.2038440409567848</v>
      </c>
    </row>
    <row r="14" spans="1:10" x14ac:dyDescent="0.2">
      <c r="A14" s="4" t="s">
        <v>28</v>
      </c>
      <c r="B14">
        <v>-0.19727709229606127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0.51363168054046726</v>
      </c>
      <c r="J14">
        <f>(Table3[[#This Row],[HomeMargin]]-Table3[[#This Row],[HomeForecast]])^2</f>
        <v>0.23655414217389009</v>
      </c>
    </row>
    <row r="15" spans="1:10" x14ac:dyDescent="0.2">
      <c r="A15" s="4" t="s">
        <v>39</v>
      </c>
      <c r="B15">
        <v>0.76796514781800074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0.26557966682432599</v>
      </c>
      <c r="J15">
        <f>(Table3[[#This Row],[HomeMargin]]-Table3[[#This Row],[HomeForecast]])^2</f>
        <v>18.195169894025131</v>
      </c>
    </row>
    <row r="16" spans="1:10" x14ac:dyDescent="0.2">
      <c r="A16" s="4" t="s">
        <v>26</v>
      </c>
      <c r="B16">
        <v>-8.5361594338821137E-2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0.59009087505001212</v>
      </c>
      <c r="J16">
        <f>(Table3[[#This Row],[HomeMargin]]-Table3[[#This Row],[HomeForecast]])^2</f>
        <v>5.8076619905172171</v>
      </c>
    </row>
    <row r="17" spans="1:10" x14ac:dyDescent="0.2">
      <c r="A17" s="4" t="s">
        <v>17</v>
      </c>
      <c r="B17">
        <v>7.1049614431123245E-2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1.6191032180976104</v>
      </c>
      <c r="J17">
        <f>(Table3[[#This Row],[HomeMargin]]-Table3[[#This Row],[HomeForecast]])^2</f>
        <v>0.38328879465881732</v>
      </c>
    </row>
    <row r="18" spans="1:10" x14ac:dyDescent="0.2">
      <c r="A18" s="4" t="s">
        <v>11</v>
      </c>
      <c r="B18">
        <v>0.19285186127150866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-0.1201728851455534</v>
      </c>
      <c r="J18">
        <f>(Table3[[#This Row],[HomeMargin]]-Table3[[#This Row],[HomeForecast]])^2</f>
        <v>15.053058441159779</v>
      </c>
    </row>
    <row r="19" spans="1:10" x14ac:dyDescent="0.2">
      <c r="A19" s="4" t="s">
        <v>13</v>
      </c>
      <c r="B19">
        <v>1.584470710005189E-2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8.922770409161862E-2</v>
      </c>
      <c r="J19">
        <f>(Table3[[#This Row],[HomeMargin]]-Table3[[#This Row],[HomeForecast]])^2</f>
        <v>0.82950617499422419</v>
      </c>
    </row>
    <row r="20" spans="1:10" x14ac:dyDescent="0.2">
      <c r="A20" s="4" t="s">
        <v>34</v>
      </c>
      <c r="B20">
        <v>0.59379638322319717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-4.8797425406442385E-2</v>
      </c>
      <c r="J20">
        <f>(Table3[[#This Row],[HomeMargin]]-Table3[[#This Row],[HomeForecast]])^2</f>
        <v>1.0999760395391822</v>
      </c>
    </row>
    <row r="21" spans="1:10" x14ac:dyDescent="0.2">
      <c r="A21" s="4" t="s">
        <v>18</v>
      </c>
      <c r="B21">
        <v>0.10902894471156278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-5.3352684297942238E-2</v>
      </c>
      <c r="J21">
        <f>(Table3[[#This Row],[HomeMargin]]-Table3[[#This Row],[HomeForecast]])^2</f>
        <v>1.1095518775176803</v>
      </c>
    </row>
    <row r="22" spans="1:10" x14ac:dyDescent="0.2">
      <c r="A22" s="4" t="s">
        <v>29</v>
      </c>
      <c r="B22">
        <v>-0.3202921716073342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-0.21062752065327262</v>
      </c>
      <c r="J22">
        <f>(Table3[[#This Row],[HomeMargin]]-Table3[[#This Row],[HomeForecast]])^2</f>
        <v>4.8868740350696349</v>
      </c>
    </row>
    <row r="23" spans="1:10" x14ac:dyDescent="0.2">
      <c r="A23" s="4" t="s">
        <v>24</v>
      </c>
      <c r="B23">
        <v>-6.1952588060713437E-2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-0.25065163075115537</v>
      </c>
      <c r="J23">
        <f>(Table3[[#This Row],[HomeMargin]]-Table3[[#This Row],[HomeForecast]])^2</f>
        <v>0.56152297849590282</v>
      </c>
    </row>
    <row r="24" spans="1:10" x14ac:dyDescent="0.2">
      <c r="A24" s="4" t="s">
        <v>30</v>
      </c>
      <c r="B24">
        <v>0.16690670582810133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-1.480236719177483</v>
      </c>
      <c r="J24">
        <f>(Table3[[#This Row],[HomeMargin]]-Table3[[#This Row],[HomeForecast]])^2</f>
        <v>12.388733553026489</v>
      </c>
    </row>
    <row r="25" spans="1:10" x14ac:dyDescent="0.2">
      <c r="A25" s="4" t="s">
        <v>15</v>
      </c>
      <c r="B25">
        <v>-6.2506340836952119E-3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0.77622281048813369</v>
      </c>
      <c r="J25">
        <f>(Table3[[#This Row],[HomeMargin]]-Table3[[#This Row],[HomeForecast]])^2</f>
        <v>3.1549674724983645</v>
      </c>
    </row>
    <row r="26" spans="1:10" x14ac:dyDescent="0.2">
      <c r="A26" s="4" t="s">
        <v>36</v>
      </c>
      <c r="B26">
        <v>9.4361646617848058E-2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-0.18930374374549455</v>
      </c>
      <c r="J26">
        <f>(Table3[[#This Row],[HomeMargin]]-Table3[[#This Row],[HomeForecast]])^2</f>
        <v>17.550265857360014</v>
      </c>
    </row>
    <row r="27" spans="1:10" x14ac:dyDescent="0.2">
      <c r="A27" s="4" t="s">
        <v>27</v>
      </c>
      <c r="B27">
        <v>0.17784181108472058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-0.80034436889441929</v>
      </c>
      <c r="J27">
        <f>(Table3[[#This Row],[HomeMargin]]-Table3[[#This Row],[HomeForecast]])^2</f>
        <v>3.9862371032167727E-2</v>
      </c>
    </row>
    <row r="28" spans="1:10" x14ac:dyDescent="0.2">
      <c r="A28" s="4" t="s">
        <v>14</v>
      </c>
      <c r="B28">
        <v>3.9336367625328564E-2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-7.1320728694340862E-2</v>
      </c>
      <c r="J28">
        <f>(Table3[[#This Row],[HomeMargin]]-Table3[[#This Row],[HomeForecast]])^2</f>
        <v>4.2903695611188555</v>
      </c>
    </row>
    <row r="29" spans="1:10" x14ac:dyDescent="0.2">
      <c r="A29" s="4" t="s">
        <v>33</v>
      </c>
      <c r="B29">
        <v>-0.17930549805059143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0.35029647590457808</v>
      </c>
      <c r="J29">
        <f>(Table3[[#This Row],[HomeMargin]]-Table3[[#This Row],[HomeForecast]])^2</f>
        <v>0.42211466922201041</v>
      </c>
    </row>
    <row r="30" spans="1:10" x14ac:dyDescent="0.2">
      <c r="A30" s="4" t="s">
        <v>32</v>
      </c>
      <c r="B30">
        <v>-0.2855111111085496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0.81561394352958161</v>
      </c>
      <c r="J30">
        <f>(Table3[[#This Row],[HomeMargin]]-Table3[[#This Row],[HomeForecast]])^2</f>
        <v>7.9276818789982011</v>
      </c>
    </row>
    <row r="31" spans="1:10" x14ac:dyDescent="0.2">
      <c r="A31" s="4" t="s">
        <v>35</v>
      </c>
      <c r="B31">
        <v>-0.96065798985911643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-0.4346523212057401</v>
      </c>
      <c r="J31">
        <f>(Table3[[#This Row],[HomeMargin]]-Table3[[#This Row],[HomeForecast]])^2</f>
        <v>0.31961799791805773</v>
      </c>
    </row>
    <row r="32" spans="1:10" x14ac:dyDescent="0.2">
      <c r="A32" s="4" t="s">
        <v>37</v>
      </c>
      <c r="B32">
        <v>0.79636680320115127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1.1654217601012389</v>
      </c>
      <c r="J32">
        <f>(Table3[[#This Row],[HomeMargin]]-Table3[[#This Row],[HomeForecast]])^2</f>
        <v>4.6890513991199487</v>
      </c>
    </row>
    <row r="33" spans="1:10" x14ac:dyDescent="0.2">
      <c r="A33" s="4" t="s">
        <v>19</v>
      </c>
      <c r="B33">
        <v>-7.3686276472912369E-4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-1.0407077669261489E-2</v>
      </c>
      <c r="J33">
        <f>(Table3[[#This Row],[HomeMargin]]-Table3[[#This Row],[HomeForecast]])^2</f>
        <v>9.062550773281183</v>
      </c>
    </row>
    <row r="34" spans="1:10" x14ac:dyDescent="0.2">
      <c r="A34" t="s">
        <v>55</v>
      </c>
      <c r="B34">
        <v>0.3142836898216293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0.62805036622064425</v>
      </c>
      <c r="J34">
        <f>(Table3[[#This Row],[HomeMargin]]-Table3[[#This Row],[HomeForecast]])^2</f>
        <v>1.8822457976273084</v>
      </c>
    </row>
    <row r="35" spans="1:10" x14ac:dyDescent="0.2">
      <c r="A35" s="4" t="s">
        <v>38</v>
      </c>
      <c r="B35">
        <v>-0.48278309788469043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0.17270786855849113</v>
      </c>
      <c r="J35">
        <f>(Table3[[#This Row],[HomeMargin]]-Table3[[#This Row],[HomeForecast]])^2</f>
        <v>14.648165059394087</v>
      </c>
    </row>
    <row r="36" spans="1:10" x14ac:dyDescent="0.2">
      <c r="A36" s="4" t="s">
        <v>20</v>
      </c>
      <c r="B36">
        <v>0.14556378660539449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0.86529112942408892</v>
      </c>
      <c r="J36">
        <f>(Table3[[#This Row],[HomeMargin]]-Table3[[#This Row],[HomeForecast]])^2</f>
        <v>14.940475515204549</v>
      </c>
    </row>
    <row r="37" spans="1:10" x14ac:dyDescent="0.2">
      <c r="A37" s="4" t="s">
        <v>22</v>
      </c>
      <c r="B37">
        <v>0.45610704431993199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-0.5603582075241329</v>
      </c>
      <c r="J37">
        <f>(Table3[[#This Row],[HomeMargin]]-Table3[[#This Row],[HomeForecast]])^2</f>
        <v>0.19328490569139339</v>
      </c>
    </row>
    <row r="38" spans="1:10" x14ac:dyDescent="0.2">
      <c r="A38" s="4" t="s">
        <v>40</v>
      </c>
      <c r="B38">
        <v>-0.10659687498124908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-0.21498268458700015</v>
      </c>
      <c r="J38">
        <f>(Table3[[#This Row],[HomeMargin]]-Table3[[#This Row],[HomeForecast]])^2</f>
        <v>3.1862868163242326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0.1198046556138543</v>
      </c>
      <c r="J39">
        <f>(Table3[[#This Row],[HomeMargin]]-Table3[[#This Row],[HomeForecast]])^2</f>
        <v>26.212399711645297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-0.35685724380911354</v>
      </c>
      <c r="J40">
        <f>(Table3[[#This Row],[HomeMargin]]-Table3[[#This Row],[HomeForecast]])^2</f>
        <v>1.8410615800772643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-0.10442190759531446</v>
      </c>
      <c r="J41">
        <f>(Table3[[#This Row],[HomeMargin]]-Table3[[#This Row],[HomeForecast]])^2</f>
        <v>0.8020601195952155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0.93253704516669522</v>
      </c>
      <c r="J42">
        <f>(Table3[[#This Row],[HomeMargin]]-Table3[[#This Row],[HomeForecast]])^2</f>
        <v>8.5997735212750115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-4.8223928176470442E-2</v>
      </c>
      <c r="J43">
        <f>(Table3[[#This Row],[HomeMargin]]-Table3[[#This Row],[HomeForecast]])^2</f>
        <v>1.0987734036017103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-0.3881400244987967</v>
      </c>
      <c r="J44">
        <f>(Table3[[#This Row],[HomeMargin]]-Table3[[#This Row],[HomeForecast]])^2</f>
        <v>0.37437262962033313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-0.68257615305969188</v>
      </c>
      <c r="J45">
        <f>(Table3[[#This Row],[HomeMargin]]-Table3[[#This Row],[HomeForecast]])^2</f>
        <v>0.10075789860638415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-1.5998402212737783</v>
      </c>
      <c r="J46">
        <f>(Table3[[#This Row],[HomeMargin]]-Table3[[#This Row],[HomeForecast]])^2</f>
        <v>0.16012784851021869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-6.1106850330517312E-2</v>
      </c>
      <c r="J47">
        <f>(Table3[[#This Row],[HomeMargin]]-Table3[[#This Row],[HomeForecast]])^2</f>
        <v>0.88152034649628164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-0.63990706631580663</v>
      </c>
      <c r="J48">
        <f>(Table3[[#This Row],[HomeMargin]]-Table3[[#This Row],[HomeForecast]])^2</f>
        <v>6.9691093187841284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0.65216933002797572</v>
      </c>
      <c r="J49">
        <f>(Table3[[#This Row],[HomeMargin]]-Table3[[#This Row],[HomeForecast]])^2</f>
        <v>0.12098617497318727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0.34772123471418093</v>
      </c>
      <c r="J50">
        <f>(Table3[[#This Row],[HomeMargin]]-Table3[[#This Row],[HomeForecast]])^2</f>
        <v>11.20723746535624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0.48887147213001281</v>
      </c>
      <c r="J51">
        <f>(Table3[[#This Row],[HomeMargin]]-Table3[[#This Row],[HomeForecast]])^2</f>
        <v>12.172224149042643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5.9207603718042456E-2</v>
      </c>
      <c r="J52">
        <f>(Table3[[#This Row],[HomeMargin]]-Table3[[#This Row],[HomeForecast]])^2</f>
        <v>8.6482599180297779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0.15884238547892254</v>
      </c>
      <c r="J53">
        <f>(Table3[[#This Row],[HomeMargin]]-Table3[[#This Row],[HomeForecast]])^2</f>
        <v>1.3429156743824795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0.55209254587925649</v>
      </c>
      <c r="J54">
        <f>(Table3[[#This Row],[HomeMargin]]-Table3[[#This Row],[HomeForecast]])^2</f>
        <v>12.617361454490977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3.4215349729055516E-2</v>
      </c>
      <c r="J55">
        <f>(Table3[[#This Row],[HomeMargin]]-Table3[[#This Row],[HomeForecast]])^2</f>
        <v>0.93273999069897062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-0.29060783293492931</v>
      </c>
      <c r="J56">
        <f>(Table3[[#This Row],[HomeMargin]]-Table3[[#This Row],[HomeForecast]])^2</f>
        <v>2.9220215808234187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0.24838641849963405</v>
      </c>
      <c r="J57">
        <f>(Table3[[#This Row],[HomeMargin]]-Table3[[#This Row],[HomeForecast]])^2</f>
        <v>7.5713773018972708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0.46875770972494291</v>
      </c>
      <c r="J58">
        <f>(Table3[[#This Row],[HomeMargin]]-Table3[[#This Row],[HomeForecast]])^2</f>
        <v>0.282218370976688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-3.0825946099879292E-3</v>
      </c>
      <c r="J59">
        <f>(Table3[[#This Row],[HomeMargin]]-Table3[[#This Row],[HomeForecast]])^2</f>
        <v>3.9876791239495777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-0.55900847723022906</v>
      </c>
      <c r="J60">
        <f>(Table3[[#This Row],[HomeMargin]]-Table3[[#This Row],[HomeForecast]])^2</f>
        <v>11.840422659773427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0.39377296274743562</v>
      </c>
      <c r="J61">
        <f>(Table3[[#This Row],[HomeMargin]]-Table3[[#This Row],[HomeForecast]])^2</f>
        <v>6.7924193697062787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-0.2660421049763888</v>
      </c>
      <c r="J62">
        <f>(Table3[[#This Row],[HomeMargin]]-Table3[[#This Row],[HomeForecast]])^2</f>
        <v>1.6028626115730455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0.16496738612278272</v>
      </c>
      <c r="J63">
        <f>(Table3[[#This Row],[HomeMargin]]-Table3[[#This Row],[HomeForecast]])^2</f>
        <v>14.707475149501922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-0.20399580170549927</v>
      </c>
      <c r="J64">
        <f>(Table3[[#This Row],[HomeMargin]]-Table3[[#This Row],[HomeForecast]])^2</f>
        <v>10.265589097346465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-0.48659930555527808</v>
      </c>
      <c r="J65">
        <f>(Table3[[#This Row],[HomeMargin]]-Table3[[#This Row],[HomeForecast]])^2</f>
        <v>20.3707858286141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0.60776304396082514</v>
      </c>
      <c r="J66">
        <f>(Table3[[#This Row],[HomeMargin]]-Table3[[#This Row],[HomeForecast]])^2</f>
        <v>1.9383237417612276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-0.38036891573008402</v>
      </c>
      <c r="J67">
        <f>(Table3[[#This Row],[HomeMargin]]-Table3[[#This Row],[HomeForecast]])^2</f>
        <v>6.8624670176731755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-1.9822286924056398</v>
      </c>
      <c r="J68">
        <f>(Table3[[#This Row],[HomeMargin]]-Table3[[#This Row],[HomeForecast]])^2</f>
        <v>1.0358584345623338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1.3249658996075215</v>
      </c>
      <c r="J69">
        <f>(Table3[[#This Row],[HomeMargin]]-Table3[[#This Row],[HomeForecast]])^2</f>
        <v>11.055398233552856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5.0725993379553844E-2</v>
      </c>
      <c r="J70">
        <f>(Table3[[#This Row],[HomeMargin]]-Table3[[#This Row],[HomeForecast]])^2</f>
        <v>4.2054770999225575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0.50353877022372751</v>
      </c>
      <c r="J71">
        <f>(Table3[[#This Row],[HomeMargin]]-Table3[[#This Row],[HomeForecast]])^2</f>
        <v>0.24647375267096883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-0.18058679542739159</v>
      </c>
      <c r="J72">
        <f>(Table3[[#This Row],[HomeMargin]]-Table3[[#This Row],[HomeForecast]])^2</f>
        <v>4.7549587723923006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0.17007474530180861</v>
      </c>
      <c r="J73">
        <f>(Table3[[#This Row],[HomeMargin]]-Table3[[#This Row],[HomeForecast]])^2</f>
        <v>3.348626437782241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0.45409041163122821</v>
      </c>
      <c r="J74">
        <f>(Table3[[#This Row],[HomeMargin]]-Table3[[#This Row],[HomeForecast]])^2</f>
        <v>0.29801727867296185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0.35865633997080021</v>
      </c>
      <c r="J75">
        <f>(Table3[[#This Row],[HomeMargin]]-Table3[[#This Row],[HomeForecast]])^2</f>
        <v>11.280572410026052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7.9731425223796615E-2</v>
      </c>
      <c r="J76">
        <f>(Table3[[#This Row],[HomeMargin]]-Table3[[#This Row],[HomeForecast]])^2</f>
        <v>0.84689424972062466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0.18020844427359617</v>
      </c>
      <c r="J77">
        <f>(Table3[[#This Row],[HomeMargin]]-Table3[[#This Row],[HomeForecast]])^2</f>
        <v>0.67205819484031748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0.1571597213905131</v>
      </c>
      <c r="J78">
        <f>(Table3[[#This Row],[HomeMargin]]-Table3[[#This Row],[HomeForecast]])^2</f>
        <v>1.3390186208085699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-0.80751074363514186</v>
      </c>
      <c r="J79">
        <f>(Table3[[#This Row],[HomeMargin]]-Table3[[#This Row],[HomeForecast]])^2</f>
        <v>3.2670950883564633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0.56780684177705121</v>
      </c>
      <c r="J80">
        <f>(Table3[[#This Row],[HomeMargin]]-Table3[[#This Row],[HomeForecast]])^2</f>
        <v>5.9155635589065216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-6.3471684998434696E-2</v>
      </c>
      <c r="J81">
        <f>(Table3[[#This Row],[HomeMargin]]-Table3[[#This Row],[HomeForecast]])^2</f>
        <v>16.51180213478402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6.6477171469122132E-2</v>
      </c>
      <c r="J82">
        <f>(Table3[[#This Row],[HomeMargin]]-Table3[[#This Row],[HomeForecast]])^2</f>
        <v>8.6055561855118015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-0.91942624159238207</v>
      </c>
      <c r="J83">
        <f>(Table3[[#This Row],[HomeMargin]]-Table3[[#This Row],[HomeForecast]])^2</f>
        <v>3.6841970969134579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1.8938139116826107</v>
      </c>
      <c r="J84">
        <f>(Table3[[#This Row],[HomeMargin]]-Table3[[#This Row],[HomeForecast]])^2</f>
        <v>1.223647661986927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-0.36385827207958571</v>
      </c>
      <c r="J85">
        <f>(Table3[[#This Row],[HomeMargin]]-Table3[[#This Row],[HomeForecast]])^2</f>
        <v>0.40467629800157034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0.18949723270008853</v>
      </c>
      <c r="J86">
        <f>(Table3[[#This Row],[HomeMargin]]-Table3[[#This Row],[HomeForecast]])^2</f>
        <v>1.4149036666011687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-5.8784548587006158E-2</v>
      </c>
      <c r="J87">
        <f>(Table3[[#This Row],[HomeMargin]]-Table3[[#This Row],[HomeForecast]])^2</f>
        <v>4.238593817500603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1.6725946945772563E-3</v>
      </c>
      <c r="J88">
        <f>(Table3[[#This Row],[HomeMargin]]-Table3[[#This Row],[HomeForecast]])^2</f>
        <v>1.0033479869621669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-0.34173691823364605</v>
      </c>
      <c r="J89">
        <f>(Table3[[#This Row],[HomeMargin]]-Table3[[#This Row],[HomeForecast]])^2</f>
        <v>1.8002579577511217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-0.14442421177108947</v>
      </c>
      <c r="J90">
        <f>(Table3[[#This Row],[HomeMargin]]-Table3[[#This Row],[HomeForecast]])^2</f>
        <v>8.1543130823191632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-1.6544054837722868</v>
      </c>
      <c r="J91">
        <f>(Table3[[#This Row],[HomeMargin]]-Table3[[#This Row],[HomeForecast]])^2</f>
        <v>13.354679439824961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0.35899190224865102</v>
      </c>
      <c r="J92">
        <f>(Table3[[#This Row],[HomeMargin]]-Table3[[#This Row],[HomeForecast]])^2</f>
        <v>1.8468589903774069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0.43904314074459039</v>
      </c>
      <c r="J93">
        <f>(Table3[[#This Row],[HomeMargin]]-Table3[[#This Row],[HomeForecast]])^2</f>
        <v>20.802327471988974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0.28791295053091565</v>
      </c>
      <c r="J94">
        <f>(Table3[[#This Row],[HomeMargin]]-Table3[[#This Row],[HomeForecast]])^2</f>
        <v>7.3554161638979236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-0.32495743994373089</v>
      </c>
      <c r="J95">
        <f>(Table3[[#This Row],[HomeMargin]]-Table3[[#This Row],[HomeForecast]])^2</f>
        <v>1.7555122176622453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-8.2193554865113858E-2</v>
      </c>
      <c r="J96">
        <f>(Table3[[#This Row],[HomeMargin]]-Table3[[#This Row],[HomeForecast]])^2</f>
        <v>4.3355299999218211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0.34892834748983098</v>
      </c>
      <c r="J97">
        <f>(Table3[[#This Row],[HomeMargin]]-Table3[[#This Row],[HomeForecast]])^2</f>
        <v>0.4238942967023222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1.0131077961094528</v>
      </c>
      <c r="J98">
        <f>(Table3[[#This Row],[HomeMargin]]-Table3[[#This Row],[HomeForecast]])^2</f>
        <v>4.0526029987566581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-3.844717134828575E-2</v>
      </c>
      <c r="J99">
        <f>(Table3[[#This Row],[HomeMargin]]-Table3[[#This Row],[HomeForecast]])^2</f>
        <v>0.92458384228811286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-1.8647802194069474E-3</v>
      </c>
      <c r="J100">
        <f>(Table3[[#This Row],[HomeMargin]]-Table3[[#This Row],[HomeForecast]])^2</f>
        <v>4.0074625982828938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-0.52582936340206188</v>
      </c>
      <c r="J101">
        <f>(Table3[[#This Row],[HomeMargin]]-Table3[[#This Row],[HomeForecast]])^2</f>
        <v>2.1731790658075703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0.53757057609810066</v>
      </c>
      <c r="J102">
        <f>(Table3[[#This Row],[HomeMargin]]-Table3[[#This Row],[HomeForecast]])^2</f>
        <v>6.0635586676978406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-0.23413919257424309</v>
      </c>
      <c r="J103">
        <f>(Table3[[#This Row],[HomeMargin]]-Table3[[#This Row],[HomeForecast]])^2</f>
        <v>10.459656316944777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-7.9061211130049269E-2</v>
      </c>
      <c r="J104">
        <f>(Table3[[#This Row],[HomeMargin]]-Table3[[#This Row],[HomeForecast]])^2</f>
        <v>0.84812825284525173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1.0394598940188926</v>
      </c>
      <c r="J105">
        <f>(Table3[[#This Row],[HomeMargin]]-Table3[[#This Row],[HomeForecast]])^2</f>
        <v>25.396156023424908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-0.24540858115205721</v>
      </c>
      <c r="J106">
        <f>(Table3[[#This Row],[HomeMargin]]-Table3[[#This Row],[HomeForecast]])^2</f>
        <v>7.587773884790721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0.42042985778352326</v>
      </c>
      <c r="J107">
        <f>(Table3[[#This Row],[HomeMargin]]-Table3[[#This Row],[HomeForecast]])^2</f>
        <v>0.33590154974882708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9.7529686091555337E-2</v>
      </c>
      <c r="J108">
        <f>(Table3[[#This Row],[HomeMargin]]-Table3[[#This Row],[HomeForecast]])^2</f>
        <v>1.2045714118522279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0.59633711941484946</v>
      </c>
      <c r="J109">
        <f>(Table3[[#This Row],[HomeMargin]]-Table3[[#This Row],[HomeForecast]])^2</f>
        <v>11.584921004673204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-0.90228504305433788</v>
      </c>
      <c r="J110">
        <f>(Table3[[#This Row],[HomeMargin]]-Table3[[#This Row],[HomeForecast]])^2</f>
        <v>9.5482128108926017E-3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0.13543337920081483</v>
      </c>
      <c r="J111">
        <f>(Table3[[#This Row],[HomeMargin]]-Table3[[#This Row],[HomeForecast]])^2</f>
        <v>9.8309424754066388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-1.4706679102879492</v>
      </c>
      <c r="J112">
        <f>(Table3[[#This Row],[HomeMargin]]-Table3[[#This Row],[HomeForecast]])^2</f>
        <v>6.1041999229266217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0.81583580933331201</v>
      </c>
      <c r="J113">
        <f>(Table3[[#This Row],[HomeMargin]]-Table3[[#This Row],[HomeForecast]])^2</f>
        <v>4.7705732117906674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0.34469062707945192</v>
      </c>
      <c r="J114">
        <f>(Table3[[#This Row],[HomeMargin]]-Table3[[#This Row],[HomeForecast]])^2</f>
        <v>2.7400491200786181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-0.2540729910410976</v>
      </c>
      <c r="J115">
        <f>(Table3[[#This Row],[HomeMargin]]-Table3[[#This Row],[HomeForecast]])^2</f>
        <v>0.55640710269437443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-0.58153131737908004</v>
      </c>
      <c r="J116">
        <f>(Table3[[#This Row],[HomeMargin]]-Table3[[#This Row],[HomeForecast]])^2</f>
        <v>12.827366577367128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0.11445658669190584</v>
      </c>
      <c r="J117">
        <f>(Table3[[#This Row],[HomeMargin]]-Table3[[#This Row],[HomeForecast]])^2</f>
        <v>4.4709266570047852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1.4794662748347716</v>
      </c>
      <c r="J118">
        <f>(Table3[[#This Row],[HomeMargin]]-Table3[[#This Row],[HomeForecast]])^2</f>
        <v>6.1477530080430176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0.8263380946227793</v>
      </c>
      <c r="J119">
        <f>(Table3[[#This Row],[HomeMargin]]-Table3[[#This Row],[HomeForecast]])^2</f>
        <v>3.3355108358703633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3.6238323624390986E-2</v>
      </c>
      <c r="J120">
        <f>(Table3[[#This Row],[HomeMargin]]-Table3[[#This Row],[HomeForecast]])^2</f>
        <v>0.92883656885032417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0.22773314755101065</v>
      </c>
      <c r="J121">
        <f>(Table3[[#This Row],[HomeMargin]]-Table3[[#This Row],[HomeForecast]])^2</f>
        <v>4.9627949766975332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0.23670858018218677</v>
      </c>
      <c r="J122">
        <f>(Table3[[#This Row],[HomeMargin]]-Table3[[#This Row],[HomeForecast]])^2</f>
        <v>0.58261379156749316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0.32648595407175296</v>
      </c>
      <c r="J123">
        <f>(Table3[[#This Row],[HomeMargin]]-Table3[[#This Row],[HomeForecast]])^2</f>
        <v>21.841733537488611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0.24727251787172674</v>
      </c>
      <c r="J124">
        <f>(Table3[[#This Row],[HomeMargin]]-Table3[[#This Row],[HomeForecast]])^2</f>
        <v>1.5556887338380769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-9.2625105620419979E-3</v>
      </c>
      <c r="J125">
        <f>(Table3[[#This Row],[HomeMargin]]-Table3[[#This Row],[HomeForecast]])^2</f>
        <v>1.0186108152259961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-1.2007240257759153</v>
      </c>
      <c r="J126">
        <f>(Table3[[#This Row],[HomeMargin]]-Table3[[#This Row],[HomeForecast]])^2</f>
        <v>3.2373940314200289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1.2704254875049896</v>
      </c>
      <c r="J127">
        <f>(Table3[[#This Row],[HomeMargin]]-Table3[[#This Row],[HomeForecast]])^2</f>
        <v>5.1548318943122702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0.25313189003213105</v>
      </c>
      <c r="J128">
        <f>(Table3[[#This Row],[HomeMargin]]-Table3[[#This Row],[HomeForecast]])^2</f>
        <v>10.582867093944024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0.26006589550535991</v>
      </c>
      <c r="J129">
        <f>(Table3[[#This Row],[HomeMargin]]-Table3[[#This Row],[HomeForecast]])^2</f>
        <v>3.0273706879835651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-0.57916648271116278</v>
      </c>
      <c r="J130">
        <f>(Table3[[#This Row],[HomeMargin]]-Table3[[#This Row],[HomeForecast]])^2</f>
        <v>11.702101953006716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0.1915705638947085</v>
      </c>
      <c r="J131">
        <f>(Table3[[#This Row],[HomeMargin]]-Table3[[#This Row],[HomeForecast]])^2</f>
        <v>3.2704170253721028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0.18688247915794678</v>
      </c>
      <c r="J132">
        <f>(Table3[[#This Row],[HomeMargin]]-Table3[[#This Row],[HomeForecast]])^2</f>
        <v>3.2873951443844329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-1.7453786038729497</v>
      </c>
      <c r="J133">
        <f>(Table3[[#This Row],[HomeMargin]]-Table3[[#This Row],[HomeForecast]])^2</f>
        <v>7.5371036786033851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0.3882621686383631</v>
      </c>
      <c r="J134">
        <f>(Table3[[#This Row],[HomeMargin]]-Table3[[#This Row],[HomeForecast]])^2</f>
        <v>0.37422317431903845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0.94951404942512585</v>
      </c>
      <c r="J135">
        <f>(Table3[[#This Row],[HomeMargin]]-Table3[[#This Row],[HomeForecast]])^2</f>
        <v>1.1035207323551968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0.12150572857094472</v>
      </c>
      <c r="J136">
        <f>(Table3[[#This Row],[HomeMargin]]-Table3[[#This Row],[HomeForecast]])^2</f>
        <v>8.2857292706498864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0.35373034730639835</v>
      </c>
      <c r="J137">
        <f>(Table3[[#This Row],[HomeMargin]]-Table3[[#This Row],[HomeForecast]])^2</f>
        <v>18.954967937056693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-0.26191922480255553</v>
      </c>
      <c r="J138">
        <f>(Table3[[#This Row],[HomeMargin]]-Table3[[#This Row],[HomeForecast]])^2</f>
        <v>1.5924401299262825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8.5152759161449793E-2</v>
      </c>
      <c r="J139">
        <f>(Table3[[#This Row],[HomeMargin]]-Table3[[#This Row],[HomeForecast]])^2</f>
        <v>0.83694547406990827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0.31083111382622036</v>
      </c>
      <c r="J140">
        <f>(Table3[[#This Row],[HomeMargin]]-Table3[[#This Row],[HomeForecast]])^2</f>
        <v>1.7182782089748894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-0.28234307163484229</v>
      </c>
      <c r="J141">
        <f>(Table3[[#This Row],[HomeMargin]]-Table3[[#This Row],[HomeForecast]])^2</f>
        <v>1.6444037533698823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0.8712503936564282</v>
      </c>
      <c r="J142">
        <f>(Table3[[#This Row],[HomeMargin]]-Table3[[#This Row],[HomeForecast]])^2</f>
        <v>1.6576461133624702E-2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-0.11163058769569885</v>
      </c>
      <c r="J143">
        <f>(Table3[[#This Row],[HomeMargin]]-Table3[[#This Row],[HomeForecast]])^2</f>
        <v>1.235722563500685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-0.51759438869142271</v>
      </c>
      <c r="J144">
        <f>(Table3[[#This Row],[HomeMargin]]-Table3[[#This Row],[HomeForecast]])^2</f>
        <v>0.23271517382200216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0.4359630516069144</v>
      </c>
      <c r="J145">
        <f>(Table3[[#This Row],[HomeMargin]]-Table3[[#This Row],[HomeForecast]])^2</f>
        <v>41.421620401649385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-0.1387934122458396</v>
      </c>
      <c r="J146">
        <f>(Table3[[#This Row],[HomeMargin]]-Table3[[#This Row],[HomeForecast]])^2</f>
        <v>17.129610909249564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-0.3414680835942292</v>
      </c>
      <c r="J147">
        <f>(Table3[[#This Row],[HomeMargin]]-Table3[[#This Row],[HomeForecast]])^2</f>
        <v>2.7507281177365988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0.84731953517861913</v>
      </c>
      <c r="J148">
        <f>(Table3[[#This Row],[HomeMargin]]-Table3[[#This Row],[HomeForecast]])^2</f>
        <v>3.4125894650525495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-1.8469041881702921</v>
      </c>
      <c r="J149">
        <f>(Table3[[#This Row],[HomeMargin]]-Table3[[#This Row],[HomeForecast]])^2</f>
        <v>8.1048634566215494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-1.0140396655205044</v>
      </c>
      <c r="J150">
        <f>(Table3[[#This Row],[HomeMargin]]-Table3[[#This Row],[HomeForecast]])^2</f>
        <v>1.9711220792763997E-4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0.72502067050058727</v>
      </c>
      <c r="J151">
        <f>(Table3[[#This Row],[HomeMargin]]-Table3[[#This Row],[HomeForecast]])^2</f>
        <v>7.5613631651946595E-2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-0.47961505841098312</v>
      </c>
      <c r="J152">
        <f>(Table3[[#This Row],[HomeMargin]]-Table3[[#This Row],[HomeForecast]])^2</f>
        <v>2.1892607210765367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-0.34666291089804785</v>
      </c>
      <c r="J153">
        <f>(Table3[[#This Row],[HomeMargin]]-Table3[[#This Row],[HomeForecast]])^2</f>
        <v>0.4268493519962121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0.1290063042860497</v>
      </c>
      <c r="J154">
        <f>(Table3[[#This Row],[HomeMargin]]-Table3[[#This Row],[HomeForecast]])^2</f>
        <v>23.726579583685044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1.0742120113892755</v>
      </c>
      <c r="J155">
        <f>(Table3[[#This Row],[HomeMargin]]-Table3[[#This Row],[HomeForecast]])^2</f>
        <v>3.7086593770773399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-5.3116055686641933E-2</v>
      </c>
      <c r="J156">
        <f>(Table3[[#This Row],[HomeMargin]]-Table3[[#This Row],[HomeForecast]])^2</f>
        <v>9.3215176494915593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0.45660612503669207</v>
      </c>
      <c r="J157">
        <f>(Table3[[#This Row],[HomeMargin]]-Table3[[#This Row],[HomeForecast]])^2</f>
        <v>2.1217014034944071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0.38257450038390417</v>
      </c>
      <c r="J158">
        <f>(Table3[[#This Row],[HomeMargin]]-Table3[[#This Row],[HomeForecast]])^2</f>
        <v>11.441810250647418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-0.4199850231120254</v>
      </c>
      <c r="J159">
        <f>(Table3[[#This Row],[HomeMargin]]-Table3[[#This Row],[HomeForecast]])^2</f>
        <v>19.536267604534615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1.9953394959799531</v>
      </c>
      <c r="J160">
        <f>(Table3[[#This Row],[HomeMargin]]-Table3[[#This Row],[HomeForecast]])^2</f>
        <v>4.018663736377909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0.38607575740289923</v>
      </c>
      <c r="J161">
        <f>(Table3[[#This Row],[HomeMargin]]-Table3[[#This Row],[HomeForecast]])^2</f>
        <v>0.37690297564842384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-0.16901642148567553</v>
      </c>
      <c r="J162">
        <f>(Table3[[#This Row],[HomeMargin]]-Table3[[#This Row],[HomeForecast]])^2</f>
        <v>10.042665079645879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0.26773545172678564</v>
      </c>
      <c r="J163">
        <f>(Table3[[#This Row],[HomeMargin]]-Table3[[#This Row],[HomeForecast]])^2</f>
        <v>1.6071531755649171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0.77461091210927668</v>
      </c>
      <c r="J164">
        <f>(Table3[[#This Row],[HomeMargin]]-Table3[[#This Row],[HomeForecast]])^2</f>
        <v>3.1492438893773187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-1.0424413209036549</v>
      </c>
      <c r="J165">
        <f>(Table3[[#This Row],[HomeMargin]]-Table3[[#This Row],[HomeForecast]])^2</f>
        <v>3.8320359821054271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0.21272309736422257</v>
      </c>
      <c r="J166">
        <f>(Table3[[#This Row],[HomeMargin]]-Table3[[#This Row],[HomeForecast]])^2</f>
        <v>0.61980492142378341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-0.32032240191528183</v>
      </c>
      <c r="J167">
        <f>(Table3[[#This Row],[HomeMargin]]-Table3[[#This Row],[HomeForecast]])^2</f>
        <v>0.46196163733821172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-0.12093255124581279</v>
      </c>
      <c r="J168">
        <f>(Table3[[#This Row],[HomeMargin]]-Table3[[#This Row],[HomeForecast]])^2</f>
        <v>0.77275957945919549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-0.80107874161546477</v>
      </c>
      <c r="J169">
        <f>(Table3[[#This Row],[HomeMargin]]-Table3[[#This Row],[HomeForecast]])^2</f>
        <v>4.8352547005754287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0.29274249137446673</v>
      </c>
      <c r="J170">
        <f>(Table3[[#This Row],[HomeMargin]]-Table3[[#This Row],[HomeForecast]])^2</f>
        <v>0.50021318350719624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-0.40231480989616469</v>
      </c>
      <c r="J171">
        <f>(Table3[[#This Row],[HomeMargin]]-Table3[[#This Row],[HomeForecast]])^2</f>
        <v>2.5525979666771286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-0.12232257562650163</v>
      </c>
      <c r="J172">
        <f>(Table3[[#This Row],[HomeMargin]]-Table3[[#This Row],[HomeForecast]])^2</f>
        <v>9.7488982662669112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-7.1320728694340862E-2</v>
      </c>
      <c r="J173">
        <f>(Table3[[#This Row],[HomeMargin]]-Table3[[#This Row],[HomeForecast]])^2</f>
        <v>1.1477281037301736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0.36123158116119736</v>
      </c>
      <c r="J174">
        <f>(Table3[[#This Row],[HomeMargin]]-Table3[[#This Row],[HomeForecast]])^2</f>
        <v>13.240635605938639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0.15151790241964899</v>
      </c>
      <c r="J175">
        <f>(Table3[[#This Row],[HomeMargin]]-Table3[[#This Row],[HomeForecast]])^2</f>
        <v>1.325993479592948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0.17542395534370353</v>
      </c>
      <c r="J176">
        <f>(Table3[[#This Row],[HomeMargin]]-Table3[[#This Row],[HomeForecast]])^2</f>
        <v>1.3816214747958369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0.6286776695026991</v>
      </c>
      <c r="J177">
        <f>(Table3[[#This Row],[HomeMargin]]-Table3[[#This Row],[HomeForecast]])^2</f>
        <v>13.16730162914754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0.38784100075704392</v>
      </c>
      <c r="J178">
        <f>(Table3[[#This Row],[HomeMargin]]-Table3[[#This Row],[HomeForecast]])^2</f>
        <v>0.37473864035413756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0.57235163659688526</v>
      </c>
      <c r="J179">
        <f>(Table3[[#This Row],[HomeMargin]]-Table3[[#This Row],[HomeForecast]])^2</f>
        <v>5.8934765763338213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-4.3135256085047466E-2</v>
      </c>
      <c r="J180">
        <f>(Table3[[#This Row],[HomeMargin]]-Table3[[#This Row],[HomeForecast]])^2</f>
        <v>9.2606721868278061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-0.40365723806959553</v>
      </c>
      <c r="J181">
        <f>(Table3[[#This Row],[HomeMargin]]-Table3[[#This Row],[HomeForecast]])^2</f>
        <v>0.35562468970678307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0.10261930928798102</v>
      </c>
      <c r="J182">
        <f>(Table3[[#This Row],[HomeMargin]]-Table3[[#This Row],[HomeForecast]])^2</f>
        <v>0.80529210406278029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0.36746180932258932</v>
      </c>
      <c r="J183">
        <f>(Table3[[#This Row],[HomeMargin]]-Table3[[#This Row],[HomeForecast]])^2</f>
        <v>6.9302573253750941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0.15891331169320522</v>
      </c>
      <c r="J184">
        <f>(Table3[[#This Row],[HomeMargin]]-Table3[[#This Row],[HomeForecast]])^2</f>
        <v>8.0717735704740718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-1.6393878135041842</v>
      </c>
      <c r="J185">
        <f>(Table3[[#This Row],[HomeMargin]]-Table3[[#This Row],[HomeForecast]])^2</f>
        <v>0.13004114904929306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0.36341799239666117</v>
      </c>
      <c r="J186">
        <f>(Table3[[#This Row],[HomeMargin]]-Table3[[#This Row],[HomeForecast]])^2</f>
        <v>5.5857446067842629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-0.34012998294300872</v>
      </c>
      <c r="J187">
        <f>(Table3[[#This Row],[HomeMargin]]-Table3[[#This Row],[HomeForecast]])^2</f>
        <v>1.7959483711828288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-0.19677801157930119</v>
      </c>
      <c r="J188">
        <f>(Table3[[#This Row],[HomeMargin]]-Table3[[#This Row],[HomeForecast]])^2</f>
        <v>1.432277608999706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0.83759855146788564</v>
      </c>
      <c r="J189">
        <f>(Table3[[#This Row],[HomeMargin]]-Table3[[#This Row],[HomeForecast]])^2</f>
        <v>2.6374230485328987E-2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0.54510829873496158</v>
      </c>
      <c r="J190">
        <f>(Table3[[#This Row],[HomeMargin]]-Table3[[#This Row],[HomeForecast]])^2</f>
        <v>0.20692645987980096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-0.50089563264166159</v>
      </c>
      <c r="J191">
        <f>(Table3[[#This Row],[HomeMargin]]-Table3[[#This Row],[HomeForecast]])^2</f>
        <v>2.2526877000828134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0.15201494906559584</v>
      </c>
      <c r="J192">
        <f>(Table3[[#This Row],[HomeMargin]]-Table3[[#This Row],[HomeForecast]])^2</f>
        <v>9.9351982391329905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1.1507971350127182</v>
      </c>
      <c r="J193">
        <f>(Table3[[#This Row],[HomeMargin]]-Table3[[#This Row],[HomeForecast]])^2</f>
        <v>3.4195512358771714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8.888495199854525E-2</v>
      </c>
      <c r="J194">
        <f>(Table3[[#This Row],[HomeMargin]]-Table3[[#This Row],[HomeForecast]])^2</f>
        <v>0.83013063069469317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-2.6812817468138322E-2</v>
      </c>
      <c r="J195">
        <f>(Table3[[#This Row],[HomeMargin]]-Table3[[#This Row],[HomeForecast]])^2</f>
        <v>4.1079701970531319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0.25279632775428024</v>
      </c>
      <c r="J196">
        <f>(Table3[[#This Row],[HomeMargin]]-Table3[[#This Row],[HomeForecast]])^2</f>
        <v>10.58068394985173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-0.20504282312002384</v>
      </c>
      <c r="J197">
        <f>(Table3[[#This Row],[HomeMargin]]-Table3[[#This Row],[HomeForecast]])^2</f>
        <v>0.63195691307298163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-1.9642570981601701</v>
      </c>
      <c r="J198">
        <f>(Table3[[#This Row],[HomeMargin]]-Table3[[#This Row],[HomeForecast]])^2</f>
        <v>8.7868201439929532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-7.1715588701747116E-2</v>
      </c>
      <c r="J199">
        <f>(Table3[[#This Row],[HomeMargin]]-Table3[[#This Row],[HomeForecast]])^2</f>
        <v>9.4354366578733213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0.1355043054150975</v>
      </c>
      <c r="J200">
        <f>(Table3[[#This Row],[HomeMargin]]-Table3[[#This Row],[HomeForecast]])^2</f>
        <v>8.2053355842954421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0.43840145202899311</v>
      </c>
      <c r="J201">
        <f>(Table3[[#This Row],[HomeMargin]]-Table3[[#This Row],[HomeForecast]])^2</f>
        <v>0.31539292908314326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0.47132116522391643</v>
      </c>
      <c r="J202">
        <f>(Table3[[#This Row],[HomeMargin]]-Table3[[#This Row],[HomeForecast]])^2</f>
        <v>2.164785971235863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-1.9726249806939766E-2</v>
      </c>
      <c r="J203">
        <f>(Table3[[#This Row],[HomeMargin]]-Table3[[#This Row],[HomeForecast]])^2</f>
        <v>0.96093662531756641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-0.40786545947469144</v>
      </c>
      <c r="J204">
        <f>(Table3[[#This Row],[HomeMargin]]-Table3[[#This Row],[HomeForecast]])^2</f>
        <v>2.5348923951337357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0.23670858018218677</v>
      </c>
      <c r="J205">
        <f>(Table3[[#This Row],[HomeMargin]]-Table3[[#This Row],[HomeForecast]])^2</f>
        <v>1.5294481122962404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0.18854757319528881</v>
      </c>
      <c r="J206">
        <f>(Table3[[#This Row],[HomeMargin]]-Table3[[#This Row],[HomeForecast]])^2</f>
        <v>3.2813598945766778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-0.95748995038540918</v>
      </c>
      <c r="J207">
        <f>(Table3[[#This Row],[HomeMargin]]-Table3[[#This Row],[HomeForecast]])^2</f>
        <v>3.831766905859872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3.4144423514772843E-2</v>
      </c>
      <c r="J208">
        <f>(Table3[[#This Row],[HomeMargin]]-Table3[[#This Row],[HomeForecast]])^2</f>
        <v>0.93287699462761042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-0.11930014391712458</v>
      </c>
      <c r="J209">
        <f>(Table3[[#This Row],[HomeMargin]]-Table3[[#This Row],[HomeForecast]])^2</f>
        <v>16.96863367567564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-5.4954657080998504E-2</v>
      </c>
      <c r="J210">
        <f>(Table3[[#This Row],[HomeMargin]]-Table3[[#This Row],[HomeForecast]])^2</f>
        <v>0.89311070017289329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1.1370201047180883</v>
      </c>
      <c r="J211">
        <f>(Table3[[#This Row],[HomeMargin]]-Table3[[#This Row],[HomeForecast]])^2</f>
        <v>1.8774509096955896E-2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0.77113318729170799</v>
      </c>
      <c r="J212">
        <f>(Table3[[#This Row],[HomeMargin]]-Table3[[#This Row],[HomeForecast]])^2</f>
        <v>5.2380017959252415E-2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0.1966592359861315</v>
      </c>
      <c r="J213">
        <f>(Table3[[#This Row],[HomeMargin]]-Table3[[#This Row],[HomeForecast]])^2</f>
        <v>7.8587194391818604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0.98830620873536179</v>
      </c>
      <c r="J214">
        <f>(Table3[[#This Row],[HomeMargin]]-Table3[[#This Row],[HomeForecast]])^2</f>
        <v>1.3674475414092888E-4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5.4047875316727279E-3</v>
      </c>
      <c r="J215">
        <f>(Table3[[#This Row],[HomeMargin]]-Table3[[#This Row],[HomeForecast]])^2</f>
        <v>1.010838786791608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0.20155136349630298</v>
      </c>
      <c r="J216">
        <f>(Table3[[#This Row],[HomeMargin]]-Table3[[#This Row],[HomeForecast]])^2</f>
        <v>1.4437256791198252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-0.38595361326333277</v>
      </c>
      <c r="J217">
        <f>(Table3[[#This Row],[HomeMargin]]-Table3[[#This Row],[HomeForecast]])^2</f>
        <v>6.8332385120110253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0.30514303484904615</v>
      </c>
      <c r="J218">
        <f>(Table3[[#This Row],[HomeMargin]]-Table3[[#This Row],[HomeForecast]])^2</f>
        <v>0.48282620201879389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5.2233045966526448E-2</v>
      </c>
      <c r="J219">
        <f>(Table3[[#This Row],[HomeMargin]]-Table3[[#This Row],[HomeForecast]])^2</f>
        <v>15.58486392335873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-3.1987959153127632E-2</v>
      </c>
      <c r="J220">
        <f>(Table3[[#This Row],[HomeMargin]]-Table3[[#This Row],[HomeForecast]])^2</f>
        <v>24.681143637999508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-0.24080289868152788</v>
      </c>
      <c r="J221">
        <f>(Table3[[#This Row],[HomeMargin]]-Table3[[#This Row],[HomeForecast]])^2</f>
        <v>5.0211976307395378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-8.7244135808520196E-3</v>
      </c>
      <c r="J222">
        <f>(Table3[[#This Row],[HomeMargin]]-Table3[[#This Row],[HomeForecast]])^2</f>
        <v>8.9477296339072172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1.490982688083879</v>
      </c>
      <c r="J223">
        <f>(Table3[[#This Row],[HomeMargin]]-Table3[[#This Row],[HomeForecast]])^2</f>
        <v>12.31320249532704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1.9429003523611335E-2</v>
      </c>
      <c r="J224">
        <f>(Table3[[#This Row],[HomeMargin]]-Table3[[#This Row],[HomeForecast]])^2</f>
        <v>0.96151947913069791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1.2199870225997471</v>
      </c>
      <c r="J225">
        <f>(Table3[[#This Row],[HomeMargin]]-Table3[[#This Row],[HomeForecast]])^2</f>
        <v>17.808290470910283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-6.5658096233898511E-2</v>
      </c>
      <c r="J226">
        <f>(Table3[[#This Row],[HomeMargin]]-Table3[[#This Row],[HomeForecast]])^2</f>
        <v>1.1356271780688572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0.84284873827327766</v>
      </c>
      <c r="J227">
        <f>(Table3[[#This Row],[HomeMargin]]-Table3[[#This Row],[HomeForecast]])^2</f>
        <v>8.0817889487019663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-0.10278950026662625</v>
      </c>
      <c r="J228">
        <f>(Table3[[#This Row],[HomeMargin]]-Table3[[#This Row],[HomeForecast]])^2</f>
        <v>8.3938286797653046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-9.6763878867445696E-2</v>
      </c>
      <c r="J229">
        <f>(Table3[[#This Row],[HomeMargin]]-Table3[[#This Row],[HomeForecast]])^2</f>
        <v>1.2028910059883651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-0.42391632878722424</v>
      </c>
      <c r="J230">
        <f>(Table3[[#This Row],[HomeMargin]]-Table3[[#This Row],[HomeForecast]])^2</f>
        <v>2.4840397386635407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-0.3425530227897729</v>
      </c>
      <c r="J231">
        <f>(Table3[[#This Row],[HomeMargin]]-Table3[[#This Row],[HomeForecast]])^2</f>
        <v>5.4875546645815021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-0.57658536269092631</v>
      </c>
      <c r="J232">
        <f>(Table3[[#This Row],[HomeMargin]]-Table3[[#This Row],[HomeForecast]])^2</f>
        <v>5.8729385043238693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0.25479698406947304</v>
      </c>
      <c r="J233">
        <f>(Table3[[#This Row],[HomeMargin]]-Table3[[#This Row],[HomeForecast]])^2</f>
        <v>18.103297375646683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-4.8933063502954004E-3</v>
      </c>
      <c r="J234">
        <f>(Table3[[#This Row],[HomeMargin]]-Table3[[#This Row],[HomeForecast]])^2</f>
        <v>8.9706641063452661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-0.35267202349026533</v>
      </c>
      <c r="J235">
        <f>(Table3[[#This Row],[HomeMargin]]-Table3[[#This Row],[HomeForecast]])^2</f>
        <v>7.0083454152111262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1.5090308354881732E-3</v>
      </c>
      <c r="J236">
        <f>(Table3[[#This Row],[HomeMargin]]-Table3[[#This Row],[HomeForecast]])^2</f>
        <v>0.99698421550308614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0.3430269081534984</v>
      </c>
      <c r="J237">
        <f>(Table3[[#This Row],[HomeMargin]]-Table3[[#This Row],[HomeForecast]])^2</f>
        <v>7.0595060107963592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-1.7139019856784554</v>
      </c>
      <c r="J238">
        <f>(Table3[[#This Row],[HomeMargin]]-Table3[[#This Row],[HomeForecast]])^2</f>
        <v>39.51502824565727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-0.13103709120523599</v>
      </c>
      <c r="J239">
        <f>(Table3[[#This Row],[HomeMargin]]-Table3[[#This Row],[HomeForecast]])^2</f>
        <v>17.06546744891342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-2.7071301781211476E-2</v>
      </c>
      <c r="J240">
        <f>(Table3[[#This Row],[HomeMargin]]-Table3[[#This Row],[HomeForecast]])^2</f>
        <v>1.0548754589425522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-1.0140396655205044</v>
      </c>
      <c r="J241">
        <f>(Table3[[#This Row],[HomeMargin]]-Table3[[#This Row],[HomeForecast]])^2</f>
        <v>1.9711220792763997E-4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-9.893968600696601E-2</v>
      </c>
      <c r="J242">
        <f>(Table3[[#This Row],[HomeMargin]]-Table3[[#This Row],[HomeForecast]])^2</f>
        <v>24.020392201397492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0.15769781837170305</v>
      </c>
      <c r="J243">
        <f>(Table3[[#This Row],[HomeMargin]]-Table3[[#This Row],[HomeForecast]])^2</f>
        <v>1.3402642386626007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-0.29793970541726955</v>
      </c>
      <c r="J244">
        <f>(Table3[[#This Row],[HomeMargin]]-Table3[[#This Row],[HomeForecast]])^2</f>
        <v>5.2805268897332072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-0.6009292248457363</v>
      </c>
      <c r="J245">
        <f>(Table3[[#This Row],[HomeMargin]]-Table3[[#This Row],[HomeForecast]])^2</f>
        <v>0.15925748358222488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0.41447741278604977</v>
      </c>
      <c r="J246">
        <f>(Table3[[#This Row],[HomeMargin]]-Table3[[#This Row],[HomeForecast]])^2</f>
        <v>0.34283670013771794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3.3907794903472538E-2</v>
      </c>
      <c r="J247">
        <f>(Table3[[#This Row],[HomeMargin]]-Table3[[#This Row],[HomeForecast]])^2</f>
        <v>4.136780918169106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-0.21128835168379861</v>
      </c>
      <c r="J248">
        <f>(Table3[[#This Row],[HomeMargin]]-Table3[[#This Row],[HomeForecast]])^2</f>
        <v>1.4672194709248538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0.22044737706067147</v>
      </c>
      <c r="J249">
        <f>(Table3[[#This Row],[HomeMargin]]-Table3[[#This Row],[HomeForecast]])^2</f>
        <v>1.4894918001742727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0.18014859233563316</v>
      </c>
      <c r="J250">
        <f>(Table3[[#This Row],[HomeMargin]]-Table3[[#This Row],[HomeForecast]])^2</f>
        <v>7.9515619613067123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1.1276939128313808</v>
      </c>
      <c r="J251">
        <f>(Table3[[#This Row],[HomeMargin]]-Table3[[#This Row],[HomeForecast]])^2</f>
        <v>1.6305735374188269E-2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0.38869708996501728</v>
      </c>
      <c r="J252">
        <f>(Table3[[#This Row],[HomeMargin]]-Table3[[#This Row],[HomeForecast]])^2</f>
        <v>19.260662147467411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0.88727573736239296</v>
      </c>
      <c r="J253">
        <f>(Table3[[#This Row],[HomeMargin]]-Table3[[#This Row],[HomeForecast]])^2</f>
        <v>1.2381552846624062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-0.14570438929895072</v>
      </c>
      <c r="J254">
        <f>(Table3[[#This Row],[HomeMargin]]-Table3[[#This Row],[HomeForecast]])^2</f>
        <v>4.6040473262567829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9.7709314430107191E-2</v>
      </c>
      <c r="J255">
        <f>(Table3[[#This Row],[HomeMargin]]-Table3[[#This Row],[HomeForecast]])^2</f>
        <v>1.2049657389866157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-0.3804398419443667</v>
      </c>
      <c r="J256">
        <f>(Table3[[#This Row],[HomeMargin]]-Table3[[#This Row],[HomeForecast]])^2</f>
        <v>0.38385478944992141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-2.267734697994269</v>
      </c>
      <c r="J257">
        <f>(Table3[[#This Row],[HomeMargin]]-Table3[[#This Row],[HomeForecast]])^2</f>
        <v>1.6071512644986203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0.34254436063201504</v>
      </c>
      <c r="J258">
        <f>(Table3[[#This Row],[HomeMargin]]-Table3[[#This Row],[HomeForecast]])^2</f>
        <v>0.4322479177367658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-0.15464163998398422</v>
      </c>
      <c r="J259">
        <f>(Table3[[#This Row],[HomeMargin]]-Table3[[#This Row],[HomeForecast]])^2</f>
        <v>0.7146307568489676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0.38825919142846954</v>
      </c>
      <c r="J260">
        <f>(Table3[[#This Row],[HomeMargin]]-Table3[[#This Row],[HomeForecast]])^2</f>
        <v>6.8211900511578714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2.6929579238716361E-2</v>
      </c>
      <c r="J261">
        <f>(Table3[[#This Row],[HomeMargin]]-Table3[[#This Row],[HomeForecast]])^2</f>
        <v>1.0545843607154068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0.11452751290618851</v>
      </c>
      <c r="J262">
        <f>(Table3[[#This Row],[HomeMargin]]-Table3[[#This Row],[HomeForecast]])^2</f>
        <v>3.5550064995877233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7.2031242669366669E-2</v>
      </c>
      <c r="J263">
        <f>(Table3[[#This Row],[HomeMargin]]-Table3[[#This Row],[HomeForecast]])^2</f>
        <v>9.4373759559366945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1.9340528444696861</v>
      </c>
      <c r="J264">
        <f>(Table3[[#This Row],[HomeMargin]]-Table3[[#This Row],[HomeForecast]])^2</f>
        <v>1.1362433383831674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0.84731953517861913</v>
      </c>
      <c r="J265">
        <f>(Table3[[#This Row],[HomeMargin]]-Table3[[#This Row],[HomeForecast]])^2</f>
        <v>3.4125894650525495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0.16740189151634141</v>
      </c>
      <c r="J266">
        <f>(Table3[[#This Row],[HomeMargin]]-Table3[[#This Row],[HomeForecast]])^2</f>
        <v>17.367238525413981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-0.59938584729532218</v>
      </c>
      <c r="J267">
        <f>(Table3[[#This Row],[HomeMargin]]-Table3[[#This Row],[HomeForecast]])^2</f>
        <v>0.16049169934728691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-1.4016364907657786E-2</v>
      </c>
      <c r="J268">
        <f>(Table3[[#This Row],[HomeMargin]]-Table3[[#This Row],[HomeForecast]])^2</f>
        <v>0.97216372866990908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-0.66717863571992064</v>
      </c>
      <c r="J269">
        <f>(Table3[[#This Row],[HomeMargin]]-Table3[[#This Row],[HomeForecast]])^2</f>
        <v>2.7794846034009355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-0.3019685689986108</v>
      </c>
      <c r="J270">
        <f>(Table3[[#This Row],[HomeMargin]]-Table3[[#This Row],[HomeForecast]])^2</f>
        <v>2.8833107406686254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-0.26367078843346392</v>
      </c>
      <c r="J271">
        <f>(Table3[[#This Row],[HomeMargin]]-Table3[[#This Row],[HomeForecast]])^2</f>
        <v>0.54218070780619665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0.18100985055842789</v>
      </c>
      <c r="J272">
        <f>(Table3[[#This Row],[HomeMargin]]-Table3[[#This Row],[HomeForecast]])^2</f>
        <v>1.3947842671160402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0.87683509118967695</v>
      </c>
      <c r="J273">
        <f>(Table3[[#This Row],[HomeMargin]]-Table3[[#This Row],[HomeForecast]])^2</f>
        <v>23.783520506659023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0.20338996489065958</v>
      </c>
      <c r="J274">
        <f>(Table3[[#This Row],[HomeMargin]]-Table3[[#This Row],[HomeForecast]])^2</f>
        <v>7.8210276884742669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-0.19410905282235399</v>
      </c>
      <c r="J275">
        <f>(Table3[[#This Row],[HomeMargin]]-Table3[[#This Row],[HomeForecast]])^2</f>
        <v>1.4258964300322992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3.4261451721056602E-2</v>
      </c>
      <c r="J276">
        <f>(Table3[[#This Row],[HomeMargin]]-Table3[[#This Row],[HomeForecast]])^2</f>
        <v>3.8641280401898075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1.7482755290834393</v>
      </c>
      <c r="J277">
        <f>(Table3[[#This Row],[HomeMargin]]-Table3[[#This Row],[HomeForecast]])^2</f>
        <v>1.5668141510913438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-1.0478003883544175E-2</v>
      </c>
      <c r="J278">
        <f>(Table3[[#This Row],[HomeMargin]]-Table3[[#This Row],[HomeForecast]])^2</f>
        <v>9.0629778118666486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-0.18903752914359279</v>
      </c>
      <c r="J279">
        <f>(Table3[[#This Row],[HomeMargin]]-Table3[[#This Row],[HomeForecast]])^2</f>
        <v>10.169960362286272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-0.58471854920160737</v>
      </c>
      <c r="J280">
        <f>(Table3[[#This Row],[HomeMargin]]-Table3[[#This Row],[HomeForecast]])^2</f>
        <v>41.155836092957927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0.1290063042860497</v>
      </c>
      <c r="J281">
        <f>(Table3[[#This Row],[HomeMargin]]-Table3[[#This Row],[HomeForecast]])^2</f>
        <v>3.5006174094013462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-0.10469658222246998</v>
      </c>
      <c r="J282">
        <f>(Table3[[#This Row],[HomeMargin]]-Table3[[#This Row],[HomeForecast]])^2</f>
        <v>4.4297477032189461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5.7636084040049516E-2</v>
      </c>
      <c r="J283">
        <f>(Table3[[#This Row],[HomeMargin]]-Table3[[#This Row],[HomeForecast]])^2</f>
        <v>1.1185940862635708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5.2874734682123697E-2</v>
      </c>
      <c r="J284">
        <f>(Table3[[#This Row],[HomeMargin]]-Table3[[#This Row],[HomeForecast]])^2</f>
        <v>1.1085452069319524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1.0109213848739891</v>
      </c>
      <c r="J285">
        <f>(Table3[[#This Row],[HomeMargin]]-Table3[[#This Row],[HomeForecast]])^2</f>
        <v>1.1927664756579751E-4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-0.28541088532783221</v>
      </c>
      <c r="J286">
        <f>(Table3[[#This Row],[HomeMargin]]-Table3[[#This Row],[HomeForecast]])^2</f>
        <v>1.6522811441192811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-1.0642821470390065</v>
      </c>
      <c r="J287">
        <f>(Table3[[#This Row],[HomeMargin]]-Table3[[#This Row],[HomeForecast]])^2</f>
        <v>4.1321944279444495E-3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0.22159463789835851</v>
      </c>
      <c r="J288">
        <f>(Table3[[#This Row],[HomeMargin]]-Table3[[#This Row],[HomeForecast]])^2</f>
        <v>1.4922934593420214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0.45708867255817542</v>
      </c>
      <c r="J289">
        <f>(Table3[[#This Row],[HomeMargin]]-Table3[[#This Row],[HomeForecast]])^2</f>
        <v>2.123107399697346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-0.11680880430753554</v>
      </c>
      <c r="J290">
        <f>(Table3[[#This Row],[HomeMargin]]-Table3[[#This Row],[HomeForecast]])^2</f>
        <v>0.78002668814868514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-3.844717134828575E-2</v>
      </c>
      <c r="J291">
        <f>(Table3[[#This Row],[HomeMargin]]-Table3[[#This Row],[HomeForecast]])^2</f>
        <v>0.92458384228811286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-0.32488651372944821</v>
      </c>
      <c r="J292">
        <f>(Table3[[#This Row],[HomeMargin]]-Table3[[#This Row],[HomeForecast]])^2</f>
        <v>1.7553242742621711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0.66434099063811058</v>
      </c>
      <c r="J293">
        <f>(Table3[[#This Row],[HomeMargin]]-Table3[[#This Row],[HomeForecast]])^2</f>
        <v>11.126621026737142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-0.19625531926979087</v>
      </c>
      <c r="J294">
        <f>(Table3[[#This Row],[HomeMargin]]-Table3[[#This Row],[HomeForecast]])^2</f>
        <v>0.64600551180210575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-0.52929728802481213</v>
      </c>
      <c r="J295">
        <f>(Table3[[#This Row],[HomeMargin]]-Table3[[#This Row],[HomeForecast]])^2</f>
        <v>2.1629664670111723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0.66867997367847409</v>
      </c>
      <c r="J296">
        <f>(Table3[[#This Row],[HomeMargin]]-Table3[[#This Row],[HomeForecast]])^2</f>
        <v>1.7724130124847484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0.14367360237976445</v>
      </c>
      <c r="J297">
        <f>(Table3[[#This Row],[HomeMargin]]-Table3[[#This Row],[HomeForecast]])^2</f>
        <v>1.3079893087803076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0.15273459342262669</v>
      </c>
      <c r="J298">
        <f>(Table3[[#This Row],[HomeMargin]]-Table3[[#This Row],[HomeForecast]])^2</f>
        <v>1.3287970428732285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-3.1987959153127632E-2</v>
      </c>
      <c r="J299">
        <f>(Table3[[#This Row],[HomeMargin]]-Table3[[#This Row],[HomeForecast]])^2</f>
        <v>9.1929509844495474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-1.0320041225596803</v>
      </c>
      <c r="J300">
        <f>(Table3[[#This Row],[HomeMargin]]-Table3[[#This Row],[HomeForecast]])^2</f>
        <v>3.8730077736220938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0.59227728628547593</v>
      </c>
      <c r="J301">
        <f>(Table3[[#This Row],[HomeMargin]]-Table3[[#This Row],[HomeForecast]])^2</f>
        <v>2.5353469564206397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1.7664802020911383</v>
      </c>
      <c r="J302">
        <f>(Table3[[#This Row],[HomeMargin]]-Table3[[#This Row],[HomeForecast]])^2</f>
        <v>1.5215710918331189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0.52245025052263316</v>
      </c>
      <c r="J303">
        <f>(Table3[[#This Row],[HomeMargin]]-Table3[[#This Row],[HomeForecast]])^2</f>
        <v>0.22805376322589582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0.15332861415995647</v>
      </c>
      <c r="J304">
        <f>(Table3[[#This Row],[HomeMargin]]-Table3[[#This Row],[HomeForecast]])^2</f>
        <v>1.3301668922401255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0.43384619313749329</v>
      </c>
      <c r="J305">
        <f>(Table3[[#This Row],[HomeMargin]]-Table3[[#This Row],[HomeForecast]])^2</f>
        <v>12.717452974199947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1.3533675549906721</v>
      </c>
      <c r="J306">
        <f>(Table3[[#This Row],[HomeMargin]]-Table3[[#This Row],[HomeForecast]])^2</f>
        <v>28.658544178826812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-0.2407319724672452</v>
      </c>
      <c r="J307">
        <f>(Table3[[#This Row],[HomeMargin]]-Table3[[#This Row],[HomeForecast]])^2</f>
        <v>1.539415827502461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-0.34012998294300872</v>
      </c>
      <c r="J308">
        <f>(Table3[[#This Row],[HomeMargin]]-Table3[[#This Row],[HomeForecast]])^2</f>
        <v>2.7551684735247766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0.18827941830950756</v>
      </c>
      <c r="J309">
        <f>(Table3[[#This Row],[HomeMargin]]-Table3[[#This Row],[HomeForecast]])^2</f>
        <v>14.529213792882906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-0.23208838310279353</v>
      </c>
      <c r="J310">
        <f>(Table3[[#This Row],[HomeMargin]]-Table3[[#This Row],[HomeForecast]])^2</f>
        <v>1.5180417837768563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0.74985261306102968</v>
      </c>
      <c r="J311">
        <f>(Table3[[#This Row],[HomeMargin]]-Table3[[#This Row],[HomeForecast]])^2</f>
        <v>5.0631632629482759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0.51447999112471055</v>
      </c>
      <c r="J312">
        <f>(Table3[[#This Row],[HomeMargin]]-Table3[[#This Row],[HomeForecast]])^2</f>
        <v>0.23572967901826114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-0.10636167625981199</v>
      </c>
      <c r="J313">
        <f>(Table3[[#This Row],[HomeMargin]]-Table3[[#This Row],[HomeForecast]])^2</f>
        <v>9.6494828637356687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0.67527609589472992</v>
      </c>
      <c r="J314">
        <f>(Table3[[#This Row],[HomeMargin]]-Table3[[#This Row],[HomeForecast]])^2</f>
        <v>2.8065499974762882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0.27436717067455896</v>
      </c>
      <c r="J315">
        <f>(Table3[[#This Row],[HomeMargin]]-Table3[[#This Row],[HomeForecast]])^2</f>
        <v>2.9778086616457267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-0.41937153396739019</v>
      </c>
      <c r="J316">
        <f>(Table3[[#This Row],[HomeMargin]]-Table3[[#This Row],[HomeForecast]])^2</f>
        <v>2.0146155514369424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0.93253704516669522</v>
      </c>
      <c r="J317">
        <f>(Table3[[#This Row],[HomeMargin]]-Table3[[#This Row],[HomeForecast]])^2</f>
        <v>9.4093289792746688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1.0341387809992177</v>
      </c>
      <c r="J318">
        <f>(Table3[[#This Row],[HomeMargin]]-Table3[[#This Row],[HomeForecast]])^2</f>
        <v>1.1654563681125505E-3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0.22603207459392025</v>
      </c>
      <c r="J319">
        <f>(Table3[[#This Row],[HomeMargin]]-Table3[[#This Row],[HomeForecast]])^2</f>
        <v>0.59902634955739098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0.16489787121964272</v>
      </c>
      <c r="J320">
        <f>(Table3[[#This Row],[HomeMargin]]-Table3[[#This Row],[HomeForecast]])^2</f>
        <v>8.0378040806149116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3.3978721117755212E-2</v>
      </c>
      <c r="J321">
        <f>(Table3[[#This Row],[HomeMargin]]-Table3[[#This Row],[HomeForecast]])^2</f>
        <v>0.93319711125328775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0.4785907329749961</v>
      </c>
      <c r="J322">
        <f>(Table3[[#This Row],[HomeMargin]]-Table3[[#This Row],[HomeForecast]])^2</f>
        <v>20.05777495348951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0.21409340404355953</v>
      </c>
      <c r="J323">
        <f>(Table3[[#This Row],[HomeMargin]]-Table3[[#This Row],[HomeForecast]])^2</f>
        <v>0.61764917756783966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0.45927508379363924</v>
      </c>
      <c r="J324">
        <f>(Table3[[#This Row],[HomeMargin]]-Table3[[#This Row],[HomeForecast]])^2</f>
        <v>6.455283099831818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-2.0809929263463978E-2</v>
      </c>
      <c r="J325">
        <f>(Table3[[#This Row],[HomeMargin]]-Table3[[#This Row],[HomeForecast]])^2</f>
        <v>0.95881319462902226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-4.0112265385627732E-2</v>
      </c>
      <c r="J326">
        <f>(Table3[[#This Row],[HomeMargin]]-Table3[[#This Row],[HomeForecast]])^2</f>
        <v>0.92138446306311161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1.9396375420029348</v>
      </c>
      <c r="J327">
        <f>(Table3[[#This Row],[HomeMargin]]-Table3[[#This Row],[HomeForecast]])^2</f>
        <v>1.1243685423295779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-0.17805064626209194</v>
      </c>
      <c r="J328">
        <f>(Table3[[#This Row],[HomeMargin]]-Table3[[#This Row],[HomeForecast]])^2</f>
        <v>23.251195570013433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0.32902210323705261</v>
      </c>
      <c r="J329">
        <f>(Table3[[#This Row],[HomeMargin]]-Table3[[#This Row],[HomeForecast]])^2</f>
        <v>0.45021133794442847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-0.27286044570353868</v>
      </c>
      <c r="J330">
        <f>(Table3[[#This Row],[HomeMargin]]-Table3[[#This Row],[HomeForecast]])^2</f>
        <v>13.891569257201224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1.2127174548486677</v>
      </c>
      <c r="J331">
        <f>(Table3[[#This Row],[HomeMargin]]-Table3[[#This Row],[HomeForecast]])^2</f>
        <v>4.5248715597294965E-2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-0.12093255124581279</v>
      </c>
      <c r="J332">
        <f>(Table3[[#This Row],[HomeMargin]]-Table3[[#This Row],[HomeForecast]])^2</f>
        <v>1.2564897844424467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0.79953484267485853</v>
      </c>
      <c r="J333">
        <f>(Table3[[#This Row],[HomeMargin]]-Table3[[#This Row],[HomeForecast]])^2</f>
        <v>4.0186279301393721E-2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0.27075788343616269</v>
      </c>
      <c r="J334">
        <f>(Table3[[#This Row],[HomeMargin]]-Table3[[#This Row],[HomeForecast]])^2</f>
        <v>1.6148255983151558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0.24293755712106535</v>
      </c>
      <c r="J335">
        <f>(Table3[[#This Row],[HomeMargin]]-Table3[[#This Row],[HomeForecast]])^2</f>
        <v>10.516643999386343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-1.1765305917978606</v>
      </c>
      <c r="J336">
        <f>(Table3[[#This Row],[HomeMargin]]-Table3[[#This Row],[HomeForecast]])^2</f>
        <v>0.67810186624478175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0.65917006313963866</v>
      </c>
      <c r="J337">
        <f>(Table3[[#This Row],[HomeMargin]]-Table3[[#This Row],[HomeForecast]])^2</f>
        <v>28.52446441446385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5.0489364768253539E-2</v>
      </c>
      <c r="J338">
        <f>(Table3[[#This Row],[HomeMargin]]-Table3[[#This Row],[HomeForecast]])^2</f>
        <v>1.103527905491209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-0.48024236169303808</v>
      </c>
      <c r="J339">
        <f>(Table3[[#This Row],[HomeMargin]]-Table3[[#This Row],[HomeForecast]])^2</f>
        <v>20.428209109034128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-0.48629985416088667</v>
      </c>
      <c r="J340">
        <f>(Table3[[#This Row],[HomeMargin]]-Table3[[#This Row],[HomeForecast]])^2</f>
        <v>0.26388783983512626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-7.2012069251010405E-2</v>
      </c>
      <c r="J341">
        <f>(Table3[[#This Row],[HomeMargin]]-Table3[[#This Row],[HomeForecast]])^2</f>
        <v>1.1492098766198333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-0.91300919414753556</v>
      </c>
      <c r="J342">
        <f>(Table3[[#This Row],[HomeMargin]]-Table3[[#This Row],[HomeForecast]])^2</f>
        <v>3.6596041768930032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0.18613315186207066</v>
      </c>
      <c r="J343">
        <f>(Table3[[#This Row],[HomeMargin]]-Table3[[#This Row],[HomeForecast]])^2</f>
        <v>0.66237924649796731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0.19601990074521597</v>
      </c>
      <c r="J344">
        <f>(Table3[[#This Row],[HomeMargin]]-Table3[[#This Row],[HomeForecast]])^2</f>
        <v>10.21454320595946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0.18398346138112243</v>
      </c>
      <c r="J345">
        <f>(Table3[[#This Row],[HomeMargin]]-Table3[[#This Row],[HomeForecast]])^2</f>
        <v>7.9299491457750459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-2.1052437717169128</v>
      </c>
      <c r="J346">
        <f>(Table3[[#This Row],[HomeMargin]]-Table3[[#This Row],[HomeForecast]])^2</f>
        <v>0.80058870805137605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1.2017823495920483</v>
      </c>
      <c r="J347">
        <f>(Table3[[#This Row],[HomeMargin]]-Table3[[#This Row],[HomeForecast]])^2</f>
        <v>4.8478455149750808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0.31401205305026458</v>
      </c>
      <c r="J348">
        <f>(Table3[[#This Row],[HomeMargin]]-Table3[[#This Row],[HomeForecast]])^2</f>
        <v>7.2145312511592543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0.39906513263870869</v>
      </c>
      <c r="J349">
        <f>(Table3[[#This Row],[HomeMargin]]-Table3[[#This Row],[HomeForecast]])^2</f>
        <v>1.9573832453653675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-0.19944949076360896</v>
      </c>
      <c r="J350">
        <f>(Table3[[#This Row],[HomeMargin]]-Table3[[#This Row],[HomeForecast]])^2</f>
        <v>0.64088111783864499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0.39475197781015503</v>
      </c>
      <c r="J351">
        <f>(Table3[[#This Row],[HomeMargin]]-Table3[[#This Row],[HomeForecast]])^2</f>
        <v>0.36632516836471907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-0.2660421049763888</v>
      </c>
      <c r="J352">
        <f>(Table3[[#This Row],[HomeMargin]]-Table3[[#This Row],[HomeForecast]])^2</f>
        <v>3.0066099817147127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-0.19459160034383732</v>
      </c>
      <c r="J353">
        <f>(Table3[[#This Row],[HomeMargin]]-Table3[[#This Row],[HomeForecast]])^2</f>
        <v>10.205415492987399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-2.1847926305085865</v>
      </c>
      <c r="J354">
        <f>(Table3[[#This Row],[HomeMargin]]-Table3[[#This Row],[HomeForecast]])^2</f>
        <v>1.403733577307456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0.52663547084148143</v>
      </c>
      <c r="J355">
        <f>(Table3[[#This Row],[HomeMargin]]-Table3[[#This Row],[HomeForecast]])^2</f>
        <v>0.22407397746546598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-0.14466084038238977</v>
      </c>
      <c r="J356">
        <f>(Table3[[#This Row],[HomeMargin]]-Table3[[#This Row],[HomeForecast]])^2</f>
        <v>4.599570120269699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-0.18930374374549455</v>
      </c>
      <c r="J357">
        <f>(Table3[[#This Row],[HomeMargin]]-Table3[[#This Row],[HomeForecast]])^2</f>
        <v>7.9000134449230917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-0.62617560429961572</v>
      </c>
      <c r="J358">
        <f>(Table3[[#This Row],[HomeMargin]]-Table3[[#This Row],[HomeForecast]])^2</f>
        <v>5.6350422616222948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-4.2992856129656504E-3</v>
      </c>
      <c r="J359">
        <f>(Table3[[#This Row],[HomeMargin]]-Table3[[#This Row],[HomeForecast]])^2</f>
        <v>1.0086170550827129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9.7626660182938224E-2</v>
      </c>
      <c r="J360">
        <f>(Table3[[#This Row],[HomeMargin]]-Table3[[#This Row],[HomeForecast]])^2</f>
        <v>0.81427764441259853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-0.43892637897401232</v>
      </c>
      <c r="J361">
        <f>(Table3[[#This Row],[HomeMargin]]-Table3[[#This Row],[HomeForecast]])^2</f>
        <v>20.803392576419114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1.0286250096802518</v>
      </c>
      <c r="J362">
        <f>(Table3[[#This Row],[HomeMargin]]-Table3[[#This Row],[HomeForecast]])^2</f>
        <v>8.1939117919451116E-4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0.69274264602126112</v>
      </c>
      <c r="J363">
        <f>(Table3[[#This Row],[HomeMargin]]-Table3[[#This Row],[HomeForecast]])^2</f>
        <v>5.323436497488971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0.24293755712106535</v>
      </c>
      <c r="J364">
        <f>(Table3[[#This Row],[HomeMargin]]-Table3[[#This Row],[HomeForecast]])^2</f>
        <v>14.115518199691429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0.72760179052082374</v>
      </c>
      <c r="J365">
        <f>(Table3[[#This Row],[HomeMargin]]-Table3[[#This Row],[HomeForecast]])^2</f>
        <v>10.708590041402518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-0.62269787948204702</v>
      </c>
      <c r="J366">
        <f>(Table3[[#This Row],[HomeMargin]]-Table3[[#This Row],[HomeForecast]])^2</f>
        <v>19.160773854290969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0.55633481523907446</v>
      </c>
      <c r="J367">
        <f>(Table3[[#This Row],[HomeMargin]]-Table3[[#This Row],[HomeForecast]])^2</f>
        <v>2.4221780571252443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0.53438892107299385</v>
      </c>
      <c r="J368">
        <f>(Table3[[#This Row],[HomeMargin]]-Table3[[#This Row],[HomeForecast]])^2</f>
        <v>6.4231272032575335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-0.12232257562650163</v>
      </c>
      <c r="J369">
        <f>(Table3[[#This Row],[HomeMargin]]-Table3[[#This Row],[HomeForecast]])^2</f>
        <v>0.77031766125489798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-0.91941975971737455</v>
      </c>
      <c r="J370">
        <f>(Table3[[#This Row],[HomeMargin]]-Table3[[#This Row],[HomeForecast]])^2</f>
        <v>6.4931751240056533E-3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2.1126924059698311</v>
      </c>
      <c r="J371">
        <f>(Table3[[#This Row],[HomeMargin]]-Table3[[#This Row],[HomeForecast]])^2</f>
        <v>15.111160330604621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0.30914823117334356</v>
      </c>
      <c r="J372">
        <f>(Table3[[#This Row],[HomeMargin]]-Table3[[#This Row],[HomeForecast]])^2</f>
        <v>10.950462015877669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8.922770409161862E-2</v>
      </c>
      <c r="J373">
        <f>(Table3[[#This Row],[HomeMargin]]-Table3[[#This Row],[HomeForecast]])^2</f>
        <v>4.3648723995439358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0.97292305570323356</v>
      </c>
      <c r="J374">
        <f>(Table3[[#This Row],[HomeMargin]]-Table3[[#This Row],[HomeForecast]])^2</f>
        <v>7.331609124501924E-4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0.20155136349630298</v>
      </c>
      <c r="J375">
        <f>(Table3[[#This Row],[HomeMargin]]-Table3[[#This Row],[HomeForecast]])^2</f>
        <v>4.8468284061124312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-7.1557357305641167E-2</v>
      </c>
      <c r="J376">
        <f>(Table3[[#This Row],[HomeMargin]]-Table3[[#This Row],[HomeForecast]])^2</f>
        <v>4.2913498846071327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-0.9792586050217198</v>
      </c>
      <c r="J377">
        <f>(Table3[[#This Row],[HomeMargin]]-Table3[[#This Row],[HomeForecast]])^2</f>
        <v>4.3020546564502722E-4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1.0898461573403471</v>
      </c>
      <c r="J378">
        <f>(Table3[[#This Row],[HomeMargin]]-Table3[[#This Row],[HomeForecast]])^2</f>
        <v>8.4689953879467446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0.27947239901489707</v>
      </c>
      <c r="J379">
        <f>(Table3[[#This Row],[HomeMargin]]-Table3[[#This Row],[HomeForecast]])^2</f>
        <v>1.6370496198409359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0.12541979389237695</v>
      </c>
      <c r="J380">
        <f>(Table3[[#This Row],[HomeMargin]]-Table3[[#This Row],[HomeForecast]])^2</f>
        <v>1.2665697124847601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0.6369215732060115</v>
      </c>
      <c r="J381">
        <f>(Table3[[#This Row],[HomeMargin]]-Table3[[#This Row],[HomeForecast]])^2</f>
        <v>0.13182594400319766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5.770701025433219E-2</v>
      </c>
      <c r="J382">
        <f>(Table3[[#This Row],[HomeMargin]]-Table3[[#This Row],[HomeForecast]])^2</f>
        <v>0.88791607852382914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0.1200412842251546</v>
      </c>
      <c r="J383">
        <f>(Table3[[#This Row],[HomeMargin]]-Table3[[#This Row],[HomeForecast]])^2</f>
        <v>16.974740183719664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0.32128162080134426</v>
      </c>
      <c r="J384">
        <f>(Table3[[#This Row],[HomeMargin]]-Table3[[#This Row],[HomeForecast]])^2</f>
        <v>28.316038087878184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0.63473516197054769</v>
      </c>
      <c r="J385">
        <f>(Table3[[#This Row],[HomeMargin]]-Table3[[#This Row],[HomeForecast]])^2</f>
        <v>11.325007430077395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-0.16239580601655931</v>
      </c>
      <c r="J386">
        <f>(Table3[[#This Row],[HomeMargin]]-Table3[[#This Row],[HomeForecast]])^2</f>
        <v>0.70158078577864924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-5.3312048868431328E-3</v>
      </c>
      <c r="J387">
        <f>(Table3[[#This Row],[HomeMargin]]-Table3[[#This Row],[HomeForecast]])^2</f>
        <v>0.98936601197185925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0.52789911190120198</v>
      </c>
      <c r="J388">
        <f>(Table3[[#This Row],[HomeMargin]]-Table3[[#This Row],[HomeForecast]])^2</f>
        <v>0.2228792485436738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-0.80751074363514186</v>
      </c>
      <c r="J389">
        <f>(Table3[[#This Row],[HomeMargin]]-Table3[[#This Row],[HomeForecast]])^2</f>
        <v>4.8070091392753298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0.48633121541070456</v>
      </c>
      <c r="J390">
        <f>(Table3[[#This Row],[HomeMargin]]-Table3[[#This Row],[HomeForecast]])^2</f>
        <v>6.1818429127256715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-1.1911552168863815</v>
      </c>
      <c r="J391">
        <f>(Table3[[#This Row],[HomeMargin]]-Table3[[#This Row],[HomeForecast]])^2</f>
        <v>4.8011611844884055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6.3282548648211256E-2</v>
      </c>
      <c r="J392">
        <f>(Table3[[#This Row],[HomeMargin]]-Table3[[#This Row],[HomeForecast]])^2</f>
        <v>1.1305697782598361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0.37769525373892954</v>
      </c>
      <c r="J393">
        <f>(Table3[[#This Row],[HomeMargin]]-Table3[[#This Row],[HomeForecast]])^2</f>
        <v>0.38726319721905528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-0.98080198257213402</v>
      </c>
      <c r="J394">
        <f>(Table3[[#This Row],[HomeMargin]]-Table3[[#This Row],[HomeForecast]])^2</f>
        <v>3.9235764941616962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0.11075249579866224</v>
      </c>
      <c r="J395">
        <f>(Table3[[#This Row],[HomeMargin]]-Table3[[#This Row],[HomeForecast]])^2</f>
        <v>9.6767810901176059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0.53106156098949164</v>
      </c>
      <c r="J396">
        <f>(Table3[[#This Row],[HomeMargin]]-Table3[[#This Row],[HomeForecast]])^2</f>
        <v>2.1577801376026291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0.19915224448028052</v>
      </c>
      <c r="J397">
        <f>(Table3[[#This Row],[HomeMargin]]-Table3[[#This Row],[HomeForecast]])^2</f>
        <v>0.64135712752097251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1.8243579632076767</v>
      </c>
      <c r="J398">
        <f>(Table3[[#This Row],[HomeMargin]]-Table3[[#This Row],[HomeForecast]])^2</f>
        <v>10.084702345842496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0.57284545888957283</v>
      </c>
      <c r="J399">
        <f>(Table3[[#This Row],[HomeMargin]]-Table3[[#This Row],[HomeForecast]])^2</f>
        <v>0.18246100199125961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0.48290265829222739</v>
      </c>
      <c r="J400">
        <f>(Table3[[#This Row],[HomeMargin]]-Table3[[#This Row],[HomeForecast]])^2</f>
        <v>2.1990002939701543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-0.16557674524060351</v>
      </c>
      <c r="J401">
        <f>(Table3[[#This Row],[HomeMargin]]-Table3[[#This Row],[HomeForecast]])^2</f>
        <v>3.3651086776020573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-0.13947764272125457</v>
      </c>
      <c r="J402">
        <f>(Table3[[#This Row],[HomeMargin]]-Table3[[#This Row],[HomeForecast]])^2</f>
        <v>8.1825881564915495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-0.72839978338001599</v>
      </c>
      <c r="J403">
        <f>(Table3[[#This Row],[HomeMargin]]-Table3[[#This Row],[HomeForecast]])^2</f>
        <v>5.1601675441479582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0.11429088429488821</v>
      </c>
      <c r="J404">
        <f>(Table3[[#This Row],[HomeMargin]]-Table3[[#This Row],[HomeForecast]])^2</f>
        <v>26.155971249181793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-0.28234307163484229</v>
      </c>
      <c r="J405">
        <f>(Table3[[#This Row],[HomeMargin]]-Table3[[#This Row],[HomeForecast]])^2</f>
        <v>13.820973037021462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-1.2007240257759153</v>
      </c>
      <c r="J406">
        <f>(Table3[[#This Row],[HomeMargin]]-Table3[[#This Row],[HomeForecast]])^2</f>
        <v>4.8431862376273518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0.39908693856081645</v>
      </c>
      <c r="J407">
        <f>(Table3[[#This Row],[HomeMargin]]-Table3[[#This Row],[HomeForecast]])^2</f>
        <v>0.36109650740821198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0.74739998722366396</v>
      </c>
      <c r="J408">
        <f>(Table3[[#This Row],[HomeMargin]]-Table3[[#This Row],[HomeForecast]])^2</f>
        <v>6.3806766454605132E-2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-0.32495743994373089</v>
      </c>
      <c r="J409">
        <f>(Table3[[#This Row],[HomeMargin]]-Table3[[#This Row],[HomeForecast]])^2</f>
        <v>5.4054270975497065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0.74782115510498315</v>
      </c>
      <c r="J410">
        <f>(Table3[[#This Row],[HomeMargin]]-Table3[[#This Row],[HomeForecast]])^2</f>
        <v>18.08102492897272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-0.21498268458700015</v>
      </c>
      <c r="J411">
        <f>(Table3[[#This Row],[HomeMargin]]-Table3[[#This Row],[HomeForecast]])^2</f>
        <v>7.756321447150234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0.36592590772187988</v>
      </c>
      <c r="J412">
        <f>(Table3[[#This Row],[HomeMargin]]-Table3[[#This Row],[HomeForecast]])^2</f>
        <v>13.206494508167044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0.20954215814017835</v>
      </c>
      <c r="J413">
        <f>(Table3[[#This Row],[HomeMargin]]-Table3[[#This Row],[HomeForecast]])^2</f>
        <v>4.8820765485987563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0.21272309736422257</v>
      </c>
      <c r="J414">
        <f>(Table3[[#This Row],[HomeMargin]]-Table3[[#This Row],[HomeForecast]])^2</f>
        <v>17.747035895066013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-0.41937153396739019</v>
      </c>
      <c r="J415">
        <f>(Table3[[#This Row],[HomeMargin]]-Table3[[#This Row],[HomeForecast]])^2</f>
        <v>11.692101687306504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-0.88577439940383951</v>
      </c>
      <c r="J416">
        <f>(Table3[[#This Row],[HomeMargin]]-Table3[[#This Row],[HomeForecast]])^2</f>
        <v>4.4699498902161956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2.4161700058039299</v>
      </c>
      <c r="J417">
        <f>(Table3[[#This Row],[HomeMargin]]-Table3[[#This Row],[HomeForecast]])^2</f>
        <v>0.17319747373084307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-5.0716936670619481E-2</v>
      </c>
      <c r="J418">
        <f>(Table3[[#This Row],[HomeMargin]]-Table3[[#This Row],[HomeForecast]])^2</f>
        <v>1.1040060810064907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-0.4485291148872434</v>
      </c>
      <c r="J419">
        <f>(Table3[[#This Row],[HomeMargin]]-Table3[[#This Row],[HomeForecast]])^2</f>
        <v>0.30412013712704711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0.26780637794106832</v>
      </c>
      <c r="J420">
        <f>(Table3[[#This Row],[HomeMargin]]-Table3[[#This Row],[HomeForecast]])^2</f>
        <v>10.678558523712326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-0.36604468331504958</v>
      </c>
      <c r="J421">
        <f>(Table3[[#This Row],[HomeMargin]]-Table3[[#This Row],[HomeForecast]])^2</f>
        <v>2.669809976923017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8.888495199854525E-2</v>
      </c>
      <c r="J422">
        <f>(Table3[[#This Row],[HomeMargin]]-Table3[[#This Row],[HomeForecast]])^2</f>
        <v>9.541210246683054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-2.6812817468138322E-2</v>
      </c>
      <c r="J423">
        <f>(Table3[[#This Row],[HomeMargin]]-Table3[[#This Row],[HomeForecast]])^2</f>
        <v>16.215221466925684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-0.55524244346821949</v>
      </c>
      <c r="J424">
        <f>(Table3[[#This Row],[HomeMargin]]-Table3[[#This Row],[HomeForecast]])^2</f>
        <v>2.4187790579649979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-0.69999812799686545</v>
      </c>
      <c r="J425">
        <f>(Table3[[#This Row],[HomeMargin]]-Table3[[#This Row],[HomeForecast]])^2</f>
        <v>2.8899936351928468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0.61962247090923284</v>
      </c>
      <c r="J426">
        <f>(Table3[[#This Row],[HomeMargin]]-Table3[[#This Row],[HomeForecast]])^2</f>
        <v>0.14468706463719741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-0.2407319724672452</v>
      </c>
      <c r="J427">
        <f>(Table3[[#This Row],[HomeMargin]]-Table3[[#This Row],[HomeForecast]])^2</f>
        <v>45.687704268026543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0.2898434735976424</v>
      </c>
      <c r="J428">
        <f>(Table3[[#This Row],[HomeMargin]]-Table3[[#This Row],[HomeForecast]])^2</f>
        <v>0.5043222919918624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-0.75570008197388361</v>
      </c>
      <c r="J429">
        <f>(Table3[[#This Row],[HomeMargin]]-Table3[[#This Row],[HomeForecast]])^2</f>
        <v>5.0368821220520319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6.6948086153750863E-2</v>
      </c>
      <c r="J430">
        <f>(Table3[[#This Row],[HomeMargin]]-Table3[[#This Row],[HomeForecast]])^2</f>
        <v>8.6027935293171449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-0.56119488846569288</v>
      </c>
      <c r="J431">
        <f>(Table3[[#This Row],[HomeMargin]]-Table3[[#This Row],[HomeForecast]])^2</f>
        <v>29.580601041251711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1.0744486400005759</v>
      </c>
      <c r="J432">
        <f>(Table3[[#This Row],[HomeMargin]]-Table3[[#This Row],[HomeForecast]])^2</f>
        <v>3.7077480399956317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0.52887514975402783</v>
      </c>
      <c r="J433">
        <f>(Table3[[#This Row],[HomeMargin]]-Table3[[#This Row],[HomeForecast]])^2</f>
        <v>20.510710122059571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-3.7697844052409613E-2</v>
      </c>
      <c r="J434">
        <f>(Table3[[#This Row],[HomeMargin]]-Table3[[#This Row],[HomeForecast]])^2</f>
        <v>1.0768168155510189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-0.73884042955273199</v>
      </c>
      <c r="J435">
        <f>(Table3[[#This Row],[HomeMargin]]-Table3[[#This Row],[HomeForecast]])^2</f>
        <v>13.978927757658056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0.43077837944450337</v>
      </c>
      <c r="J436">
        <f>(Table3[[#This Row],[HomeMargin]]-Table3[[#This Row],[HomeForecast]])^2</f>
        <v>20.877786217751797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0.5873616867836734</v>
      </c>
      <c r="J437">
        <f>(Table3[[#This Row],[HomeMargin]]-Table3[[#This Row],[HomeForecast]])^2</f>
        <v>2.5197171246687091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0.48990339140389028</v>
      </c>
      <c r="J438">
        <f>(Table3[[#This Row],[HomeMargin]]-Table3[[#This Row],[HomeForecast]])^2</f>
        <v>2.2198121157168136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-1.6180448942814774</v>
      </c>
      <c r="J439">
        <f>(Table3[[#This Row],[HomeMargin]]-Table3[[#This Row],[HomeForecast]])^2</f>
        <v>21.326338645599222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0.1748299346063738</v>
      </c>
      <c r="J440">
        <f>(Table3[[#This Row],[HomeMargin]]-Table3[[#This Row],[HomeForecast]])^2</f>
        <v>4.7298852444599646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0.83124808948065321</v>
      </c>
      <c r="J441">
        <f>(Table3[[#This Row],[HomeMargin]]-Table3[[#This Row],[HomeForecast]])^2</f>
        <v>3.353469565226542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-0.38255532696554789</v>
      </c>
      <c r="J442">
        <f>(Table3[[#This Row],[HomeMargin]]-Table3[[#This Row],[HomeForecast]])^2</f>
        <v>1.9114592321208133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1.0214882997734227</v>
      </c>
      <c r="J443">
        <f>(Table3[[#This Row],[HomeMargin]]-Table3[[#This Row],[HomeForecast]])^2</f>
        <v>3.9145085479334618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-0.13329872076127741</v>
      </c>
      <c r="J444">
        <f>(Table3[[#This Row],[HomeMargin]]-Table3[[#This Row],[HomeForecast]])^2</f>
        <v>8.2179762243889289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-0.72284913380148919</v>
      </c>
      <c r="J445">
        <f>(Table3[[#This Row],[HomeMargin]]-Table3[[#This Row],[HomeForecast]])^2</f>
        <v>5.1854160674286289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-0.21749059991221881</v>
      </c>
      <c r="J446">
        <f>(Table3[[#This Row],[HomeMargin]]-Table3[[#This Row],[HomeForecast]])^2</f>
        <v>10.352245760523489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0.17574323820217283</v>
      </c>
      <c r="J447">
        <f>(Table3[[#This Row],[HomeMargin]]-Table3[[#This Row],[HomeForecast]])^2</f>
        <v>7.9764262565607487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0.84843045859663291</v>
      </c>
      <c r="J448">
        <f>(Table3[[#This Row],[HomeMargin]]-Table3[[#This Row],[HomeForecast]])^2</f>
        <v>4.6292514914946947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-0.45932773615116412</v>
      </c>
      <c r="J449">
        <f>(Table3[[#This Row],[HomeMargin]]-Table3[[#This Row],[HomeForecast]])^2</f>
        <v>6.0482929138024097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0.25186414331720286</v>
      </c>
      <c r="J450">
        <f>(Table3[[#This Row],[HomeMargin]]-Table3[[#This Row],[HomeForecast]])^2</f>
        <v>14.048522400151287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0.46434660747240047</v>
      </c>
      <c r="J451">
        <f>(Table3[[#This Row],[HomeMargin]]-Table3[[#This Row],[HomeForecast]])^2</f>
        <v>0.28692455692632657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0.48990339140389028</v>
      </c>
      <c r="J452">
        <f>(Table3[[#This Row],[HomeMargin]]-Table3[[#This Row],[HomeForecast]])^2</f>
        <v>30.361164636062345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-1.7912022341932738</v>
      </c>
      <c r="J453">
        <f>(Table3[[#This Row],[HomeMargin]]-Table3[[#This Row],[HomeForecast]])^2</f>
        <v>0.62600097539242816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1.1292372903817951</v>
      </c>
      <c r="J454">
        <f>(Table3[[#This Row],[HomeMargin]]-Table3[[#This Row],[HomeForecast]])^2</f>
        <v>4.5336514387524076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-0.12593186286489794</v>
      </c>
      <c r="J455">
        <f>(Table3[[#This Row],[HomeMargin]]-Table3[[#This Row],[HomeForecast]])^2</f>
        <v>0.76399510835482753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0.70367775127788046</v>
      </c>
      <c r="J456">
        <f>(Table3[[#This Row],[HomeMargin]]-Table3[[#This Row],[HomeForecast]])^2</f>
        <v>7.3098733827550175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-3.5548153571461377E-2</v>
      </c>
      <c r="J457">
        <f>(Table3[[#This Row],[HomeMargin]]-Table3[[#This Row],[HomeForecast]])^2</f>
        <v>0.93016736407941747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-1.002361827203057</v>
      </c>
      <c r="J458">
        <f>(Table3[[#This Row],[HomeMargin]]-Table3[[#This Row],[HomeForecast]])^2</f>
        <v>9.0141765414460782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0.47339274775339196</v>
      </c>
      <c r="J459">
        <f>(Table3[[#This Row],[HomeMargin]]-Table3[[#This Row],[HomeForecast]])^2</f>
        <v>30.5433877205848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0.70744378503989003</v>
      </c>
      <c r="J460">
        <f>(Table3[[#This Row],[HomeMargin]]-Table3[[#This Row],[HomeForecast]])^2</f>
        <v>13.745139419230906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0.80284643409750267</v>
      </c>
      <c r="J461">
        <f>(Table3[[#This Row],[HomeMargin]]-Table3[[#This Row],[HomeForecast]])^2</f>
        <v>3.886952854807036E-2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0.10016280934823787</v>
      </c>
      <c r="J462">
        <f>(Table3[[#This Row],[HomeMargin]]-Table3[[#This Row],[HomeForecast]])^2</f>
        <v>8.4090557322871042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1.1439045884755097</v>
      </c>
      <c r="J463">
        <f>(Table3[[#This Row],[HomeMargin]]-Table3[[#This Row],[HomeForecast]])^2</f>
        <v>4.596326884486345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-7.7596766784259169E-2</v>
      </c>
      <c r="J464">
        <f>(Table3[[#This Row],[HomeMargin]]-Table3[[#This Row],[HomeForecast]])^2</f>
        <v>0.8508277246468523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-1.607109789024858</v>
      </c>
      <c r="J465">
        <f>(Table3[[#This Row],[HomeMargin]]-Table3[[#This Row],[HomeForecast]])^2</f>
        <v>0.36858229592980762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0.72760179052082374</v>
      </c>
      <c r="J466">
        <f>(Table3[[#This Row],[HomeMargin]]-Table3[[#This Row],[HomeForecast]])^2</f>
        <v>1.6189972034858133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-0.33015542516533508</v>
      </c>
      <c r="J467">
        <f>(Table3[[#This Row],[HomeMargin]]-Table3[[#This Row],[HomeForecast]])^2</f>
        <v>11.089935155758113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-0.80508984042691623</v>
      </c>
      <c r="J468">
        <f>(Table3[[#This Row],[HomeMargin]]-Table3[[#This Row],[HomeForecast]])^2</f>
        <v>4.8176306085971401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-0.72288601206104985</v>
      </c>
      <c r="J469">
        <f>(Table3[[#This Row],[HomeMargin]]-Table3[[#This Row],[HomeForecast]])^2</f>
        <v>7.4141082346777276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0.37265663662640797</v>
      </c>
      <c r="J470">
        <f>(Table3[[#This Row],[HomeMargin]]-Table3[[#This Row],[HomeForecast]])^2</f>
        <v>5.6294995153273391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-0.32320384964103877</v>
      </c>
      <c r="J471">
        <f>(Table3[[#This Row],[HomeMargin]]-Table3[[#This Row],[HomeForecast]])^2</f>
        <v>13.518829931294476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0.72541537928535993</v>
      </c>
      <c r="J472">
        <f>(Table3[[#This Row],[HomeMargin]]-Table3[[#This Row],[HomeForecast]])^2</f>
        <v>5.1737351967915632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-3.9844110499846486E-2</v>
      </c>
      <c r="J473">
        <f>(Table3[[#This Row],[HomeMargin]]-Table3[[#This Row],[HomeForecast]])^2</f>
        <v>0.92189933214183095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-0.61312020458475791</v>
      </c>
      <c r="J474">
        <f>(Table3[[#This Row],[HomeMargin]]-Table3[[#This Row],[HomeForecast]])^2</f>
        <v>19.244714339422472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-2.1052437717169128</v>
      </c>
      <c r="J475">
        <f>(Table3[[#This Row],[HomeMargin]]-Table3[[#This Row],[HomeForecast]])^2</f>
        <v>9.6425388817866793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9.5560573127537352E-2</v>
      </c>
      <c r="J476">
        <f>(Table3[[#This Row],[HomeMargin]]-Table3[[#This Row],[HomeForecast]])^2</f>
        <v>0.81801067688138884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0.23053188858339202</v>
      </c>
      <c r="J477">
        <f>(Table3[[#This Row],[HomeMargin]]-Table3[[#This Row],[HomeForecast]])^2</f>
        <v>1.5142087288206094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0.43136496304014255</v>
      </c>
      <c r="J478">
        <f>(Table3[[#This Row],[HomeMargin]]-Table3[[#This Row],[HomeForecast]])^2</f>
        <v>6.5978859530977676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0.11421995808060553</v>
      </c>
      <c r="J479">
        <f>(Table3[[#This Row],[HomeMargin]]-Table3[[#This Row],[HomeForecast]])^2</f>
        <v>1.2414861149851464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-0.92601333219091486</v>
      </c>
      <c r="J480">
        <f>(Table3[[#This Row],[HomeMargin]]-Table3[[#This Row],[HomeForecast]])^2</f>
        <v>4.3014206982498324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-0.80034436889441929</v>
      </c>
      <c r="J481">
        <f>(Table3[[#This Row],[HomeMargin]]-Table3[[#This Row],[HomeForecast]])^2</f>
        <v>3.9862371032167727E-2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-5.9682451990713689E-2</v>
      </c>
      <c r="J482">
        <f>(Table3[[#This Row],[HomeMargin]]-Table3[[#This Row],[HomeForecast]])^2</f>
        <v>0.88419709109419653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-0.31937274241048214</v>
      </c>
      <c r="J483">
        <f>(Table3[[#This Row],[HomeMargin]]-Table3[[#This Row],[HomeForecast]])^2</f>
        <v>11.018235403057684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-0.22713816430377096</v>
      </c>
      <c r="J484">
        <f>(Table3[[#This Row],[HomeMargin]]-Table3[[#This Row],[HomeForecast]])^2</f>
        <v>1.5058680742908286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0.19564948245495117</v>
      </c>
      <c r="J485">
        <f>(Table3[[#This Row],[HomeMargin]]-Table3[[#This Row],[HomeForecast]])^2</f>
        <v>1.4295776848947923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-0.21742108500907881</v>
      </c>
      <c r="J486">
        <f>(Table3[[#This Row],[HomeMargin]]-Table3[[#This Row],[HomeForecast]])^2</f>
        <v>7.7427454181520527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1.740535046647731</v>
      </c>
      <c r="J487">
        <f>(Table3[[#This Row],[HomeMargin]]-Table3[[#This Row],[HomeForecast]])^2</f>
        <v>5.1051818754271716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0.23062886267477489</v>
      </c>
      <c r="J488">
        <f>(Table3[[#This Row],[HomeMargin]]-Table3[[#This Row],[HomeForecast]])^2</f>
        <v>7.66941649625001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-9.9951110689973088E-2</v>
      </c>
      <c r="J489">
        <f>(Table3[[#This Row],[HomeMargin]]-Table3[[#This Row],[HomeForecast]])^2</f>
        <v>9.6096968886679974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-0.78410173735703415</v>
      </c>
      <c r="J490">
        <f>(Table3[[#This Row],[HomeMargin]]-Table3[[#This Row],[HomeForecast]])^2</f>
        <v>10.342001635670046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0.71458347215661278</v>
      </c>
      <c r="J491">
        <f>(Table3[[#This Row],[HomeMargin]]-Table3[[#This Row],[HomeForecast]])^2</f>
        <v>18.364794817113275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0.24179029628337828</v>
      </c>
      <c r="J492">
        <f>(Table3[[#This Row],[HomeMargin]]-Table3[[#This Row],[HomeForecast]])^2</f>
        <v>7.6077207696765345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0.10649567838415663</v>
      </c>
      <c r="J493">
        <f>(Table3[[#This Row],[HomeMargin]]-Table3[[#This Row],[HomeForecast]])^2</f>
        <v>1.224332686282815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4.5250768185963047E-3</v>
      </c>
      <c r="J494">
        <f>(Table3[[#This Row],[HomeMargin]]-Table3[[#This Row],[HomeForecast]])^2</f>
        <v>4.0181207835946005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0.25278628919069285</v>
      </c>
      <c r="J495">
        <f>(Table3[[#This Row],[HomeMargin]]-Table3[[#This Row],[HomeForecast]])^2</f>
        <v>1.5694734863841864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-0.59367682281566014</v>
      </c>
      <c r="J496">
        <f>(Table3[[#This Row],[HomeMargin]]-Table3[[#This Row],[HomeForecast]])^2</f>
        <v>0.16509852431717645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-7.195221731304742E-2</v>
      </c>
      <c r="J497">
        <f>(Table3[[#This Row],[HomeMargin]]-Table3[[#This Row],[HomeForecast]])^2</f>
        <v>8.5734638176979789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7.6404065140294353E-2</v>
      </c>
      <c r="J498">
        <f>(Table3[[#This Row],[HomeMargin]]-Table3[[#This Row],[HomeForecast]])^2</f>
        <v>1.1586457114505511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-0.48659930555527808</v>
      </c>
      <c r="J499">
        <f>(Table3[[#This Row],[HomeMargin]]-Table3[[#This Row],[HomeForecast]])^2</f>
        <v>2.2099774952774349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0.67401245483500949</v>
      </c>
      <c r="J500">
        <f>(Table3[[#This Row],[HomeMargin]]-Table3[[#This Row],[HomeForecast]])^2</f>
        <v>1.7582429699326778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-0.26862322499662522</v>
      </c>
      <c r="J501">
        <f>(Table3[[#This Row],[HomeMargin]]-Table3[[#This Row],[HomeForecast]])^2</f>
        <v>0.53491198701433718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-0.24026178215535621</v>
      </c>
      <c r="J502">
        <f>(Table3[[#This Row],[HomeMargin]]-Table3[[#This Row],[HomeForecast]])^2</f>
        <v>14.135631466721618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2.2536790795265738</v>
      </c>
      <c r="J503">
        <f>(Table3[[#This Row],[HomeMargin]]-Table3[[#This Row],[HomeForecast]])^2</f>
        <v>6.4353075389449732E-2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0.64933094045132256</v>
      </c>
      <c r="J504">
        <f>(Table3[[#This Row],[HomeMargin]]-Table3[[#This Row],[HomeForecast]])^2</f>
        <v>21.616278193837985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0.30932406123924772</v>
      </c>
      <c r="J505">
        <f>(Table3[[#This Row],[HomeMargin]]-Table3[[#This Row],[HomeForecast]])^2</f>
        <v>1.7143294973400369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0.57365239051017958</v>
      </c>
      <c r="J506">
        <f>(Table3[[#This Row],[HomeMargin]]-Table3[[#This Row],[HomeForecast]])^2</f>
        <v>0.18177228411768442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1.2931002394563525E-2</v>
      </c>
      <c r="J507">
        <f>(Table3[[#This Row],[HomeMargin]]-Table3[[#This Row],[HomeForecast]])^2</f>
        <v>8.9225811964555461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-0.55524244346821949</v>
      </c>
      <c r="J508">
        <f>(Table3[[#This Row],[HomeMargin]]-Table3[[#This Row],[HomeForecast]])^2</f>
        <v>2.4187790579649979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-4.1061924890427468E-2</v>
      </c>
      <c r="J509">
        <f>(Table3[[#This Row],[HomeMargin]]-Table3[[#This Row],[HomeForecast]])^2</f>
        <v>1.0838099314565619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-0.201861168094917</v>
      </c>
      <c r="J510">
        <f>(Table3[[#This Row],[HomeMargin]]-Table3[[#This Row],[HomeForecast]])^2</f>
        <v>0.63702559499481037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0.29285951958075052</v>
      </c>
      <c r="J511">
        <f>(Table3[[#This Row],[HomeMargin]]-Table3[[#This Row],[HomeForecast]])^2</f>
        <v>1.6714857373705687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2.4311767089781611E-3</v>
      </c>
      <c r="J512">
        <f>(Table3[[#This Row],[HomeMargin]]-Table3[[#This Row],[HomeForecast]])^2</f>
        <v>9.0145929708740589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-0.48848626539635054</v>
      </c>
      <c r="J513">
        <f>(Table3[[#This Row],[HomeMargin]]-Table3[[#This Row],[HomeForecast]])^2</f>
        <v>20.146508954651676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0.35029647590457808</v>
      </c>
      <c r="J514">
        <f>(Table3[[#This Row],[HomeMargin]]-Table3[[#This Row],[HomeForecast]])^2</f>
        <v>0.42211466922201041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0.62844104089139874</v>
      </c>
      <c r="J515">
        <f>(Table3[[#This Row],[HomeMargin]]-Table3[[#This Row],[HomeForecast]])^2</f>
        <v>11.367409814745475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0.11219698418527006</v>
      </c>
      <c r="J516">
        <f>(Table3[[#This Row],[HomeMargin]]-Table3[[#This Row],[HomeForecast]])^2</f>
        <v>8.3394062581486494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0.4950481637288075</v>
      </c>
      <c r="J517">
        <f>(Table3[[#This Row],[HomeMargin]]-Table3[[#This Row],[HomeForecast]])^2</f>
        <v>2.2351690118688792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-0.20072966829147021</v>
      </c>
      <c r="J518">
        <f>(Table3[[#This Row],[HomeMargin]]-Table3[[#This Row],[HomeForecast]])^2</f>
        <v>0.6388330631494632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-0.39640483603951931</v>
      </c>
      <c r="J519">
        <f>(Table3[[#This Row],[HomeMargin]]-Table3[[#This Row],[HomeForecast]])^2</f>
        <v>2.5715174498774407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0.8263380946227793</v>
      </c>
      <c r="J520">
        <f>(Table3[[#This Row],[HomeMargin]]-Table3[[#This Row],[HomeForecast]])^2</f>
        <v>4.7248060788881299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6.863295637158176E-2</v>
      </c>
      <c r="J521">
        <f>(Table3[[#This Row],[HomeMargin]]-Table3[[#This Row],[HomeForecast]])^2</f>
        <v>9.4165082209297957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-0.5661481643469517</v>
      </c>
      <c r="J522">
        <f>(Table3[[#This Row],[HomeMargin]]-Table3[[#This Row],[HomeForecast]])^2</f>
        <v>5.9236347579117128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0.67773259583447309</v>
      </c>
      <c r="J523">
        <f>(Table3[[#This Row],[HomeMargin]]-Table3[[#This Row],[HomeForecast]])^2</f>
        <v>13.525717046463372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-0.12674086769426662</v>
      </c>
      <c r="J524">
        <f>(Table3[[#This Row],[HomeMargin]]-Table3[[#This Row],[HomeForecast]])^2</f>
        <v>0.7625815121553623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-0.2004930396801699</v>
      </c>
      <c r="J525">
        <f>(Table3[[#This Row],[HomeMargin]]-Table3[[#This Row],[HomeForecast]])^2</f>
        <v>10.243155697041214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-0.12239350184078431</v>
      </c>
      <c r="J526">
        <f>(Table3[[#This Row],[HomeMargin]]-Table3[[#This Row],[HomeForecast]])^2</f>
        <v>1.2597671729744184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-0.17805064626209194</v>
      </c>
      <c r="J527">
        <f>(Table3[[#This Row],[HomeMargin]]-Table3[[#This Row],[HomeForecast]])^2</f>
        <v>1.3878033251585324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0.21190699280809566</v>
      </c>
      <c r="J528">
        <f>(Table3[[#This Row],[HomeMargin]]-Table3[[#This Row],[HomeForecast]])^2</f>
        <v>22.925834645520009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5.4047875316727279E-3</v>
      </c>
      <c r="J529">
        <f>(Table3[[#This Row],[HomeMargin]]-Table3[[#This Row],[HomeForecast]])^2</f>
        <v>9.0324579369182985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0.55075011770582571</v>
      </c>
      <c r="J530">
        <f>(Table3[[#This Row],[HomeMargin]]-Table3[[#This Row],[HomeForecast]])^2</f>
        <v>12.607826398387935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4.2504407099035843E-2</v>
      </c>
      <c r="J531">
        <f>(Table3[[#This Row],[HomeMargin]]-Table3[[#This Row],[HomeForecast]])^2</f>
        <v>4.1718242530189844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-2.070462711218128</v>
      </c>
      <c r="J532">
        <f>(Table3[[#This Row],[HomeMargin]]-Table3[[#This Row],[HomeForecast]])^2</f>
        <v>4.9649936722092978E-3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0.11417385608860443</v>
      </c>
      <c r="J533">
        <f>(Table3[[#This Row],[HomeMargin]]-Table3[[#This Row],[HomeForecast]])^2</f>
        <v>8.3279925328825151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0.47332182153910929</v>
      </c>
      <c r="J534">
        <f>(Table3[[#This Row],[HomeMargin]]-Table3[[#This Row],[HomeForecast]])^2</f>
        <v>0.27738990366688182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-0.32542763025561994</v>
      </c>
      <c r="J535">
        <f>(Table3[[#This Row],[HomeMargin]]-Table3[[#This Row],[HomeForecast]])^2</f>
        <v>7.1533373610000686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0.25122480807628733</v>
      </c>
      <c r="J536">
        <f>(Table3[[#This Row],[HomeMargin]]-Table3[[#This Row],[HomeForecast]])^2</f>
        <v>0.5606642880403927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-0.69999515078697172</v>
      </c>
      <c r="J537">
        <f>(Table3[[#This Row],[HomeMargin]]-Table3[[#This Row],[HomeForecast]])^2</f>
        <v>5.2900223064034453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-0.77984346097303692</v>
      </c>
      <c r="J538">
        <f>(Table3[[#This Row],[HomeMargin]]-Table3[[#This Row],[HomeForecast]])^2</f>
        <v>3.1678427455684783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0.28173402857093843</v>
      </c>
      <c r="J539">
        <f>(Table3[[#This Row],[HomeMargin]]-Table3[[#This Row],[HomeForecast]])^2</f>
        <v>1.6428421199966872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4.2741035710336148E-2</v>
      </c>
      <c r="J540">
        <f>(Table3[[#This Row],[HomeMargin]]-Table3[[#This Row],[HomeForecast]])^2</f>
        <v>4.172790938974936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8.1487221655910214E-2</v>
      </c>
      <c r="J541">
        <f>(Table3[[#This Row],[HomeMargin]]-Table3[[#This Row],[HomeForecast]])^2</f>
        <v>3.6806912806695586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-0.71685582161442796</v>
      </c>
      <c r="J542">
        <f>(Table3[[#This Row],[HomeMargin]]-Table3[[#This Row],[HomeForecast]])^2</f>
        <v>5.2127473392959294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0.14046706477901477</v>
      </c>
      <c r="J543">
        <f>(Table3[[#This Row],[HomeMargin]]-Table3[[#This Row],[HomeForecast]])^2</f>
        <v>3.4578627371715731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0.58308762901540123</v>
      </c>
      <c r="J544">
        <f>(Table3[[#This Row],[HomeMargin]]-Table3[[#This Row],[HomeForecast]])^2</f>
        <v>5.8414654090183937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0.12924293289735</v>
      </c>
      <c r="J545">
        <f>(Table3[[#This Row],[HomeMargin]]-Table3[[#This Row],[HomeForecast]])^2</f>
        <v>14.982760272525107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-0.87305299196376163</v>
      </c>
      <c r="J546">
        <f>(Table3[[#This Row],[HomeMargin]]-Table3[[#This Row],[HomeForecast]])^2</f>
        <v>1.2700095589218292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-0.88018970187059076</v>
      </c>
      <c r="J547">
        <f>(Table3[[#This Row],[HomeMargin]]-Table3[[#This Row],[HomeForecast]])^2</f>
        <v>1.4354507537857924E-2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0.85473975000592983</v>
      </c>
      <c r="J548">
        <f>(Table3[[#This Row],[HomeMargin]]-Table3[[#This Row],[HomeForecast]])^2</f>
        <v>3.4400595402520588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0.53106156098949164</v>
      </c>
      <c r="J549">
        <f>(Table3[[#This Row],[HomeMargin]]-Table3[[#This Row],[HomeForecast]])^2</f>
        <v>12.033533893644663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-0.6944134304636167</v>
      </c>
      <c r="J550">
        <f>(Table3[[#This Row],[HomeMargin]]-Table3[[#This Row],[HomeForecast]])^2</f>
        <v>18.53807570777208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2.0399837829004888</v>
      </c>
      <c r="J551">
        <f>(Table3[[#This Row],[HomeMargin]]-Table3[[#This Row],[HomeForecast]])^2</f>
        <v>1.081566268696011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-0.18685111790812892</v>
      </c>
      <c r="J552">
        <f>(Table3[[#This Row],[HomeMargin]]-Table3[[#This Row],[HomeForecast]])^2</f>
        <v>1.4086155760797754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0.72390745761762232</v>
      </c>
      <c r="J553">
        <f>(Table3[[#This Row],[HomeMargin]]-Table3[[#This Row],[HomeForecast]])^2</f>
        <v>13.867486752900145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0.4504539317871733</v>
      </c>
      <c r="J554">
        <f>(Table3[[#This Row],[HomeMargin]]-Table3[[#This Row],[HomeForecast]])^2</f>
        <v>2.1038166082368694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0.27082880965044537</v>
      </c>
      <c r="J555">
        <f>(Table3[[#This Row],[HomeMargin]]-Table3[[#This Row],[HomeForecast]])^2</f>
        <v>0.53169062483578633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0.59657374802614982</v>
      </c>
      <c r="J556">
        <f>(Table3[[#This Row],[HomeMargin]]-Table3[[#This Row],[HomeForecast]])^2</f>
        <v>2.5490477328862675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9.2422326912529468E-2</v>
      </c>
      <c r="J557">
        <f>(Table3[[#This Row],[HomeMargin]]-Table3[[#This Row],[HomeForecast]])^2</f>
        <v>0.82369723268686745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-0.29060783293492931</v>
      </c>
      <c r="J558">
        <f>(Table3[[#This Row],[HomeMargin]]-Table3[[#This Row],[HomeForecast]])^2</f>
        <v>10.828099910172712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1.2277275050354557</v>
      </c>
      <c r="J559">
        <f>(Table3[[#This Row],[HomeMargin]]-Table3[[#This Row],[HomeForecast]])^2</f>
        <v>27.329134866904234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0.59696442269690442</v>
      </c>
      <c r="J560">
        <f>(Table3[[#This Row],[HomeMargin]]-Table3[[#This Row],[HomeForecast]])^2</f>
        <v>5.7745799857844222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0.14391023099106476</v>
      </c>
      <c r="J561">
        <f>(Table3[[#This Row],[HomeMargin]]-Table3[[#This Row],[HomeForecast]])^2</f>
        <v>14.869428306655383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-0.24533765493777454</v>
      </c>
      <c r="J562">
        <f>(Table3[[#This Row],[HomeMargin]]-Table3[[#This Row],[HomeForecast]])^2</f>
        <v>5.0415411846814635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-0.10987479126358526</v>
      </c>
      <c r="J563">
        <f>(Table3[[#This Row],[HomeMargin]]-Table3[[#This Row],[HomeForecast]])^2</f>
        <v>1.2318220522823871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0.56842033092168642</v>
      </c>
      <c r="J564">
        <f>(Table3[[#This Row],[HomeMargin]]-Table3[[#This Row],[HomeForecast]])^2</f>
        <v>2.0494203489183738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0.18042326696278871</v>
      </c>
      <c r="J565">
        <f>(Table3[[#This Row],[HomeMargin]]-Table3[[#This Row],[HomeForecast]])^2</f>
        <v>4.7542456231126797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0.41666382402151364</v>
      </c>
      <c r="J566">
        <f>(Table3[[#This Row],[HomeMargin]]-Table3[[#This Row],[HomeForecast]])^2</f>
        <v>2.5069534461621763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0.61568629256358365</v>
      </c>
      <c r="J567">
        <f>(Table3[[#This Row],[HomeMargin]]-Table3[[#This Row],[HomeForecast]])^2</f>
        <v>13.073187366232194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1.9429003523611335E-2</v>
      </c>
      <c r="J568">
        <f>(Table3[[#This Row],[HomeMargin]]-Table3[[#This Row],[HomeForecast]])^2</f>
        <v>16.155809514366812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0.84291966448756039</v>
      </c>
      <c r="J569">
        <f>(Table3[[#This Row],[HomeMargin]]-Table3[[#This Row],[HomeForecast]])^2</f>
        <v>9.9671562448793392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-0.46725098475392257</v>
      </c>
      <c r="J570">
        <f>(Table3[[#This Row],[HomeMargin]]-Table3[[#This Row],[HomeForecast]])^2</f>
        <v>2.1528254522613555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-2.9651826944071535E-4</v>
      </c>
      <c r="J571">
        <f>(Table3[[#This Row],[HomeMargin]]-Table3[[#This Row],[HomeForecast]])^2</f>
        <v>1.0005931244619657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-1.1911552168863815</v>
      </c>
      <c r="J572">
        <f>(Table3[[#This Row],[HomeMargin]]-Table3[[#This Row],[HomeForecast]])^2</f>
        <v>7.8896090156245906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-0.17284631299168318</v>
      </c>
      <c r="J573">
        <f>(Table3[[#This Row],[HomeMargin]]-Table3[[#This Row],[HomeForecast]])^2</f>
        <v>3.3384905959480866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-0.23982388361880844</v>
      </c>
      <c r="J574">
        <f>(Table3[[#This Row],[HomeMargin]]-Table3[[#This Row],[HomeForecast]])^2</f>
        <v>1.5371632623916247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4.5250768185963047E-3</v>
      </c>
      <c r="J575">
        <f>(Table3[[#This Row],[HomeMargin]]-Table3[[#This Row],[HomeForecast]])^2</f>
        <v>0.99097032268302165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0.49509821870770893</v>
      </c>
      <c r="J576">
        <f>(Table3[[#This Row],[HomeMargin]]-Table3[[#This Row],[HomeForecast]])^2</f>
        <v>0.25492580875212856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0.35906282846293369</v>
      </c>
      <c r="J577">
        <f>(Table3[[#This Row],[HomeMargin]]-Table3[[#This Row],[HomeForecast]])^2</f>
        <v>5.5651774286355362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0.28733945330094368</v>
      </c>
      <c r="J578">
        <f>(Table3[[#This Row],[HomeMargin]]-Table3[[#This Row],[HomeForecast]])^2</f>
        <v>5.2319217746270601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0.73484256287424154</v>
      </c>
      <c r="J579">
        <f>(Table3[[#This Row],[HomeMargin]]-Table3[[#This Row],[HomeForecast]])^2</f>
        <v>5.1309382149661351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1.8312424469650983</v>
      </c>
      <c r="J580">
        <f>(Table3[[#This Row],[HomeMargin]]-Table3[[#This Row],[HomeForecast]])^2</f>
        <v>1.3659942177761311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4.7617054298966094E-3</v>
      </c>
      <c r="J581">
        <f>(Table3[[#This Row],[HomeMargin]]-Table3[[#This Row],[HomeForecast]])^2</f>
        <v>16.038116317277776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0.33528642571778999</v>
      </c>
      <c r="J582">
        <f>(Table3[[#This Row],[HomeMargin]]-Table3[[#This Row],[HomeForecast]])^2</f>
        <v>11.124135541577351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-0.50346518757889791</v>
      </c>
      <c r="J583">
        <f>(Table3[[#This Row],[HomeMargin]]-Table3[[#This Row],[HomeForecast]])^2</f>
        <v>2.2396164447882629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1.6191032180976104</v>
      </c>
      <c r="J584">
        <f>(Table3[[#This Row],[HomeMargin]]-Table3[[#This Row],[HomeForecast]])^2</f>
        <v>0.38328879465881732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-0.77910908825199132</v>
      </c>
      <c r="J585">
        <f>(Table3[[#This Row],[HomeMargin]]-Table3[[#This Row],[HomeForecast]])^2</f>
        <v>3.1652291479008317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0.36452896857031913</v>
      </c>
      <c r="J586">
        <f>(Table3[[#This Row],[HomeMargin]]-Table3[[#This Row],[HomeForecast]])^2</f>
        <v>13.216649620364388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0.37557347211343201</v>
      </c>
      <c r="J587">
        <f>(Table3[[#This Row],[HomeMargin]]-Table3[[#This Row],[HomeForecast]])^2</f>
        <v>1.892202377182203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0.98830620873536179</v>
      </c>
      <c r="J588">
        <f>(Table3[[#This Row],[HomeMargin]]-Table3[[#This Row],[HomeForecast]])^2</f>
        <v>3.9533615796955881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0.30307694779364525</v>
      </c>
      <c r="J589">
        <f>(Table3[[#This Row],[HomeMargin]]-Table3[[#This Row],[HomeForecast]])^2</f>
        <v>0.48570174069662148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-1.6532078313121673E-2</v>
      </c>
      <c r="J590">
        <f>(Table3[[#This Row],[HomeMargin]]-Table3[[#This Row],[HomeForecast]])^2</f>
        <v>0.96720915298710786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3.4144423514772843E-2</v>
      </c>
      <c r="J591">
        <f>(Table3[[#This Row],[HomeMargin]]-Table3[[#This Row],[HomeForecast]])^2</f>
        <v>8.7962993005685188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0.39908693856081645</v>
      </c>
      <c r="J592">
        <f>(Table3[[#This Row],[HomeMargin]]-Table3[[#This Row],[HomeForecast]])^2</f>
        <v>21.168400998921683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0.53657533230845766</v>
      </c>
      <c r="J593">
        <f>(Table3[[#This Row],[HomeMargin]]-Table3[[#This Row],[HomeForecast]])^2</f>
        <v>20.58051574570959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0.21975603650400194</v>
      </c>
      <c r="J594">
        <f>(Table3[[#This Row],[HomeMargin]]-Table3[[#This Row],[HomeForecast]])^2</f>
        <v>7.7297564965559369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0.61349988132811983</v>
      </c>
      <c r="J595">
        <f>(Table3[[#This Row],[HomeMargin]]-Table3[[#This Row],[HomeForecast]])^2</f>
        <v>5.6953828164208984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-0.21609366076065806</v>
      </c>
      <c r="J596">
        <f>(Table3[[#This Row],[HomeMargin]]-Table3[[#This Row],[HomeForecast]])^2</f>
        <v>1.4788837917422586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1.2420238321218391</v>
      </c>
      <c r="J597">
        <f>(Table3[[#This Row],[HomeMargin]]-Table3[[#This Row],[HomeForecast]])^2</f>
        <v>5.0266708638022966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-0.52929728802481213</v>
      </c>
      <c r="J598">
        <f>(Table3[[#This Row],[HomeMargin]]-Table3[[#This Row],[HomeForecast]])^2</f>
        <v>2.1629664670111723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9.0728297555328852E-2</v>
      </c>
      <c r="J599">
        <f>(Table3[[#This Row],[HomeMargin]]-Table3[[#This Row],[HomeForecast]])^2</f>
        <v>24.100948648423998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-0.44384197847581491</v>
      </c>
      <c r="J600">
        <f>(Table3[[#This Row],[HomeMargin]]-Table3[[#This Row],[HomeForecast]])^2</f>
        <v>0.30931174490569585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0.24737499381662706</v>
      </c>
      <c r="J601">
        <f>(Table3[[#This Row],[HomeMargin]]-Table3[[#This Row],[HomeForecast]])^2</f>
        <v>3.0716944122992684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-0.5661481643469517</v>
      </c>
      <c r="J602">
        <f>(Table3[[#This Row],[HomeMargin]]-Table3[[#This Row],[HomeForecast]])^2</f>
        <v>2.4528200726873264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-2.0880855477746652E-2</v>
      </c>
      <c r="J603">
        <f>(Table3[[#This Row],[HomeMargin]]-Table3[[#This Row],[HomeForecast]])^2</f>
        <v>4.0839594320364681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-0.22925994592926846</v>
      </c>
      <c r="J604">
        <f>(Table3[[#This Row],[HomeMargin]]-Table3[[#This Row],[HomeForecast]])^2</f>
        <v>7.6770004472318796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-1.6393878135041842</v>
      </c>
      <c r="J605">
        <f>(Table3[[#This Row],[HomeMargin]]-Table3[[#This Row],[HomeForecast]])^2</f>
        <v>0.40881677605766137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-0.62617560429961572</v>
      </c>
      <c r="J606">
        <f>(Table3[[#This Row],[HomeMargin]]-Table3[[#This Row],[HomeForecast]])^2</f>
        <v>0.13974467882075747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-0.28996614421933209</v>
      </c>
      <c r="J607">
        <f>(Table3[[#This Row],[HomeMargin]]-Table3[[#This Row],[HomeForecast]])^2</f>
        <v>5.2439449416707555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-0.36495974411950588</v>
      </c>
      <c r="J608">
        <f>(Table3[[#This Row],[HomeMargin]]-Table3[[#This Row],[HomeForecast]])^2</f>
        <v>13.213517661871728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-1.0407077669261489E-2</v>
      </c>
      <c r="J609">
        <f>(Table3[[#This Row],[HomeMargin]]-Table3[[#This Row],[HomeForecast]])^2</f>
        <v>1.0209224626041371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-0.38913526828843964</v>
      </c>
      <c r="J610">
        <f>(Table3[[#This Row],[HomeMargin]]-Table3[[#This Row],[HomeForecast]])^2</f>
        <v>11.486237866756552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0.76155551239441899</v>
      </c>
      <c r="J611">
        <f>(Table3[[#This Row],[HomeMargin]]-Table3[[#This Row],[HomeForecast]])^2</f>
        <v>5.6855773669488074E-2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0.25285721540497552</v>
      </c>
      <c r="J612">
        <f>(Table3[[#This Row],[HomeMargin]]-Table3[[#This Row],[HomeForecast]])^2</f>
        <v>1.5696512021923092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0.53438892107299385</v>
      </c>
      <c r="J613">
        <f>(Table3[[#This Row],[HomeMargin]]-Table3[[#This Row],[HomeForecast]])^2</f>
        <v>0.21679367681957076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-0.18461704256616368</v>
      </c>
      <c r="J614">
        <f>(Table3[[#This Row],[HomeMargin]]-Table3[[#This Row],[HomeForecast]])^2</f>
        <v>1.4033175375382041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1.9175422008191878</v>
      </c>
      <c r="J615">
        <f>(Table3[[#This Row],[HomeMargin]]-Table3[[#This Row],[HomeForecast]])^2</f>
        <v>1.1717148870073675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-0.18903752914359279</v>
      </c>
      <c r="J616">
        <f>(Table3[[#This Row],[HomeMargin]]-Table3[[#This Row],[HomeForecast]])^2</f>
        <v>4.7918853039990861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0.36585639281873983</v>
      </c>
      <c r="J617">
        <f>(Table3[[#This Row],[HomeMargin]]-Table3[[#This Row],[HomeForecast]])^2</f>
        <v>11.328989257078778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0.27148964068097137</v>
      </c>
      <c r="J618">
        <f>(Table3[[#This Row],[HomeMargin]]-Table3[[#This Row],[HomeForecast]])^2</f>
        <v>1.6166859063590253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-1.0715517147900862</v>
      </c>
      <c r="J619">
        <f>(Table3[[#This Row],[HomeMargin]]-Table3[[#This Row],[HomeForecast]])^2</f>
        <v>0.86201621830922948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0.70879351533379409</v>
      </c>
      <c r="J620">
        <f>(Table3[[#This Row],[HomeMargin]]-Table3[[#This Row],[HomeForecast]])^2</f>
        <v>2.9199752780468256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-0.37401494271297214</v>
      </c>
      <c r="J621">
        <f>(Table3[[#This Row],[HomeMargin]]-Table3[[#This Row],[HomeForecast]])^2</f>
        <v>6.8957975210947557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-0.1034288355075418</v>
      </c>
      <c r="J622">
        <f>(Table3[[#This Row],[HomeMargin]]-Table3[[#This Row],[HomeForecast]])^2</f>
        <v>3.5969821819842784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-0.49253008232227868</v>
      </c>
      <c r="J623">
        <f>(Table3[[#This Row],[HomeMargin]]-Table3[[#This Row],[HomeForecast]])^2</f>
        <v>0.25752571734783325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0.15804057046477643</v>
      </c>
      <c r="J624">
        <f>(Table3[[#This Row],[HomeMargin]]-Table3[[#This Row],[HomeForecast]])^2</f>
        <v>1.3410579628423849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-0.34036661155430903</v>
      </c>
      <c r="J625">
        <f>(Table3[[#This Row],[HomeMargin]]-Table3[[#This Row],[HomeForecast]])^2</f>
        <v>18.838782322695433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0.13543337920081483</v>
      </c>
      <c r="J626">
        <f>(Table3[[#This Row],[HomeMargin]]-Table3[[#This Row],[HomeForecast]])^2</f>
        <v>14.934875166595234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-0.58640725506458047</v>
      </c>
      <c r="J627">
        <f>(Table3[[#This Row],[HomeMargin]]-Table3[[#This Row],[HomeForecast]])^2</f>
        <v>5.8254299384048931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-0.72281508584676724</v>
      </c>
      <c r="J628">
        <f>(Table3[[#This Row],[HomeMargin]]-Table3[[#This Row],[HomeForecast]])^2</f>
        <v>7.6831476634135018E-2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-6.1106850330517312E-2</v>
      </c>
      <c r="J629">
        <f>(Table3[[#This Row],[HomeMargin]]-Table3[[#This Row],[HomeForecast]])^2</f>
        <v>0.88152034649628164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-0.32288585741425541</v>
      </c>
      <c r="J630">
        <f>(Table3[[#This Row],[HomeMargin]]-Table3[[#This Row],[HomeForecast]])^2</f>
        <v>18.687342136232182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2.8940448977783562</v>
      </c>
      <c r="J631">
        <f>(Table3[[#This Row],[HomeMargin]]-Table3[[#This Row],[HomeForecast]])^2</f>
        <v>4.4350468925733741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0.65707142288703091</v>
      </c>
      <c r="J632">
        <f>(Table3[[#This Row],[HomeMargin]]-Table3[[#This Row],[HomeForecast]])^2</f>
        <v>13.374171392096972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9.5452934547258464E-2</v>
      </c>
      <c r="J633">
        <f>(Table3[[#This Row],[HomeMargin]]-Table3[[#This Row],[HomeForecast]])^2</f>
        <v>0.81820539361916633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0.1056942720993249</v>
      </c>
      <c r="J634">
        <f>(Table3[[#This Row],[HomeMargin]]-Table3[[#This Row],[HomeForecast]])^2</f>
        <v>16.856725455949206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-0.69888422736895806</v>
      </c>
      <c r="J635">
        <f>(Table3[[#This Row],[HomeMargin]]-Table3[[#This Row],[HomeForecast]])^2</f>
        <v>2.8862076180030214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0.54007361211755922</v>
      </c>
      <c r="J636">
        <f>(Table3[[#This Row],[HomeMargin]]-Table3[[#This Row],[HomeForecast]])^2</f>
        <v>6.4519739549759452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0.53657533230845766</v>
      </c>
      <c r="J637">
        <f>(Table3[[#This Row],[HomeMargin]]-Table3[[#This Row],[HomeForecast]])^2</f>
        <v>6.0684610933911856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0.41910934227773589</v>
      </c>
      <c r="J638">
        <f>(Table3[[#This Row],[HomeMargin]]-Table3[[#This Row],[HomeForecast]])^2</f>
        <v>5.8520900098954192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-1.0935885243121781</v>
      </c>
      <c r="J639">
        <f>(Table3[[#This Row],[HomeMargin]]-Table3[[#This Row],[HomeForecast]])^2</f>
        <v>4.3831129091316434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-0.70630444219626887</v>
      </c>
      <c r="J640">
        <f>(Table3[[#This Row],[HomeMargin]]-Table3[[#This Row],[HomeForecast]])^2</f>
        <v>1.6736481962811074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-7.3159330088697461E-2</v>
      </c>
      <c r="J641">
        <f>(Table3[[#This Row],[HomeMargin]]-Table3[[#This Row],[HomeForecast]])^2</f>
        <v>24.273758986692055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-0.28752774379725343</v>
      </c>
      <c r="J642">
        <f>(Table3[[#This Row],[HomeMargin]]-Table3[[#This Row],[HomeForecast]])^2</f>
        <v>1.6577276910476459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0.19891561586898021</v>
      </c>
      <c r="J643">
        <f>(Table3[[#This Row],[HomeMargin]]-Table3[[#This Row],[HomeForecast]])^2</f>
        <v>0.64173619049857522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0.10899871440361514</v>
      </c>
      <c r="J644">
        <f>(Table3[[#This Row],[HomeMargin]]-Table3[[#This Row],[HomeForecast]])^2</f>
        <v>8.3578884333199497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0.18007766612135048</v>
      </c>
      <c r="J645">
        <f>(Table3[[#This Row],[HomeMargin]]-Table3[[#This Row],[HomeForecast]])^2</f>
        <v>0.6722726335930117</v>
      </c>
    </row>
    <row r="646" spans="4:10" x14ac:dyDescent="0.2">
      <c r="D646" t="s">
        <v>34</v>
      </c>
      <c r="F646" t="s">
        <v>31</v>
      </c>
    </row>
    <row r="647" spans="4:10" x14ac:dyDescent="0.2">
      <c r="D647" t="s">
        <v>15</v>
      </c>
      <c r="F647" t="s">
        <v>11</v>
      </c>
    </row>
    <row r="648" spans="4:10" x14ac:dyDescent="0.2">
      <c r="D648" t="s">
        <v>20</v>
      </c>
      <c r="F648" t="s">
        <v>35</v>
      </c>
    </row>
    <row r="649" spans="4:10" x14ac:dyDescent="0.2">
      <c r="D649" t="s">
        <v>32</v>
      </c>
      <c r="F649" t="s">
        <v>38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623" activePane="bottomLeft" state="frozen"/>
      <selection activeCell="I1" sqref="I1"/>
      <selection pane="bottomLeft" activeCell="P647" sqref="P64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7.4217653904830524E-2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0.19285186127150866</v>
      </c>
      <c r="H2" t="s">
        <v>10</v>
      </c>
      <c r="I2">
        <f>VLOOKUP(Table4[[#This Row],[Visitor]],'NHL Model'!$A$6:$B$38,2,FALSE)</f>
        <v>-0.39984103039900787</v>
      </c>
      <c r="J2">
        <f>($B$1+Table4[[#This Row],[Home Differential]])-Table4[[#This Row],[Away Differential]]</f>
        <v>0.66691054557534701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0.61269502477354687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0.15000514383516347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1.584470710005189E-2</v>
      </c>
      <c r="H3" t="s">
        <v>12</v>
      </c>
      <c r="I3">
        <f>VLOOKUP(Table4[[#This Row],[Visitor]],'NHL Model'!$A$6:$B$38,2,FALSE)</f>
        <v>1.8591692540144091</v>
      </c>
      <c r="J3">
        <f>($B$1+Table4[[#This Row],[Home Differential]])-Table4[[#This Row],[Away Differential]]</f>
        <v>-1.7691068930095266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6.9155586058855925E-2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359</v>
      </c>
      <c r="V3">
        <f>COUNTIF(Table4[Locked Correct],"YES")</f>
        <v>349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-6.2506340836952119E-3</v>
      </c>
      <c r="H4" t="s">
        <v>14</v>
      </c>
      <c r="I4">
        <f>VLOOKUP(Table4[[#This Row],[Visitor]],'NHL Model'!$A$6:$B$38,2,FALSE)</f>
        <v>3.9336367625328564E-2</v>
      </c>
      <c r="J4">
        <f>($B$1+Table4[[#This Row],[Home Differential]])-Table4[[#This Row],[Away Differential]]</f>
        <v>2.8630652195806752E-2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0.28707975316394801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280</v>
      </c>
      <c r="V4">
        <f>COUNTIF(Table4[Locked Correct],"NO")</f>
        <v>290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7.1049614431123245E-2</v>
      </c>
      <c r="H5" t="s">
        <v>16</v>
      </c>
      <c r="I5">
        <f>VLOOKUP(Table4[[#This Row],[Visitor]],'NHL Model'!$A$6:$B$38,2,FALSE)</f>
        <v>-0.21926170023436534</v>
      </c>
      <c r="J5">
        <f>($B$1+Table4[[#This Row],[Home Differential]])-Table4[[#This Row],[Away Differential]]</f>
        <v>0.36452896857031913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0.36058043140126778</v>
      </c>
      <c r="O5">
        <v>-4.1674767740132361E-3</v>
      </c>
      <c r="P5" s="11"/>
      <c r="Q5" t="s">
        <v>16</v>
      </c>
      <c r="R5" t="s">
        <v>248</v>
      </c>
      <c r="T5">
        <f>SUM(T3:T4)</f>
        <v>639</v>
      </c>
      <c r="V5">
        <f>SUM(V3:V4)</f>
        <v>639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-7.3686276472912369E-4</v>
      </c>
      <c r="H6" t="s">
        <v>18</v>
      </c>
      <c r="I6">
        <f>VLOOKUP(Table4[[#This Row],[Visitor]],'NHL Model'!$A$6:$B$38,2,FALSE)</f>
        <v>0.10902894471156278</v>
      </c>
      <c r="J6">
        <f>($B$1+Table4[[#This Row],[Home Differential]])-Table4[[#This Row],[Away Differential]]</f>
        <v>-3.5548153571461377E-2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0.26099459334739084</v>
      </c>
      <c r="O6">
        <v>-4.4363714293103977E-3</v>
      </c>
      <c r="P6" s="11"/>
      <c r="Q6" t="s">
        <v>18</v>
      </c>
      <c r="R6" t="s">
        <v>249</v>
      </c>
      <c r="T6" s="13">
        <f>T3/T5</f>
        <v>0.56181533646322379</v>
      </c>
      <c r="V6" s="13">
        <f>V3/V5</f>
        <v>0.54616588419405321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0.14556378660539449</v>
      </c>
      <c r="H7" t="s">
        <v>13</v>
      </c>
      <c r="I7">
        <f>VLOOKUP(Table4[[#This Row],[Visitor]],'NHL Model'!$A$6:$B$38,2,FALSE)</f>
        <v>1.584470710005189E-2</v>
      </c>
      <c r="J7">
        <f>($B$1+Table4[[#This Row],[Home Differential]])-Table4[[#This Row],[Away Differential]]</f>
        <v>0.20393673341017313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0.28048173584616543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0.45610704431993199</v>
      </c>
      <c r="H8" t="s">
        <v>21</v>
      </c>
      <c r="I8">
        <f>VLOOKUP(Table4[[#This Row],[Visitor]],'NHL Model'!$A$6:$B$38,2,FALSE)</f>
        <v>3.9572996236628868E-2</v>
      </c>
      <c r="J8">
        <f>($B$1+Table4[[#This Row],[Home Differential]])-Table4[[#This Row],[Away Differential]]</f>
        <v>0.49075170198813362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0.36838422746114302</v>
      </c>
      <c r="O8">
        <v>-4.9858230986448791E-3</v>
      </c>
      <c r="P8" s="11"/>
      <c r="Q8" t="s">
        <v>21</v>
      </c>
      <c r="R8" t="s">
        <v>248</v>
      </c>
      <c r="T8">
        <f>SUM(Table4[Error])</f>
        <v>151.29134727157145</v>
      </c>
      <c r="V8">
        <f>COUNTIF(Table4[Locked Correct],"")</f>
        <v>673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3.9572996236628868E-2</v>
      </c>
      <c r="H9" t="s">
        <v>10</v>
      </c>
      <c r="I9">
        <f>VLOOKUP(Table4[[#This Row],[Visitor]],'NHL Model'!$A$6:$B$38,2,FALSE)</f>
        <v>-0.39984103039900787</v>
      </c>
      <c r="J9">
        <f>($B$1+Table4[[#This Row],[Home Differential]])-Table4[[#This Row],[Away Differential]]</f>
        <v>0.51363168054046726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0.60941436298925544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0.15255713983908911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0.18511137883580026</v>
      </c>
      <c r="H10" t="s">
        <v>15</v>
      </c>
      <c r="I10">
        <f>VLOOKUP(Table4[[#This Row],[Visitor]],'NHL Model'!$A$6:$B$38,2,FALSE)</f>
        <v>-6.2506340836952119E-3</v>
      </c>
      <c r="J10">
        <f>($B$1+Table4[[#This Row],[Home Differential]])-Table4[[#This Row],[Away Differential]]</f>
        <v>0.26557966682432599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0.54849968938499227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0.30085190925543298</v>
      </c>
      <c r="O10">
        <v>2.893763878885032E-2</v>
      </c>
      <c r="P10" s="11"/>
      <c r="Q10" t="s">
        <v>23</v>
      </c>
      <c r="R10" t="s">
        <v>249</v>
      </c>
      <c r="T10">
        <v>0.10785499530003352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0.45392063308446812</v>
      </c>
      <c r="H11" t="s">
        <v>24</v>
      </c>
      <c r="I11">
        <f>VLOOKUP(Table4[[#This Row],[Visitor]],'NHL Model'!$A$6:$B$38,2,FALSE)</f>
        <v>-6.1952588060713437E-2</v>
      </c>
      <c r="J11">
        <f>($B$1+Table4[[#This Row],[Home Differential]])-Table4[[#This Row],[Away Differential]]</f>
        <v>0.59009087505001212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0.15577947364307013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1.8591692540144091</v>
      </c>
      <c r="H12" t="s">
        <v>55</v>
      </c>
      <c r="I12">
        <f>VLOOKUP(Table4[[#This Row],[Visitor]],'NHL Model'!$A$6:$B$38,2,FALSE)</f>
        <v>0.3142836898216293</v>
      </c>
      <c r="J12">
        <f>($B$1+Table4[[#This Row],[Home Differential]])-Table4[[#This Row],[Away Differential]]</f>
        <v>1.6191032180976104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2.719892620428906E-2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-8.5361594338821137E-2</v>
      </c>
      <c r="H13" t="s">
        <v>18</v>
      </c>
      <c r="I13">
        <f>VLOOKUP(Table4[[#This Row],[Visitor]],'NHL Model'!$A$6:$B$38,2,FALSE)</f>
        <v>0.10902894471156278</v>
      </c>
      <c r="J13">
        <f>($B$1+Table4[[#This Row],[Home Differential]])-Table4[[#This Row],[Away Differential]]</f>
        <v>-0.1201728851455534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0.25174768014651067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0.19285186127150866</v>
      </c>
      <c r="H14" t="s">
        <v>27</v>
      </c>
      <c r="I14">
        <f>VLOOKUP(Table4[[#This Row],[Visitor]],'NHL Model'!$A$6:$B$38,2,FALSE)</f>
        <v>0.17784181108472058</v>
      </c>
      <c r="J14">
        <f>($B$1+Table4[[#This Row],[Home Differential]])-Table4[[#This Row],[Away Differential]]</f>
        <v>8.922770409161862E-2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0.20875671866243958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-0.3202921716073342</v>
      </c>
      <c r="H15" t="s">
        <v>28</v>
      </c>
      <c r="I15">
        <f>VLOOKUP(Table4[[#This Row],[Visitor]],'NHL Model'!$A$6:$B$38,2,FALSE)</f>
        <v>-0.19727709229606127</v>
      </c>
      <c r="J15">
        <f>($B$1+Table4[[#This Row],[Home Differential]])-Table4[[#This Row],[Away Differential]]</f>
        <v>-4.8797425406442385E-2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0.46526304608786562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0.21646970205495936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3.9336367625328564E-2</v>
      </c>
      <c r="H16" t="s">
        <v>30</v>
      </c>
      <c r="I16">
        <f>VLOOKUP(Table4[[#This Row],[Visitor]],'NHL Model'!$A$6:$B$38,2,FALSE)</f>
        <v>0.16690670582810133</v>
      </c>
      <c r="J16">
        <f>($B$1+Table4[[#This Row],[Home Differential]])-Table4[[#This Row],[Away Differential]]</f>
        <v>-5.3352684297942238E-2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0.49933776911143468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0.24933820766118445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-0.2855111111085496</v>
      </c>
      <c r="H17" t="s">
        <v>31</v>
      </c>
      <c r="I17">
        <f>VLOOKUP(Table4[[#This Row],[Visitor]],'NHL Model'!$A$6:$B$38,2,FALSE)</f>
        <v>-6.6593655044643821E-4</v>
      </c>
      <c r="J17">
        <f>($B$1+Table4[[#This Row],[Home Differential]])-Table4[[#This Row],[Away Differential]]</f>
        <v>-0.21062752065327262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0.23301592438034396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-0.17930549805059143</v>
      </c>
      <c r="H18" t="s">
        <v>20</v>
      </c>
      <c r="I18">
        <f>VLOOKUP(Table4[[#This Row],[Visitor]],'NHL Model'!$A$6:$B$38,2,FALSE)</f>
        <v>0.14556378660539449</v>
      </c>
      <c r="J18">
        <f>($B$1+Table4[[#This Row],[Home Differential]])-Table4[[#This Row],[Away Differential]]</f>
        <v>-0.25065163075115537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0.24225762965991643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-0.96065798985911643</v>
      </c>
      <c r="H19" t="s">
        <v>34</v>
      </c>
      <c r="I19">
        <f>VLOOKUP(Table4[[#This Row],[Visitor]],'NHL Model'!$A$6:$B$38,2,FALSE)</f>
        <v>0.59379638322319717</v>
      </c>
      <c r="J19">
        <f>($B$1+Table4[[#This Row],[Home Differential]])-Table4[[#This Row],[Away Differential]]</f>
        <v>-1.480236719177483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0.10429379650106951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0.79636680320115127</v>
      </c>
      <c r="H20" t="s">
        <v>36</v>
      </c>
      <c r="I20">
        <f>VLOOKUP(Table4[[#This Row],[Visitor]],'NHL Model'!$A$6:$B$38,2,FALSE)</f>
        <v>9.4361646617848058E-2</v>
      </c>
      <c r="J20">
        <f>($B$1+Table4[[#This Row],[Home Differential]])-Table4[[#This Row],[Away Differential]]</f>
        <v>0.77622281048813369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0.36909152397741923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-0.48278309788469043</v>
      </c>
      <c r="H21" t="s">
        <v>16</v>
      </c>
      <c r="I21">
        <f>VLOOKUP(Table4[[#This Row],[Visitor]],'NHL Model'!$A$6:$B$38,2,FALSE)</f>
        <v>-0.21926170023436534</v>
      </c>
      <c r="J21">
        <f>($B$1+Table4[[#This Row],[Home Differential]])-Table4[[#This Row],[Away Differential]]</f>
        <v>-0.18930374374549455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0.23080083440095961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-0.10659687498124908</v>
      </c>
      <c r="H22" t="s">
        <v>39</v>
      </c>
      <c r="I22">
        <f>VLOOKUP(Table4[[#This Row],[Visitor]],'NHL Model'!$A$6:$B$38,2,FALSE)</f>
        <v>0.76796514781800074</v>
      </c>
      <c r="J22">
        <f>($B$1+Table4[[#This Row],[Home Differential]])-Table4[[#This Row],[Away Differential]]</f>
        <v>-0.80034436889441929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0.14407992522850135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3.9572996236628868E-2</v>
      </c>
      <c r="H23" t="s">
        <v>23</v>
      </c>
      <c r="I23">
        <f>VLOOKUP(Table4[[#This Row],[Visitor]],'NHL Model'!$A$6:$B$38,2,FALSE)</f>
        <v>0.18511137883580026</v>
      </c>
      <c r="J23">
        <f>($B$1+Table4[[#This Row],[Home Differential]])-Table4[[#This Row],[Away Differential]]</f>
        <v>-7.1320728694340862E-2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0.20582161932025725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0.45392063308446812</v>
      </c>
      <c r="H24" t="s">
        <v>27</v>
      </c>
      <c r="I24">
        <f>VLOOKUP(Table4[[#This Row],[Visitor]],'NHL Model'!$A$6:$B$38,2,FALSE)</f>
        <v>0.17784181108472058</v>
      </c>
      <c r="J24">
        <f>($B$1+Table4[[#This Row],[Home Differential]])-Table4[[#This Row],[Away Differential]]</f>
        <v>0.35029647590457808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0.15658245792256029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-0.21926170023436534</v>
      </c>
      <c r="H25" t="s">
        <v>35</v>
      </c>
      <c r="I25">
        <f>VLOOKUP(Table4[[#This Row],[Visitor]],'NHL Model'!$A$6:$B$38,2,FALSE)</f>
        <v>-0.96065798985911643</v>
      </c>
      <c r="J25">
        <f>($B$1+Table4[[#This Row],[Home Differential]])-Table4[[#This Row],[Away Differential]]</f>
        <v>0.81561394352958161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0.4443024077331641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-0.39984103039900787</v>
      </c>
      <c r="H26" t="s">
        <v>18</v>
      </c>
      <c r="I26">
        <f>VLOOKUP(Table4[[#This Row],[Visitor]],'NHL Model'!$A$6:$B$38,2,FALSE)</f>
        <v>0.10902894471156278</v>
      </c>
      <c r="J26">
        <f>($B$1+Table4[[#This Row],[Home Differential]])-Table4[[#This Row],[Away Differential]]</f>
        <v>-0.4346523212057401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0.573195213534478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0.18216232574987984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1.8591692540144091</v>
      </c>
      <c r="H27" t="s">
        <v>39</v>
      </c>
      <c r="I27">
        <f>VLOOKUP(Table4[[#This Row],[Visitor]],'NHL Model'!$A$6:$B$38,2,FALSE)</f>
        <v>0.76796514781800074</v>
      </c>
      <c r="J27">
        <f>($B$1+Table4[[#This Row],[Home Differential]])-Table4[[#This Row],[Away Differential]]</f>
        <v>1.1654217601012389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0.51373939448524863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-8.5361594338821137E-2</v>
      </c>
      <c r="H28" t="s">
        <v>19</v>
      </c>
      <c r="I28">
        <f>VLOOKUP(Table4[[#This Row],[Visitor]],'NHL Model'!$A$6:$B$38,2,FALSE)</f>
        <v>-7.3686276472912369E-4</v>
      </c>
      <c r="J28">
        <f>($B$1+Table4[[#This Row],[Home Differential]])-Table4[[#This Row],[Away Differential]]</f>
        <v>-1.0407077669261489E-2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0.17698115127337147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7.1049614431123245E-2</v>
      </c>
      <c r="H29" t="s">
        <v>38</v>
      </c>
      <c r="I29">
        <f>VLOOKUP(Table4[[#This Row],[Visitor]],'NHL Model'!$A$6:$B$38,2,FALSE)</f>
        <v>-0.48278309788469043</v>
      </c>
      <c r="J29">
        <f>($B$1+Table4[[#This Row],[Home Differential]])-Table4[[#This Row],[Away Differential]]</f>
        <v>0.62805036622064425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0.17089435630492547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0.19285186127150866</v>
      </c>
      <c r="H30" t="s">
        <v>36</v>
      </c>
      <c r="I30">
        <f>VLOOKUP(Table4[[#This Row],[Visitor]],'NHL Model'!$A$6:$B$38,2,FALSE)</f>
        <v>9.4361646617848058E-2</v>
      </c>
      <c r="J30">
        <f>($B$1+Table4[[#This Row],[Home Differential]])-Table4[[#This Row],[Away Differential]]</f>
        <v>0.17270786855849113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0.21286467016980101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0.59379638322319717</v>
      </c>
      <c r="H31" t="s">
        <v>28</v>
      </c>
      <c r="I31">
        <f>VLOOKUP(Table4[[#This Row],[Visitor]],'NHL Model'!$A$6:$B$38,2,FALSE)</f>
        <v>-0.19727709229606127</v>
      </c>
      <c r="J31">
        <f>($B$1+Table4[[#This Row],[Home Differential]])-Table4[[#This Row],[Away Differential]]</f>
        <v>0.86529112942408892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0.65560970772141725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0.42982408885856216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-0.3202921716073342</v>
      </c>
      <c r="H32" t="s">
        <v>55</v>
      </c>
      <c r="I32">
        <f>VLOOKUP(Table4[[#This Row],[Visitor]],'NHL Model'!$A$6:$B$38,2,FALSE)</f>
        <v>0.3142836898216293</v>
      </c>
      <c r="J32">
        <f>($B$1+Table4[[#This Row],[Home Differential]])-Table4[[#This Row],[Away Differential]]</f>
        <v>-0.5603582075241329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0.22998025678131706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0.16690670582810133</v>
      </c>
      <c r="H33" t="s">
        <v>22</v>
      </c>
      <c r="I33">
        <f>VLOOKUP(Table4[[#This Row],[Visitor]],'NHL Model'!$A$6:$B$38,2,FALSE)</f>
        <v>0.45610704431993199</v>
      </c>
      <c r="J33">
        <f>($B$1+Table4[[#This Row],[Home Differential]])-Table4[[#This Row],[Away Differential]]</f>
        <v>-0.21498268458700015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0.26968134182012682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3.9336367625328564E-2</v>
      </c>
      <c r="H34" t="s">
        <v>15</v>
      </c>
      <c r="I34">
        <f>VLOOKUP(Table4[[#This Row],[Visitor]],'NHL Model'!$A$6:$B$38,2,FALSE)</f>
        <v>-6.2506340836952119E-3</v>
      </c>
      <c r="J34">
        <f>($B$1+Table4[[#This Row],[Home Differential]])-Table4[[#This Row],[Away Differential]]</f>
        <v>0.1198046556138543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0.2436742265574561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-0.2855111111085496</v>
      </c>
      <c r="H35" t="s">
        <v>20</v>
      </c>
      <c r="I35">
        <f>VLOOKUP(Table4[[#This Row],[Visitor]],'NHL Model'!$A$6:$B$38,2,FALSE)</f>
        <v>0.14556378660539449</v>
      </c>
      <c r="J35">
        <f>($B$1+Table4[[#This Row],[Home Differential]])-Table4[[#This Row],[Away Differential]]</f>
        <v>-0.35685724380911354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0.26962894027236128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-0.17930549805059143</v>
      </c>
      <c r="H36" t="s">
        <v>31</v>
      </c>
      <c r="I36">
        <f>VLOOKUP(Table4[[#This Row],[Visitor]],'NHL Model'!$A$6:$B$38,2,FALSE)</f>
        <v>-6.6593655044643821E-4</v>
      </c>
      <c r="J36">
        <f>($B$1+Table4[[#This Row],[Home Differential]])-Table4[[#This Row],[Away Differential]]</f>
        <v>-0.10442190759531446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0.27956342390115885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0.79636680320115127</v>
      </c>
      <c r="H37" t="s">
        <v>24</v>
      </c>
      <c r="I37">
        <f>VLOOKUP(Table4[[#This Row],[Visitor]],'NHL Model'!$A$6:$B$38,2,FALSE)</f>
        <v>-6.1952588060713437E-2</v>
      </c>
      <c r="J37">
        <f>($B$1+Table4[[#This Row],[Home Differential]])-Table4[[#This Row],[Away Differential]]</f>
        <v>0.93253704516669522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0.37549185322563089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-0.10659687498124908</v>
      </c>
      <c r="H38" t="s">
        <v>13</v>
      </c>
      <c r="I38">
        <f>VLOOKUP(Table4[[#This Row],[Visitor]],'NHL Model'!$A$6:$B$38,2,FALSE)</f>
        <v>1.584470710005189E-2</v>
      </c>
      <c r="J38">
        <f>($B$1+Table4[[#This Row],[Home Differential]])-Table4[[#This Row],[Away Differential]]</f>
        <v>-4.8223928176470442E-2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0.24759732355369221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-6.2506340836952119E-3</v>
      </c>
      <c r="H39" t="s">
        <v>22</v>
      </c>
      <c r="I39">
        <f>VLOOKUP(Table4[[#This Row],[Visitor]],'NHL Model'!$A$6:$B$38,2,FALSE)</f>
        <v>0.45610704431993199</v>
      </c>
      <c r="J39">
        <f>($B$1+Table4[[#This Row],[Home Differential]])-Table4[[#This Row],[Away Differential]]</f>
        <v>-0.3881400244987967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0.24814062965672315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3.9572996236628868E-2</v>
      </c>
      <c r="H40" t="s">
        <v>37</v>
      </c>
      <c r="I40">
        <f>VLOOKUP(Table4[[#This Row],[Visitor]],'NHL Model'!$A$6:$B$38,2,FALSE)</f>
        <v>0.79636680320115127</v>
      </c>
      <c r="J40">
        <f>($B$1+Table4[[#This Row],[Home Differential]])-Table4[[#This Row],[Away Differential]]</f>
        <v>-0.68257615305969188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0.15540705060259749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0.18511137883580026</v>
      </c>
      <c r="H41" t="s">
        <v>12</v>
      </c>
      <c r="I41">
        <f>VLOOKUP(Table4[[#This Row],[Visitor]],'NHL Model'!$A$6:$B$38,2,FALSE)</f>
        <v>1.8591692540144091</v>
      </c>
      <c r="J41">
        <f>($B$1+Table4[[#This Row],[Home Differential]])-Table4[[#This Row],[Away Differential]]</f>
        <v>-1.5998402212737783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0.67973761786250975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0.10256799341237983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-0.19727709229606127</v>
      </c>
      <c r="H42" t="s">
        <v>24</v>
      </c>
      <c r="I42">
        <f>VLOOKUP(Table4[[#This Row],[Visitor]],'NHL Model'!$A$6:$B$38,2,FALSE)</f>
        <v>-6.1952588060713437E-2</v>
      </c>
      <c r="J42">
        <f>($B$1+Table4[[#This Row],[Home Differential]])-Table4[[#This Row],[Away Differential]]</f>
        <v>-6.1106850330517312E-2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0.25102002804040713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-0.39984103039900787</v>
      </c>
      <c r="H43" t="s">
        <v>55</v>
      </c>
      <c r="I43">
        <f>VLOOKUP(Table4[[#This Row],[Visitor]],'NHL Model'!$A$6:$B$38,2,FALSE)</f>
        <v>0.3142836898216293</v>
      </c>
      <c r="J43">
        <f>($B$1+Table4[[#This Row],[Home Differential]])-Table4[[#This Row],[Away Differential]]</f>
        <v>-0.63990706631580663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0.27985916999542026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0.59379638322319717</v>
      </c>
      <c r="H44" t="s">
        <v>13</v>
      </c>
      <c r="I44">
        <f>VLOOKUP(Table4[[#This Row],[Visitor]],'NHL Model'!$A$6:$B$38,2,FALSE)</f>
        <v>1.584470710005189E-2</v>
      </c>
      <c r="J44">
        <f>($B$1+Table4[[#This Row],[Home Differential]])-Table4[[#This Row],[Away Differential]]</f>
        <v>0.65216933002797572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0.60043680740363414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0.15965074487780057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0.16690670582810133</v>
      </c>
      <c r="H45" t="s">
        <v>40</v>
      </c>
      <c r="I45">
        <f>VLOOKUP(Table4[[#This Row],[Visitor]],'NHL Model'!$A$6:$B$38,2,FALSE)</f>
        <v>-0.10659687498124908</v>
      </c>
      <c r="J45">
        <f>($B$1+Table4[[#This Row],[Home Differential]])-Table4[[#This Row],[Away Differential]]</f>
        <v>0.34772123471418093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0.57999895134015977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0.33639878355568503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9.4361646617848058E-2</v>
      </c>
      <c r="H46" t="s">
        <v>29</v>
      </c>
      <c r="I46">
        <f>VLOOKUP(Table4[[#This Row],[Visitor]],'NHL Model'!$A$6:$B$38,2,FALSE)</f>
        <v>-0.3202921716073342</v>
      </c>
      <c r="J46">
        <f>($B$1+Table4[[#This Row],[Home Differential]])-Table4[[#This Row],[Away Differential]]</f>
        <v>0.48887147213001281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0.59272723032890307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0.35132556957337252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0.17784181108472058</v>
      </c>
      <c r="H47" t="s">
        <v>11</v>
      </c>
      <c r="I47">
        <f>VLOOKUP(Table4[[#This Row],[Visitor]],'NHL Model'!$A$6:$B$38,2,FALSE)</f>
        <v>0.19285186127150866</v>
      </c>
      <c r="J47">
        <f>($B$1+Table4[[#This Row],[Home Differential]])-Table4[[#This Row],[Away Differential]]</f>
        <v>5.9207603718042456E-2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0.51407814351304337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0.23612005061173047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-7.3686276472912369E-4</v>
      </c>
      <c r="H48" t="s">
        <v>26</v>
      </c>
      <c r="I48">
        <f>VLOOKUP(Table4[[#This Row],[Visitor]],'NHL Model'!$A$6:$B$38,2,FALSE)</f>
        <v>-8.5361594338821137E-2</v>
      </c>
      <c r="J48">
        <f>($B$1+Table4[[#This Row],[Home Differential]])-Table4[[#This Row],[Away Differential]]</f>
        <v>0.15884238547892254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0.30868411857521283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-0.48278309788469043</v>
      </c>
      <c r="H49" t="s">
        <v>35</v>
      </c>
      <c r="I49">
        <f>VLOOKUP(Table4[[#This Row],[Visitor]],'NHL Model'!$A$6:$B$38,2,FALSE)</f>
        <v>-0.96065798985911643</v>
      </c>
      <c r="J49">
        <f>($B$1+Table4[[#This Row],[Home Differential]])-Table4[[#This Row],[Away Differential]]</f>
        <v>0.55209254587925649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0.35945533290063419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-6.6593655044643821E-4</v>
      </c>
      <c r="H50" t="s">
        <v>14</v>
      </c>
      <c r="I50">
        <f>VLOOKUP(Table4[[#This Row],[Visitor]],'NHL Model'!$A$6:$B$38,2,FALSE)</f>
        <v>3.9336367625328564E-2</v>
      </c>
      <c r="J50">
        <f>($B$1+Table4[[#This Row],[Home Differential]])-Table4[[#This Row],[Away Differential]]</f>
        <v>3.4215349729055516E-2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0.56251382579598097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0.19139415261966927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-0.21926170023436534</v>
      </c>
      <c r="H51" t="s">
        <v>20</v>
      </c>
      <c r="I51">
        <f>VLOOKUP(Table4[[#This Row],[Visitor]],'NHL Model'!$A$6:$B$38,2,FALSE)</f>
        <v>0.14556378660539449</v>
      </c>
      <c r="J51">
        <f>($B$1+Table4[[#This Row],[Home Differential]])-Table4[[#This Row],[Away Differential]]</f>
        <v>-0.29060783293492931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0.27751405556790532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0.76796514781800074</v>
      </c>
      <c r="H52" t="s">
        <v>34</v>
      </c>
      <c r="I52">
        <f>VLOOKUP(Table4[[#This Row],[Visitor]],'NHL Model'!$A$6:$B$38,2,FALSE)</f>
        <v>0.59379638322319717</v>
      </c>
      <c r="J52">
        <f>($B$1+Table4[[#This Row],[Home Differential]])-Table4[[#This Row],[Away Differential]]</f>
        <v>0.24838641849963405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0.21555750862837914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0.10902894471156278</v>
      </c>
      <c r="H53" t="s">
        <v>32</v>
      </c>
      <c r="I53">
        <f>VLOOKUP(Table4[[#This Row],[Visitor]],'NHL Model'!$A$6:$B$38,2,FALSE)</f>
        <v>-0.2855111111085496</v>
      </c>
      <c r="J53">
        <f>($B$1+Table4[[#This Row],[Home Differential]])-Table4[[#This Row],[Away Differential]]</f>
        <v>0.46875770972494291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0.5905578605792382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0.16764286553345054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-6.2506340836952119E-3</v>
      </c>
      <c r="H54" t="s">
        <v>17</v>
      </c>
      <c r="I54">
        <f>VLOOKUP(Table4[[#This Row],[Visitor]],'NHL Model'!$A$6:$B$38,2,FALSE)</f>
        <v>7.1049614431123245E-2</v>
      </c>
      <c r="J54">
        <f>($B$1+Table4[[#This Row],[Home Differential]])-Table4[[#This Row],[Away Differential]]</f>
        <v>-3.0825946099879292E-3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0.46033247322717219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0.29124103945310081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-0.17930549805059143</v>
      </c>
      <c r="H55" t="s">
        <v>25</v>
      </c>
      <c r="I55">
        <f>VLOOKUP(Table4[[#This Row],[Visitor]],'NHL Model'!$A$6:$B$38,2,FALSE)</f>
        <v>0.45392063308446812</v>
      </c>
      <c r="J55">
        <f>($B$1+Table4[[#This Row],[Home Differential]])-Table4[[#This Row],[Away Differential]]</f>
        <v>-0.55900847723022906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0.5776954314726801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0.17834114859904582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-7.3686276472912369E-4</v>
      </c>
      <c r="H56" t="s">
        <v>29</v>
      </c>
      <c r="I56">
        <f>VLOOKUP(Table4[[#This Row],[Visitor]],'NHL Model'!$A$6:$B$38,2,FALSE)</f>
        <v>-0.3202921716073342</v>
      </c>
      <c r="J56">
        <f>($B$1+Table4[[#This Row],[Home Differential]])-Table4[[#This Row],[Away Differential]]</f>
        <v>0.39377296274743562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0.60157581235630908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0.15874183329953503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0.45610704431993199</v>
      </c>
      <c r="H57" t="s">
        <v>37</v>
      </c>
      <c r="I57">
        <f>VLOOKUP(Table4[[#This Row],[Visitor]],'NHL Model'!$A$6:$B$38,2,FALSE)</f>
        <v>0.79636680320115127</v>
      </c>
      <c r="J57">
        <f>($B$1+Table4[[#This Row],[Home Differential]])-Table4[[#This Row],[Away Differential]]</f>
        <v>-0.2660421049763888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0.31456137386355326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0.18511137883580026</v>
      </c>
      <c r="H58" t="s">
        <v>36</v>
      </c>
      <c r="I58">
        <f>VLOOKUP(Table4[[#This Row],[Visitor]],'NHL Model'!$A$6:$B$38,2,FALSE)</f>
        <v>9.4361646617848058E-2</v>
      </c>
      <c r="J58">
        <f>($B$1+Table4[[#This Row],[Home Differential]])-Table4[[#This Row],[Away Differential]]</f>
        <v>0.16496738612278272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0.57593209153865244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0.17983359098678187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-8.5361594338821137E-2</v>
      </c>
      <c r="H59" t="s">
        <v>11</v>
      </c>
      <c r="I59">
        <f>VLOOKUP(Table4[[#This Row],[Visitor]],'NHL Model'!$A$6:$B$38,2,FALSE)</f>
        <v>0.19285186127150866</v>
      </c>
      <c r="J59">
        <f>($B$1+Table4[[#This Row],[Home Differential]])-Table4[[#This Row],[Away Differential]]</f>
        <v>-0.20399580170549927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0.22844625433589358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-0.96065798985911643</v>
      </c>
      <c r="H60" t="s">
        <v>10</v>
      </c>
      <c r="I60">
        <f>VLOOKUP(Table4[[#This Row],[Visitor]],'NHL Model'!$A$6:$B$38,2,FALSE)</f>
        <v>-0.39984103039900787</v>
      </c>
      <c r="J60">
        <f>($B$1+Table4[[#This Row],[Home Differential]])-Table4[[#This Row],[Away Differential]]</f>
        <v>-0.48659930555527808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0.23767363864973567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0.3142836898216293</v>
      </c>
      <c r="H61" t="s">
        <v>16</v>
      </c>
      <c r="I61">
        <f>VLOOKUP(Table4[[#This Row],[Visitor]],'NHL Model'!$A$6:$B$38,2,FALSE)</f>
        <v>-0.21926170023436534</v>
      </c>
      <c r="J61">
        <f>($B$1+Table4[[#This Row],[Home Differential]])-Table4[[#This Row],[Away Differential]]</f>
        <v>0.60776304396082514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0.60555028024992885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0.15559058141090967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-6.6593655044643821E-4</v>
      </c>
      <c r="H62" t="s">
        <v>25</v>
      </c>
      <c r="I62">
        <f>VLOOKUP(Table4[[#This Row],[Visitor]],'NHL Model'!$A$6:$B$38,2,FALSE)</f>
        <v>0.45392063308446812</v>
      </c>
      <c r="J62">
        <f>($B$1+Table4[[#This Row],[Home Differential]])-Table4[[#This Row],[Away Differential]]</f>
        <v>-0.38036891573008402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0.53209611618977559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0.21893404448469198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-0.19727709229606127</v>
      </c>
      <c r="H63" t="s">
        <v>12</v>
      </c>
      <c r="I63">
        <f>VLOOKUP(Table4[[#This Row],[Visitor]],'NHL Model'!$A$6:$B$38,2,FALSE)</f>
        <v>1.8591692540144091</v>
      </c>
      <c r="J63">
        <f>($B$1+Table4[[#This Row],[Home Differential]])-Table4[[#This Row],[Away Differential]]</f>
        <v>-1.9822286924056398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0.76001175369795992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5.759435836312865E-2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0.76796514781800074</v>
      </c>
      <c r="H64" t="s">
        <v>38</v>
      </c>
      <c r="I64">
        <f>VLOOKUP(Table4[[#This Row],[Visitor]],'NHL Model'!$A$6:$B$38,2,FALSE)</f>
        <v>-0.48278309788469043</v>
      </c>
      <c r="J64">
        <f>($B$1+Table4[[#This Row],[Home Differential]])-Table4[[#This Row],[Away Differential]]</f>
        <v>1.3249658996075215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0.66671371468439766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0.44450717734826839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1.584470710005189E-2</v>
      </c>
      <c r="H65" t="s">
        <v>14</v>
      </c>
      <c r="I65">
        <f>VLOOKUP(Table4[[#This Row],[Visitor]],'NHL Model'!$A$6:$B$38,2,FALSE)</f>
        <v>3.9336367625328564E-2</v>
      </c>
      <c r="J65">
        <f>($B$1+Table4[[#This Row],[Home Differential]])-Table4[[#This Row],[Away Differential]]</f>
        <v>5.0725993379553844E-2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0.53818133215137309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0.28963914627622656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0.10902894471156278</v>
      </c>
      <c r="H66" t="s">
        <v>29</v>
      </c>
      <c r="I66">
        <f>VLOOKUP(Table4[[#This Row],[Visitor]],'NHL Model'!$A$6:$B$38,2,FALSE)</f>
        <v>-0.3202921716073342</v>
      </c>
      <c r="J66">
        <f>($B$1+Table4[[#This Row],[Home Differential]])-Table4[[#This Row],[Away Differential]]</f>
        <v>0.50353877022372751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0.59430917169586484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0.16458504817009528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-6.1952588060713437E-2</v>
      </c>
      <c r="H67" t="s">
        <v>11</v>
      </c>
      <c r="I67">
        <f>VLOOKUP(Table4[[#This Row],[Visitor]],'NHL Model'!$A$6:$B$38,2,FALSE)</f>
        <v>0.19285186127150866</v>
      </c>
      <c r="J67">
        <f>($B$1+Table4[[#This Row],[Home Differential]])-Table4[[#This Row],[Away Differential]]</f>
        <v>-0.18058679542739159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0.26663962712808303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0.16690670582810133</v>
      </c>
      <c r="H68" t="s">
        <v>17</v>
      </c>
      <c r="I68">
        <f>VLOOKUP(Table4[[#This Row],[Visitor]],'NHL Model'!$A$6:$B$38,2,FALSE)</f>
        <v>7.1049614431123245E-2</v>
      </c>
      <c r="J68">
        <f>($B$1+Table4[[#This Row],[Home Differential]])-Table4[[#This Row],[Away Differential]]</f>
        <v>0.17007474530180861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0.56083889005952092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0.19286248048415355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9.4361646617848058E-2</v>
      </c>
      <c r="H69" t="s">
        <v>32</v>
      </c>
      <c r="I69">
        <f>VLOOKUP(Table4[[#This Row],[Visitor]],'NHL Model'!$A$6:$B$38,2,FALSE)</f>
        <v>-0.2855111111085496</v>
      </c>
      <c r="J69">
        <f>($B$1+Table4[[#This Row],[Home Differential]])-Table4[[#This Row],[Away Differential]]</f>
        <v>0.45409041163122821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0.58897591921227643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0.16894079498739312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0.17784181108472058</v>
      </c>
      <c r="H70" t="s">
        <v>40</v>
      </c>
      <c r="I70">
        <f>VLOOKUP(Table4[[#This Row],[Visitor]],'NHL Model'!$A$6:$B$38,2,FALSE)</f>
        <v>-0.10659687498124908</v>
      </c>
      <c r="J70">
        <f>($B$1+Table4[[#This Row],[Home Differential]])-Table4[[#This Row],[Away Differential]]</f>
        <v>0.35865633997080021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0.58323733330742245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0.34016578696355337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-7.3686276472912369E-4</v>
      </c>
      <c r="H71" t="s">
        <v>15</v>
      </c>
      <c r="I71">
        <f>VLOOKUP(Table4[[#This Row],[Visitor]],'NHL Model'!$A$6:$B$38,2,FALSE)</f>
        <v>-6.2506340836952119E-3</v>
      </c>
      <c r="J71">
        <f>($B$1+Table4[[#This Row],[Home Differential]])-Table4[[#This Row],[Away Differential]]</f>
        <v>7.9731425223796615E-2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0.24147451774642034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0.14556378660539449</v>
      </c>
      <c r="H72" t="s">
        <v>21</v>
      </c>
      <c r="I72">
        <f>VLOOKUP(Table4[[#This Row],[Visitor]],'NHL Model'!$A$6:$B$38,2,FALSE)</f>
        <v>3.9572996236628868E-2</v>
      </c>
      <c r="J72">
        <f>($B$1+Table4[[#This Row],[Home Differential]])-Table4[[#This Row],[Away Differential]]</f>
        <v>0.18020844427359617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0.55943638091015513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0.19409630246554194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-0.39984103039900787</v>
      </c>
      <c r="H73" t="s">
        <v>38</v>
      </c>
      <c r="I73">
        <f>VLOOKUP(Table4[[#This Row],[Visitor]],'NHL Model'!$A$6:$B$38,2,FALSE)</f>
        <v>-0.48278309788469043</v>
      </c>
      <c r="J73">
        <f>($B$1+Table4[[#This Row],[Home Differential]])-Table4[[#This Row],[Away Differential]]</f>
        <v>0.1571597213905131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0.26464635110222973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-8.5361594338821137E-2</v>
      </c>
      <c r="H74" t="s">
        <v>37</v>
      </c>
      <c r="I74">
        <f>VLOOKUP(Table4[[#This Row],[Visitor]],'NHL Model'!$A$6:$B$38,2,FALSE)</f>
        <v>0.79636680320115127</v>
      </c>
      <c r="J74">
        <f>($B$1+Table4[[#This Row],[Home Differential]])-Table4[[#This Row],[Away Differential]]</f>
        <v>-0.80751074363514186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0.35093114981438056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0.3142836898216293</v>
      </c>
      <c r="H75" t="s">
        <v>33</v>
      </c>
      <c r="I75">
        <f>VLOOKUP(Table4[[#This Row],[Visitor]],'NHL Model'!$A$6:$B$38,2,FALSE)</f>
        <v>-0.17930549805059143</v>
      </c>
      <c r="J75">
        <f>($B$1+Table4[[#This Row],[Home Differential]])-Table4[[#This Row],[Away Differential]]</f>
        <v>0.56780684177705121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0.59395108462502255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0.16487572167719561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0.45610704431993199</v>
      </c>
      <c r="H76" t="s">
        <v>34</v>
      </c>
      <c r="I76">
        <f>VLOOKUP(Table4[[#This Row],[Visitor]],'NHL Model'!$A$6:$B$38,2,FALSE)</f>
        <v>0.59379638322319717</v>
      </c>
      <c r="J76">
        <f>($B$1+Table4[[#This Row],[Home Differential]])-Table4[[#This Row],[Away Differential]]</f>
        <v>-6.3471684998434696E-2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0.51011371214340051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0.26021599931672007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0.18511137883580026</v>
      </c>
      <c r="H77" t="s">
        <v>11</v>
      </c>
      <c r="I77">
        <f>VLOOKUP(Table4[[#This Row],[Visitor]],'NHL Model'!$A$6:$B$38,2,FALSE)</f>
        <v>0.19285186127150866</v>
      </c>
      <c r="J77">
        <f>($B$1+Table4[[#This Row],[Home Differential]])-Table4[[#This Row],[Away Differential]]</f>
        <v>6.6477171469122132E-2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0.20309572474638057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-0.19727709229606127</v>
      </c>
      <c r="H78" t="s">
        <v>37</v>
      </c>
      <c r="I78">
        <f>VLOOKUP(Table4[[#This Row],[Visitor]],'NHL Model'!$A$6:$B$38,2,FALSE)</f>
        <v>0.79636680320115127</v>
      </c>
      <c r="J78">
        <f>($B$1+Table4[[#This Row],[Home Differential]])-Table4[[#This Row],[Away Differential]]</f>
        <v>-0.91942624159238207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0.41651947530773153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1.8591692540144091</v>
      </c>
      <c r="H79" t="s">
        <v>21</v>
      </c>
      <c r="I79">
        <f>VLOOKUP(Table4[[#This Row],[Visitor]],'NHL Model'!$A$6:$B$38,2,FALSE)</f>
        <v>3.9572996236628868E-2</v>
      </c>
      <c r="J79">
        <f>($B$1+Table4[[#This Row],[Home Differential]])-Table4[[#This Row],[Away Differential]]</f>
        <v>1.8938139116826107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0.8647079509943264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1.8303938524153587E-2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1.584470710005189E-2</v>
      </c>
      <c r="H80" t="s">
        <v>25</v>
      </c>
      <c r="I80">
        <f>VLOOKUP(Table4[[#This Row],[Visitor]],'NHL Model'!$A$6:$B$38,2,FALSE)</f>
        <v>0.45392063308446812</v>
      </c>
      <c r="J80">
        <f>($B$1+Table4[[#This Row],[Home Differential]])-Table4[[#This Row],[Away Differential]]</f>
        <v>-0.36385827207958571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0.55664750701335697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0.19656143303747137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0.10902894471156278</v>
      </c>
      <c r="H81" t="s">
        <v>15</v>
      </c>
      <c r="I81">
        <f>VLOOKUP(Table4[[#This Row],[Visitor]],'NHL Model'!$A$6:$B$38,2,FALSE)</f>
        <v>-6.2506340836952119E-3</v>
      </c>
      <c r="J81">
        <f>($B$1+Table4[[#This Row],[Home Differential]])-Table4[[#This Row],[Away Differential]]</f>
        <v>0.18949723270008853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0.50115038931434419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0.25115171270991876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-6.1952588060713437E-2</v>
      </c>
      <c r="H82" t="s">
        <v>17</v>
      </c>
      <c r="I82">
        <f>VLOOKUP(Table4[[#This Row],[Visitor]],'NHL Model'!$A$6:$B$38,2,FALSE)</f>
        <v>7.1049614431123245E-2</v>
      </c>
      <c r="J82">
        <f>($B$1+Table4[[#This Row],[Home Differential]])-Table4[[#This Row],[Away Differential]]</f>
        <v>-5.8784548587006158E-2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0.46634020721156616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0.21747318886212647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9.4361646617848058E-2</v>
      </c>
      <c r="H83" t="s">
        <v>30</v>
      </c>
      <c r="I83">
        <f>VLOOKUP(Table4[[#This Row],[Visitor]],'NHL Model'!$A$6:$B$38,2,FALSE)</f>
        <v>0.16690670582810133</v>
      </c>
      <c r="J83">
        <f>($B$1+Table4[[#This Row],[Home Differential]])-Table4[[#This Row],[Away Differential]]</f>
        <v>1.6725946945772563E-3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0.25664050226845742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0.17784181108472058</v>
      </c>
      <c r="H84" t="s">
        <v>34</v>
      </c>
      <c r="I84">
        <f>VLOOKUP(Table4[[#This Row],[Visitor]],'NHL Model'!$A$6:$B$38,2,FALSE)</f>
        <v>0.59379638322319717</v>
      </c>
      <c r="J84">
        <f>($B$1+Table4[[#This Row],[Home Differential]])-Table4[[#This Row],[Away Differential]]</f>
        <v>-0.34173691823364605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0.54967854653045056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0.3021465045158287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-0.17930549805059143</v>
      </c>
      <c r="H85" t="s">
        <v>14</v>
      </c>
      <c r="I85">
        <f>VLOOKUP(Table4[[#This Row],[Visitor]],'NHL Model'!$A$6:$B$38,2,FALSE)</f>
        <v>3.9336367625328564E-2</v>
      </c>
      <c r="J85">
        <f>($B$1+Table4[[#This Row],[Home Differential]])-Table4[[#This Row],[Away Differential]]</f>
        <v>-0.14442421177108947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0.48286659230795015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0.26742696135119187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-0.96065798985911643</v>
      </c>
      <c r="H86" t="s">
        <v>39</v>
      </c>
      <c r="I86">
        <f>VLOOKUP(Table4[[#This Row],[Visitor]],'NHL Model'!$A$6:$B$38,2,FALSE)</f>
        <v>0.76796514781800074</v>
      </c>
      <c r="J86">
        <f>($B$1+Table4[[#This Row],[Home Differential]])-Table4[[#This Row],[Away Differential]]</f>
        <v>-1.6544054837722868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0.50770775391904988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-7.3686276472912369E-4</v>
      </c>
      <c r="H87" t="s">
        <v>32</v>
      </c>
      <c r="I87">
        <f>VLOOKUP(Table4[[#This Row],[Visitor]],'NHL Model'!$A$6:$B$38,2,FALSE)</f>
        <v>-0.2855111111085496</v>
      </c>
      <c r="J87">
        <f>($B$1+Table4[[#This Row],[Home Differential]])-Table4[[#This Row],[Away Differential]]</f>
        <v>0.35899190224865102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0.59782450123968245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0.35739413428247507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0.14556378660539449</v>
      </c>
      <c r="H88" t="s">
        <v>16</v>
      </c>
      <c r="I88">
        <f>VLOOKUP(Table4[[#This Row],[Visitor]],'NHL Model'!$A$6:$B$38,2,FALSE)</f>
        <v>-0.21926170023436534</v>
      </c>
      <c r="J88">
        <f>($B$1+Table4[[#This Row],[Home Differential]])-Table4[[#This Row],[Away Differential]]</f>
        <v>0.43904314074459039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0.17027755000795702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-0.10659687498124908</v>
      </c>
      <c r="H89" t="s">
        <v>29</v>
      </c>
      <c r="I89">
        <f>VLOOKUP(Table4[[#This Row],[Visitor]],'NHL Model'!$A$6:$B$38,2,FALSE)</f>
        <v>-0.3202921716073342</v>
      </c>
      <c r="J89">
        <f>($B$1+Table4[[#This Row],[Home Differential]])-Table4[[#This Row],[Away Differential]]</f>
        <v>0.28791295053091565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0.18399565755632291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-0.39984103039900787</v>
      </c>
      <c r="H90" t="s">
        <v>31</v>
      </c>
      <c r="I90">
        <f>VLOOKUP(Table4[[#This Row],[Visitor]],'NHL Model'!$A$6:$B$38,2,FALSE)</f>
        <v>-6.6593655044643821E-4</v>
      </c>
      <c r="J90">
        <f>($B$1+Table4[[#This Row],[Home Differential]])-Table4[[#This Row],[Away Differential]]</f>
        <v>-0.32495743994373089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0.24507280265752696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-8.5361594338821137E-2</v>
      </c>
      <c r="H91" t="s">
        <v>17</v>
      </c>
      <c r="I91">
        <f>VLOOKUP(Table4[[#This Row],[Visitor]],'NHL Model'!$A$6:$B$38,2,FALSE)</f>
        <v>7.1049614431123245E-2</v>
      </c>
      <c r="J91">
        <f>($B$1+Table4[[#This Row],[Home Differential]])-Table4[[#This Row],[Away Differential]]</f>
        <v>-8.2193554865113858E-2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0.42843380802756709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0.18355552786100221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0.3142836898216293</v>
      </c>
      <c r="H92" t="s">
        <v>21</v>
      </c>
      <c r="I92">
        <f>VLOOKUP(Table4[[#This Row],[Visitor]],'NHL Model'!$A$6:$B$38,2,FALSE)</f>
        <v>3.9572996236628868E-2</v>
      </c>
      <c r="J92">
        <f>($B$1+Table4[[#This Row],[Home Differential]])-Table4[[#This Row],[Away Differential]]</f>
        <v>0.34892834748983098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0.57763366527856419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0.17839332070601996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0.45610704431993199</v>
      </c>
      <c r="H93" t="s">
        <v>38</v>
      </c>
      <c r="I93">
        <f>VLOOKUP(Table4[[#This Row],[Visitor]],'NHL Model'!$A$6:$B$38,2,FALSE)</f>
        <v>-0.48278309788469043</v>
      </c>
      <c r="J93">
        <f>($B$1+Table4[[#This Row],[Home Differential]])-Table4[[#This Row],[Away Differential]]</f>
        <v>1.0131077961094528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0.62089664356455654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0.38551264198973195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-0.21926170023436534</v>
      </c>
      <c r="H94" t="s">
        <v>40</v>
      </c>
      <c r="I94">
        <f>VLOOKUP(Table4[[#This Row],[Visitor]],'NHL Model'!$A$6:$B$38,2,FALSE)</f>
        <v>-0.10659687498124908</v>
      </c>
      <c r="J94">
        <f>($B$1+Table4[[#This Row],[Home Differential]])-Table4[[#This Row],[Away Differential]]</f>
        <v>-3.844717134828575E-2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0.32998748666412536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0.10902894471156278</v>
      </c>
      <c r="H95" t="s">
        <v>23</v>
      </c>
      <c r="I95">
        <f>VLOOKUP(Table4[[#This Row],[Visitor]],'NHL Model'!$A$6:$B$38,2,FALSE)</f>
        <v>0.18511137883580026</v>
      </c>
      <c r="J95">
        <f>($B$1+Table4[[#This Row],[Home Differential]])-Table4[[#This Row],[Away Differential]]</f>
        <v>-1.8647802194069474E-3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0.21178507624446805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-6.2506340836952119E-3</v>
      </c>
      <c r="H96" t="s">
        <v>34</v>
      </c>
      <c r="I96">
        <f>VLOOKUP(Table4[[#This Row],[Visitor]],'NHL Model'!$A$6:$B$38,2,FALSE)</f>
        <v>0.59379638322319717</v>
      </c>
      <c r="J96">
        <f>($B$1+Table4[[#This Row],[Home Differential]])-Table4[[#This Row],[Away Differential]]</f>
        <v>-0.52582936340206188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0.57411689830668389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0.18137641630791942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0.17784181108472058</v>
      </c>
      <c r="H97" t="s">
        <v>32</v>
      </c>
      <c r="I97">
        <f>VLOOKUP(Table4[[#This Row],[Visitor]],'NHL Model'!$A$6:$B$38,2,FALSE)</f>
        <v>-0.2855111111085496</v>
      </c>
      <c r="J97">
        <f>($B$1+Table4[[#This Row],[Home Differential]])-Table4[[#This Row],[Away Differential]]</f>
        <v>0.53757057609810066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0.60253412740404155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0.15797911987846666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0.14556378660539449</v>
      </c>
      <c r="H98" t="s">
        <v>25</v>
      </c>
      <c r="I98">
        <f>VLOOKUP(Table4[[#This Row],[Visitor]],'NHL Model'!$A$6:$B$38,2,FALSE)</f>
        <v>0.45392063308446812</v>
      </c>
      <c r="J98">
        <f>($B$1+Table4[[#This Row],[Home Differential]])-Table4[[#This Row],[Away Differential]]</f>
        <v>-0.23413919257424309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0.54265665630298354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0.29447624662993444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3.9572996236628868E-2</v>
      </c>
      <c r="H99" t="s">
        <v>11</v>
      </c>
      <c r="I99">
        <f>VLOOKUP(Table4[[#This Row],[Visitor]],'NHL Model'!$A$6:$B$38,2,FALSE)</f>
        <v>0.19285186127150866</v>
      </c>
      <c r="J99">
        <f>($B$1+Table4[[#This Row],[Home Differential]])-Table4[[#This Row],[Away Differential]]</f>
        <v>-7.9061211130049269E-2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0.49128576724450157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0.25879017060801546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0.76796514781800074</v>
      </c>
      <c r="H100" t="s">
        <v>28</v>
      </c>
      <c r="I100">
        <f>VLOOKUP(Table4[[#This Row],[Visitor]],'NHL Model'!$A$6:$B$38,2,FALSE)</f>
        <v>-0.19727709229606127</v>
      </c>
      <c r="J100">
        <f>($B$1+Table4[[#This Row],[Home Differential]])-Table4[[#This Row],[Away Differential]]</f>
        <v>1.0394598940188926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0.67814867783303756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0.45988562924669696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-0.3202921716073342</v>
      </c>
      <c r="H101" t="s">
        <v>31</v>
      </c>
      <c r="I101">
        <f>VLOOKUP(Table4[[#This Row],[Visitor]],'NHL Model'!$A$6:$B$38,2,FALSE)</f>
        <v>-6.6593655044643821E-4</v>
      </c>
      <c r="J101">
        <f>($B$1+Table4[[#This Row],[Home Differential]])-Table4[[#This Row],[Away Differential]]</f>
        <v>-0.24540858115205721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0.26371455900600044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0.16690670582810133</v>
      </c>
      <c r="H102" t="s">
        <v>33</v>
      </c>
      <c r="I102">
        <f>VLOOKUP(Table4[[#This Row],[Visitor]],'NHL Model'!$A$6:$B$38,2,FALSE)</f>
        <v>-0.17930549805059143</v>
      </c>
      <c r="J102">
        <f>($B$1+Table4[[#This Row],[Home Differential]])-Table4[[#This Row],[Away Differential]]</f>
        <v>0.42042985778352326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0.58055672794086954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0.17593265847566972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9.4361646617848058E-2</v>
      </c>
      <c r="H103" t="s">
        <v>17</v>
      </c>
      <c r="I103">
        <f>VLOOKUP(Table4[[#This Row],[Visitor]],'NHL Model'!$A$6:$B$38,2,FALSE)</f>
        <v>7.1049614431123245E-2</v>
      </c>
      <c r="J103">
        <f>($B$1+Table4[[#This Row],[Home Differential]])-Table4[[#This Row],[Away Differential]]</f>
        <v>9.7529686091555337E-2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0.55051906383501847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0.30307123964578514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3.9336367625328564E-2</v>
      </c>
      <c r="H104" t="s">
        <v>38</v>
      </c>
      <c r="I104">
        <f>VLOOKUP(Table4[[#This Row],[Visitor]],'NHL Model'!$A$6:$B$38,2,FALSE)</f>
        <v>-0.48278309788469043</v>
      </c>
      <c r="J104">
        <f>($B$1+Table4[[#This Row],[Home Differential]])-Table4[[#This Row],[Away Differential]]</f>
        <v>0.59633711941484946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0.56180537439765377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0.19201452990678039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-0.96065798985911643</v>
      </c>
      <c r="H105" t="s">
        <v>13</v>
      </c>
      <c r="I105">
        <f>VLOOKUP(Table4[[#This Row],[Visitor]],'NHL Model'!$A$6:$B$38,2,FALSE)</f>
        <v>1.584470710005189E-2</v>
      </c>
      <c r="J105">
        <f>($B$1+Table4[[#This Row],[Home Differential]])-Table4[[#This Row],[Away Differential]]</f>
        <v>-0.90228504305433788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0.16834093640694595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-7.3686276472912369E-4</v>
      </c>
      <c r="H106" t="s">
        <v>24</v>
      </c>
      <c r="I106">
        <f>VLOOKUP(Table4[[#This Row],[Visitor]],'NHL Model'!$A$6:$B$38,2,FALSE)</f>
        <v>-6.1952588060713437E-2</v>
      </c>
      <c r="J106">
        <f>($B$1+Table4[[#This Row],[Home Differential]])-Table4[[#This Row],[Away Differential]]</f>
        <v>0.13543337920081483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0.29321021464408403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0.3142836898216293</v>
      </c>
      <c r="H107" t="s">
        <v>12</v>
      </c>
      <c r="I107">
        <f>VLOOKUP(Table4[[#This Row],[Visitor]],'NHL Model'!$A$6:$B$38,2,FALSE)</f>
        <v>1.8591692540144091</v>
      </c>
      <c r="J107">
        <f>($B$1+Table4[[#This Row],[Home Differential]])-Table4[[#This Row],[Away Differential]]</f>
        <v>-1.4706679102879492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0.49679571525441935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0.45610704431993199</v>
      </c>
      <c r="H108" t="s">
        <v>32</v>
      </c>
      <c r="I108">
        <f>VLOOKUP(Table4[[#This Row],[Visitor]],'NHL Model'!$A$6:$B$38,2,FALSE)</f>
        <v>-0.2855111111085496</v>
      </c>
      <c r="J108">
        <f>($B$1+Table4[[#This Row],[Home Differential]])-Table4[[#This Row],[Away Differential]]</f>
        <v>0.81583580933331201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0.64200858787985837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0.12815785115177308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0.18511137883580026</v>
      </c>
      <c r="H109" t="s">
        <v>26</v>
      </c>
      <c r="I109">
        <f>VLOOKUP(Table4[[#This Row],[Visitor]],'NHL Model'!$A$6:$B$38,2,FALSE)</f>
        <v>-8.5361594338821137E-2</v>
      </c>
      <c r="J109">
        <f>($B$1+Table4[[#This Row],[Home Differential]])-Table4[[#This Row],[Away Differential]]</f>
        <v>0.34469062707945192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0.16376902585868927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-0.21926170023436534</v>
      </c>
      <c r="H110" t="s">
        <v>18</v>
      </c>
      <c r="I110">
        <f>VLOOKUP(Table4[[#This Row],[Visitor]],'NHL Model'!$A$6:$B$38,2,FALSE)</f>
        <v>0.10902894471156278</v>
      </c>
      <c r="J110">
        <f>($B$1+Table4[[#This Row],[Home Differential]])-Table4[[#This Row],[Away Differential]]</f>
        <v>-0.2540729910410976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0.51458252843409025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0.23563012170144079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-6.1952588060713437E-2</v>
      </c>
      <c r="H111" t="s">
        <v>34</v>
      </c>
      <c r="I111">
        <f>VLOOKUP(Table4[[#This Row],[Visitor]],'NHL Model'!$A$6:$B$38,2,FALSE)</f>
        <v>0.59379638322319717</v>
      </c>
      <c r="J111">
        <f>($B$1+Table4[[#This Row],[Home Differential]])-Table4[[#This Row],[Away Differential]]</f>
        <v>-0.58153131737908004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0.5801246322910778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0.33654458899085821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3.9572996236628868E-2</v>
      </c>
      <c r="H112" t="s">
        <v>31</v>
      </c>
      <c r="I112">
        <f>VLOOKUP(Table4[[#This Row],[Visitor]],'NHL Model'!$A$6:$B$38,2,FALSE)</f>
        <v>-6.6593655044643821E-4</v>
      </c>
      <c r="J112">
        <f>($B$1+Table4[[#This Row],[Home Differential]])-Table4[[#This Row],[Away Differential]]</f>
        <v>0.11445658669190584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0.56636133511832842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0.32076516191701554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1.8591692540144091</v>
      </c>
      <c r="H113" t="s">
        <v>25</v>
      </c>
      <c r="I113">
        <f>VLOOKUP(Table4[[#This Row],[Visitor]],'NHL Model'!$A$6:$B$38,2,FALSE)</f>
        <v>0.45392063308446812</v>
      </c>
      <c r="J113">
        <f>($B$1+Table4[[#This Row],[Home Differential]])-Table4[[#This Row],[Away Differential]]</f>
        <v>1.4794662748347716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0.76671068526171948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0.58784527489449545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0.76796514781800074</v>
      </c>
      <c r="H114" t="s">
        <v>13</v>
      </c>
      <c r="I114">
        <f>VLOOKUP(Table4[[#This Row],[Visitor]],'NHL Model'!$A$6:$B$38,2,FALSE)</f>
        <v>1.584470710005189E-2</v>
      </c>
      <c r="J114">
        <f>($B$1+Table4[[#This Row],[Home Differential]])-Table4[[#This Row],[Away Differential]]</f>
        <v>0.8263380946227793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0.38815765403890345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7.1049614431123245E-2</v>
      </c>
      <c r="H115" t="s">
        <v>18</v>
      </c>
      <c r="I115">
        <f>VLOOKUP(Table4[[#This Row],[Visitor]],'NHL Model'!$A$6:$B$38,2,FALSE)</f>
        <v>0.10902894471156278</v>
      </c>
      <c r="J115">
        <f>($B$1+Table4[[#This Row],[Home Differential]])-Table4[[#This Row],[Away Differential]]</f>
        <v>3.6238323624390986E-2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0.49895798917468481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0.25104309661187524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0.19285186127150866</v>
      </c>
      <c r="H116" t="s">
        <v>14</v>
      </c>
      <c r="I116">
        <f>VLOOKUP(Table4[[#This Row],[Visitor]],'NHL Model'!$A$6:$B$38,2,FALSE)</f>
        <v>3.9336367625328564E-2</v>
      </c>
      <c r="J116">
        <f>($B$1+Table4[[#This Row],[Home Differential]])-Table4[[#This Row],[Away Differential]]</f>
        <v>0.22773314755101065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0.55803947937303089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0.31140806053892339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-0.3202921716073342</v>
      </c>
      <c r="H117" t="s">
        <v>38</v>
      </c>
      <c r="I117">
        <f>VLOOKUP(Table4[[#This Row],[Visitor]],'NHL Model'!$A$6:$B$38,2,FALSE)</f>
        <v>-0.48278309788469043</v>
      </c>
      <c r="J117">
        <f>($B$1+Table4[[#This Row],[Home Differential]])-Table4[[#This Row],[Away Differential]]</f>
        <v>0.23670858018218677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0.22751217176170424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0.16690670582810133</v>
      </c>
      <c r="H118" t="s">
        <v>26</v>
      </c>
      <c r="I118">
        <f>VLOOKUP(Table4[[#This Row],[Visitor]],'NHL Model'!$A$6:$B$38,2,FALSE)</f>
        <v>-8.5361594338821137E-2</v>
      </c>
      <c r="J118">
        <f>($B$1+Table4[[#This Row],[Home Differential]])-Table4[[#This Row],[Away Differential]]</f>
        <v>0.32648595407175296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0.55695227147671844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0.19629128974963939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-6.2506340836952119E-3</v>
      </c>
      <c r="H119" t="s">
        <v>33</v>
      </c>
      <c r="I119">
        <f>VLOOKUP(Table4[[#This Row],[Visitor]],'NHL Model'!$A$6:$B$38,2,FALSE)</f>
        <v>-0.17930549805059143</v>
      </c>
      <c r="J119">
        <f>($B$1+Table4[[#This Row],[Home Differential]])-Table4[[#This Row],[Away Differential]]</f>
        <v>0.24727251787172674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0.55937985662671441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0.31290582399972355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9.4361646617848058E-2</v>
      </c>
      <c r="H120" t="s">
        <v>27</v>
      </c>
      <c r="I120">
        <f>VLOOKUP(Table4[[#This Row],[Visitor]],'NHL Model'!$A$6:$B$38,2,FALSE)</f>
        <v>0.17784181108472058</v>
      </c>
      <c r="J120">
        <f>($B$1+Table4[[#This Row],[Home Differential]])-Table4[[#This Row],[Away Differential]]</f>
        <v>-9.2625105620419979E-3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0.46828872765930379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0.21929433245276961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-0.96065798985911643</v>
      </c>
      <c r="H121" t="s">
        <v>55</v>
      </c>
      <c r="I121">
        <f>VLOOKUP(Table4[[#This Row],[Visitor]],'NHL Model'!$A$6:$B$38,2,FALSE)</f>
        <v>0.3142836898216293</v>
      </c>
      <c r="J121">
        <f>($B$1+Table4[[#This Row],[Home Differential]])-Table4[[#This Row],[Away Differential]]</f>
        <v>-1.2007240257759153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0.16850689692403067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0.79636680320115127</v>
      </c>
      <c r="H122" t="s">
        <v>10</v>
      </c>
      <c r="I122">
        <f>VLOOKUP(Table4[[#This Row],[Visitor]],'NHL Model'!$A$6:$B$38,2,FALSE)</f>
        <v>-0.39984103039900787</v>
      </c>
      <c r="J122">
        <f>($B$1+Table4[[#This Row],[Home Differential]])-Table4[[#This Row],[Away Differential]]</f>
        <v>1.2704254875049896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0.68157619042943807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0.46454610336030561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-0.10659687498124908</v>
      </c>
      <c r="H123" t="s">
        <v>32</v>
      </c>
      <c r="I123">
        <f>VLOOKUP(Table4[[#This Row],[Visitor]],'NHL Model'!$A$6:$B$38,2,FALSE)</f>
        <v>-0.2855111111085496</v>
      </c>
      <c r="J123">
        <f>($B$1+Table4[[#This Row],[Home Differential]])-Table4[[#This Row],[Away Differential]]</f>
        <v>0.25313189003213105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0.32183103593585827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0.18511137883580026</v>
      </c>
      <c r="H124" t="s">
        <v>19</v>
      </c>
      <c r="I124">
        <f>VLOOKUP(Table4[[#This Row],[Visitor]],'NHL Model'!$A$6:$B$38,2,FALSE)</f>
        <v>-7.3686276472912369E-4</v>
      </c>
      <c r="J124">
        <f>($B$1+Table4[[#This Row],[Home Differential]])-Table4[[#This Row],[Away Differential]]</f>
        <v>0.26006589550535991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0.15473091069275563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-0.19727709229606127</v>
      </c>
      <c r="H125" t="s">
        <v>22</v>
      </c>
      <c r="I125">
        <f>VLOOKUP(Table4[[#This Row],[Visitor]],'NHL Model'!$A$6:$B$38,2,FALSE)</f>
        <v>0.45610704431993199</v>
      </c>
      <c r="J125">
        <f>($B$1+Table4[[#This Row],[Home Differential]])-Table4[[#This Row],[Away Differential]]</f>
        <v>-0.57916648271116278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0.22803872280755186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-6.1952588060713437E-2</v>
      </c>
      <c r="H126" t="s">
        <v>33</v>
      </c>
      <c r="I126">
        <f>VLOOKUP(Table4[[#This Row],[Visitor]],'NHL Model'!$A$6:$B$38,2,FALSE)</f>
        <v>-0.17930549805059143</v>
      </c>
      <c r="J126">
        <f>($B$1+Table4[[#This Row],[Home Differential]])-Table4[[#This Row],[Away Differential]]</f>
        <v>0.1915705638947085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0.55337212264232039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0.1994764608330265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-0.10659687498124908</v>
      </c>
      <c r="H127" t="s">
        <v>16</v>
      </c>
      <c r="I127">
        <f>VLOOKUP(Table4[[#This Row],[Visitor]],'NHL Model'!$A$6:$B$38,2,FALSE)</f>
        <v>-0.21926170023436534</v>
      </c>
      <c r="J127">
        <f>($B$1+Table4[[#This Row],[Home Differential]])-Table4[[#This Row],[Away Differential]]</f>
        <v>0.18688247915794678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0.56015620891123896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0.19346256055933367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3.9572996236628868E-2</v>
      </c>
      <c r="H128" t="s">
        <v>12</v>
      </c>
      <c r="I128">
        <f>VLOOKUP(Table4[[#This Row],[Visitor]],'NHL Model'!$A$6:$B$38,2,FALSE)</f>
        <v>1.8591692540144091</v>
      </c>
      <c r="J128">
        <f>($B$1+Table4[[#This Row],[Home Differential]])-Table4[[#This Row],[Away Differential]]</f>
        <v>-1.7453786038729497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0.72041154380755457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0.51899279245118413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0.76796514781800074</v>
      </c>
      <c r="H129" t="s">
        <v>25</v>
      </c>
      <c r="I129">
        <f>VLOOKUP(Table4[[#This Row],[Visitor]],'NHL Model'!$A$6:$B$38,2,FALSE)</f>
        <v>0.45392063308446812</v>
      </c>
      <c r="J129">
        <f>($B$1+Table4[[#This Row],[Home Differential]])-Table4[[#This Row],[Away Differential]]</f>
        <v>0.3882621686383631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0.5508045858022429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0.20177652013629457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-8.5361594338821137E-2</v>
      </c>
      <c r="H130" t="s">
        <v>35</v>
      </c>
      <c r="I130">
        <f>VLOOKUP(Table4[[#This Row],[Visitor]],'NHL Model'!$A$6:$B$38,2,FALSE)</f>
        <v>-0.96065798985911643</v>
      </c>
      <c r="J130">
        <f>($B$1+Table4[[#This Row],[Home Differential]])-Table4[[#This Row],[Away Differential]]</f>
        <v>0.94951404942512585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0.68284101078416548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0.10058982444040984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0.19285186127150866</v>
      </c>
      <c r="H131" t="s">
        <v>20</v>
      </c>
      <c r="I131">
        <f>VLOOKUP(Table4[[#This Row],[Visitor]],'NHL Model'!$A$6:$B$38,2,FALSE)</f>
        <v>0.14556378660539449</v>
      </c>
      <c r="J131">
        <f>($B$1+Table4[[#This Row],[Home Differential]])-Table4[[#This Row],[Away Differential]]</f>
        <v>0.12150572857094472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0.53310499978394643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0.21799094122674867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0.59379638322319717</v>
      </c>
      <c r="H132" t="s">
        <v>55</v>
      </c>
      <c r="I132">
        <f>VLOOKUP(Table4[[#This Row],[Visitor]],'NHL Model'!$A$6:$B$38,2,FALSE)</f>
        <v>0.3142836898216293</v>
      </c>
      <c r="J132">
        <f>($B$1+Table4[[#This Row],[Home Differential]])-Table4[[#This Row],[Away Differential]]</f>
        <v>0.35373034730639835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0.36052257586973663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-0.3202921716073342</v>
      </c>
      <c r="H133" t="s">
        <v>13</v>
      </c>
      <c r="I133">
        <f>VLOOKUP(Table4[[#This Row],[Visitor]],'NHL Model'!$A$6:$B$38,2,FALSE)</f>
        <v>1.584470710005189E-2</v>
      </c>
      <c r="J133">
        <f>($B$1+Table4[[#This Row],[Home Differential]])-Table4[[#This Row],[Away Differential]]</f>
        <v>-0.26191922480255553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0.52063962800447272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0.27106562224863573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0.17784181108472058</v>
      </c>
      <c r="H134" t="s">
        <v>30</v>
      </c>
      <c r="I134">
        <f>VLOOKUP(Table4[[#This Row],[Visitor]],'NHL Model'!$A$6:$B$38,2,FALSE)</f>
        <v>0.16690670582810133</v>
      </c>
      <c r="J134">
        <f>($B$1+Table4[[#This Row],[Home Differential]])-Table4[[#This Row],[Away Differential]]</f>
        <v>8.5152759161449793E-2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0.23022090320801203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3.9336367625328564E-2</v>
      </c>
      <c r="H135" t="s">
        <v>28</v>
      </c>
      <c r="I135">
        <f>VLOOKUP(Table4[[#This Row],[Visitor]],'NHL Model'!$A$6:$B$38,2,FALSE)</f>
        <v>-0.19727709229606127</v>
      </c>
      <c r="J135">
        <f>($B$1+Table4[[#This Row],[Home Differential]])-Table4[[#This Row],[Away Differential]]</f>
        <v>0.31083111382622036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0.32893056811350663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-0.2855111111085496</v>
      </c>
      <c r="H136" t="s">
        <v>17</v>
      </c>
      <c r="I136">
        <f>VLOOKUP(Table4[[#This Row],[Visitor]],'NHL Model'!$A$6:$B$38,2,FALSE)</f>
        <v>7.1049614431123245E-2</v>
      </c>
      <c r="J136">
        <f>($B$1+Table4[[#This Row],[Home Differential]])-Table4[[#This Row],[Away Differential]]</f>
        <v>-0.28234307163484229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0.24054327285494215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0.79636680320115127</v>
      </c>
      <c r="H137" t="s">
        <v>31</v>
      </c>
      <c r="I137">
        <f>VLOOKUP(Table4[[#This Row],[Visitor]],'NHL Model'!$A$6:$B$38,2,FALSE)</f>
        <v>-6.6593655044643821E-4</v>
      </c>
      <c r="J137">
        <f>($B$1+Table4[[#This Row],[Home Differential]])-Table4[[#This Row],[Away Differential]]</f>
        <v>0.8712503936564282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0.63852316255851105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0.13066550400670063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-7.3686276472912369E-4</v>
      </c>
      <c r="H138" t="s">
        <v>23</v>
      </c>
      <c r="I138">
        <f>VLOOKUP(Table4[[#This Row],[Visitor]],'NHL Model'!$A$6:$B$38,2,FALSE)</f>
        <v>0.18511137883580026</v>
      </c>
      <c r="J138">
        <f>($B$1+Table4[[#This Row],[Home Differential]])-Table4[[#This Row],[Away Differential]]</f>
        <v>-0.11163058769569885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0.20514964788461681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-0.48278309788469043</v>
      </c>
      <c r="H139" t="s">
        <v>18</v>
      </c>
      <c r="I139">
        <f>VLOOKUP(Table4[[#This Row],[Visitor]],'NHL Model'!$A$6:$B$38,2,FALSE)</f>
        <v>0.10902894471156278</v>
      </c>
      <c r="J139">
        <f>($B$1+Table4[[#This Row],[Home Differential]])-Table4[[#This Row],[Away Differential]]</f>
        <v>-0.51759438869142271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0.58214092983332133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0.17460620252056128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0.45610704431993199</v>
      </c>
      <c r="H140" t="s">
        <v>36</v>
      </c>
      <c r="I140">
        <f>VLOOKUP(Table4[[#This Row],[Visitor]],'NHL Model'!$A$6:$B$38,2,FALSE)</f>
        <v>9.4361646617848058E-2</v>
      </c>
      <c r="J140">
        <f>($B$1+Table4[[#This Row],[Home Differential]])-Table4[[#This Row],[Away Differential]]</f>
        <v>0.4359630516069144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0.33681091181522338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-0.21926170023436534</v>
      </c>
      <c r="H141" t="s">
        <v>15</v>
      </c>
      <c r="I141">
        <f>VLOOKUP(Table4[[#This Row],[Visitor]],'NHL Model'!$A$6:$B$38,2,FALSE)</f>
        <v>-6.2506340836952119E-3</v>
      </c>
      <c r="J141">
        <f>($B$1+Table4[[#This Row],[Home Differential]])-Table4[[#This Row],[Away Differential]]</f>
        <v>-0.1387934122458396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0.49511396715758066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0.24513784047451787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-0.39984103039900787</v>
      </c>
      <c r="H142" t="s">
        <v>13</v>
      </c>
      <c r="I142">
        <f>VLOOKUP(Table4[[#This Row],[Visitor]],'NHL Model'!$A$6:$B$38,2,FALSE)</f>
        <v>1.584470710005189E-2</v>
      </c>
      <c r="J142">
        <f>($B$1+Table4[[#This Row],[Home Differential]])-Table4[[#This Row],[Away Differential]]</f>
        <v>-0.3414680835942292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0.52921936979557171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0.22163440177567864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0.59379638322319717</v>
      </c>
      <c r="H143" t="s">
        <v>33</v>
      </c>
      <c r="I143">
        <f>VLOOKUP(Table4[[#This Row],[Visitor]],'NHL Model'!$A$6:$B$38,2,FALSE)</f>
        <v>-0.17930549805059143</v>
      </c>
      <c r="J143">
        <f>($B$1+Table4[[#This Row],[Home Differential]])-Table4[[#This Row],[Away Differential]]</f>
        <v>0.84731953517861913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0.41788961792337331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-6.1952588060713437E-2</v>
      </c>
      <c r="H144" t="s">
        <v>12</v>
      </c>
      <c r="I144">
        <f>VLOOKUP(Table4[[#This Row],[Visitor]],'NHL Model'!$A$6:$B$38,2,FALSE)</f>
        <v>1.8591692540144091</v>
      </c>
      <c r="J144">
        <f>($B$1+Table4[[#This Row],[Home Differential]])-Table4[[#This Row],[Away Differential]]</f>
        <v>-1.8469041881702921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0.7454163299296771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0.5556455049258292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-0.3202921716073342</v>
      </c>
      <c r="H145" t="s">
        <v>39</v>
      </c>
      <c r="I145">
        <f>VLOOKUP(Table4[[#This Row],[Visitor]],'NHL Model'!$A$6:$B$38,2,FALSE)</f>
        <v>0.76796514781800074</v>
      </c>
      <c r="J145">
        <f>($B$1+Table4[[#This Row],[Home Differential]])-Table4[[#This Row],[Away Differential]]</f>
        <v>-1.0140396655205044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0.12711400465600553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0.79636680320115127</v>
      </c>
      <c r="H146" t="s">
        <v>20</v>
      </c>
      <c r="I146">
        <f>VLOOKUP(Table4[[#This Row],[Visitor]],'NHL Model'!$A$6:$B$38,2,FALSE)</f>
        <v>0.14556378660539449</v>
      </c>
      <c r="J146">
        <f>($B$1+Table4[[#This Row],[Home Differential]])-Table4[[#This Row],[Away Differential]]</f>
        <v>0.72502067050058727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0.60200662481879186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0.1583987266881299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-0.48278309788469043</v>
      </c>
      <c r="H147" t="s">
        <v>17</v>
      </c>
      <c r="I147">
        <f>VLOOKUP(Table4[[#This Row],[Visitor]],'NHL Model'!$A$6:$B$38,2,FALSE)</f>
        <v>7.1049614431123245E-2</v>
      </c>
      <c r="J147">
        <f>($B$1+Table4[[#This Row],[Home Differential]])-Table4[[#This Row],[Away Differential]]</f>
        <v>-0.47961505841098312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0.26186644649376417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-0.10659687498124908</v>
      </c>
      <c r="H148" t="s">
        <v>55</v>
      </c>
      <c r="I148">
        <f>VLOOKUP(Table4[[#This Row],[Visitor]],'NHL Model'!$A$6:$B$38,2,FALSE)</f>
        <v>0.3142836898216293</v>
      </c>
      <c r="J148">
        <f>($B$1+Table4[[#This Row],[Home Differential]])-Table4[[#This Row],[Away Differential]]</f>
        <v>-0.34666291089804785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0.49738932662560492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0.25261748898986292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9.4361646617848058E-2</v>
      </c>
      <c r="H149" t="s">
        <v>21</v>
      </c>
      <c r="I149">
        <f>VLOOKUP(Table4[[#This Row],[Visitor]],'NHL Model'!$A$6:$B$38,2,FALSE)</f>
        <v>3.9572996236628868E-2</v>
      </c>
      <c r="J149">
        <f>($B$1+Table4[[#This Row],[Home Differential]])-Table4[[#This Row],[Away Differential]]</f>
        <v>0.1290063042860497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0.19899274228695138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3.9336367625328564E-2</v>
      </c>
      <c r="H150" t="s">
        <v>35</v>
      </c>
      <c r="I150">
        <f>VLOOKUP(Table4[[#This Row],[Visitor]],'NHL Model'!$A$6:$B$38,2,FALSE)</f>
        <v>-0.96065798985911643</v>
      </c>
      <c r="J150">
        <f>($B$1+Table4[[#This Row],[Home Differential]])-Table4[[#This Row],[Away Differential]]</f>
        <v>1.0742120113892755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0.65585913143962993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0.11843293741348591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3.9572996236628868E-2</v>
      </c>
      <c r="H151" t="s">
        <v>30</v>
      </c>
      <c r="I151">
        <f>VLOOKUP(Table4[[#This Row],[Visitor]],'NHL Model'!$A$6:$B$38,2,FALSE)</f>
        <v>0.16690670582810133</v>
      </c>
      <c r="J151">
        <f>($B$1+Table4[[#This Row],[Home Differential]])-Table4[[#This Row],[Away Differential]]</f>
        <v>-5.3116055686641933E-2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0.4851808867309596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0.23540049284904024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0.18511137883580026</v>
      </c>
      <c r="H152" t="s">
        <v>28</v>
      </c>
      <c r="I152">
        <f>VLOOKUP(Table4[[#This Row],[Visitor]],'NHL Model'!$A$6:$B$38,2,FALSE)</f>
        <v>-0.19727709229606127</v>
      </c>
      <c r="J152">
        <f>($B$1+Table4[[#This Row],[Home Differential]])-Table4[[#This Row],[Away Differential]]</f>
        <v>0.45660612503669207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0.39418224193027035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0.45392063308446812</v>
      </c>
      <c r="H153" t="s">
        <v>20</v>
      </c>
      <c r="I153">
        <f>VLOOKUP(Table4[[#This Row],[Visitor]],'NHL Model'!$A$6:$B$38,2,FALSE)</f>
        <v>0.14556378660539449</v>
      </c>
      <c r="J153">
        <f>($B$1+Table4[[#This Row],[Home Differential]])-Table4[[#This Row],[Away Differential]]</f>
        <v>0.38257450038390417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0.59445406030252079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0.35337562981015302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-0.39984103039900787</v>
      </c>
      <c r="H154" t="s">
        <v>36</v>
      </c>
      <c r="I154">
        <f>VLOOKUP(Table4[[#This Row],[Visitor]],'NHL Model'!$A$6:$B$38,2,FALSE)</f>
        <v>9.4361646617848058E-2</v>
      </c>
      <c r="J154">
        <f>($B$1+Table4[[#This Row],[Home Differential]])-Table4[[#This Row],[Away Differential]]</f>
        <v>-0.4199850231120254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0.52606671346306266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0.27674618701382808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1.8591692540144091</v>
      </c>
      <c r="H155" t="s">
        <v>24</v>
      </c>
      <c r="I155">
        <f>VLOOKUP(Table4[[#This Row],[Visitor]],'NHL Model'!$A$6:$B$38,2,FALSE)</f>
        <v>-6.1952588060713437E-2</v>
      </c>
      <c r="J155">
        <f>($B$1+Table4[[#This Row],[Home Differential]])-Table4[[#This Row],[Away Differential]]</f>
        <v>1.9953394959799531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0.84594938143085385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2.3731593081536554E-2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0.76796514781800074</v>
      </c>
      <c r="H156" t="s">
        <v>22</v>
      </c>
      <c r="I156">
        <f>VLOOKUP(Table4[[#This Row],[Visitor]],'NHL Model'!$A$6:$B$38,2,FALSE)</f>
        <v>0.45610704431993199</v>
      </c>
      <c r="J156">
        <f>($B$1+Table4[[#This Row],[Home Differential]])-Table4[[#This Row],[Away Differential]]</f>
        <v>0.38607575740289923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0.60767793484920318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0.15391660280418606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7.1049614431123245E-2</v>
      </c>
      <c r="H157" t="s">
        <v>55</v>
      </c>
      <c r="I157">
        <f>VLOOKUP(Table4[[#This Row],[Visitor]],'NHL Model'!$A$6:$B$38,2,FALSE)</f>
        <v>0.3142836898216293</v>
      </c>
      <c r="J157">
        <f>($B$1+Table4[[#This Row],[Home Differential]])-Table4[[#This Row],[Away Differential]]</f>
        <v>-0.16901642148567553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0.4570620375110715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0.20890570613377213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0.19285186127150866</v>
      </c>
      <c r="H158" t="s">
        <v>31</v>
      </c>
      <c r="I158">
        <f>VLOOKUP(Table4[[#This Row],[Visitor]],'NHL Model'!$A$6:$B$38,2,FALSE)</f>
        <v>-6.6593655044643821E-4</v>
      </c>
      <c r="J158">
        <f>($B$1+Table4[[#This Row],[Home Differential]])-Table4[[#This Row],[Away Differential]]</f>
        <v>0.26773545172678564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0.56964199690261985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0.32449200463520439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0.59379638322319717</v>
      </c>
      <c r="H159" t="s">
        <v>40</v>
      </c>
      <c r="I159">
        <f>VLOOKUP(Table4[[#This Row],[Visitor]],'NHL Model'!$A$6:$B$38,2,FALSE)</f>
        <v>-0.10659687498124908</v>
      </c>
      <c r="J159">
        <f>($B$1+Table4[[#This Row],[Home Differential]])-Table4[[#This Row],[Away Differential]]</f>
        <v>0.77461091210927668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0.41709560526202877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-0.3202921716073342</v>
      </c>
      <c r="H160" t="s">
        <v>37</v>
      </c>
      <c r="I160">
        <f>VLOOKUP(Table4[[#This Row],[Visitor]],'NHL Model'!$A$6:$B$38,2,FALSE)</f>
        <v>0.79636680320115127</v>
      </c>
      <c r="J160">
        <f>($B$1+Table4[[#This Row],[Home Differential]])-Table4[[#This Row],[Away Differential]]</f>
        <v>-1.0424413209036549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0.65865099116158243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0.11651914583497007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0.17784181108472058</v>
      </c>
      <c r="H161" t="s">
        <v>14</v>
      </c>
      <c r="I161">
        <f>VLOOKUP(Table4[[#This Row],[Visitor]],'NHL Model'!$A$6:$B$38,2,FALSE)</f>
        <v>3.9336367625328564E-2</v>
      </c>
      <c r="J161">
        <f>($B$1+Table4[[#This Row],[Home Differential]])-Table4[[#This Row],[Away Differential]]</f>
        <v>0.21272309736422257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0.19340793227881145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-0.2855111111085496</v>
      </c>
      <c r="H162" t="s">
        <v>18</v>
      </c>
      <c r="I162">
        <f>VLOOKUP(Table4[[#This Row],[Visitor]],'NHL Model'!$A$6:$B$38,2,FALSE)</f>
        <v>0.10902894471156278</v>
      </c>
      <c r="J162">
        <f>($B$1+Table4[[#This Row],[Home Differential]])-Table4[[#This Row],[Away Differential]]</f>
        <v>-0.32032240191528183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0.56086416062675237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0.19284028542204673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-0.17930549805059143</v>
      </c>
      <c r="H163" t="s">
        <v>13</v>
      </c>
      <c r="I163">
        <f>VLOOKUP(Table4[[#This Row],[Visitor]],'NHL Model'!$A$6:$B$38,2,FALSE)</f>
        <v>1.584470710005189E-2</v>
      </c>
      <c r="J163">
        <f>($B$1+Table4[[#This Row],[Home Differential]])-Table4[[#This Row],[Away Differential]]</f>
        <v>-0.12093255124581279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0.24459601205104251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-0.96065798985911643</v>
      </c>
      <c r="H164" t="s">
        <v>26</v>
      </c>
      <c r="I164">
        <f>VLOOKUP(Table4[[#This Row],[Visitor]],'NHL Model'!$A$6:$B$38,2,FALSE)</f>
        <v>-8.5361594338821137E-2</v>
      </c>
      <c r="J164">
        <f>($B$1+Table4[[#This Row],[Home Differential]])-Table4[[#This Row],[Away Differential]]</f>
        <v>-0.80107874161546477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0.56716957468112339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0.18734217708171963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-7.3686276472912369E-4</v>
      </c>
      <c r="H165" t="s">
        <v>16</v>
      </c>
      <c r="I165">
        <f>VLOOKUP(Table4[[#This Row],[Visitor]],'NHL Model'!$A$6:$B$38,2,FALSE)</f>
        <v>-0.21926170023436534</v>
      </c>
      <c r="J165">
        <f>($B$1+Table4[[#This Row],[Home Differential]])-Table4[[#This Row],[Away Differential]]</f>
        <v>0.29274249137446673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0.59067917134121728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0.16754354077391256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-0.48278309788469043</v>
      </c>
      <c r="H166" t="s">
        <v>15</v>
      </c>
      <c r="I166">
        <f>VLOOKUP(Table4[[#This Row],[Visitor]],'NHL Model'!$A$6:$B$38,2,FALSE)</f>
        <v>-6.2506340836952119E-3</v>
      </c>
      <c r="J166">
        <f>($B$1+Table4[[#This Row],[Home Differential]])-Table4[[#This Row],[Away Differential]]</f>
        <v>-0.40231480989616469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0.56267949575837783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0.19124922343014666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-0.19727709229606127</v>
      </c>
      <c r="H167" t="s">
        <v>19</v>
      </c>
      <c r="I167">
        <f>VLOOKUP(Table4[[#This Row],[Visitor]],'NHL Model'!$A$6:$B$38,2,FALSE)</f>
        <v>-7.3686276472912369E-4</v>
      </c>
      <c r="J167">
        <f>($B$1+Table4[[#This Row],[Home Differential]])-Table4[[#This Row],[Away Differential]]</f>
        <v>-0.12232257562650163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0.22391171066296939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3.9572996236628868E-2</v>
      </c>
      <c r="H168" t="s">
        <v>23</v>
      </c>
      <c r="I168">
        <f>VLOOKUP(Table4[[#This Row],[Visitor]],'NHL Model'!$A$6:$B$38,2,FALSE)</f>
        <v>0.18511137883580026</v>
      </c>
      <c r="J168">
        <f>($B$1+Table4[[#This Row],[Home Differential]])-Table4[[#This Row],[Away Differential]]</f>
        <v>-7.1320728694340862E-2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0.20582161932025725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0.45392063308446812</v>
      </c>
      <c r="H169" t="s">
        <v>30</v>
      </c>
      <c r="I169">
        <f>VLOOKUP(Table4[[#This Row],[Visitor]],'NHL Model'!$A$6:$B$38,2,FALSE)</f>
        <v>0.16690670582810133</v>
      </c>
      <c r="J169">
        <f>($B$1+Table4[[#This Row],[Home Differential]])-Table4[[#This Row],[Away Differential]]</f>
        <v>0.36123158116119736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0.17686900535164632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7.1049614431123245E-2</v>
      </c>
      <c r="H170" t="s">
        <v>15</v>
      </c>
      <c r="I170">
        <f>VLOOKUP(Table4[[#This Row],[Visitor]],'NHL Model'!$A$6:$B$38,2,FALSE)</f>
        <v>-6.2506340836952119E-3</v>
      </c>
      <c r="J170">
        <f>($B$1+Table4[[#This Row],[Home Differential]])-Table4[[#This Row],[Away Differential]]</f>
        <v>0.15151790241964899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0.5184340128625472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0.26877382569276376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1.584470710005189E-2</v>
      </c>
      <c r="H171" t="s">
        <v>26</v>
      </c>
      <c r="I171">
        <f>VLOOKUP(Table4[[#This Row],[Visitor]],'NHL Model'!$A$6:$B$38,2,FALSE)</f>
        <v>-8.5361594338821137E-2</v>
      </c>
      <c r="J171">
        <f>($B$1+Table4[[#This Row],[Home Differential]])-Table4[[#This Row],[Away Differential]]</f>
        <v>0.17542395534370353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0.53815111910987767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0.28960662699921375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0.59379638322319717</v>
      </c>
      <c r="H172" t="s">
        <v>14</v>
      </c>
      <c r="I172">
        <f>VLOOKUP(Table4[[#This Row],[Visitor]],'NHL Model'!$A$6:$B$38,2,FALSE)</f>
        <v>3.9336367625328564E-2</v>
      </c>
      <c r="J172">
        <f>($B$1+Table4[[#This Row],[Home Differential]])-Table4[[#This Row],[Away Differential]]</f>
        <v>0.6286776695026991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0.62286220686473048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0.38795732874040229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9.4361646617848058E-2</v>
      </c>
      <c r="H173" t="s">
        <v>16</v>
      </c>
      <c r="I173">
        <f>VLOOKUP(Table4[[#This Row],[Visitor]],'NHL Model'!$A$6:$B$38,2,FALSE)</f>
        <v>-0.21926170023436534</v>
      </c>
      <c r="J173">
        <f>($B$1+Table4[[#This Row],[Home Differential]])-Table4[[#This Row],[Away Differential]]</f>
        <v>0.38784100075704392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0.58183058931381126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0.17486565603363438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0.17784181108472058</v>
      </c>
      <c r="H174" t="s">
        <v>29</v>
      </c>
      <c r="I174">
        <f>VLOOKUP(Table4[[#This Row],[Visitor]],'NHL Model'!$A$6:$B$38,2,FALSE)</f>
        <v>-0.3202921716073342</v>
      </c>
      <c r="J174">
        <f>($B$1+Table4[[#This Row],[Home Differential]])-Table4[[#This Row],[Away Differential]]</f>
        <v>0.57235163659688526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0.60628543852066819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0.15501115592086256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-0.17930549805059143</v>
      </c>
      <c r="H175" t="s">
        <v>24</v>
      </c>
      <c r="I175">
        <f>VLOOKUP(Table4[[#This Row],[Visitor]],'NHL Model'!$A$6:$B$38,2,FALSE)</f>
        <v>-6.1952588060713437E-2</v>
      </c>
      <c r="J175">
        <f>($B$1+Table4[[#This Row],[Home Differential]])-Table4[[#This Row],[Away Differential]]</f>
        <v>-4.3135256085047466E-2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0.4970426840867232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0.24705142980413411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-0.96065798985911643</v>
      </c>
      <c r="H176" t="s">
        <v>38</v>
      </c>
      <c r="I176">
        <f>VLOOKUP(Table4[[#This Row],[Visitor]],'NHL Model'!$A$6:$B$38,2,FALSE)</f>
        <v>-0.48278309788469043</v>
      </c>
      <c r="J176">
        <f>($B$1+Table4[[#This Row],[Home Differential]])-Table4[[#This Row],[Away Differential]]</f>
        <v>-0.40365723806959553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0.54604901232889103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0.20607149920757534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0.79636680320115127</v>
      </c>
      <c r="H177" t="s">
        <v>39</v>
      </c>
      <c r="I177">
        <f>VLOOKUP(Table4[[#This Row],[Visitor]],'NHL Model'!$A$6:$B$38,2,FALSE)</f>
        <v>0.76796514781800074</v>
      </c>
      <c r="J177">
        <f>($B$1+Table4[[#This Row],[Home Differential]])-Table4[[#This Row],[Away Differential]]</f>
        <v>0.10261930928798102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0.48153643689284198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0.26880446626977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-0.10659687498124908</v>
      </c>
      <c r="H178" t="s">
        <v>10</v>
      </c>
      <c r="I178">
        <f>VLOOKUP(Table4[[#This Row],[Visitor]],'NHL Model'!$A$6:$B$38,2,FALSE)</f>
        <v>-0.39984103039900787</v>
      </c>
      <c r="J178">
        <f>($B$1+Table4[[#This Row],[Home Differential]])-Table4[[#This Row],[Away Differential]]</f>
        <v>0.36746180932258932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0.17670875794620511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-6.6593655044643821E-4</v>
      </c>
      <c r="H179" t="s">
        <v>26</v>
      </c>
      <c r="I179">
        <f>VLOOKUP(Table4[[#This Row],[Visitor]],'NHL Model'!$A$6:$B$38,2,FALSE)</f>
        <v>-8.5361594338821137E-2</v>
      </c>
      <c r="J179">
        <f>($B$1+Table4[[#This Row],[Home Differential]])-Table4[[#This Row],[Away Differential]]</f>
        <v>0.15891331169320522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0.56259413994032881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0.19132388641454065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0.14556378660539449</v>
      </c>
      <c r="H180" t="s">
        <v>12</v>
      </c>
      <c r="I180">
        <f>VLOOKUP(Table4[[#This Row],[Visitor]],'NHL Model'!$A$6:$B$38,2,FALSE)</f>
        <v>1.8591692540144091</v>
      </c>
      <c r="J180">
        <f>($B$1+Table4[[#This Row],[Home Differential]])-Table4[[#This Row],[Away Differential]]</f>
        <v>-1.6393878135041842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7.6709803818060168E-2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0.45610704431993199</v>
      </c>
      <c r="H181" t="s">
        <v>30</v>
      </c>
      <c r="I181">
        <f>VLOOKUP(Table4[[#This Row],[Visitor]],'NHL Model'!$A$6:$B$38,2,FALSE)</f>
        <v>0.16690670582810133</v>
      </c>
      <c r="J181">
        <f>($B$1+Table4[[#This Row],[Home Differential]])-Table4[[#This Row],[Away Differential]]</f>
        <v>0.36341799239666117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0.31331378333137966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3.9572996236628868E-2</v>
      </c>
      <c r="H182" t="s">
        <v>25</v>
      </c>
      <c r="I182">
        <f>VLOOKUP(Table4[[#This Row],[Visitor]],'NHL Model'!$A$6:$B$38,2,FALSE)</f>
        <v>0.45392063308446812</v>
      </c>
      <c r="J182">
        <f>($B$1+Table4[[#This Row],[Home Differential]])-Table4[[#This Row],[Away Differential]]</f>
        <v>-0.34012998294300872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0.29154890913144976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0.18511137883580026</v>
      </c>
      <c r="H183" t="s">
        <v>22</v>
      </c>
      <c r="I183">
        <f>VLOOKUP(Table4[[#This Row],[Visitor]],'NHL Model'!$A$6:$B$38,2,FALSE)</f>
        <v>0.45610704431993199</v>
      </c>
      <c r="J183">
        <f>($B$1+Table4[[#This Row],[Home Differential]])-Table4[[#This Row],[Away Differential]]</f>
        <v>-0.19677801157930119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0.19592255532696237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-0.19727709229606127</v>
      </c>
      <c r="H184" t="s">
        <v>35</v>
      </c>
      <c r="I184">
        <f>VLOOKUP(Table4[[#This Row],[Visitor]],'NHL Model'!$A$6:$B$38,2,FALSE)</f>
        <v>-0.96065798985911643</v>
      </c>
      <c r="J184">
        <f>($B$1+Table4[[#This Row],[Home Differential]])-Table4[[#This Row],[Away Differential]]</f>
        <v>0.83759855146788564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0.6303391878318837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0.13664911605279137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7.1049614431123245E-2</v>
      </c>
      <c r="H185" t="s">
        <v>10</v>
      </c>
      <c r="I185">
        <f>VLOOKUP(Table4[[#This Row],[Visitor]],'NHL Model'!$A$6:$B$38,2,FALSE)</f>
        <v>-0.39984103039900787</v>
      </c>
      <c r="J185">
        <f>($B$1+Table4[[#This Row],[Home Differential]])-Table4[[#This Row],[Away Differential]]</f>
        <v>0.54510829873496158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0.1444304921772557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0.19285186127150866</v>
      </c>
      <c r="H186" t="s">
        <v>39</v>
      </c>
      <c r="I186">
        <f>VLOOKUP(Table4[[#This Row],[Visitor]],'NHL Model'!$A$6:$B$38,2,FALSE)</f>
        <v>0.76796514781800074</v>
      </c>
      <c r="J186">
        <f>($B$1+Table4[[#This Row],[Home Differential]])-Table4[[#This Row],[Away Differential]]</f>
        <v>-0.50089563264166159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0.58735742943770719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0.34498874991567119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1.584470710005189E-2</v>
      </c>
      <c r="H187" t="s">
        <v>24</v>
      </c>
      <c r="I187">
        <f>VLOOKUP(Table4[[#This Row],[Visitor]],'NHL Model'!$A$6:$B$38,2,FALSE)</f>
        <v>-6.1952588060713437E-2</v>
      </c>
      <c r="J187">
        <f>($B$1+Table4[[#This Row],[Home Differential]])-Table4[[#This Row],[Away Differential]]</f>
        <v>0.15201494906559584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0.5240052403726001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0.2745814919379464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0.59379638322319717</v>
      </c>
      <c r="H188" t="s">
        <v>38</v>
      </c>
      <c r="I188">
        <f>VLOOKUP(Table4[[#This Row],[Visitor]],'NHL Model'!$A$6:$B$38,2,FALSE)</f>
        <v>-0.48278309788469043</v>
      </c>
      <c r="J188">
        <f>($B$1+Table4[[#This Row],[Home Differential]])-Table4[[#This Row],[Away Differential]]</f>
        <v>1.1507971350127182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0.12665112986659086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0.10902894471156278</v>
      </c>
      <c r="H189" t="s">
        <v>36</v>
      </c>
      <c r="I189">
        <f>VLOOKUP(Table4[[#This Row],[Visitor]],'NHL Model'!$A$6:$B$38,2,FALSE)</f>
        <v>9.4361646617848058E-2</v>
      </c>
      <c r="J189">
        <f>($B$1+Table4[[#This Row],[Home Differential]])-Table4[[#This Row],[Away Differential]]</f>
        <v>8.888495199854525E-2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0.22201299041977485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-0.3202921716073342</v>
      </c>
      <c r="H190" t="s">
        <v>16</v>
      </c>
      <c r="I190">
        <f>VLOOKUP(Table4[[#This Row],[Visitor]],'NHL Model'!$A$6:$B$38,2,FALSE)</f>
        <v>-0.21926170023436534</v>
      </c>
      <c r="J190">
        <f>($B$1+Table4[[#This Row],[Home Differential]])-Table4[[#This Row],[Away Differential]]</f>
        <v>-2.6812817468138322E-2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0.21426890766206774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0.17784181108472058</v>
      </c>
      <c r="H191" t="s">
        <v>19</v>
      </c>
      <c r="I191">
        <f>VLOOKUP(Table4[[#This Row],[Visitor]],'NHL Model'!$A$6:$B$38,2,FALSE)</f>
        <v>-7.3686276472912369E-4</v>
      </c>
      <c r="J191">
        <f>($B$1+Table4[[#This Row],[Home Differential]])-Table4[[#This Row],[Away Differential]]</f>
        <v>0.25279632775428024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0.32697788617357798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-0.2855111111085496</v>
      </c>
      <c r="H192" t="s">
        <v>15</v>
      </c>
      <c r="I192">
        <f>VLOOKUP(Table4[[#This Row],[Visitor]],'NHL Model'!$A$6:$B$38,2,FALSE)</f>
        <v>-6.2506340836952119E-3</v>
      </c>
      <c r="J192">
        <f>($B$1+Table4[[#This Row],[Home Differential]])-Table4[[#This Row],[Away Differential]]</f>
        <v>-0.20504282312002384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0.54140272655180888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0.21031145921411498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-0.17930549805059143</v>
      </c>
      <c r="H193" t="s">
        <v>12</v>
      </c>
      <c r="I193">
        <f>VLOOKUP(Table4[[#This Row],[Visitor]],'NHL Model'!$A$6:$B$38,2,FALSE)</f>
        <v>1.8591692540144091</v>
      </c>
      <c r="J193">
        <f>($B$1+Table4[[#This Row],[Home Differential]])-Table4[[#This Row],[Away Differential]]</f>
        <v>-1.9642570981601701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0.75807342748508066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0.57467532145897782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-0.10659687498124908</v>
      </c>
      <c r="H194" t="s">
        <v>14</v>
      </c>
      <c r="I194">
        <f>VLOOKUP(Table4[[#This Row],[Visitor]],'NHL Model'!$A$6:$B$38,2,FALSE)</f>
        <v>3.9336367625328564E-2</v>
      </c>
      <c r="J194">
        <f>($B$1+Table4[[#This Row],[Home Differential]])-Table4[[#This Row],[Away Differential]]</f>
        <v>-7.1715588701747116E-2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0.47502460410853431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0.22564837450846975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-6.6593655044643821E-4</v>
      </c>
      <c r="H195" t="s">
        <v>24</v>
      </c>
      <c r="I195">
        <f>VLOOKUP(Table4[[#This Row],[Visitor]],'NHL Model'!$A$6:$B$38,2,FALSE)</f>
        <v>-6.1952588060713437E-2</v>
      </c>
      <c r="J195">
        <f>($B$1+Table4[[#This Row],[Home Differential]])-Table4[[#This Row],[Away Differential]]</f>
        <v>0.1355043054150975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0.54851312130842544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0.20384040163066056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0.16690670582810133</v>
      </c>
      <c r="H196" t="s">
        <v>28</v>
      </c>
      <c r="I196">
        <f>VLOOKUP(Table4[[#This Row],[Visitor]],'NHL Model'!$A$6:$B$38,2,FALSE)</f>
        <v>-0.19727709229606127</v>
      </c>
      <c r="J196">
        <f>($B$1+Table4[[#This Row],[Home Differential]])-Table4[[#This Row],[Away Differential]]</f>
        <v>0.43840145202899311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0.16828105080659506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0.17784181108472058</v>
      </c>
      <c r="H197" t="s">
        <v>16</v>
      </c>
      <c r="I197">
        <f>VLOOKUP(Table4[[#This Row],[Visitor]],'NHL Model'!$A$6:$B$38,2,FALSE)</f>
        <v>-0.21926170023436534</v>
      </c>
      <c r="J197">
        <f>($B$1+Table4[[#This Row],[Home Differential]])-Table4[[#This Row],[Away Differential]]</f>
        <v>0.47132116522391643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0.59538879750557638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0.35448782019513625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-0.17930549805059143</v>
      </c>
      <c r="H198" t="s">
        <v>26</v>
      </c>
      <c r="I198">
        <f>VLOOKUP(Table4[[#This Row],[Visitor]],'NHL Model'!$A$6:$B$38,2,FALSE)</f>
        <v>-8.5361594338821137E-2</v>
      </c>
      <c r="J198">
        <f>($B$1+Table4[[#This Row],[Home Differential]])-Table4[[#This Row],[Away Differential]]</f>
        <v>-1.9726249806939766E-2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0.48289680534944551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0.2673957139178092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0.3142836898216293</v>
      </c>
      <c r="H199" t="s">
        <v>37</v>
      </c>
      <c r="I199">
        <f>VLOOKUP(Table4[[#This Row],[Visitor]],'NHL Model'!$A$6:$B$38,2,FALSE)</f>
        <v>0.79636680320115127</v>
      </c>
      <c r="J199">
        <f>($B$1+Table4[[#This Row],[Home Differential]])-Table4[[#This Row],[Away Differential]]</f>
        <v>-0.40786545947469144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0.59020881460964691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0.16792881562363074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-0.3202921716073342</v>
      </c>
      <c r="H200" t="s">
        <v>38</v>
      </c>
      <c r="I200">
        <f>VLOOKUP(Table4[[#This Row],[Visitor]],'NHL Model'!$A$6:$B$38,2,FALSE)</f>
        <v>-0.48278309788469043</v>
      </c>
      <c r="J200">
        <f>($B$1+Table4[[#This Row],[Home Differential]])-Table4[[#This Row],[Away Differential]]</f>
        <v>0.23670858018218677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0.27354745173961825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-0.2855111111085496</v>
      </c>
      <c r="H201" t="s">
        <v>10</v>
      </c>
      <c r="I201">
        <f>VLOOKUP(Table4[[#This Row],[Visitor]],'NHL Model'!$A$6:$B$38,2,FALSE)</f>
        <v>-0.39984103039900787</v>
      </c>
      <c r="J201">
        <f>($B$1+Table4[[#This Row],[Home Differential]])-Table4[[#This Row],[Away Differential]]</f>
        <v>0.18854757319528881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0.19330461085372877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-0.96065798985911643</v>
      </c>
      <c r="H202" t="s">
        <v>17</v>
      </c>
      <c r="I202">
        <f>VLOOKUP(Table4[[#This Row],[Visitor]],'NHL Model'!$A$6:$B$38,2,FALSE)</f>
        <v>7.1049614431123245E-2</v>
      </c>
      <c r="J202">
        <f>($B$1+Table4[[#This Row],[Home Differential]])-Table4[[#This Row],[Away Differential]]</f>
        <v>-0.95748995038540918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0.31727317637509594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-7.3686276472912369E-4</v>
      </c>
      <c r="H203" t="s">
        <v>14</v>
      </c>
      <c r="I203">
        <f>VLOOKUP(Table4[[#This Row],[Visitor]],'NHL Model'!$A$6:$B$38,2,FALSE)</f>
        <v>3.9336367625328564E-2</v>
      </c>
      <c r="J203">
        <f>($B$1+Table4[[#This Row],[Home Differential]])-Table4[[#This Row],[Away Differential]]</f>
        <v>3.4144423514772843E-2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0.19753592111952656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-6.6593655044643821E-4</v>
      </c>
      <c r="H204" t="s">
        <v>11</v>
      </c>
      <c r="I204">
        <f>VLOOKUP(Table4[[#This Row],[Visitor]],'NHL Model'!$A$6:$B$38,2,FALSE)</f>
        <v>0.19285186127150866</v>
      </c>
      <c r="J204">
        <f>($B$1+Table4[[#This Row],[Home Differential]])-Table4[[#This Row],[Away Differential]]</f>
        <v>-0.11930014391712458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0.48345535175559246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0.23372907714112362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0.18511137883580026</v>
      </c>
      <c r="H205" t="s">
        <v>55</v>
      </c>
      <c r="I205">
        <f>VLOOKUP(Table4[[#This Row],[Visitor]],'NHL Model'!$A$6:$B$38,2,FALSE)</f>
        <v>0.3142836898216293</v>
      </c>
      <c r="J205">
        <f>($B$1+Table4[[#This Row],[Home Differential]])-Table4[[#This Row],[Away Differential]]</f>
        <v>-5.4954657080998504E-2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0.42733504170645131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0.32794515445735184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1.8591692540144091</v>
      </c>
      <c r="H206" t="s">
        <v>37</v>
      </c>
      <c r="I206">
        <f>VLOOKUP(Table4[[#This Row],[Visitor]],'NHL Model'!$A$6:$B$38,2,FALSE)</f>
        <v>0.79636680320115127</v>
      </c>
      <c r="J206">
        <f>($B$1+Table4[[#This Row],[Home Differential]])-Table4[[#This Row],[Away Differential]]</f>
        <v>1.1370201047180883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0.70184965239453567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8.8893629777259203E-2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0.76796514781800074</v>
      </c>
      <c r="H207" t="s">
        <v>17</v>
      </c>
      <c r="I207">
        <f>VLOOKUP(Table4[[#This Row],[Visitor]],'NHL Model'!$A$6:$B$38,2,FALSE)</f>
        <v>7.1049614431123245E-2</v>
      </c>
      <c r="J207">
        <f>($B$1+Table4[[#This Row],[Home Differential]])-Table4[[#This Row],[Away Differential]]</f>
        <v>0.77113318729170799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0.12305481528742884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1.584470710005189E-2</v>
      </c>
      <c r="H208" t="s">
        <v>40</v>
      </c>
      <c r="I208">
        <f>VLOOKUP(Table4[[#This Row],[Visitor]],'NHL Model'!$A$6:$B$38,2,FALSE)</f>
        <v>-0.10659687498124908</v>
      </c>
      <c r="J208">
        <f>($B$1+Table4[[#This Row],[Home Differential]])-Table4[[#This Row],[Away Differential]]</f>
        <v>0.1966592359861315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0.56121068097299243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0.19253606649218502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0.59379638322319717</v>
      </c>
      <c r="H209" t="s">
        <v>29</v>
      </c>
      <c r="I209">
        <f>VLOOKUP(Table4[[#This Row],[Visitor]],'NHL Model'!$A$6:$B$38,2,FALSE)</f>
        <v>-0.3202921716073342</v>
      </c>
      <c r="J209">
        <f>($B$1+Table4[[#This Row],[Home Differential]])-Table4[[#This Row],[Away Differential]]</f>
        <v>0.98830620873536179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0.10964211098480456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0.10902894471156278</v>
      </c>
      <c r="H210" t="s">
        <v>27</v>
      </c>
      <c r="I210">
        <f>VLOOKUP(Table4[[#This Row],[Visitor]],'NHL Model'!$A$6:$B$38,2,FALSE)</f>
        <v>0.17784181108472058</v>
      </c>
      <c r="J210">
        <f>($B$1+Table4[[#This Row],[Home Differential]])-Table4[[#This Row],[Away Differential]]</f>
        <v>5.4047875316727279E-3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0.28440165178664184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0.16690670582810133</v>
      </c>
      <c r="H211" t="s">
        <v>21</v>
      </c>
      <c r="I211">
        <f>VLOOKUP(Table4[[#This Row],[Visitor]],'NHL Model'!$A$6:$B$38,2,FALSE)</f>
        <v>3.9572996236628868E-2</v>
      </c>
      <c r="J211">
        <f>($B$1+Table4[[#This Row],[Home Differential]])-Table4[[#This Row],[Away Differential]]</f>
        <v>0.20155136349630298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0.31835978170222362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-6.2506340836952119E-3</v>
      </c>
      <c r="H212" t="s">
        <v>25</v>
      </c>
      <c r="I212">
        <f>VLOOKUP(Table4[[#This Row],[Visitor]],'NHL Model'!$A$6:$B$38,2,FALSE)</f>
        <v>0.45392063308446812</v>
      </c>
      <c r="J212">
        <f>($B$1+Table4[[#This Row],[Home Differential]])-Table4[[#This Row],[Away Differential]]</f>
        <v>-0.38595361326333277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0.19445401179555341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0.14556378660539449</v>
      </c>
      <c r="H213" t="s">
        <v>26</v>
      </c>
      <c r="I213">
        <f>VLOOKUP(Table4[[#This Row],[Visitor]],'NHL Model'!$A$6:$B$38,2,FALSE)</f>
        <v>-8.5361594338821137E-2</v>
      </c>
      <c r="J213">
        <f>($B$1+Table4[[#This Row],[Home Differential]])-Table4[[#This Row],[Away Differential]]</f>
        <v>0.30514303484904615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0.5521419698202511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0.20057681519648488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-0.21926170023436534</v>
      </c>
      <c r="H214" t="s">
        <v>28</v>
      </c>
      <c r="I214">
        <f>VLOOKUP(Table4[[#This Row],[Visitor]],'NHL Model'!$A$6:$B$38,2,FALSE)</f>
        <v>-0.19727709229606127</v>
      </c>
      <c r="J214">
        <f>($B$1+Table4[[#This Row],[Home Differential]])-Table4[[#This Row],[Away Differential]]</f>
        <v>5.2233045966526448E-2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0.58422568750196091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0.17286827893321707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-0.2855111111085496</v>
      </c>
      <c r="H215" t="s">
        <v>33</v>
      </c>
      <c r="I215">
        <f>VLOOKUP(Table4[[#This Row],[Visitor]],'NHL Model'!$A$6:$B$38,2,FALSE)</f>
        <v>-0.17930549805059143</v>
      </c>
      <c r="J215">
        <f>($B$1+Table4[[#This Row],[Home Differential]])-Table4[[#This Row],[Away Differential]]</f>
        <v>-3.1987959153127632E-2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0.28011637961674363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-7.3686276472912369E-4</v>
      </c>
      <c r="H216" t="s">
        <v>55</v>
      </c>
      <c r="I216">
        <f>VLOOKUP(Table4[[#This Row],[Visitor]],'NHL Model'!$A$6:$B$38,2,FALSE)</f>
        <v>0.3142836898216293</v>
      </c>
      <c r="J216">
        <f>($B$1+Table4[[#This Row],[Home Differential]])-Table4[[#This Row],[Away Differential]]</f>
        <v>-0.24080289868152788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0.46686636419562644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0.21796420201724331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-0.48278309788469043</v>
      </c>
      <c r="H217" t="s">
        <v>10</v>
      </c>
      <c r="I217">
        <f>VLOOKUP(Table4[[#This Row],[Visitor]],'NHL Model'!$A$6:$B$38,2,FALSE)</f>
        <v>-0.39984103039900787</v>
      </c>
      <c r="J217">
        <f>($B$1+Table4[[#This Row],[Home Differential]])-Table4[[#This Row],[Away Differential]]</f>
        <v>-8.7244135808520196E-3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0.46094097158575836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0.29058463611490609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0.45610704431993199</v>
      </c>
      <c r="H218" t="s">
        <v>35</v>
      </c>
      <c r="I218">
        <f>VLOOKUP(Table4[[#This Row],[Visitor]],'NHL Model'!$A$6:$B$38,2,FALSE)</f>
        <v>-0.96065798985911643</v>
      </c>
      <c r="J218">
        <f>($B$1+Table4[[#This Row],[Home Differential]])-Table4[[#This Row],[Away Differential]]</f>
        <v>1.490982688083879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0.71482655131433315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8.1323895835276661E-2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3.9572996236628868E-2</v>
      </c>
      <c r="H219" t="s">
        <v>36</v>
      </c>
      <c r="I219">
        <f>VLOOKUP(Table4[[#This Row],[Visitor]],'NHL Model'!$A$6:$B$38,2,FALSE)</f>
        <v>9.4361646617848058E-2</v>
      </c>
      <c r="J219">
        <f>($B$1+Table4[[#This Row],[Home Differential]])-Table4[[#This Row],[Away Differential]]</f>
        <v>1.9429003523611335E-2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0.21582635488310206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0.18511137883580026</v>
      </c>
      <c r="H220" t="s">
        <v>35</v>
      </c>
      <c r="I220">
        <f>VLOOKUP(Table4[[#This Row],[Visitor]],'NHL Model'!$A$6:$B$38,2,FALSE)</f>
        <v>-0.96065798985911643</v>
      </c>
      <c r="J220">
        <f>($B$1+Table4[[#This Row],[Home Differential]])-Table4[[#This Row],[Away Differential]]</f>
        <v>1.2199870225997471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0.71017378716333235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0.50434680797391007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0.45392063308446812</v>
      </c>
      <c r="H221" t="s">
        <v>34</v>
      </c>
      <c r="I221">
        <f>VLOOKUP(Table4[[#This Row],[Visitor]],'NHL Model'!$A$6:$B$38,2,FALSE)</f>
        <v>0.59379638322319717</v>
      </c>
      <c r="J221">
        <f>($B$1+Table4[[#This Row],[Home Differential]])-Table4[[#This Row],[Away Differential]]</f>
        <v>-6.5658096233898511E-2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0.49034515198707612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0.24043836807722879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0.76796514781800074</v>
      </c>
      <c r="H222" t="s">
        <v>31</v>
      </c>
      <c r="I222">
        <f>VLOOKUP(Table4[[#This Row],[Visitor]],'NHL Model'!$A$6:$B$38,2,FALSE)</f>
        <v>-6.6593655044643821E-4</v>
      </c>
      <c r="J222">
        <f>($B$1+Table4[[#This Row],[Home Differential]])-Table4[[#This Row],[Away Differential]]</f>
        <v>0.84284873827327766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0.65694318255416018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0.43157434510438863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1.584470710005189E-2</v>
      </c>
      <c r="H223" t="s">
        <v>11</v>
      </c>
      <c r="I223">
        <f>VLOOKUP(Table4[[#This Row],[Visitor]],'NHL Model'!$A$6:$B$38,2,FALSE)</f>
        <v>0.19285186127150866</v>
      </c>
      <c r="J223">
        <f>($B$1+Table4[[#This Row],[Home Differential]])-Table4[[#This Row],[Away Differential]]</f>
        <v>-0.10278950026662625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0.507980771006038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0.24208292169981283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-6.1952588060713437E-2</v>
      </c>
      <c r="H224" t="s">
        <v>18</v>
      </c>
      <c r="I224">
        <f>VLOOKUP(Table4[[#This Row],[Visitor]],'NHL Model'!$A$6:$B$38,2,FALSE)</f>
        <v>0.10902894471156278</v>
      </c>
      <c r="J224">
        <f>($B$1+Table4[[#This Row],[Home Differential]])-Table4[[#This Row],[Away Differential]]</f>
        <v>-9.6763878867445696E-2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0.28810298558154007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-0.3202921716073342</v>
      </c>
      <c r="H225" t="s">
        <v>27</v>
      </c>
      <c r="I225">
        <f>VLOOKUP(Table4[[#This Row],[Visitor]],'NHL Model'!$A$6:$B$38,2,FALSE)</f>
        <v>0.17784181108472058</v>
      </c>
      <c r="J225">
        <f>($B$1+Table4[[#This Row],[Home Differential]])-Table4[[#This Row],[Away Differential]]</f>
        <v>-0.42391632878722424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0.51301121327512178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0.23715807839576891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3.9336367625328564E-2</v>
      </c>
      <c r="H226" t="s">
        <v>22</v>
      </c>
      <c r="I226">
        <f>VLOOKUP(Table4[[#This Row],[Visitor]],'NHL Model'!$A$6:$B$38,2,FALSE)</f>
        <v>0.45610704431993199</v>
      </c>
      <c r="J226">
        <f>($B$1+Table4[[#This Row],[Home Differential]])-Table4[[#This Row],[Away Differential]]</f>
        <v>-0.3425530227897729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0.24695538124512459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0.14556378660539449</v>
      </c>
      <c r="H227" t="s">
        <v>37</v>
      </c>
      <c r="I227">
        <f>VLOOKUP(Table4[[#This Row],[Visitor]],'NHL Model'!$A$6:$B$38,2,FALSE)</f>
        <v>0.79636680320115127</v>
      </c>
      <c r="J227">
        <f>($B$1+Table4[[#This Row],[Home Differential]])-Table4[[#This Row],[Away Differential]]</f>
        <v>-0.57658536269092631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0.60840609897805598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0.15334578331758408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-0.21926170023436534</v>
      </c>
      <c r="H228" t="s">
        <v>10</v>
      </c>
      <c r="I228">
        <f>VLOOKUP(Table4[[#This Row],[Visitor]],'NHL Model'!$A$6:$B$38,2,FALSE)</f>
        <v>-0.39984103039900787</v>
      </c>
      <c r="J228">
        <f>($B$1+Table4[[#This Row],[Home Differential]])-Table4[[#This Row],[Away Differential]]</f>
        <v>0.25479698406947304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0.60607322009401055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0.36732474811512295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-8.5361594338821137E-2</v>
      </c>
      <c r="H229" t="s">
        <v>15</v>
      </c>
      <c r="I229">
        <f>VLOOKUP(Table4[[#This Row],[Visitor]],'NHL Model'!$A$6:$B$38,2,FALSE)</f>
        <v>-6.2506340836952119E-3</v>
      </c>
      <c r="J229">
        <f>($B$1+Table4[[#This Row],[Home Differential]])-Table4[[#This Row],[Away Differential]]</f>
        <v>-4.8933063502954004E-3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0.47878863709863012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0.27166128481750357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0.16690670582810133</v>
      </c>
      <c r="H230" t="s">
        <v>34</v>
      </c>
      <c r="I230">
        <f>VLOOKUP(Table4[[#This Row],[Visitor]],'NHL Model'!$A$6:$B$38,2,FALSE)</f>
        <v>0.59379638322319717</v>
      </c>
      <c r="J230">
        <f>($B$1+Table4[[#This Row],[Home Differential]])-Table4[[#This Row],[Away Differential]]</f>
        <v>-0.35267202349026533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0.55293105645727259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0.19987064028041041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-0.17930549805059143</v>
      </c>
      <c r="H231" t="s">
        <v>40</v>
      </c>
      <c r="I231">
        <f>VLOOKUP(Table4[[#This Row],[Visitor]],'NHL Model'!$A$6:$B$38,2,FALSE)</f>
        <v>-0.10659687498124908</v>
      </c>
      <c r="J231">
        <f>($B$1+Table4[[#This Row],[Home Differential]])-Table4[[#This Row],[Away Differential]]</f>
        <v>1.5090308354881732E-3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0.21145029049710709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0.45392063308446812</v>
      </c>
      <c r="H232" t="s">
        <v>23</v>
      </c>
      <c r="I232">
        <f>VLOOKUP(Table4[[#This Row],[Visitor]],'NHL Model'!$A$6:$B$38,2,FALSE)</f>
        <v>0.18511137883580026</v>
      </c>
      <c r="J232">
        <f>($B$1+Table4[[#This Row],[Home Differential]])-Table4[[#This Row],[Away Differential]]</f>
        <v>0.3430269081534984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0.15155814003620735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7.1049614431123245E-2</v>
      </c>
      <c r="H233" t="s">
        <v>12</v>
      </c>
      <c r="I233">
        <f>VLOOKUP(Table4[[#This Row],[Visitor]],'NHL Model'!$A$6:$B$38,2,FALSE)</f>
        <v>1.8591692540144091</v>
      </c>
      <c r="J233">
        <f>($B$1+Table4[[#This Row],[Home Differential]])-Table4[[#This Row],[Away Differential]]</f>
        <v>-1.7139019856784554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8.4219807890254988E-2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0.10902894471156278</v>
      </c>
      <c r="H234" t="s">
        <v>55</v>
      </c>
      <c r="I234">
        <f>VLOOKUP(Table4[[#This Row],[Visitor]],'NHL Model'!$A$6:$B$38,2,FALSE)</f>
        <v>0.3142836898216293</v>
      </c>
      <c r="J234">
        <f>($B$1+Table4[[#This Row],[Home Differential]])-Table4[[#This Row],[Away Differential]]</f>
        <v>-0.13103709120523599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0.47413300485607079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0.22480210629384687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-6.1952588060713437E-2</v>
      </c>
      <c r="H235" t="s">
        <v>14</v>
      </c>
      <c r="I235">
        <f>VLOOKUP(Table4[[#This Row],[Visitor]],'NHL Model'!$A$6:$B$38,2,FALSE)</f>
        <v>3.9336367625328564E-2</v>
      </c>
      <c r="J235">
        <f>($B$1+Table4[[#This Row],[Home Differential]])-Table4[[#This Row],[Away Differential]]</f>
        <v>-2.7071301781211476E-2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0.22109696895544514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-0.3202921716073342</v>
      </c>
      <c r="H236" t="s">
        <v>39</v>
      </c>
      <c r="I236">
        <f>VLOOKUP(Table4[[#This Row],[Visitor]],'NHL Model'!$A$6:$B$38,2,FALSE)</f>
        <v>0.76796514781800074</v>
      </c>
      <c r="J236">
        <f>($B$1+Table4[[#This Row],[Home Differential]])-Table4[[#This Row],[Away Differential]]</f>
        <v>-1.0140396655205044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0.12711400465600553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-6.2506340836952119E-3</v>
      </c>
      <c r="H237" t="s">
        <v>30</v>
      </c>
      <c r="I237">
        <f>VLOOKUP(Table4[[#This Row],[Visitor]],'NHL Model'!$A$6:$B$38,2,FALSE)</f>
        <v>0.16690670582810133</v>
      </c>
      <c r="J237">
        <f>($B$1+Table4[[#This Row],[Home Differential]])-Table4[[#This Row],[Away Differential]]</f>
        <v>-9.893968600696601E-2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0.24576354627145894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0.17784181108472058</v>
      </c>
      <c r="H238" t="s">
        <v>36</v>
      </c>
      <c r="I238">
        <f>VLOOKUP(Table4[[#This Row],[Visitor]],'NHL Model'!$A$6:$B$38,2,FALSE)</f>
        <v>9.4361646617848058E-2</v>
      </c>
      <c r="J238">
        <f>($B$1+Table4[[#This Row],[Home Differential]])-Table4[[#This Row],[Away Differential]]</f>
        <v>0.15769781837170305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0.29248413212913199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-0.17930549805059143</v>
      </c>
      <c r="H239" t="s">
        <v>11</v>
      </c>
      <c r="I239">
        <f>VLOOKUP(Table4[[#This Row],[Visitor]],'NHL Model'!$A$6:$B$38,2,FALSE)</f>
        <v>0.19285186127150866</v>
      </c>
      <c r="J239">
        <f>($B$1+Table4[[#This Row],[Home Differential]])-Table4[[#This Row],[Away Differential]]</f>
        <v>-0.29793970541726955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0.52902869546536124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0.27987136062578194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-0.96065798985911643</v>
      </c>
      <c r="H240" t="s">
        <v>32</v>
      </c>
      <c r="I240">
        <f>VLOOKUP(Table4[[#This Row],[Visitor]],'NHL Model'!$A$6:$B$38,2,FALSE)</f>
        <v>-0.2855111111085496</v>
      </c>
      <c r="J240">
        <f>($B$1+Table4[[#This Row],[Home Differential]])-Table4[[#This Row],[Away Differential]]</f>
        <v>-0.6009292248457363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0.22580247710192589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0.79636680320115127</v>
      </c>
      <c r="H241" t="s">
        <v>22</v>
      </c>
      <c r="I241">
        <f>VLOOKUP(Table4[[#This Row],[Visitor]],'NHL Model'!$A$6:$B$38,2,FALSE)</f>
        <v>0.45610704431993199</v>
      </c>
      <c r="J241">
        <f>($B$1+Table4[[#This Row],[Home Differential]])-Table4[[#This Row],[Away Differential]]</f>
        <v>0.41447741278604977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0.58925791485355405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0.16870906051045026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-7.3686276472912369E-4</v>
      </c>
      <c r="H242" t="s">
        <v>21</v>
      </c>
      <c r="I242">
        <f>VLOOKUP(Table4[[#This Row],[Visitor]],'NHL Model'!$A$6:$B$38,2,FALSE)</f>
        <v>3.9572996236628868E-2</v>
      </c>
      <c r="J242">
        <f>($B$1+Table4[[#This Row],[Home Differential]])-Table4[[#This Row],[Away Differential]]</f>
        <v>3.3907794903472538E-2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0.56276255636985262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0.31670169485193156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-0.48278309788469043</v>
      </c>
      <c r="H243" t="s">
        <v>28</v>
      </c>
      <c r="I243">
        <f>VLOOKUP(Table4[[#This Row],[Visitor]],'NHL Model'!$A$6:$B$38,2,FALSE)</f>
        <v>-0.19727709229606127</v>
      </c>
      <c r="J243">
        <f>($B$1+Table4[[#This Row],[Home Differential]])-Table4[[#This Row],[Away Differential]]</f>
        <v>-0.21128835168379861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0.48278850417780794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0.23308473976624527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0.14556378660539449</v>
      </c>
      <c r="H244" t="s">
        <v>31</v>
      </c>
      <c r="I244">
        <f>VLOOKUP(Table4[[#This Row],[Visitor]],'NHL Model'!$A$6:$B$38,2,FALSE)</f>
        <v>-6.6593655044643821E-4</v>
      </c>
      <c r="J244">
        <f>($B$1+Table4[[#This Row],[Home Differential]])-Table4[[#This Row],[Away Differential]]</f>
        <v>0.22044737706067147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0.56377635081678346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0.31784377374028888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-6.6593655044643821E-4</v>
      </c>
      <c r="H245" t="s">
        <v>40</v>
      </c>
      <c r="I245">
        <f>VLOOKUP(Table4[[#This Row],[Visitor]],'NHL Model'!$A$6:$B$38,2,FALSE)</f>
        <v>-0.10659687498124908</v>
      </c>
      <c r="J245">
        <f>($B$1+Table4[[#This Row],[Home Differential]])-Table4[[#This Row],[Away Differential]]</f>
        <v>0.18014859233563316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0.171837059721371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0.76796514781800074</v>
      </c>
      <c r="H246" t="s">
        <v>32</v>
      </c>
      <c r="I246">
        <f>VLOOKUP(Table4[[#This Row],[Visitor]],'NHL Model'!$A$6:$B$38,2,FALSE)</f>
        <v>-0.2855111111085496</v>
      </c>
      <c r="J246">
        <f>($B$1+Table4[[#This Row],[Home Differential]])-Table4[[#This Row],[Away Differential]]</f>
        <v>1.1276939128313808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9.7553053828654562E-2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-8.5361594338821137E-2</v>
      </c>
      <c r="H247" t="s">
        <v>10</v>
      </c>
      <c r="I247">
        <f>VLOOKUP(Table4[[#This Row],[Visitor]],'NHL Model'!$A$6:$B$38,2,FALSE)</f>
        <v>-0.39984103039900787</v>
      </c>
      <c r="J247">
        <f>($B$1+Table4[[#This Row],[Home Differential]])-Table4[[#This Row],[Away Differential]]</f>
        <v>0.38869708996501728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0.62235410025741633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0.38732462610721824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0.59379638322319717</v>
      </c>
      <c r="H248" t="s">
        <v>16</v>
      </c>
      <c r="I248">
        <f>VLOOKUP(Table4[[#This Row],[Visitor]],'NHL Model'!$A$6:$B$38,2,FALSE)</f>
        <v>-0.21926170023436534</v>
      </c>
      <c r="J248">
        <f>($B$1+Table4[[#This Row],[Home Differential]])-Table4[[#This Row],[Away Differential]]</f>
        <v>0.88727573736239296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0.11697709383145818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9.4361646617848058E-2</v>
      </c>
      <c r="H249" t="s">
        <v>55</v>
      </c>
      <c r="I249">
        <f>VLOOKUP(Table4[[#This Row],[Visitor]],'NHL Model'!$A$6:$B$38,2,FALSE)</f>
        <v>0.3142836898216293</v>
      </c>
      <c r="J249">
        <f>($B$1+Table4[[#This Row],[Home Differential]])-Table4[[#This Row],[Away Differential]]</f>
        <v>-0.14570438929895072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0.47571494622303262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0.22630471005998282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3.9336367625328564E-2</v>
      </c>
      <c r="H250" t="s">
        <v>13</v>
      </c>
      <c r="I250">
        <f>VLOOKUP(Table4[[#This Row],[Visitor]],'NHL Model'!$A$6:$B$38,2,FALSE)</f>
        <v>1.584470710005189E-2</v>
      </c>
      <c r="J250">
        <f>($B$1+Table4[[#This Row],[Home Differential]])-Table4[[#This Row],[Away Differential]]</f>
        <v>9.7709314430107191E-2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0.51814810640422415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0.26847746017028318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-7.3686276472912369E-4</v>
      </c>
      <c r="H251" t="s">
        <v>25</v>
      </c>
      <c r="I251">
        <f>VLOOKUP(Table4[[#This Row],[Visitor]],'NHL Model'!$A$6:$B$38,2,FALSE)</f>
        <v>0.45392063308446812</v>
      </c>
      <c r="J251">
        <f>($B$1+Table4[[#This Row],[Home Differential]])-Table4[[#This Row],[Away Differential]]</f>
        <v>-0.3804398419443667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0.21238682877443443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-0.48278309788469043</v>
      </c>
      <c r="H252" t="s">
        <v>12</v>
      </c>
      <c r="I252">
        <f>VLOOKUP(Table4[[#This Row],[Visitor]],'NHL Model'!$A$6:$B$38,2,FALSE)</f>
        <v>1.8591692540144091</v>
      </c>
      <c r="J252">
        <f>($B$1+Table4[[#This Row],[Home Differential]])-Table4[[#This Row],[Away Differential]]</f>
        <v>-2.267734697994269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0.79080500258885289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4.3762546941849848E-2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7.1049614431123245E-2</v>
      </c>
      <c r="H253" t="s">
        <v>28</v>
      </c>
      <c r="I253">
        <f>VLOOKUP(Table4[[#This Row],[Visitor]],'NHL Model'!$A$6:$B$38,2,FALSE)</f>
        <v>-0.19727709229606127</v>
      </c>
      <c r="J253">
        <f>($B$1+Table4[[#This Row],[Home Differential]])-Table4[[#This Row],[Away Differential]]</f>
        <v>0.34254436063201504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0.59811234823991344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0.16151368463723662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-6.1952588060713437E-2</v>
      </c>
      <c r="H254" t="s">
        <v>30</v>
      </c>
      <c r="I254">
        <f>VLOOKUP(Table4[[#This Row],[Visitor]],'NHL Model'!$A$6:$B$38,2,FALSE)</f>
        <v>0.16690670582810133</v>
      </c>
      <c r="J254">
        <f>($B$1+Table4[[#This Row],[Home Differential]])-Table4[[#This Row],[Away Differential]]</f>
        <v>-0.15464163998398422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0.23984302562361362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-6.2506340836952119E-3</v>
      </c>
      <c r="H255" t="s">
        <v>29</v>
      </c>
      <c r="I255">
        <f>VLOOKUP(Table4[[#This Row],[Visitor]],'NHL Model'!$A$6:$B$38,2,FALSE)</f>
        <v>-0.3202921716073342</v>
      </c>
      <c r="J255">
        <f>($B$1+Table4[[#This Row],[Home Differential]])-Table4[[#This Row],[Away Differential]]</f>
        <v>0.38825919142846954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0.5818756932667124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0.17482793588119239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0.14556378660539449</v>
      </c>
      <c r="H256" t="s">
        <v>11</v>
      </c>
      <c r="I256">
        <f>VLOOKUP(Table4[[#This Row],[Visitor]],'NHL Model'!$A$6:$B$38,2,FALSE)</f>
        <v>0.19285186127150866</v>
      </c>
      <c r="J256">
        <f>($B$1+Table4[[#This Row],[Home Differential]])-Table4[[#This Row],[Away Differential]]</f>
        <v>2.6929579238716361E-2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0.50601007970433554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0.25604620076238799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3.9572996236628868E-2</v>
      </c>
      <c r="H257" t="s">
        <v>19</v>
      </c>
      <c r="I257">
        <f>VLOOKUP(Table4[[#This Row],[Visitor]],'NHL Model'!$A$6:$B$38,2,FALSE)</f>
        <v>-7.3686276472912369E-4</v>
      </c>
      <c r="J257">
        <f>($B$1+Table4[[#This Row],[Home Differential]])-Table4[[#This Row],[Away Differential]]</f>
        <v>0.11452751290618851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0.18803585728715244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0.45392063308446812</v>
      </c>
      <c r="H258" t="s">
        <v>22</v>
      </c>
      <c r="I258">
        <f>VLOOKUP(Table4[[#This Row],[Visitor]],'NHL Model'!$A$6:$B$38,2,FALSE)</f>
        <v>0.45610704431993199</v>
      </c>
      <c r="J258">
        <f>($B$1+Table4[[#This Row],[Home Differential]])-Table4[[#This Row],[Away Differential]]</f>
        <v>7.2031242669366669E-2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0.58146707585324064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0.33810396030131828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1.8591692540144091</v>
      </c>
      <c r="H259" t="s">
        <v>31</v>
      </c>
      <c r="I259">
        <f>VLOOKUP(Table4[[#This Row],[Visitor]],'NHL Model'!$A$6:$B$38,2,FALSE)</f>
        <v>-6.6593655044643821E-4</v>
      </c>
      <c r="J259">
        <f>($B$1+Table4[[#This Row],[Home Differential]])-Table4[[#This Row],[Away Differential]]</f>
        <v>1.9340528444696861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1.714844702036258E-2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0.59379638322319717</v>
      </c>
      <c r="H260" t="s">
        <v>33</v>
      </c>
      <c r="I260">
        <f>VLOOKUP(Table4[[#This Row],[Visitor]],'NHL Model'!$A$6:$B$38,2,FALSE)</f>
        <v>-0.17930549805059143</v>
      </c>
      <c r="J260">
        <f>($B$1+Table4[[#This Row],[Home Differential]])-Table4[[#This Row],[Away Differential]]</f>
        <v>0.84731953517861913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0.41788961792337331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0.10902894471156278</v>
      </c>
      <c r="H261" t="s">
        <v>13</v>
      </c>
      <c r="I261">
        <f>VLOOKUP(Table4[[#This Row],[Visitor]],'NHL Model'!$A$6:$B$38,2,FALSE)</f>
        <v>1.584470710005189E-2</v>
      </c>
      <c r="J261">
        <f>($B$1+Table4[[#This Row],[Home Differential]])-Table4[[#This Row],[Away Differential]]</f>
        <v>0.16740189151634141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0.5256647989783072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0.2763234808849041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9.4361646617848058E-2</v>
      </c>
      <c r="H262" t="s">
        <v>39</v>
      </c>
      <c r="I262">
        <f>VLOOKUP(Table4[[#This Row],[Visitor]],'NHL Model'!$A$6:$B$38,2,FALSE)</f>
        <v>0.76796514781800074</v>
      </c>
      <c r="J262">
        <f>($B$1+Table4[[#This Row],[Home Differential]])-Table4[[#This Row],[Away Differential]]</f>
        <v>-0.59938584729532218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0.59874700425074967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0.16100396659774791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-0.2855111111085496</v>
      </c>
      <c r="H263" t="s">
        <v>28</v>
      </c>
      <c r="I263">
        <f>VLOOKUP(Table4[[#This Row],[Visitor]],'NHL Model'!$A$6:$B$38,2,FALSE)</f>
        <v>-0.19727709229606127</v>
      </c>
      <c r="J263">
        <f>($B$1+Table4[[#This Row],[Home Differential]])-Table4[[#This Row],[Away Differential]]</f>
        <v>-1.4016364907657786E-2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0.46151173497123898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0.28996961157368517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-0.96065798985911643</v>
      </c>
      <c r="H264" t="s">
        <v>16</v>
      </c>
      <c r="I264">
        <f>VLOOKUP(Table4[[#This Row],[Visitor]],'NHL Model'!$A$6:$B$38,2,FALSE)</f>
        <v>-0.21926170023436534</v>
      </c>
      <c r="J264">
        <f>($B$1+Table4[[#This Row],[Home Differential]])-Table4[[#This Row],[Away Differential]]</f>
        <v>-0.66717863571992064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0.53195854861985481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0.28297989744974245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-0.48278309788469043</v>
      </c>
      <c r="H265" t="s">
        <v>40</v>
      </c>
      <c r="I265">
        <f>VLOOKUP(Table4[[#This Row],[Visitor]],'NHL Model'!$A$6:$B$38,2,FALSE)</f>
        <v>-0.10659687498124908</v>
      </c>
      <c r="J265">
        <f>($B$1+Table4[[#This Row],[Home Differential]])-Table4[[#This Row],[Away Differential]]</f>
        <v>-0.3019685689986108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0.25748640386704374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-0.39984103039900787</v>
      </c>
      <c r="H266" t="s">
        <v>24</v>
      </c>
      <c r="I266">
        <f>VLOOKUP(Table4[[#This Row],[Visitor]],'NHL Model'!$A$6:$B$38,2,FALSE)</f>
        <v>-6.1952588060713437E-2</v>
      </c>
      <c r="J266">
        <f>($B$1+Table4[[#This Row],[Home Differential]])-Table4[[#This Row],[Away Differential]]</f>
        <v>-0.26367078843346392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0.52082854289165204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0.22960528530733734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0.17784181108472058</v>
      </c>
      <c r="H267" t="s">
        <v>17</v>
      </c>
      <c r="I267">
        <f>VLOOKUP(Table4[[#This Row],[Visitor]],'NHL Model'!$A$6:$B$38,2,FALSE)</f>
        <v>7.1049614431123245E-2</v>
      </c>
      <c r="J267">
        <f>($B$1+Table4[[#This Row],[Home Differential]])-Table4[[#This Row],[Away Differential]]</f>
        <v>0.18100985055842789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0.56407727202678359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0.31818316881717801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0.79636680320115127</v>
      </c>
      <c r="H268" t="s">
        <v>15</v>
      </c>
      <c r="I268">
        <f>VLOOKUP(Table4[[#This Row],[Visitor]],'NHL Model'!$A$6:$B$38,2,FALSE)</f>
        <v>-6.2506340836952119E-3</v>
      </c>
      <c r="J268">
        <f>($B$1+Table4[[#This Row],[Home Differential]])-Table4[[#This Row],[Away Differential]]</f>
        <v>0.87683509118967695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0.3362436064332312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0.3142836898216293</v>
      </c>
      <c r="H269" t="s">
        <v>23</v>
      </c>
      <c r="I269">
        <f>VLOOKUP(Table4[[#This Row],[Visitor]],'NHL Model'!$A$6:$B$38,2,FALSE)</f>
        <v>0.18511137883580026</v>
      </c>
      <c r="J269">
        <f>($B$1+Table4[[#This Row],[Home Differential]])-Table4[[#This Row],[Away Differential]]</f>
        <v>0.20338996489065958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0.56193662370735609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0.19189952164891053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-0.19727709229606127</v>
      </c>
      <c r="H270" t="s">
        <v>17</v>
      </c>
      <c r="I270">
        <f>VLOOKUP(Table4[[#This Row],[Visitor]],'NHL Model'!$A$6:$B$38,2,FALSE)</f>
        <v>7.1049614431123245E-2</v>
      </c>
      <c r="J270">
        <f>($B$1+Table4[[#This Row],[Home Differential]])-Table4[[#This Row],[Away Differential]]</f>
        <v>-0.19410905282235399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0.48093563097984898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0.23129908114598546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-0.21926170023436534</v>
      </c>
      <c r="H271" t="s">
        <v>33</v>
      </c>
      <c r="I271">
        <f>VLOOKUP(Table4[[#This Row],[Visitor]],'NHL Model'!$A$6:$B$38,2,FALSE)</f>
        <v>-0.17930549805059143</v>
      </c>
      <c r="J271">
        <f>($B$1+Table4[[#This Row],[Home Differential]])-Table4[[#This Row],[Away Differential]]</f>
        <v>3.4261451721056602E-2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0.18051975121490035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1.8591692540144091</v>
      </c>
      <c r="H272" t="s">
        <v>23</v>
      </c>
      <c r="I272">
        <f>VLOOKUP(Table4[[#This Row],[Visitor]],'NHL Model'!$A$6:$B$38,2,FALSE)</f>
        <v>0.18511137883580026</v>
      </c>
      <c r="J272">
        <f>($B$1+Table4[[#This Row],[Home Differential]])-Table4[[#This Row],[Away Differential]]</f>
        <v>1.7482755290834393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0.8490109094231183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2.2797705473233787E-2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-8.5361594338821137E-2</v>
      </c>
      <c r="H273" t="s">
        <v>31</v>
      </c>
      <c r="I273">
        <f>VLOOKUP(Table4[[#This Row],[Visitor]],'NHL Model'!$A$6:$B$38,2,FALSE)</f>
        <v>-6.6593655044643821E-4</v>
      </c>
      <c r="J273">
        <f>($B$1+Table4[[#This Row],[Home Differential]])-Table4[[#This Row],[Away Differential]]</f>
        <v>-1.0478003883544175E-2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0.42069892761351058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0.17698758769515782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0.19285186127150866</v>
      </c>
      <c r="H274" t="s">
        <v>22</v>
      </c>
      <c r="I274">
        <f>VLOOKUP(Table4[[#This Row],[Visitor]],'NHL Model'!$A$6:$B$38,2,FALSE)</f>
        <v>0.45610704431993199</v>
      </c>
      <c r="J274">
        <f>($B$1+Table4[[#This Row],[Home Differential]])-Table4[[#This Row],[Away Differential]]</f>
        <v>-0.18903752914359279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0.23003846271020154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0.10902894471156278</v>
      </c>
      <c r="H275" t="s">
        <v>39</v>
      </c>
      <c r="I275">
        <f>VLOOKUP(Table4[[#This Row],[Visitor]],'NHL Model'!$A$6:$B$38,2,FALSE)</f>
        <v>0.76796514781800074</v>
      </c>
      <c r="J275">
        <f>($B$1+Table4[[#This Row],[Home Differential]])-Table4[[#This Row],[Away Differential]]</f>
        <v>-0.58471854920160737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0.5971650628837879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0.16227598656142256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9.4361646617848058E-2</v>
      </c>
      <c r="H276" t="s">
        <v>21</v>
      </c>
      <c r="I276">
        <f>VLOOKUP(Table4[[#This Row],[Visitor]],'NHL Model'!$A$6:$B$38,2,FALSE)</f>
        <v>3.9572996236628868E-2</v>
      </c>
      <c r="J276">
        <f>($B$1+Table4[[#This Row],[Home Differential]])-Table4[[#This Row],[Away Differential]]</f>
        <v>0.1290063042860497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0.19899274228695138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-0.2855111111085496</v>
      </c>
      <c r="H277" t="s">
        <v>40</v>
      </c>
      <c r="I277">
        <f>VLOOKUP(Table4[[#This Row],[Visitor]],'NHL Model'!$A$6:$B$38,2,FALSE)</f>
        <v>-0.10659687498124908</v>
      </c>
      <c r="J277">
        <f>($B$1+Table4[[#This Row],[Home Differential]])-Table4[[#This Row],[Away Differential]]</f>
        <v>-0.10469658222246998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0.47129204938353408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0.22211619581213152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-7.3686276472912369E-4</v>
      </c>
      <c r="H278" t="s">
        <v>13</v>
      </c>
      <c r="I278">
        <f>VLOOKUP(Table4[[#This Row],[Visitor]],'NHL Model'!$A$6:$B$38,2,FALSE)</f>
        <v>1.584470710005189E-2</v>
      </c>
      <c r="J278">
        <f>($B$1+Table4[[#This Row],[Home Differential]])-Table4[[#This Row],[Away Differential]]</f>
        <v>5.7636084040049516E-2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0.53309806000335935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0.28419354157934534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0.14556378660539449</v>
      </c>
      <c r="H279" t="s">
        <v>30</v>
      </c>
      <c r="I279">
        <f>VLOOKUP(Table4[[#This Row],[Visitor]],'NHL Model'!$A$6:$B$38,2,FALSE)</f>
        <v>0.16690670582810133</v>
      </c>
      <c r="J279">
        <f>($B$1+Table4[[#This Row],[Home Differential]])-Table4[[#This Row],[Away Differential]]</f>
        <v>5.2874734682123697E-2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0.51211938866339513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0.26226626824496957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0.45392063308446812</v>
      </c>
      <c r="H280" t="s">
        <v>38</v>
      </c>
      <c r="I280">
        <f>VLOOKUP(Table4[[#This Row],[Visitor]],'NHL Model'!$A$6:$B$38,2,FALSE)</f>
        <v>-0.48278309788469043</v>
      </c>
      <c r="J280">
        <f>($B$1+Table4[[#This Row],[Home Differential]])-Table4[[#This Row],[Away Differential]]</f>
        <v>1.0109213848739891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0.64063143422543989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0.12914576606686434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-0.3202921716073342</v>
      </c>
      <c r="H281" t="s">
        <v>14</v>
      </c>
      <c r="I281">
        <f>VLOOKUP(Table4[[#This Row],[Visitor]],'NHL Model'!$A$6:$B$38,2,FALSE)</f>
        <v>3.9336367625328564E-2</v>
      </c>
      <c r="J281">
        <f>($B$1+Table4[[#This Row],[Home Differential]])-Table4[[#This Row],[Away Differential]]</f>
        <v>-0.28541088532783221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0.49807270932177999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0.24807642377113834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-0.96065798985911643</v>
      </c>
      <c r="H282" t="s">
        <v>27</v>
      </c>
      <c r="I282">
        <f>VLOOKUP(Table4[[#This Row],[Visitor]],'NHL Model'!$A$6:$B$38,2,FALSE)</f>
        <v>0.17784181108472058</v>
      </c>
      <c r="J282">
        <f>($B$1+Table4[[#This Row],[Home Differential]])-Table4[[#This Row],[Away Differential]]</f>
        <v>-1.0642821470390065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0.58207786559296981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0.17465891042732781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0.3142836898216293</v>
      </c>
      <c r="H283" t="s">
        <v>30</v>
      </c>
      <c r="I283">
        <f>VLOOKUP(Table4[[#This Row],[Visitor]],'NHL Model'!$A$6:$B$38,2,FALSE)</f>
        <v>0.16690670582810133</v>
      </c>
      <c r="J283">
        <f>($B$1+Table4[[#This Row],[Home Differential]])-Table4[[#This Row],[Away Differential]]</f>
        <v>0.22159463789835851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0.5303166730318043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0.28123577369552161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0.45392063308446812</v>
      </c>
      <c r="H284" t="s">
        <v>17</v>
      </c>
      <c r="I284">
        <f>VLOOKUP(Table4[[#This Row],[Visitor]],'NHL Model'!$A$6:$B$38,2,FALSE)</f>
        <v>7.1049614431123245E-2</v>
      </c>
      <c r="J284">
        <f>($B$1+Table4[[#This Row],[Home Differential]])-Table4[[#This Row],[Away Differential]]</f>
        <v>0.45708867255817542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0.62299744314414118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0.38812581416413744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-0.19727709229606127</v>
      </c>
      <c r="H285" t="s">
        <v>15</v>
      </c>
      <c r="I285">
        <f>VLOOKUP(Table4[[#This Row],[Visitor]],'NHL Model'!$A$6:$B$38,2,FALSE)</f>
        <v>-6.2506340836952119E-3</v>
      </c>
      <c r="J285">
        <f>($B$1+Table4[[#This Row],[Home Differential]])-Table4[[#This Row],[Away Differential]]</f>
        <v>-0.11680880430753554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0.21913048587180933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-0.21926170023436534</v>
      </c>
      <c r="H286" t="s">
        <v>40</v>
      </c>
      <c r="I286">
        <f>VLOOKUP(Table4[[#This Row],[Visitor]],'NHL Model'!$A$6:$B$38,2,FALSE)</f>
        <v>-0.10659687498124908</v>
      </c>
      <c r="J286">
        <f>($B$1+Table4[[#This Row],[Home Differential]])-Table4[[#This Row],[Away Differential]]</f>
        <v>-3.844717134828575E-2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0.32998748666412536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-0.39984103039900787</v>
      </c>
      <c r="H287" t="s">
        <v>19</v>
      </c>
      <c r="I287">
        <f>VLOOKUP(Table4[[#This Row],[Visitor]],'NHL Model'!$A$6:$B$38,2,FALSE)</f>
        <v>-7.3686276472912369E-4</v>
      </c>
      <c r="J287">
        <f>($B$1+Table4[[#This Row],[Home Differential]])-Table4[[#This Row],[Away Differential]]</f>
        <v>-0.32488651372944821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0.49504063341133392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0.2450652287282947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0.76796514781800074</v>
      </c>
      <c r="H288" t="s">
        <v>27</v>
      </c>
      <c r="I288">
        <f>VLOOKUP(Table4[[#This Row],[Visitor]],'NHL Model'!$A$6:$B$38,2,FALSE)</f>
        <v>0.17784181108472058</v>
      </c>
      <c r="J288">
        <f>($B$1+Table4[[#This Row],[Home Differential]])-Table4[[#This Row],[Away Differential]]</f>
        <v>0.66434099063811058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0.63047602383465773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0.13654796896104443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-8.5361594338821137E-2</v>
      </c>
      <c r="H289" t="s">
        <v>23</v>
      </c>
      <c r="I289">
        <f>VLOOKUP(Table4[[#This Row],[Visitor]],'NHL Model'!$A$6:$B$38,2,FALSE)</f>
        <v>0.18511137883580026</v>
      </c>
      <c r="J289">
        <f>($B$1+Table4[[#This Row],[Home Differential]])-Table4[[#This Row],[Away Differential]]</f>
        <v>-0.19625531926979087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0.44073593909134701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0.31277628982403755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0.19285186127150866</v>
      </c>
      <c r="H290" t="s">
        <v>37</v>
      </c>
      <c r="I290">
        <f>VLOOKUP(Table4[[#This Row],[Visitor]],'NHL Model'!$A$6:$B$38,2,FALSE)</f>
        <v>0.79636680320115127</v>
      </c>
      <c r="J290">
        <f>($B$1+Table4[[#This Row],[Home Differential]])-Table4[[#This Row],[Away Differential]]</f>
        <v>-0.52929728802481213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0.15797293969218301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0.59379638322319717</v>
      </c>
      <c r="H291" t="s">
        <v>31</v>
      </c>
      <c r="I291">
        <f>VLOOKUP(Table4[[#This Row],[Visitor]],'NHL Model'!$A$6:$B$38,2,FALSE)</f>
        <v>-6.6593655044643821E-4</v>
      </c>
      <c r="J291">
        <f>($B$1+Table4[[#This Row],[Home Differential]])-Table4[[#This Row],[Away Differential]]</f>
        <v>0.66867997367847409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0.13366027987975962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0.10902894471156278</v>
      </c>
      <c r="H292" t="s">
        <v>21</v>
      </c>
      <c r="I292">
        <f>VLOOKUP(Table4[[#This Row],[Visitor]],'NHL Model'!$A$6:$B$38,2,FALSE)</f>
        <v>3.9572996236628868E-2</v>
      </c>
      <c r="J292">
        <f>($B$1+Table4[[#This Row],[Home Differential]])-Table4[[#This Row],[Away Differential]]</f>
        <v>0.14367360237976445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0.30857571236983411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9.4361646617848058E-2</v>
      </c>
      <c r="H293" t="s">
        <v>13</v>
      </c>
      <c r="I293">
        <f>VLOOKUP(Table4[[#This Row],[Visitor]],'NHL Model'!$A$6:$B$38,2,FALSE)</f>
        <v>1.584470710005189E-2</v>
      </c>
      <c r="J293">
        <f>($B$1+Table4[[#This Row],[Home Differential]])-Table4[[#This Row],[Away Differential]]</f>
        <v>0.15273459342262669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0.52408285761134532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0.27466284164207366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-0.2855111111085496</v>
      </c>
      <c r="H294" t="s">
        <v>33</v>
      </c>
      <c r="I294">
        <f>VLOOKUP(Table4[[#This Row],[Visitor]],'NHL Model'!$A$6:$B$38,2,FALSE)</f>
        <v>-0.17930549805059143</v>
      </c>
      <c r="J294">
        <f>($B$1+Table4[[#This Row],[Home Differential]])-Table4[[#This Row],[Away Differential]]</f>
        <v>-3.1987959153127632E-2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0.22159594123731652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-0.96065798985911643</v>
      </c>
      <c r="H295" t="s">
        <v>20</v>
      </c>
      <c r="I295">
        <f>VLOOKUP(Table4[[#This Row],[Visitor]],'NHL Model'!$A$6:$B$38,2,FALSE)</f>
        <v>0.14556378660539449</v>
      </c>
      <c r="J295">
        <f>($B$1+Table4[[#This Row],[Home Differential]])-Table4[[#This Row],[Away Differential]]</f>
        <v>-1.0320041225596803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0.16640196484570918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0.45610704431993199</v>
      </c>
      <c r="H296" t="s">
        <v>24</v>
      </c>
      <c r="I296">
        <f>VLOOKUP(Table4[[#This Row],[Visitor]],'NHL Model'!$A$6:$B$38,2,FALSE)</f>
        <v>-6.1952588060713437E-2</v>
      </c>
      <c r="J296">
        <f>($B$1+Table4[[#This Row],[Home Differential]])-Table4[[#This Row],[Away Differential]]</f>
        <v>0.59227728628547593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0.34294984080686008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1.8591692540144091</v>
      </c>
      <c r="H297" t="s">
        <v>30</v>
      </c>
      <c r="I297">
        <f>VLOOKUP(Table4[[#This Row],[Visitor]],'NHL Model'!$A$6:$B$38,2,FALSE)</f>
        <v>0.16690670582810133</v>
      </c>
      <c r="J297">
        <f>($B$1+Table4[[#This Row],[Home Differential]])-Table4[[#This Row],[Away Differential]]</f>
        <v>1.7664802020911383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0.82015334352377167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3.2344819845678482E-2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0.59379638322319717</v>
      </c>
      <c r="H298" t="s">
        <v>20</v>
      </c>
      <c r="I298">
        <f>VLOOKUP(Table4[[#This Row],[Visitor]],'NHL Model'!$A$6:$B$38,2,FALSE)</f>
        <v>0.14556378660539449</v>
      </c>
      <c r="J298">
        <f>($B$1+Table4[[#This Row],[Home Differential]])-Table4[[#This Row],[Away Differential]]</f>
        <v>0.52245025052263316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0.59801553598128665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0.16159150931241226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-6.2506340836952119E-3</v>
      </c>
      <c r="H299" t="s">
        <v>26</v>
      </c>
      <c r="I299">
        <f>VLOOKUP(Table4[[#This Row],[Visitor]],'NHL Model'!$A$6:$B$38,2,FALSE)</f>
        <v>-8.5361594338821137E-2</v>
      </c>
      <c r="J299">
        <f>($B$1+Table4[[#This Row],[Home Differential]])-Table4[[#This Row],[Away Differential]]</f>
        <v>0.15332861415995647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0.28704737788790574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3.9336367625328564E-2</v>
      </c>
      <c r="H300" t="s">
        <v>29</v>
      </c>
      <c r="I300">
        <f>VLOOKUP(Table4[[#This Row],[Visitor]],'NHL Model'!$A$6:$B$38,2,FALSE)</f>
        <v>-0.3202921716073342</v>
      </c>
      <c r="J300">
        <f>($B$1+Table4[[#This Row],[Home Differential]])-Table4[[#This Row],[Away Differential]]</f>
        <v>0.43384619313749329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0.58679247912178178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0.17074045531032314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0.79636680320115127</v>
      </c>
      <c r="H301" t="s">
        <v>38</v>
      </c>
      <c r="I301">
        <f>VLOOKUP(Table4[[#This Row],[Visitor]],'NHL Model'!$A$6:$B$38,2,FALSE)</f>
        <v>-0.48278309788469043</v>
      </c>
      <c r="J301">
        <f>($B$1+Table4[[#This Row],[Home Differential]])-Table4[[#This Row],[Away Differential]]</f>
        <v>1.3533675549906721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0.64804214007941729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0.41995861531871109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-6.6593655044643821E-4</v>
      </c>
      <c r="H302" t="s">
        <v>55</v>
      </c>
      <c r="I302">
        <f>VLOOKUP(Table4[[#This Row],[Visitor]],'NHL Model'!$A$6:$B$38,2,FALSE)</f>
        <v>0.3142836898216293</v>
      </c>
      <c r="J302">
        <f>($B$1+Table4[[#This Row],[Home Differential]])-Table4[[#This Row],[Away Differential]]</f>
        <v>-0.2407319724672452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0.21153230253267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3.9572996236628868E-2</v>
      </c>
      <c r="H303" t="s">
        <v>25</v>
      </c>
      <c r="I303">
        <f>VLOOKUP(Table4[[#This Row],[Visitor]],'NHL Model'!$A$6:$B$38,2,FALSE)</f>
        <v>0.45392063308446812</v>
      </c>
      <c r="J303">
        <f>($B$1+Table4[[#This Row],[Home Differential]])-Table4[[#This Row],[Away Differential]]</f>
        <v>-0.34012998294300872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0.21164352599559416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0.18511137883580026</v>
      </c>
      <c r="H304" t="s">
        <v>17</v>
      </c>
      <c r="I304">
        <f>VLOOKUP(Table4[[#This Row],[Visitor]],'NHL Model'!$A$6:$B$38,2,FALSE)</f>
        <v>7.1049614431123245E-2</v>
      </c>
      <c r="J304">
        <f>($B$1+Table4[[#This Row],[Home Differential]])-Table4[[#This Row],[Away Differential]]</f>
        <v>0.18827941830950756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0.59889896835159973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0.160882037589411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-0.19727709229606127</v>
      </c>
      <c r="H305" t="s">
        <v>18</v>
      </c>
      <c r="I305">
        <f>VLOOKUP(Table4[[#This Row],[Visitor]],'NHL Model'!$A$6:$B$38,2,FALSE)</f>
        <v>0.10902894471156278</v>
      </c>
      <c r="J305">
        <f>($B$1+Table4[[#This Row],[Home Differential]])-Table4[[#This Row],[Away Differential]]</f>
        <v>-0.23208838310279353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0.55134768094242836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0.3039842652805938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0.19285186127150866</v>
      </c>
      <c r="H306" t="s">
        <v>38</v>
      </c>
      <c r="I306">
        <f>VLOOKUP(Table4[[#This Row],[Visitor]],'NHL Model'!$A$6:$B$38,2,FALSE)</f>
        <v>-0.48278309788469043</v>
      </c>
      <c r="J306">
        <f>($B$1+Table4[[#This Row],[Home Differential]])-Table4[[#This Row],[Away Differential]]</f>
        <v>0.74985261306102968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0.57913318977866968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0.17712887194587729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0.45610704431993199</v>
      </c>
      <c r="H307" t="s">
        <v>13</v>
      </c>
      <c r="I307">
        <f>VLOOKUP(Table4[[#This Row],[Visitor]],'NHL Model'!$A$6:$B$38,2,FALSE)</f>
        <v>1.584470710005189E-2</v>
      </c>
      <c r="J307">
        <f>($B$1+Table4[[#This Row],[Home Differential]])-Table4[[#This Row],[Away Differential]]</f>
        <v>0.51447999112471055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0.57722836745949946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0.17873585328096001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-0.39984103039900787</v>
      </c>
      <c r="H308" t="s">
        <v>16</v>
      </c>
      <c r="I308">
        <f>VLOOKUP(Table4[[#This Row],[Visitor]],'NHL Model'!$A$6:$B$38,2,FALSE)</f>
        <v>-0.21926170023436534</v>
      </c>
      <c r="J308">
        <f>($B$1+Table4[[#This Row],[Home Differential]])-Table4[[#This Row],[Away Differential]]</f>
        <v>-0.10636167625981199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0.22228550552619644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0.76796514781800074</v>
      </c>
      <c r="H309" t="s">
        <v>30</v>
      </c>
      <c r="I309">
        <f>VLOOKUP(Table4[[#This Row],[Visitor]],'NHL Model'!$A$6:$B$38,2,FALSE)</f>
        <v>0.16690670582810133</v>
      </c>
      <c r="J309">
        <f>($B$1+Table4[[#This Row],[Home Differential]])-Table4[[#This Row],[Away Differential]]</f>
        <v>0.67527609589472992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0.60554218052278297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0.36668133239228667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-8.5361594338821137E-2</v>
      </c>
      <c r="H310" t="s">
        <v>32</v>
      </c>
      <c r="I310">
        <f>VLOOKUP(Table4[[#This Row],[Visitor]],'NHL Model'!$A$6:$B$38,2,FALSE)</f>
        <v>-0.2855111111085496</v>
      </c>
      <c r="J310">
        <f>($B$1+Table4[[#This Row],[Home Differential]])-Table4[[#This Row],[Away Differential]]</f>
        <v>0.27436717067455896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0.61002304734969082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0.15208202359842149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-0.17930549805059143</v>
      </c>
      <c r="H311" t="s">
        <v>55</v>
      </c>
      <c r="I311">
        <f>VLOOKUP(Table4[[#This Row],[Visitor]],'NHL Model'!$A$6:$B$38,2,FALSE)</f>
        <v>0.3142836898216293</v>
      </c>
      <c r="J311">
        <f>($B$1+Table4[[#This Row],[Home Differential]])-Table4[[#This Row],[Away Differential]]</f>
        <v>-0.41937153396739019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0.25525868147981917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0.79636680320115127</v>
      </c>
      <c r="H312" t="s">
        <v>24</v>
      </c>
      <c r="I312">
        <f>VLOOKUP(Table4[[#This Row],[Visitor]],'NHL Model'!$A$6:$B$38,2,FALSE)</f>
        <v>-6.1952588060713437E-2</v>
      </c>
      <c r="J312">
        <f>($B$1+Table4[[#This Row],[Home Differential]])-Table4[[#This Row],[Away Differential]]</f>
        <v>0.93253704516669522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0.14994405207607003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-7.3686276472912369E-4</v>
      </c>
      <c r="H313" t="s">
        <v>35</v>
      </c>
      <c r="I313">
        <f>VLOOKUP(Table4[[#This Row],[Visitor]],'NHL Model'!$A$6:$B$38,2,FALSE)</f>
        <v>-0.96065798985911643</v>
      </c>
      <c r="J313">
        <f>($B$1+Table4[[#This Row],[Home Differential]])-Table4[[#This Row],[Away Differential]]</f>
        <v>1.0341387809992177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0.67064246467415711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0.10847638607591384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0.14556378660539449</v>
      </c>
      <c r="H314" t="s">
        <v>15</v>
      </c>
      <c r="I314">
        <f>VLOOKUP(Table4[[#This Row],[Visitor]],'NHL Model'!$A$6:$B$38,2,FALSE)</f>
        <v>-6.2506340836952119E-3</v>
      </c>
      <c r="J314">
        <f>($B$1+Table4[[#This Row],[Home Differential]])-Table4[[#This Row],[Away Differential]]</f>
        <v>0.22603207459392025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0.50509085451509084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0.24493506228460299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-0.10659687498124908</v>
      </c>
      <c r="H315" t="s">
        <v>28</v>
      </c>
      <c r="I315">
        <f>VLOOKUP(Table4[[#This Row],[Visitor]],'NHL Model'!$A$6:$B$38,2,FALSE)</f>
        <v>-0.19727709229606127</v>
      </c>
      <c r="J315">
        <f>($B$1+Table4[[#This Row],[Home Differential]])-Table4[[#This Row],[Away Differential]]</f>
        <v>0.16489787121964272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0.55778505912538012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0.19555405393274355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-6.6593655044643821E-4</v>
      </c>
      <c r="H316" t="s">
        <v>21</v>
      </c>
      <c r="I316">
        <f>VLOOKUP(Table4[[#This Row],[Visitor]],'NHL Model'!$A$6:$B$38,2,FALSE)</f>
        <v>3.9572996236628868E-2</v>
      </c>
      <c r="J316">
        <f>($B$1+Table4[[#This Row],[Home Differential]])-Table4[[#This Row],[Away Differential]]</f>
        <v>3.3978721117755212E-2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0.56970251065551325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0.1851559293361687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0.18511137883580026</v>
      </c>
      <c r="H317" t="s">
        <v>16</v>
      </c>
      <c r="I317">
        <f>VLOOKUP(Table4[[#This Row],[Visitor]],'NHL Model'!$A$6:$B$38,2,FALSE)</f>
        <v>-0.21926170023436534</v>
      </c>
      <c r="J317">
        <f>($B$1+Table4[[#This Row],[Home Differential]])-Table4[[#This Row],[Away Differential]]</f>
        <v>0.4785907329749961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0.63021049383039252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0.39716526653394718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0.59379638322319717</v>
      </c>
      <c r="H318" t="s">
        <v>25</v>
      </c>
      <c r="I318">
        <f>VLOOKUP(Table4[[#This Row],[Visitor]],'NHL Model'!$A$6:$B$38,2,FALSE)</f>
        <v>0.45392063308446812</v>
      </c>
      <c r="J318">
        <f>($B$1+Table4[[#This Row],[Home Differential]])-Table4[[#This Row],[Away Differential]]</f>
        <v>0.21409340404355953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0.52820351752451411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0.22259192087624147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0.45610704431993199</v>
      </c>
      <c r="H319" t="s">
        <v>17</v>
      </c>
      <c r="I319">
        <f>VLOOKUP(Table4[[#This Row],[Visitor]],'NHL Model'!$A$6:$B$38,2,FALSE)</f>
        <v>7.1049614431123245E-2</v>
      </c>
      <c r="J319">
        <f>($B$1+Table4[[#This Row],[Home Differential]])-Table4[[#This Row],[Away Differential]]</f>
        <v>0.45927508379363924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0.60355173250260041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0.15717122880168971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-6.6593655044643821E-4</v>
      </c>
      <c r="H320" t="s">
        <v>36</v>
      </c>
      <c r="I320">
        <f>VLOOKUP(Table4[[#This Row],[Visitor]],'NHL Model'!$A$6:$B$38,2,FALSE)</f>
        <v>9.4361646617848058E-2</v>
      </c>
      <c r="J320">
        <f>($B$1+Table4[[#This Row],[Home Differential]])-Table4[[#This Row],[Away Differential]]</f>
        <v>-2.0809929263463978E-2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0.45678990936835945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0.29507720256403519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-0.39984103039900787</v>
      </c>
      <c r="H321" t="s">
        <v>32</v>
      </c>
      <c r="I321">
        <f>VLOOKUP(Table4[[#This Row],[Visitor]],'NHL Model'!$A$6:$B$38,2,FALSE)</f>
        <v>-0.2855111111085496</v>
      </c>
      <c r="J321">
        <f>($B$1+Table4[[#This Row],[Home Differential]])-Table4[[#This Row],[Away Differential]]</f>
        <v>-4.0112265385627732E-2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0.4643263081946406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0.28694630409238314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1.8591692540144091</v>
      </c>
      <c r="H322" t="s">
        <v>15</v>
      </c>
      <c r="I322">
        <f>VLOOKUP(Table4[[#This Row],[Visitor]],'NHL Model'!$A$6:$B$38,2,FALSE)</f>
        <v>-6.2506340836952119E-3</v>
      </c>
      <c r="J322">
        <f>($B$1+Table4[[#This Row],[Home Differential]])-Table4[[#This Row],[Away Differential]]</f>
        <v>1.9396375420029348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0.81454084426729634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3.439509844508723E-2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-8.5361594338821137E-2</v>
      </c>
      <c r="H323" t="s">
        <v>30</v>
      </c>
      <c r="I323">
        <f>VLOOKUP(Table4[[#This Row],[Visitor]],'NHL Model'!$A$6:$B$38,2,FALSE)</f>
        <v>0.16690670582810133</v>
      </c>
      <c r="J323">
        <f>($B$1+Table4[[#This Row],[Home Differential]])-Table4[[#This Row],[Away Differential]]</f>
        <v>-0.17805064626209194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0.27891226728613638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0.19285186127150866</v>
      </c>
      <c r="H324" t="s">
        <v>24</v>
      </c>
      <c r="I324">
        <f>VLOOKUP(Table4[[#This Row],[Visitor]],'NHL Model'!$A$6:$B$38,2,FALSE)</f>
        <v>-6.1952588060713437E-2</v>
      </c>
      <c r="J324">
        <f>($B$1+Table4[[#This Row],[Home Differential]])-Table4[[#This Row],[Away Differential]]</f>
        <v>0.32902210323705261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0.5438665656663958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0.20805770991696843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0.10902894471156278</v>
      </c>
      <c r="H325" t="s">
        <v>22</v>
      </c>
      <c r="I325">
        <f>VLOOKUP(Table4[[#This Row],[Visitor]],'NHL Model'!$A$6:$B$38,2,FALSE)</f>
        <v>0.45610704431993199</v>
      </c>
      <c r="J325">
        <f>($B$1+Table4[[#This Row],[Home Differential]])-Table4[[#This Row],[Away Differential]]</f>
        <v>-0.27286044570353868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0.26068237629692687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0.17784181108472058</v>
      </c>
      <c r="H326" t="s">
        <v>35</v>
      </c>
      <c r="I326">
        <f>VLOOKUP(Table4[[#This Row],[Visitor]],'NHL Model'!$A$6:$B$38,2,FALSE)</f>
        <v>-0.96065798985911643</v>
      </c>
      <c r="J326">
        <f>($B$1+Table4[[#This Row],[Home Differential]])-Table4[[#This Row],[Away Differential]]</f>
        <v>1.2127174548486677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0.67535209083851622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0.10539626492292302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-0.17930549805059143</v>
      </c>
      <c r="H327" t="s">
        <v>13</v>
      </c>
      <c r="I327">
        <f>VLOOKUP(Table4[[#This Row],[Visitor]],'NHL Model'!$A$6:$B$38,2,FALSE)</f>
        <v>1.584470710005189E-2</v>
      </c>
      <c r="J327">
        <f>($B$1+Table4[[#This Row],[Home Differential]])-Table4[[#This Row],[Away Differential]]</f>
        <v>-0.12093255124581279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0.2554630340323284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0.79636680320115127</v>
      </c>
      <c r="H328" t="s">
        <v>17</v>
      </c>
      <c r="I328">
        <f>VLOOKUP(Table4[[#This Row],[Visitor]],'NHL Model'!$A$6:$B$38,2,FALSE)</f>
        <v>7.1049614431123245E-2</v>
      </c>
      <c r="J328">
        <f>($B$1+Table4[[#This Row],[Home Differential]])-Table4[[#This Row],[Away Differential]]</f>
        <v>0.79953484267485853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0.63078828214445448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0.13631729260184294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-7.3686276472912369E-4</v>
      </c>
      <c r="H329" t="s">
        <v>28</v>
      </c>
      <c r="I329">
        <f>VLOOKUP(Table4[[#This Row],[Visitor]],'NHL Model'!$A$6:$B$38,2,FALSE)</f>
        <v>-0.19727709229606127</v>
      </c>
      <c r="J329">
        <f>($B$1+Table4[[#This Row],[Home Differential]])-Table4[[#This Row],[Away Differential]]</f>
        <v>0.27075788343616269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0.58830802155535844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0.3461063282263801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0.3142836898216293</v>
      </c>
      <c r="H330" t="s">
        <v>20</v>
      </c>
      <c r="I330">
        <f>VLOOKUP(Table4[[#This Row],[Visitor]],'NHL Model'!$A$6:$B$38,2,FALSE)</f>
        <v>0.14556378660539449</v>
      </c>
      <c r="J330">
        <f>($B$1+Table4[[#This Row],[Home Differential]])-Table4[[#This Row],[Away Differential]]</f>
        <v>0.24293755712106535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0.29749693747474626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-0.48278309788469043</v>
      </c>
      <c r="H331" t="s">
        <v>39</v>
      </c>
      <c r="I331">
        <f>VLOOKUP(Table4[[#This Row],[Visitor]],'NHL Model'!$A$6:$B$38,2,FALSE)</f>
        <v>0.76796514781800074</v>
      </c>
      <c r="J331">
        <f>($B$1+Table4[[#This Row],[Home Differential]])-Table4[[#This Row],[Away Differential]]</f>
        <v>-1.1765305917978606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0.11492442531100934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0.18511137883580026</v>
      </c>
      <c r="H332" t="s">
        <v>10</v>
      </c>
      <c r="I332">
        <f>VLOOKUP(Table4[[#This Row],[Visitor]],'NHL Model'!$A$6:$B$38,2,FALSE)</f>
        <v>-0.39984103039900787</v>
      </c>
      <c r="J332">
        <f>($B$1+Table4[[#This Row],[Home Differential]])-Table4[[#This Row],[Away Differential]]</f>
        <v>0.65917006313963866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0.64968687663658331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0.1227192844006324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1.584470710005189E-2</v>
      </c>
      <c r="H333" t="s">
        <v>21</v>
      </c>
      <c r="I333">
        <f>VLOOKUP(Table4[[#This Row],[Visitor]],'NHL Model'!$A$6:$B$38,2,FALSE)</f>
        <v>3.9572996236628868E-2</v>
      </c>
      <c r="J333">
        <f>($B$1+Table4[[#This Row],[Home Differential]])-Table4[[#This Row],[Away Differential]]</f>
        <v>5.0489364768253539E-2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0.5454455301997817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0.29751082641492099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3.9336367625328564E-2</v>
      </c>
      <c r="H334" t="s">
        <v>34</v>
      </c>
      <c r="I334">
        <f>VLOOKUP(Table4[[#This Row],[Visitor]],'NHL Model'!$A$6:$B$38,2,FALSE)</f>
        <v>0.59379638322319717</v>
      </c>
      <c r="J334">
        <f>($B$1+Table4[[#This Row],[Home Differential]])-Table4[[#This Row],[Away Differential]]</f>
        <v>-0.48024236169303808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0.5692001124516145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0.18558854311170159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-0.10659687498124908</v>
      </c>
      <c r="H335" t="s">
        <v>25</v>
      </c>
      <c r="I335">
        <f>VLOOKUP(Table4[[#This Row],[Visitor]],'NHL Model'!$A$6:$B$38,2,FALSE)</f>
        <v>0.45392063308446812</v>
      </c>
      <c r="J335">
        <f>($B$1+Table4[[#This Row],[Home Differential]])-Table4[[#This Row],[Away Differential]]</f>
        <v>-0.48629985416088667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0.56985344327326426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0.18502606026386689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-6.6593655044643821E-4</v>
      </c>
      <c r="H336" t="s">
        <v>20</v>
      </c>
      <c r="I336">
        <f>VLOOKUP(Table4[[#This Row],[Visitor]],'NHL Model'!$A$6:$B$38,2,FALSE)</f>
        <v>0.14556378660539449</v>
      </c>
      <c r="J336">
        <f>($B$1+Table4[[#This Row],[Home Differential]])-Table4[[#This Row],[Away Differential]]</f>
        <v>-7.2012069251010405E-2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0.21373267746617067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-0.21926170023436534</v>
      </c>
      <c r="H337" t="s">
        <v>39</v>
      </c>
      <c r="I337">
        <f>VLOOKUP(Table4[[#This Row],[Visitor]],'NHL Model'!$A$6:$B$38,2,FALSE)</f>
        <v>0.76796514781800074</v>
      </c>
      <c r="J337">
        <f>($B$1+Table4[[#This Row],[Home Differential]])-Table4[[#This Row],[Away Differential]]</f>
        <v>-0.91300919414753556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0.35219783659444504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-8.5361594338821137E-2</v>
      </c>
      <c r="H338" t="s">
        <v>28</v>
      </c>
      <c r="I338">
        <f>VLOOKUP(Table4[[#This Row],[Visitor]],'NHL Model'!$A$6:$B$38,2,FALSE)</f>
        <v>-0.19727709229606127</v>
      </c>
      <c r="J338">
        <f>($B$1+Table4[[#This Row],[Home Differential]])-Table4[[#This Row],[Away Differential]]</f>
        <v>0.18613315186207066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0.15959500247850614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0.19285186127150866</v>
      </c>
      <c r="H339" t="s">
        <v>17</v>
      </c>
      <c r="I339">
        <f>VLOOKUP(Table4[[#This Row],[Visitor]],'NHL Model'!$A$6:$B$38,2,FALSE)</f>
        <v>7.1049614431123245E-2</v>
      </c>
      <c r="J339">
        <f>($B$1+Table4[[#This Row],[Home Differential]])-Table4[[#This Row],[Away Differential]]</f>
        <v>0.19601990074521597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0.56190711648856329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0.31573960756049185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0.10902894471156278</v>
      </c>
      <c r="H340" t="s">
        <v>19</v>
      </c>
      <c r="I340">
        <f>VLOOKUP(Table4[[#This Row],[Visitor]],'NHL Model'!$A$6:$B$38,2,FALSE)</f>
        <v>-7.3686276472912369E-4</v>
      </c>
      <c r="J340">
        <f>($B$1+Table4[[#This Row],[Home Differential]])-Table4[[#This Row],[Away Differential]]</f>
        <v>0.18398346138112243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0.19373771336214324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-0.3202921716073342</v>
      </c>
      <c r="H341" t="s">
        <v>12</v>
      </c>
      <c r="I341">
        <f>VLOOKUP(Table4[[#This Row],[Visitor]],'NHL Model'!$A$6:$B$38,2,FALSE)</f>
        <v>1.8591692540144091</v>
      </c>
      <c r="J341">
        <f>($B$1+Table4[[#This Row],[Home Differential]])-Table4[[#This Row],[Away Differential]]</f>
        <v>-2.1052437717169128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5.1402164942621523E-2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0.16690670582810133</v>
      </c>
      <c r="H342" t="s">
        <v>35</v>
      </c>
      <c r="I342">
        <f>VLOOKUP(Table4[[#This Row],[Visitor]],'NHL Model'!$A$6:$B$38,2,FALSE)</f>
        <v>-0.96065798985911643</v>
      </c>
      <c r="J342">
        <f>($B$1+Table4[[#This Row],[Home Differential]])-Table4[[#This Row],[Away Differential]]</f>
        <v>1.2017823495920483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0.67211370887125355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0.45173683765267214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0.17784181108472058</v>
      </c>
      <c r="H343" t="s">
        <v>24</v>
      </c>
      <c r="I343">
        <f>VLOOKUP(Table4[[#This Row],[Visitor]],'NHL Model'!$A$6:$B$38,2,FALSE)</f>
        <v>-6.1952588060713437E-2</v>
      </c>
      <c r="J343">
        <f>($B$1+Table4[[#This Row],[Home Differential]])-Table4[[#This Row],[Away Differential]]</f>
        <v>0.31401205305026458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0.54606289045710954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0.20605889942015412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3.9336367625328564E-2</v>
      </c>
      <c r="H344" t="s">
        <v>32</v>
      </c>
      <c r="I344">
        <f>VLOOKUP(Table4[[#This Row],[Visitor]],'NHL Model'!$A$6:$B$38,2,FALSE)</f>
        <v>-0.2855111111085496</v>
      </c>
      <c r="J344">
        <f>($B$1+Table4[[#This Row],[Home Differential]])-Table4[[#This Row],[Away Differential]]</f>
        <v>0.39906513263870869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0.58304116800515526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0.33993700358881568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-0.17930549805059143</v>
      </c>
      <c r="H345" t="s">
        <v>36</v>
      </c>
      <c r="I345">
        <f>VLOOKUP(Table4[[#This Row],[Visitor]],'NHL Model'!$A$6:$B$38,2,FALSE)</f>
        <v>9.4361646617848058E-2</v>
      </c>
      <c r="J345">
        <f>($B$1+Table4[[#This Row],[Home Differential]])-Table4[[#This Row],[Away Differential]]</f>
        <v>-0.19944949076360896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0.50228085465813388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0.24772434763983764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0.3142836898216293</v>
      </c>
      <c r="H346" t="s">
        <v>15</v>
      </c>
      <c r="I346">
        <f>VLOOKUP(Table4[[#This Row],[Visitor]],'NHL Model'!$A$6:$B$38,2,FALSE)</f>
        <v>-6.2506340836952119E-3</v>
      </c>
      <c r="J346">
        <f>($B$1+Table4[[#This Row],[Home Differential]])-Table4[[#This Row],[Away Differential]]</f>
        <v>0.39475197781015503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0.52328813888350001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0.22725419852915718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0.45610704431993199</v>
      </c>
      <c r="H347" t="s">
        <v>37</v>
      </c>
      <c r="I347">
        <f>VLOOKUP(Table4[[#This Row],[Visitor]],'NHL Model'!$A$6:$B$38,2,FALSE)</f>
        <v>0.79636680320115127</v>
      </c>
      <c r="J347">
        <f>($B$1+Table4[[#This Row],[Home Differential]])-Table4[[#This Row],[Away Differential]]</f>
        <v>-0.2660421049763888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0.19284594851975731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0.18511137883580026</v>
      </c>
      <c r="H348" t="s">
        <v>25</v>
      </c>
      <c r="I348">
        <f>VLOOKUP(Table4[[#This Row],[Visitor]],'NHL Model'!$A$6:$B$38,2,FALSE)</f>
        <v>0.45392063308446812</v>
      </c>
      <c r="J348">
        <f>($B$1+Table4[[#This Row],[Home Differential]])-Table4[[#This Row],[Away Differential]]</f>
        <v>-0.19459160034383732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0.49924854570572796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0.24924911038928435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-0.39984103039900787</v>
      </c>
      <c r="H349" t="s">
        <v>12</v>
      </c>
      <c r="I349">
        <f>VLOOKUP(Table4[[#This Row],[Visitor]],'NHL Model'!$A$6:$B$38,2,FALSE)</f>
        <v>1.8591692540144091</v>
      </c>
      <c r="J349">
        <f>($B$1+Table4[[#This Row],[Home Differential]])-Table4[[#This Row],[Away Differential]]</f>
        <v>-2.1847926305085865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4.758537097790401E-2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0.16690670582810133</v>
      </c>
      <c r="H350" t="s">
        <v>32</v>
      </c>
      <c r="I350">
        <f>VLOOKUP(Table4[[#This Row],[Visitor]],'NHL Model'!$A$6:$B$38,2,FALSE)</f>
        <v>-0.2855111111085496</v>
      </c>
      <c r="J350">
        <f>($B$1+Table4[[#This Row],[Home Differential]])-Table4[[#This Row],[Away Differential]]</f>
        <v>0.52663547084148143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0.59929574543677888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0.1605638996250667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-0.17930549805059143</v>
      </c>
      <c r="H351" t="s">
        <v>21</v>
      </c>
      <c r="I351">
        <f>VLOOKUP(Table4[[#This Row],[Visitor]],'NHL Model'!$A$6:$B$38,2,FALSE)</f>
        <v>3.9572996236628868E-2</v>
      </c>
      <c r="J351">
        <f>($B$1+Table4[[#This Row],[Home Differential]])-Table4[[#This Row],[Away Differential]]</f>
        <v>-0.14466084038238977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0.47560239425954159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0.22619763742540844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-0.48278309788469043</v>
      </c>
      <c r="H352" t="s">
        <v>16</v>
      </c>
      <c r="I352">
        <f>VLOOKUP(Table4[[#This Row],[Visitor]],'NHL Model'!$A$6:$B$38,2,FALSE)</f>
        <v>-0.21926170023436534</v>
      </c>
      <c r="J352">
        <f>($B$1+Table4[[#This Row],[Home Differential]])-Table4[[#This Row],[Away Differential]]</f>
        <v>-0.18930374374549455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0.2699661256170614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-0.10659687498124908</v>
      </c>
      <c r="H353" t="s">
        <v>34</v>
      </c>
      <c r="I353">
        <f>VLOOKUP(Table4[[#This Row],[Visitor]],'NHL Model'!$A$6:$B$38,2,FALSE)</f>
        <v>0.59379638322319717</v>
      </c>
      <c r="J353">
        <f>($B$1+Table4[[#This Row],[Home Differential]])-Table4[[#This Row],[Away Differential]]</f>
        <v>-0.62617560429961572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0.17227501806400461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1.584470710005189E-2</v>
      </c>
      <c r="H354" t="s">
        <v>36</v>
      </c>
      <c r="I354">
        <f>VLOOKUP(Table4[[#This Row],[Visitor]],'NHL Model'!$A$6:$B$38,2,FALSE)</f>
        <v>9.4361646617848058E-2</v>
      </c>
      <c r="J354">
        <f>($B$1+Table4[[#This Row],[Home Differential]])-Table4[[#This Row],[Away Differential]]</f>
        <v>-4.2992856129656504E-3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0.48123293019881064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0.23158513310773335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-6.1952588060713437E-2</v>
      </c>
      <c r="H355" t="s">
        <v>26</v>
      </c>
      <c r="I355">
        <f>VLOOKUP(Table4[[#This Row],[Visitor]],'NHL Model'!$A$6:$B$38,2,FALSE)</f>
        <v>-8.5361594338821137E-2</v>
      </c>
      <c r="J355">
        <f>($B$1+Table4[[#This Row],[Home Differential]])-Table4[[#This Row],[Away Differential]]</f>
        <v>9.7626660182938224E-2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0.22112538278622601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-0.3202921716073342</v>
      </c>
      <c r="H356" t="s">
        <v>11</v>
      </c>
      <c r="I356">
        <f>VLOOKUP(Table4[[#This Row],[Visitor]],'NHL Model'!$A$6:$B$38,2,FALSE)</f>
        <v>0.19285186127150866</v>
      </c>
      <c r="J356">
        <f>($B$1+Table4[[#This Row],[Home Differential]])-Table4[[#This Row],[Away Differential]]</f>
        <v>-0.43892637897401232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0.54423481247919103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0.20772190615587816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-6.2506340836952119E-3</v>
      </c>
      <c r="H357" t="s">
        <v>35</v>
      </c>
      <c r="I357">
        <f>VLOOKUP(Table4[[#This Row],[Visitor]],'NHL Model'!$A$6:$B$38,2,FALSE)</f>
        <v>-0.96065798985911643</v>
      </c>
      <c r="J357">
        <f>($B$1+Table4[[#This Row],[Home Differential]])-Table4[[#This Row],[Away Differential]]</f>
        <v>1.0286250096802518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0.65094234558456054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0.12184124610600836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0.79636680320115127</v>
      </c>
      <c r="H358" t="s">
        <v>27</v>
      </c>
      <c r="I358">
        <f>VLOOKUP(Table4[[#This Row],[Visitor]],'NHL Model'!$A$6:$B$38,2,FALSE)</f>
        <v>0.17784181108472058</v>
      </c>
      <c r="J358">
        <f>($B$1+Table4[[#This Row],[Home Differential]])-Table4[[#This Row],[Away Differential]]</f>
        <v>0.69274264602126112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0.61199081909810815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0.15055112446415703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0.3142836898216293</v>
      </c>
      <c r="H359" t="s">
        <v>20</v>
      </c>
      <c r="I359">
        <f>VLOOKUP(Table4[[#This Row],[Visitor]],'NHL Model'!$A$6:$B$38,2,FALSE)</f>
        <v>0.14556378660539449</v>
      </c>
      <c r="J359">
        <f>($B$1+Table4[[#This Row],[Home Differential]])-Table4[[#This Row],[Away Differential]]</f>
        <v>0.24293755712106535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0.20663134085021936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0.45610704431993199</v>
      </c>
      <c r="H360" t="s">
        <v>28</v>
      </c>
      <c r="I360">
        <f>VLOOKUP(Table4[[#This Row],[Visitor]],'NHL Model'!$A$6:$B$38,2,FALSE)</f>
        <v>-0.19727709229606127</v>
      </c>
      <c r="J360">
        <f>($B$1+Table4[[#This Row],[Home Differential]])-Table4[[#This Row],[Away Differential]]</f>
        <v>0.72760179052082374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0.13506205053856282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7.1049614431123245E-2</v>
      </c>
      <c r="H361" t="s">
        <v>39</v>
      </c>
      <c r="I361">
        <f>VLOOKUP(Table4[[#This Row],[Visitor]],'NHL Model'!$A$6:$B$38,2,FALSE)</f>
        <v>0.76796514781800074</v>
      </c>
      <c r="J361">
        <f>($B$1+Table4[[#This Row],[Home Differential]])-Table4[[#This Row],[Away Differential]]</f>
        <v>-0.62269787948204702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0.57992209774654757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0.17646544396166114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-6.6593655044643821E-4</v>
      </c>
      <c r="H362" t="s">
        <v>38</v>
      </c>
      <c r="I362">
        <f>VLOOKUP(Table4[[#This Row],[Visitor]],'NHL Model'!$A$6:$B$38,2,FALSE)</f>
        <v>-0.48278309788469043</v>
      </c>
      <c r="J362">
        <f>($B$1+Table4[[#This Row],[Home Differential]])-Table4[[#This Row],[Away Differential]]</f>
        <v>0.55633481523907446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0.34083763378895193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0.45392063308446812</v>
      </c>
      <c r="H363" t="s">
        <v>15</v>
      </c>
      <c r="I363">
        <f>VLOOKUP(Table4[[#This Row],[Visitor]],'NHL Model'!$A$6:$B$38,2,FALSE)</f>
        <v>-6.2506340836952119E-3</v>
      </c>
      <c r="J363">
        <f>($B$1+Table4[[#This Row],[Home Differential]])-Table4[[#This Row],[Away Differential]]</f>
        <v>0.53438892107299385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0.32774250982252795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-0.19727709229606127</v>
      </c>
      <c r="H364" t="s">
        <v>19</v>
      </c>
      <c r="I364">
        <f>VLOOKUP(Table4[[#This Row],[Visitor]],'NHL Model'!$A$6:$B$38,2,FALSE)</f>
        <v>-7.3686276472912369E-4</v>
      </c>
      <c r="J364">
        <f>($B$1+Table4[[#This Row],[Home Differential]])-Table4[[#This Row],[Away Differential]]</f>
        <v>-0.12232257562650163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0.27752550902440071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-0.39984103039900787</v>
      </c>
      <c r="H365" t="s">
        <v>34</v>
      </c>
      <c r="I365">
        <f>VLOOKUP(Table4[[#This Row],[Visitor]],'NHL Model'!$A$6:$B$38,2,FALSE)</f>
        <v>0.59379638322319717</v>
      </c>
      <c r="J365">
        <f>($B$1+Table4[[#This Row],[Home Differential]])-Table4[[#This Row],[Away Differential]]</f>
        <v>-0.91941975971737455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0.14702041407259414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1.8591692540144091</v>
      </c>
      <c r="H366" t="s">
        <v>33</v>
      </c>
      <c r="I366">
        <f>VLOOKUP(Table4[[#This Row],[Visitor]],'NHL Model'!$A$6:$B$38,2,FALSE)</f>
        <v>-0.17930549805059143</v>
      </c>
      <c r="J366">
        <f>($B$1+Table4[[#This Row],[Home Differential]])-Table4[[#This Row],[Away Differential]]</f>
        <v>2.1126924059698311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1.3992386088452704E-2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-8.5361594338821137E-2</v>
      </c>
      <c r="H367" t="s">
        <v>29</v>
      </c>
      <c r="I367">
        <f>VLOOKUP(Table4[[#This Row],[Visitor]],'NHL Model'!$A$6:$B$38,2,FALSE)</f>
        <v>-0.3202921716073342</v>
      </c>
      <c r="J367">
        <f>($B$1+Table4[[#This Row],[Home Differential]])-Table4[[#This Row],[Away Differential]]</f>
        <v>0.30914823117334356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0.61377435846631734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0.37671896311073944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0.19285186127150866</v>
      </c>
      <c r="H368" t="s">
        <v>27</v>
      </c>
      <c r="I368">
        <f>VLOOKUP(Table4[[#This Row],[Visitor]],'NHL Model'!$A$6:$B$38,2,FALSE)</f>
        <v>0.17784181108472058</v>
      </c>
      <c r="J368">
        <f>($B$1+Table4[[#This Row],[Home Differential]])-Table4[[#This Row],[Away Differential]]</f>
        <v>8.922770409161862E-2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0.29495866950181771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-6.1952588060713437E-2</v>
      </c>
      <c r="H369" t="s">
        <v>35</v>
      </c>
      <c r="I369">
        <f>VLOOKUP(Table4[[#This Row],[Visitor]],'NHL Model'!$A$6:$B$38,2,FALSE)</f>
        <v>-0.96065798985911643</v>
      </c>
      <c r="J369">
        <f>($B$1+Table4[[#This Row],[Home Differential]])-Table4[[#This Row],[Away Differential]]</f>
        <v>0.97292305570323356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0.64493461160016652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0.12607143003952462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0.16690670582810133</v>
      </c>
      <c r="H370" t="s">
        <v>21</v>
      </c>
      <c r="I370">
        <f>VLOOKUP(Table4[[#This Row],[Visitor]],'NHL Model'!$A$6:$B$38,2,FALSE)</f>
        <v>3.9572996236628868E-2</v>
      </c>
      <c r="J370">
        <f>($B$1+Table4[[#This Row],[Home Differential]])-Table4[[#This Row],[Away Differential]]</f>
        <v>0.20155136349630298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0.31835978170222362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3.9336367625328564E-2</v>
      </c>
      <c r="H371" t="s">
        <v>23</v>
      </c>
      <c r="I371">
        <f>VLOOKUP(Table4[[#This Row],[Visitor]],'NHL Model'!$A$6:$B$38,2,FALSE)</f>
        <v>0.18511137883580026</v>
      </c>
      <c r="J371">
        <f>($B$1+Table4[[#This Row],[Home Differential]])-Table4[[#This Row],[Away Differential]]</f>
        <v>-7.1557357305641167E-2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0.2187599576824214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-0.2855111111085496</v>
      </c>
      <c r="H372" t="s">
        <v>39</v>
      </c>
      <c r="I372">
        <f>VLOOKUP(Table4[[#This Row],[Visitor]],'NHL Model'!$A$6:$B$38,2,FALSE)</f>
        <v>0.76796514781800074</v>
      </c>
      <c r="J372">
        <f>($B$1+Table4[[#This Row],[Home Differential]])-Table4[[#This Row],[Away Differential]]</f>
        <v>-0.9792586050217198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0.63971817874994108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0.1298029907232594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0.79636680320115127</v>
      </c>
      <c r="H373" t="s">
        <v>16</v>
      </c>
      <c r="I373">
        <f>VLOOKUP(Table4[[#This Row],[Visitor]],'NHL Model'!$A$6:$B$38,2,FALSE)</f>
        <v>-0.21926170023436534</v>
      </c>
      <c r="J373">
        <f>($B$1+Table4[[#This Row],[Home Differential]])-Table4[[#This Row],[Away Differential]]</f>
        <v>1.0898461573403471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0.66209980762324727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0.11417654000824651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0.3142836898216293</v>
      </c>
      <c r="H374" t="s">
        <v>18</v>
      </c>
      <c r="I374">
        <f>VLOOKUP(Table4[[#This Row],[Visitor]],'NHL Model'!$A$6:$B$38,2,FALSE)</f>
        <v>0.10902894471156278</v>
      </c>
      <c r="J374">
        <f>($B$1+Table4[[#This Row],[Home Differential]])-Table4[[#This Row],[Away Differential]]</f>
        <v>0.27947239901489707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0.50382670480855662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0.25384134847824846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0.14556378660539449</v>
      </c>
      <c r="H375" t="s">
        <v>36</v>
      </c>
      <c r="I375">
        <f>VLOOKUP(Table4[[#This Row],[Visitor]],'NHL Model'!$A$6:$B$38,2,FALSE)</f>
        <v>9.4361646617848058E-2</v>
      </c>
      <c r="J375">
        <f>($B$1+Table4[[#This Row],[Home Differential]])-Table4[[#This Row],[Away Differential]]</f>
        <v>0.12541979389237695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0.53275792051156279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0.28383100186780463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0.45610704431993199</v>
      </c>
      <c r="H376" t="s">
        <v>40</v>
      </c>
      <c r="I376">
        <f>VLOOKUP(Table4[[#This Row],[Visitor]],'NHL Model'!$A$6:$B$38,2,FALSE)</f>
        <v>-0.10659687498124908</v>
      </c>
      <c r="J376">
        <f>($B$1+Table4[[#This Row],[Home Differential]])-Table4[[#This Row],[Away Differential]]</f>
        <v>0.6369215732060115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0.62271179378323938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0.14234639055026088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-6.6593655044643821E-4</v>
      </c>
      <c r="H377" t="s">
        <v>13</v>
      </c>
      <c r="I377">
        <f>VLOOKUP(Table4[[#This Row],[Visitor]],'NHL Model'!$A$6:$B$38,2,FALSE)</f>
        <v>1.584470710005189E-2</v>
      </c>
      <c r="J377">
        <f>($B$1+Table4[[#This Row],[Home Differential]])-Table4[[#This Row],[Away Differential]]</f>
        <v>5.770701025433219E-2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0.21148750410377606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3.9572996236628868E-2</v>
      </c>
      <c r="H378" t="s">
        <v>15</v>
      </c>
      <c r="I378">
        <f>VLOOKUP(Table4[[#This Row],[Visitor]],'NHL Model'!$A$6:$B$38,2,FALSE)</f>
        <v>-6.2506340836952119E-3</v>
      </c>
      <c r="J378">
        <f>($B$1+Table4[[#This Row],[Home Differential]])-Table4[[#This Row],[Away Differential]]</f>
        <v>0.1200412842251546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0.25785313467056159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0.18511137883580026</v>
      </c>
      <c r="H379" t="s">
        <v>24</v>
      </c>
      <c r="I379">
        <f>VLOOKUP(Table4[[#This Row],[Visitor]],'NHL Model'!$A$6:$B$38,2,FALSE)</f>
        <v>-6.1952588060713437E-2</v>
      </c>
      <c r="J379">
        <f>($B$1+Table4[[#This Row],[Home Differential]])-Table4[[#This Row],[Away Differential]]</f>
        <v>0.32128162080134426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0.5812895717362232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0.3378975662092818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0.45392063308446812</v>
      </c>
      <c r="H380" t="s">
        <v>40</v>
      </c>
      <c r="I380">
        <f>VLOOKUP(Table4[[#This Row],[Visitor]],'NHL Model'!$A$6:$B$38,2,FALSE)</f>
        <v>-0.10659687498124908</v>
      </c>
      <c r="J380">
        <f>($B$1+Table4[[#This Row],[Home Differential]])-Table4[[#This Row],[Away Differential]]</f>
        <v>0.63473516197054769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0.64215750442478003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0.12805125163950132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-0.19727709229606127</v>
      </c>
      <c r="H381" t="s">
        <v>14</v>
      </c>
      <c r="I381">
        <f>VLOOKUP(Table4[[#This Row],[Visitor]],'NHL Model'!$A$6:$B$38,2,FALSE)</f>
        <v>3.9336367625328564E-2</v>
      </c>
      <c r="J381">
        <f>($B$1+Table4[[#This Row],[Home Differential]])-Table4[[#This Row],[Away Differential]]</f>
        <v>-0.16239580601655931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0.26542597198032924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-0.39984103039900787</v>
      </c>
      <c r="H382" t="s">
        <v>29</v>
      </c>
      <c r="I382">
        <f>VLOOKUP(Table4[[#This Row],[Visitor]],'NHL Model'!$A$6:$B$38,2,FALSE)</f>
        <v>-0.3202921716073342</v>
      </c>
      <c r="J382">
        <f>($B$1+Table4[[#This Row],[Home Differential]])-Table4[[#This Row],[Away Differential]]</f>
        <v>-5.3312048868431328E-3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0.29097933377738466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0.76796514781800074</v>
      </c>
      <c r="H383" t="s">
        <v>55</v>
      </c>
      <c r="I383">
        <f>VLOOKUP(Table4[[#This Row],[Visitor]],'NHL Model'!$A$6:$B$38,2,FALSE)</f>
        <v>0.3142836898216293</v>
      </c>
      <c r="J383">
        <f>($B$1+Table4[[#This Row],[Home Differential]])-Table4[[#This Row],[Away Differential]]</f>
        <v>0.52789911190120198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0.1421483844310294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-8.5361594338821137E-2</v>
      </c>
      <c r="H384" t="s">
        <v>37</v>
      </c>
      <c r="I384">
        <f>VLOOKUP(Table4[[#This Row],[Visitor]],'NHL Model'!$A$6:$B$38,2,FALSE)</f>
        <v>0.79636680320115127</v>
      </c>
      <c r="J384">
        <f>($B$1+Table4[[#This Row],[Home Differential]])-Table4[[#This Row],[Away Differential]]</f>
        <v>-0.80751074363514186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0.16614230818161002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0.19285186127150866</v>
      </c>
      <c r="H385" t="s">
        <v>16</v>
      </c>
      <c r="I385">
        <f>VLOOKUP(Table4[[#This Row],[Visitor]],'NHL Model'!$A$6:$B$38,2,FALSE)</f>
        <v>-0.21926170023436534</v>
      </c>
      <c r="J385">
        <f>($B$1+Table4[[#This Row],[Home Differential]])-Table4[[#This Row],[Away Differential]]</f>
        <v>0.48633121541070456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0.59321864196735619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0.35190835717759433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0.59379638322319717</v>
      </c>
      <c r="H386" t="s">
        <v>12</v>
      </c>
      <c r="I386">
        <f>VLOOKUP(Table4[[#This Row],[Visitor]],'NHL Model'!$A$6:$B$38,2,FALSE)</f>
        <v>1.8591692540144091</v>
      </c>
      <c r="J386">
        <f>($B$1+Table4[[#This Row],[Home Differential]])-Table4[[#This Row],[Away Differential]]</f>
        <v>-1.1911552168863815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0.42547123890181154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0.16690670582810133</v>
      </c>
      <c r="H387" t="s">
        <v>27</v>
      </c>
      <c r="I387">
        <f>VLOOKUP(Table4[[#This Row],[Visitor]],'NHL Model'!$A$6:$B$38,2,FALSE)</f>
        <v>0.17784181108472058</v>
      </c>
      <c r="J387">
        <f>($B$1+Table4[[#This Row],[Home Differential]])-Table4[[#This Row],[Away Differential]]</f>
        <v>6.3282548648211256E-2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0.29380368288648701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-0.17930549805059143</v>
      </c>
      <c r="H388" t="s">
        <v>38</v>
      </c>
      <c r="I388">
        <f>VLOOKUP(Table4[[#This Row],[Visitor]],'NHL Model'!$A$6:$B$38,2,FALSE)</f>
        <v>-0.48278309788469043</v>
      </c>
      <c r="J388">
        <f>($B$1+Table4[[#This Row],[Home Differential]])-Table4[[#This Row],[Away Differential]]</f>
        <v>0.37769525373892954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0.21323729859662119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-0.96065798985911643</v>
      </c>
      <c r="H389" t="s">
        <v>36</v>
      </c>
      <c r="I389">
        <f>VLOOKUP(Table4[[#This Row],[Visitor]],'NHL Model'!$A$6:$B$38,2,FALSE)</f>
        <v>9.4361646617848058E-2</v>
      </c>
      <c r="J389">
        <f>($B$1+Table4[[#This Row],[Home Differential]])-Table4[[#This Row],[Away Differential]]</f>
        <v>-0.98080198257213402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0.58655362398981181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0.34404515381558154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0.14556378660539449</v>
      </c>
      <c r="H390" t="s">
        <v>18</v>
      </c>
      <c r="I390">
        <f>VLOOKUP(Table4[[#This Row],[Visitor]],'NHL Model'!$A$6:$B$38,2,FALSE)</f>
        <v>0.10902894471156278</v>
      </c>
      <c r="J390">
        <f>($B$1+Table4[[#This Row],[Home Differential]])-Table4[[#This Row],[Away Differential]]</f>
        <v>0.11075249579866224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0.48562942044014745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0.23583593399703351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0.45610704431993199</v>
      </c>
      <c r="H391" t="s">
        <v>19</v>
      </c>
      <c r="I391">
        <f>VLOOKUP(Table4[[#This Row],[Visitor]],'NHL Model'!$A$6:$B$38,2,FALSE)</f>
        <v>-7.3686276472912369E-4</v>
      </c>
      <c r="J391">
        <f>($B$1+Table4[[#This Row],[Home Differential]])-Table4[[#This Row],[Away Differential]]</f>
        <v>0.53106156098949164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0.15109215023857248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3.9572996236628868E-2</v>
      </c>
      <c r="H392" t="s">
        <v>26</v>
      </c>
      <c r="I392">
        <f>VLOOKUP(Table4[[#This Row],[Visitor]],'NHL Model'!$A$6:$B$38,2,FALSE)</f>
        <v>-8.5361594338821137E-2</v>
      </c>
      <c r="J392">
        <f>($B$1+Table4[[#This Row],[Home Differential]])-Table4[[#This Row],[Away Differential]]</f>
        <v>0.19915224448028052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0.19819155603134783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1.8591692540144091</v>
      </c>
      <c r="H393" t="s">
        <v>18</v>
      </c>
      <c r="I393">
        <f>VLOOKUP(Table4[[#This Row],[Visitor]],'NHL Model'!$A$6:$B$38,2,FALSE)</f>
        <v>0.10902894471156278</v>
      </c>
      <c r="J393">
        <f>($B$1+Table4[[#This Row],[Home Differential]])-Table4[[#This Row],[Away Differential]]</f>
        <v>1.8243579632076767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0.79535766884311732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4.1878483701323237E-2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1.584470710005189E-2</v>
      </c>
      <c r="H394" t="s">
        <v>38</v>
      </c>
      <c r="I394">
        <f>VLOOKUP(Table4[[#This Row],[Visitor]],'NHL Model'!$A$6:$B$38,2,FALSE)</f>
        <v>-0.48278309788469043</v>
      </c>
      <c r="J394">
        <f>($B$1+Table4[[#This Row],[Home Differential]])-Table4[[#This Row],[Away Differential]]</f>
        <v>0.57284545888957283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0.1942414507612357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0.59379638322319717</v>
      </c>
      <c r="H395" t="s">
        <v>23</v>
      </c>
      <c r="I395">
        <f>VLOOKUP(Table4[[#This Row],[Visitor]],'NHL Model'!$A$6:$B$38,2,FALSE)</f>
        <v>0.18511137883580026</v>
      </c>
      <c r="J395">
        <f>($B$1+Table4[[#This Row],[Home Differential]])-Table4[[#This Row],[Away Differential]]</f>
        <v>0.48290265829222739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0.61436720096470332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0.37744705762120417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-6.1952588060713437E-2</v>
      </c>
      <c r="H396" t="s">
        <v>27</v>
      </c>
      <c r="I396">
        <f>VLOOKUP(Table4[[#This Row],[Visitor]],'NHL Model'!$A$6:$B$38,2,FALSE)</f>
        <v>0.17784181108472058</v>
      </c>
      <c r="J396">
        <f>($B$1+Table4[[#This Row],[Home Differential]])-Table4[[#This Row],[Away Differential]]</f>
        <v>-0.16557674524060351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0.26507258323655186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-0.3202921716073342</v>
      </c>
      <c r="H397" t="s">
        <v>40</v>
      </c>
      <c r="I397">
        <f>VLOOKUP(Table4[[#This Row],[Visitor]],'NHL Model'!$A$6:$B$38,2,FALSE)</f>
        <v>-0.10659687498124908</v>
      </c>
      <c r="J397">
        <f>($B$1+Table4[[#This Row],[Home Differential]])-Table4[[#This Row],[Away Differential]]</f>
        <v>-0.13947764272125457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0.47504336050016066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0.27557947335496424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-6.2506340836952119E-3</v>
      </c>
      <c r="H398" t="s">
        <v>37</v>
      </c>
      <c r="I398">
        <f>VLOOKUP(Table4[[#This Row],[Visitor]],'NHL Model'!$A$6:$B$38,2,FALSE)</f>
        <v>0.79636680320115127</v>
      </c>
      <c r="J398">
        <f>($B$1+Table4[[#This Row],[Home Differential]])-Table4[[#This Row],[Away Differential]]</f>
        <v>-0.72839978338001599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0.62478004260795506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0.14079001642528802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3.9336367625328564E-2</v>
      </c>
      <c r="H399" t="s">
        <v>19</v>
      </c>
      <c r="I399">
        <f>VLOOKUP(Table4[[#This Row],[Visitor]],'NHL Model'!$A$6:$B$38,2,FALSE)</f>
        <v>-7.3686276472912369E-4</v>
      </c>
      <c r="J399">
        <f>($B$1+Table4[[#This Row],[Home Differential]])-Table4[[#This Row],[Away Differential]]</f>
        <v>0.11429088429488821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0.55232684278846189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0.30506494126467032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-0.2855111111085496</v>
      </c>
      <c r="H400" t="s">
        <v>17</v>
      </c>
      <c r="I400">
        <f>VLOOKUP(Table4[[#This Row],[Visitor]],'NHL Model'!$A$6:$B$38,2,FALSE)</f>
        <v>7.1049614431123245E-2</v>
      </c>
      <c r="J400">
        <f>($B$1+Table4[[#This Row],[Home Differential]])-Table4[[#This Row],[Away Differential]]</f>
        <v>-0.28234307163484229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0.25963905152659628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-0.96065798985911643</v>
      </c>
      <c r="H401" t="s">
        <v>55</v>
      </c>
      <c r="I401">
        <f>VLOOKUP(Table4[[#This Row],[Visitor]],'NHL Model'!$A$6:$B$38,2,FALSE)</f>
        <v>0.3142836898216293</v>
      </c>
      <c r="J401">
        <f>($B$1+Table4[[#This Row],[Home Differential]])-Table4[[#This Row],[Away Differential]]</f>
        <v>-1.2007240257759153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0.34751506523742814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0.14556378660539449</v>
      </c>
      <c r="H402" t="s">
        <v>33</v>
      </c>
      <c r="I402">
        <f>VLOOKUP(Table4[[#This Row],[Visitor]],'NHL Model'!$A$6:$B$38,2,FALSE)</f>
        <v>-0.17930549805059143</v>
      </c>
      <c r="J402">
        <f>($B$1+Table4[[#This Row],[Home Differential]])-Table4[[#This Row],[Away Differential]]</f>
        <v>0.39908693856081645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0.17998483799670539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0.45392063308446812</v>
      </c>
      <c r="H403" t="s">
        <v>16</v>
      </c>
      <c r="I403">
        <f>VLOOKUP(Table4[[#This Row],[Visitor]],'NHL Model'!$A$6:$B$38,2,FALSE)</f>
        <v>-0.21926170023436534</v>
      </c>
      <c r="J403">
        <f>($B$1+Table4[[#This Row],[Home Differential]])-Table4[[#This Row],[Away Differential]]</f>
        <v>0.74739998722366396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0.65430896862293397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0.11950228917453964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-0.39984103039900787</v>
      </c>
      <c r="H404" t="s">
        <v>31</v>
      </c>
      <c r="I404">
        <f>VLOOKUP(Table4[[#This Row],[Visitor]],'NHL Model'!$A$6:$B$38,2,FALSE)</f>
        <v>-6.6593655044643821E-4</v>
      </c>
      <c r="J404">
        <f>($B$1+Table4[[#This Row],[Home Differential]])-Table4[[#This Row],[Away Differential]]</f>
        <v>-0.32495743994373089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0.24507280265752696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0.76796514781800074</v>
      </c>
      <c r="H405" t="s">
        <v>36</v>
      </c>
      <c r="I405">
        <f>VLOOKUP(Table4[[#This Row],[Visitor]],'NHL Model'!$A$6:$B$38,2,FALSE)</f>
        <v>9.4361646617848058E-2</v>
      </c>
      <c r="J405">
        <f>($B$1+Table4[[#This Row],[Home Differential]])-Table4[[#This Row],[Away Differential]]</f>
        <v>0.74782115510498315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0.62611079262365898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0.13979313939250854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0.16690670582810133</v>
      </c>
      <c r="H406" t="s">
        <v>22</v>
      </c>
      <c r="I406">
        <f>VLOOKUP(Table4[[#This Row],[Visitor]],'NHL Model'!$A$6:$B$38,2,FALSE)</f>
        <v>0.45610704431993199</v>
      </c>
      <c r="J406">
        <f>($B$1+Table4[[#This Row],[Home Differential]])-Table4[[#This Row],[Away Differential]]</f>
        <v>-0.21498268458700015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0.26968134182012682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0.18511137883580026</v>
      </c>
      <c r="H407" t="s">
        <v>40</v>
      </c>
      <c r="I407">
        <f>VLOOKUP(Table4[[#This Row],[Visitor]],'NHL Model'!$A$6:$B$38,2,FALSE)</f>
        <v>-0.10659687498124908</v>
      </c>
      <c r="J407">
        <f>($B$1+Table4[[#This Row],[Home Differential]])-Table4[[#This Row],[Away Differential]]</f>
        <v>0.36592590772187988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0.61805902963223858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0.1458789048454672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-6.1952588060713437E-2</v>
      </c>
      <c r="H408" t="s">
        <v>28</v>
      </c>
      <c r="I408">
        <f>VLOOKUP(Table4[[#This Row],[Visitor]],'NHL Model'!$A$6:$B$38,2,FALSE)</f>
        <v>-0.19727709229606127</v>
      </c>
      <c r="J408">
        <f>($B$1+Table4[[#This Row],[Home Differential]])-Table4[[#This Row],[Away Differential]]</f>
        <v>0.20954215814017835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0.3165189495752635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0.17784181108472058</v>
      </c>
      <c r="H409" t="s">
        <v>14</v>
      </c>
      <c r="I409">
        <f>VLOOKUP(Table4[[#This Row],[Visitor]],'NHL Model'!$A$6:$B$38,2,FALSE)</f>
        <v>3.9336367625328564E-2</v>
      </c>
      <c r="J409">
        <f>($B$1+Table4[[#This Row],[Home Differential]])-Table4[[#This Row],[Away Differential]]</f>
        <v>0.21272309736422257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0.31384455814636963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-0.17930549805059143</v>
      </c>
      <c r="H410" t="s">
        <v>55</v>
      </c>
      <c r="I410">
        <f>VLOOKUP(Table4[[#This Row],[Visitor]],'NHL Model'!$A$6:$B$38,2,FALSE)</f>
        <v>0.3142836898216293</v>
      </c>
      <c r="J410">
        <f>($B$1+Table4[[#This Row],[Home Differential]])-Table4[[#This Row],[Away Differential]]</f>
        <v>-0.41937153396739019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0.25525868147981917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-0.96065798985911643</v>
      </c>
      <c r="H411" t="s">
        <v>31</v>
      </c>
      <c r="I411">
        <f>VLOOKUP(Table4[[#This Row],[Visitor]],'NHL Model'!$A$6:$B$38,2,FALSE)</f>
        <v>-6.6593655044643821E-4</v>
      </c>
      <c r="J411">
        <f>($B$1+Table4[[#This Row],[Home Differential]])-Table4[[#This Row],[Away Differential]]</f>
        <v>-0.88577439940383951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0.55553519368459114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0.19754896405299391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1.8591692540144091</v>
      </c>
      <c r="H412" t="s">
        <v>38</v>
      </c>
      <c r="I412">
        <f>VLOOKUP(Table4[[#This Row],[Visitor]],'NHL Model'!$A$6:$B$38,2,FALSE)</f>
        <v>-0.48278309788469043</v>
      </c>
      <c r="J412">
        <f>($B$1+Table4[[#This Row],[Home Differential]])-Table4[[#This Row],[Away Differential]]</f>
        <v>2.4161700058039299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1.3957422743025538E-2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-8.5361594338821137E-2</v>
      </c>
      <c r="H413" t="s">
        <v>21</v>
      </c>
      <c r="I413">
        <f>VLOOKUP(Table4[[#This Row],[Visitor]],'NHL Model'!$A$6:$B$38,2,FALSE)</f>
        <v>3.9572996236628868E-2</v>
      </c>
      <c r="J413">
        <f>($B$1+Table4[[#This Row],[Home Differential]])-Table4[[#This Row],[Away Differential]]</f>
        <v>-5.0716936670619481E-2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0.18065806440513513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7.1049614431123245E-2</v>
      </c>
      <c r="H414" t="s">
        <v>34</v>
      </c>
      <c r="I414">
        <f>VLOOKUP(Table4[[#This Row],[Visitor]],'NHL Model'!$A$6:$B$38,2,FALSE)</f>
        <v>0.59379638322319717</v>
      </c>
      <c r="J414">
        <f>($B$1+Table4[[#This Row],[Home Differential]])-Table4[[#This Row],[Away Differential]]</f>
        <v>-0.4485291148872434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0.20757379679537588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0.19285186127150866</v>
      </c>
      <c r="H415" t="s">
        <v>19</v>
      </c>
      <c r="I415">
        <f>VLOOKUP(Table4[[#This Row],[Visitor]],'NHL Model'!$A$6:$B$38,2,FALSE)</f>
        <v>-7.3686276472912369E-4</v>
      </c>
      <c r="J415">
        <f>($B$1+Table4[[#This Row],[Home Differential]])-Table4[[#This Row],[Away Differential]]</f>
        <v>0.26780637794106832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0.32450071992747637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1.584470710005189E-2</v>
      </c>
      <c r="H416" t="s">
        <v>22</v>
      </c>
      <c r="I416">
        <f>VLOOKUP(Table4[[#This Row],[Visitor]],'NHL Model'!$A$6:$B$38,2,FALSE)</f>
        <v>0.45610704431993199</v>
      </c>
      <c r="J416">
        <f>($B$1+Table4[[#This Row],[Home Differential]])-Table4[[#This Row],[Away Differential]]</f>
        <v>-0.36604468331504958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0.49947974759854696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0.25052052306401423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0.10902894471156278</v>
      </c>
      <c r="H417" t="s">
        <v>36</v>
      </c>
      <c r="I417">
        <f>VLOOKUP(Table4[[#This Row],[Visitor]],'NHL Model'!$A$6:$B$38,2,FALSE)</f>
        <v>9.4361646617848058E-2</v>
      </c>
      <c r="J417">
        <f>($B$1+Table4[[#This Row],[Home Differential]])-Table4[[#This Row],[Away Differential]]</f>
        <v>8.888495199854525E-2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0.27964790104140691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-0.3202921716073342</v>
      </c>
      <c r="H418" t="s">
        <v>16</v>
      </c>
      <c r="I418">
        <f>VLOOKUP(Table4[[#This Row],[Visitor]],'NHL Model'!$A$6:$B$38,2,FALSE)</f>
        <v>-0.21926170023436534</v>
      </c>
      <c r="J418">
        <f>($B$1+Table4[[#This Row],[Home Differential]])-Table4[[#This Row],[Away Differential]]</f>
        <v>-2.6812817468138322E-2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0.21426890766206774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0.16690670582810133</v>
      </c>
      <c r="H419" t="s">
        <v>37</v>
      </c>
      <c r="I419">
        <f>VLOOKUP(Table4[[#This Row],[Visitor]],'NHL Model'!$A$6:$B$38,2,FALSE)</f>
        <v>0.79636680320115127</v>
      </c>
      <c r="J419">
        <f>($B$1+Table4[[#This Row],[Home Differential]])-Table4[[#This Row],[Away Differential]]</f>
        <v>-0.55524244346821949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0.36434733411775927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-6.2506340836952119E-3</v>
      </c>
      <c r="H420" t="s">
        <v>39</v>
      </c>
      <c r="I420">
        <f>VLOOKUP(Table4[[#This Row],[Visitor]],'NHL Model'!$A$6:$B$38,2,FALSE)</f>
        <v>0.76796514781800074</v>
      </c>
      <c r="J420">
        <f>($B$1+Table4[[#This Row],[Home Differential]])-Table4[[#This Row],[Away Differential]]</f>
        <v>-0.69999812799686545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0.60959854131294022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0.37161038157086451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0.14556378660539449</v>
      </c>
      <c r="H421" t="s">
        <v>10</v>
      </c>
      <c r="I421">
        <f>VLOOKUP(Table4[[#This Row],[Visitor]],'NHL Model'!$A$6:$B$38,2,FALSE)</f>
        <v>-0.39984103039900787</v>
      </c>
      <c r="J421">
        <f>($B$1+Table4[[#This Row],[Home Differential]])-Table4[[#This Row],[Away Differential]]</f>
        <v>0.61962247090923284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0.15458313746309177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-6.6593655044643821E-4</v>
      </c>
      <c r="H422" t="s">
        <v>55</v>
      </c>
      <c r="I422">
        <f>VLOOKUP(Table4[[#This Row],[Visitor]],'NHL Model'!$A$6:$B$38,2,FALSE)</f>
        <v>0.3142836898216293</v>
      </c>
      <c r="J422">
        <f>($B$1+Table4[[#This Row],[Home Differential]])-Table4[[#This Row],[Away Differential]]</f>
        <v>-0.2407319724672452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0.29167948271273814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0.10902894471156278</v>
      </c>
      <c r="H423" t="s">
        <v>40</v>
      </c>
      <c r="I423">
        <f>VLOOKUP(Table4[[#This Row],[Visitor]],'NHL Model'!$A$6:$B$38,2,FALSE)</f>
        <v>-0.10659687498124908</v>
      </c>
      <c r="J423">
        <f>($B$1+Table4[[#This Row],[Home Differential]])-Table4[[#This Row],[Away Differential]]</f>
        <v>0.2898434735976424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0.5712610664826191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0.18381707311362117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-6.1952588060713437E-2</v>
      </c>
      <c r="H424" t="s">
        <v>39</v>
      </c>
      <c r="I424">
        <f>VLOOKUP(Table4[[#This Row],[Visitor]],'NHL Model'!$A$6:$B$38,2,FALSE)</f>
        <v>0.76796514781800074</v>
      </c>
      <c r="J424">
        <f>($B$1+Table4[[#This Row],[Home Differential]])-Table4[[#This Row],[Away Differential]]</f>
        <v>-0.75570008197388361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0.61560627529733425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0.14775853559078878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0.17784181108472058</v>
      </c>
      <c r="H425" t="s">
        <v>23</v>
      </c>
      <c r="I425">
        <f>VLOOKUP(Table4[[#This Row],[Visitor]],'NHL Model'!$A$6:$B$38,2,FALSE)</f>
        <v>0.18511137883580026</v>
      </c>
      <c r="J425">
        <f>($B$1+Table4[[#This Row],[Home Differential]])-Table4[[#This Row],[Away Differential]]</f>
        <v>6.6948086153750863E-2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0.55177514096300362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0.20090552425873529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-0.17930549805059143</v>
      </c>
      <c r="H426" t="s">
        <v>22</v>
      </c>
      <c r="I426">
        <f>VLOOKUP(Table4[[#This Row],[Visitor]],'NHL Model'!$A$6:$B$38,2,FALSE)</f>
        <v>0.45610704431993199</v>
      </c>
      <c r="J426">
        <f>($B$1+Table4[[#This Row],[Home Differential]])-Table4[[#This Row],[Away Differential]]</f>
        <v>-0.56119488846569288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0.52052767205787021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0.22989371326224525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3.9572996236628868E-2</v>
      </c>
      <c r="H427" t="s">
        <v>35</v>
      </c>
      <c r="I427">
        <f>VLOOKUP(Table4[[#This Row],[Visitor]],'NHL Model'!$A$6:$B$38,2,FALSE)</f>
        <v>-0.96065798985911643</v>
      </c>
      <c r="J427">
        <f>($B$1+Table4[[#This Row],[Home Differential]])-Table4[[#This Row],[Away Differential]]</f>
        <v>1.0744486400005759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0.66990127351600448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0.10896516922635568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0.45392063308446812</v>
      </c>
      <c r="H428" t="s">
        <v>19</v>
      </c>
      <c r="I428">
        <f>VLOOKUP(Table4[[#This Row],[Visitor]],'NHL Model'!$A$6:$B$38,2,FALSE)</f>
        <v>-7.3686276472912369E-4</v>
      </c>
      <c r="J428">
        <f>($B$1+Table4[[#This Row],[Home Differential]])-Table4[[#This Row],[Away Differential]]</f>
        <v>0.52887514975402783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0.63073997330470577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0.39783291392442094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-0.19727709229606127</v>
      </c>
      <c r="H429" t="s">
        <v>26</v>
      </c>
      <c r="I429">
        <f>VLOOKUP(Table4[[#This Row],[Visitor]],'NHL Model'!$A$6:$B$38,2,FALSE)</f>
        <v>-8.5361594338821137E-2</v>
      </c>
      <c r="J429">
        <f>($B$1+Table4[[#This Row],[Home Differential]])-Table4[[#This Row],[Away Differential]]</f>
        <v>-3.7697844052409613E-2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0.48483513156232477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0.23506510479705678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-0.21926170023436534</v>
      </c>
      <c r="H430" t="s">
        <v>34</v>
      </c>
      <c r="I430">
        <f>VLOOKUP(Table4[[#This Row],[Visitor]],'NHL Model'!$A$6:$B$38,2,FALSE)</f>
        <v>0.59379638322319717</v>
      </c>
      <c r="J430">
        <f>($B$1+Table4[[#This Row],[Home Differential]])-Table4[[#This Row],[Away Differential]]</f>
        <v>-0.73884042955273199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0.55794850062210211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0.31130652934645187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7.1049614431123245E-2</v>
      </c>
      <c r="H431" t="s">
        <v>32</v>
      </c>
      <c r="I431">
        <f>VLOOKUP(Table4[[#This Row],[Visitor]],'NHL Model'!$A$6:$B$38,2,FALSE)</f>
        <v>-0.2855111111085496</v>
      </c>
      <c r="J431">
        <f>($B$1+Table4[[#This Row],[Home Differential]])-Table4[[#This Row],[Away Differential]]</f>
        <v>0.43077837944450337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0.15395513667610766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0.19285186127150866</v>
      </c>
      <c r="H432" t="s">
        <v>29</v>
      </c>
      <c r="I432">
        <f>VLOOKUP(Table4[[#This Row],[Visitor]],'NHL Model'!$A$6:$B$38,2,FALSE)</f>
        <v>-0.3202921716073342</v>
      </c>
      <c r="J432">
        <f>($B$1+Table4[[#This Row],[Home Differential]])-Table4[[#This Row],[Away Differential]]</f>
        <v>0.5873616867836734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0.60411528298244788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0.36495527513296305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1.584470710005189E-2</v>
      </c>
      <c r="H433" t="s">
        <v>10</v>
      </c>
      <c r="I433">
        <f>VLOOKUP(Table4[[#This Row],[Visitor]],'NHL Model'!$A$6:$B$38,2,FALSE)</f>
        <v>-0.39984103039900787</v>
      </c>
      <c r="J433">
        <f>($B$1+Table4[[#This Row],[Home Differential]])-Table4[[#This Row],[Away Differential]]</f>
        <v>0.48990339140389028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0.35145752025433596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0.16690670582810133</v>
      </c>
      <c r="H434" t="s">
        <v>12</v>
      </c>
      <c r="I434">
        <f>VLOOKUP(Table4[[#This Row],[Visitor]],'NHL Model'!$A$6:$B$38,2,FALSE)</f>
        <v>1.8591692540144091</v>
      </c>
      <c r="J434">
        <f>($B$1+Table4[[#This Row],[Home Differential]])-Table4[[#This Row],[Away Differential]]</f>
        <v>-1.6180448942814774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0.7182404602094169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0.51586935868183503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9.4361646617848058E-2</v>
      </c>
      <c r="H435" t="s">
        <v>15</v>
      </c>
      <c r="I435">
        <f>VLOOKUP(Table4[[#This Row],[Visitor]],'NHL Model'!$A$6:$B$38,2,FALSE)</f>
        <v>-6.2506340836952119E-3</v>
      </c>
      <c r="J435">
        <f>($B$1+Table4[[#This Row],[Home Differential]])-Table4[[#This Row],[Away Differential]]</f>
        <v>0.1748299346063738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0.49956844794738237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0.24956863418455649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0.79636680320115127</v>
      </c>
      <c r="H436" t="s">
        <v>14</v>
      </c>
      <c r="I436">
        <f>VLOOKUP(Table4[[#This Row],[Visitor]],'NHL Model'!$A$6:$B$38,2,FALSE)</f>
        <v>3.9336367625328564E-2</v>
      </c>
      <c r="J436">
        <f>($B$1+Table4[[#This Row],[Home Differential]])-Table4[[#This Row],[Away Differential]]</f>
        <v>0.83124808948065321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0.39304037610174936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-6.6593655044643821E-4</v>
      </c>
      <c r="H437" t="s">
        <v>22</v>
      </c>
      <c r="I437">
        <f>VLOOKUP(Table4[[#This Row],[Visitor]],'NHL Model'!$A$6:$B$38,2,FALSE)</f>
        <v>0.45610704431993199</v>
      </c>
      <c r="J437">
        <f>($B$1+Table4[[#This Row],[Home Differential]])-Table4[[#This Row],[Away Differential]]</f>
        <v>-0.38255532696554789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0.47522276714281536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0.22583667841087451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0.76796514781800074</v>
      </c>
      <c r="H438" t="s">
        <v>33</v>
      </c>
      <c r="I438">
        <f>VLOOKUP(Table4[[#This Row],[Visitor]],'NHL Model'!$A$6:$B$38,2,FALSE)</f>
        <v>-0.17930549805059143</v>
      </c>
      <c r="J438">
        <f>($B$1+Table4[[#This Row],[Home Differential]])-Table4[[#This Row],[Away Differential]]</f>
        <v>1.0214882997734227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0.66899614518286643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0.10956355190380204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-6.1952588060713437E-2</v>
      </c>
      <c r="H439" t="s">
        <v>20</v>
      </c>
      <c r="I439">
        <f>VLOOKUP(Table4[[#This Row],[Visitor]],'NHL Model'!$A$6:$B$38,2,FALSE)</f>
        <v>0.14556378660539449</v>
      </c>
      <c r="J439">
        <f>($B$1+Table4[[#This Row],[Home Differential]])-Table4[[#This Row],[Away Differential]]</f>
        <v>-0.13329872076127741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0.49514616367043879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0.25487739605667531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-0.48278309788469043</v>
      </c>
      <c r="H440" t="s">
        <v>55</v>
      </c>
      <c r="I440">
        <f>VLOOKUP(Table4[[#This Row],[Visitor]],'NHL Model'!$A$6:$B$38,2,FALSE)</f>
        <v>0.3142836898216293</v>
      </c>
      <c r="J440">
        <f>($B$1+Table4[[#This Row],[Home Differential]])-Table4[[#This Row],[Away Differential]]</f>
        <v>-0.72284913380148919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0.21347829108295271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-0.10659687498124908</v>
      </c>
      <c r="H441" t="s">
        <v>23</v>
      </c>
      <c r="I441">
        <f>VLOOKUP(Table4[[#This Row],[Visitor]],'NHL Model'!$A$6:$B$38,2,FALSE)</f>
        <v>0.18511137883580026</v>
      </c>
      <c r="J441">
        <f>($B$1+Table4[[#This Row],[Home Differential]])-Table4[[#This Row],[Away Differential]]</f>
        <v>-0.21749059991221881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0.48345744763133386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0.23373110367020392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3.9572996236628868E-2</v>
      </c>
      <c r="H442" t="s">
        <v>24</v>
      </c>
      <c r="I442">
        <f>VLOOKUP(Table4[[#This Row],[Visitor]],'NHL Model'!$A$6:$B$38,2,FALSE)</f>
        <v>-6.1952588060713437E-2</v>
      </c>
      <c r="J442">
        <f>($B$1+Table4[[#This Row],[Home Differential]])-Table4[[#This Row],[Away Differential]]</f>
        <v>0.17574323820217283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0.21096207828031607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0.45392063308446812</v>
      </c>
      <c r="H443" t="s">
        <v>29</v>
      </c>
      <c r="I443">
        <f>VLOOKUP(Table4[[#This Row],[Visitor]],'NHL Model'!$A$6:$B$38,2,FALSE)</f>
        <v>-0.3202921716073342</v>
      </c>
      <c r="J443">
        <f>($B$1+Table4[[#This Row],[Home Differential]])-Table4[[#This Row],[Away Differential]]</f>
        <v>0.84843045859663291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0.66520560963802566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0.11208728381784605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-0.21926170023436534</v>
      </c>
      <c r="H444" t="s">
        <v>55</v>
      </c>
      <c r="I444">
        <f>VLOOKUP(Table4[[#This Row],[Visitor]],'NHL Model'!$A$6:$B$38,2,FALSE)</f>
        <v>0.3142836898216293</v>
      </c>
      <c r="J444">
        <f>($B$1+Table4[[#This Row],[Home Differential]])-Table4[[#This Row],[Away Differential]]</f>
        <v>-0.45932773615116412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0.22179267638245034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7.1049614431123245E-2</v>
      </c>
      <c r="H445" t="s">
        <v>40</v>
      </c>
      <c r="I445">
        <f>VLOOKUP(Table4[[#This Row],[Visitor]],'NHL Model'!$A$6:$B$38,2,FALSE)</f>
        <v>-0.10659687498124908</v>
      </c>
      <c r="J445">
        <f>($B$1+Table4[[#This Row],[Home Differential]])-Table4[[#This Row],[Away Differential]]</f>
        <v>0.25186414331720286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0.58833203382761834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0.16947051437250518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0.19285186127150866</v>
      </c>
      <c r="H446" t="s">
        <v>28</v>
      </c>
      <c r="I446">
        <f>VLOOKUP(Table4[[#This Row],[Visitor]],'NHL Model'!$A$6:$B$38,2,FALSE)</f>
        <v>-0.19727709229606127</v>
      </c>
      <c r="J446">
        <f>($B$1+Table4[[#This Row],[Home Differential]])-Table4[[#This Row],[Away Differential]]</f>
        <v>0.46434660747240047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0.16740577465416998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1.584470710005189E-2</v>
      </c>
      <c r="H447" t="s">
        <v>10</v>
      </c>
      <c r="I447">
        <f>VLOOKUP(Table4[[#This Row],[Visitor]],'NHL Model'!$A$6:$B$38,2,FALSE)</f>
        <v>-0.39984103039900787</v>
      </c>
      <c r="J447">
        <f>($B$1+Table4[[#This Row],[Home Differential]])-Table4[[#This Row],[Away Differential]]</f>
        <v>0.48990339140389028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0.16578046429966165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-6.2506340836952119E-3</v>
      </c>
      <c r="H448" t="s">
        <v>12</v>
      </c>
      <c r="I448">
        <f>VLOOKUP(Table4[[#This Row],[Visitor]],'NHL Model'!$A$6:$B$38,2,FALSE)</f>
        <v>1.8591692540144091</v>
      </c>
      <c r="J448">
        <f>($B$1+Table4[[#This Row],[Home Differential]])-Table4[[#This Row],[Away Differential]]</f>
        <v>-1.7912022341932738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0.73940859594528319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6.7907879867208684E-2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9.4361646617848058E-2</v>
      </c>
      <c r="H449" t="s">
        <v>35</v>
      </c>
      <c r="I449">
        <f>VLOOKUP(Table4[[#This Row],[Visitor]],'NHL Model'!$A$6:$B$38,2,FALSE)</f>
        <v>-0.96065798985911643</v>
      </c>
      <c r="J449">
        <f>($B$1+Table4[[#This Row],[Home Differential]])-Table4[[#This Row],[Away Differential]]</f>
        <v>1.1292372903817951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0.6617938826467511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0.43797114310866175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-0.2855111111085496</v>
      </c>
      <c r="H450" t="s">
        <v>26</v>
      </c>
      <c r="I450">
        <f>VLOOKUP(Table4[[#This Row],[Visitor]],'NHL Model'!$A$6:$B$38,2,FALSE)</f>
        <v>-8.5361594338821137E-2</v>
      </c>
      <c r="J450">
        <f>($B$1+Table4[[#This Row],[Home Differential]])-Table4[[#This Row],[Away Differential]]</f>
        <v>-0.12593186286489794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0.49435161124664878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0.25568029304886014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0.79636680320115127</v>
      </c>
      <c r="H451" t="s">
        <v>30</v>
      </c>
      <c r="I451">
        <f>VLOOKUP(Table4[[#This Row],[Visitor]],'NHL Model'!$A$6:$B$38,2,FALSE)</f>
        <v>0.16690670582810133</v>
      </c>
      <c r="J451">
        <f>($B$1+Table4[[#This Row],[Home Differential]])-Table4[[#This Row],[Away Differential]]</f>
        <v>0.70367775127788046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0.58689760554458903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0.34444879939397199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-7.3686276472912369E-4</v>
      </c>
      <c r="H452" t="s">
        <v>18</v>
      </c>
      <c r="I452">
        <f>VLOOKUP(Table4[[#This Row],[Visitor]],'NHL Model'!$A$6:$B$38,2,FALSE)</f>
        <v>0.10902894471156278</v>
      </c>
      <c r="J452">
        <f>($B$1+Table4[[#This Row],[Home Differential]])-Table4[[#This Row],[Away Differential]]</f>
        <v>-3.5548153571461377E-2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0.23924199443238767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-0.48278309788469043</v>
      </c>
      <c r="H453" t="s">
        <v>34</v>
      </c>
      <c r="I453">
        <f>VLOOKUP(Table4[[#This Row],[Visitor]],'NHL Model'!$A$6:$B$38,2,FALSE)</f>
        <v>0.59379638322319717</v>
      </c>
      <c r="J453">
        <f>($B$1+Table4[[#This Row],[Home Differential]])-Table4[[#This Row],[Away Differential]]</f>
        <v>-1.002361827203057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0.62551330495025359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0.39126689466978892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-6.6593655044643821E-4</v>
      </c>
      <c r="H454" t="s">
        <v>10</v>
      </c>
      <c r="I454">
        <f>VLOOKUP(Table4[[#This Row],[Visitor]],'NHL Model'!$A$6:$B$38,2,FALSE)</f>
        <v>-0.39984103039900787</v>
      </c>
      <c r="J454">
        <f>($B$1+Table4[[#This Row],[Home Differential]])-Table4[[#This Row],[Away Differential]]</f>
        <v>0.47339274775339196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0.6170955084330686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0.14661584966213023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0.45392063308446812</v>
      </c>
      <c r="H455" t="s">
        <v>33</v>
      </c>
      <c r="I455">
        <f>VLOOKUP(Table4[[#This Row],[Visitor]],'NHL Model'!$A$6:$B$38,2,FALSE)</f>
        <v>-0.17930549805059143</v>
      </c>
      <c r="J455">
        <f>($B$1+Table4[[#This Row],[Home Differential]])-Table4[[#This Row],[Away Differential]]</f>
        <v>0.70744378503989003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0.64281510757840532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0.41321126253103679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0.76796514781800074</v>
      </c>
      <c r="H456" t="s">
        <v>14</v>
      </c>
      <c r="I456">
        <f>VLOOKUP(Table4[[#This Row],[Visitor]],'NHL Model'!$A$6:$B$38,2,FALSE)</f>
        <v>3.9336367625328564E-2</v>
      </c>
      <c r="J456">
        <f>($B$1+Table4[[#This Row],[Home Differential]])-Table4[[#This Row],[Away Differential]]</f>
        <v>0.80284643409750267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0.64541452778799957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0.12573085710380733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0.19285186127150866</v>
      </c>
      <c r="H457" t="s">
        <v>30</v>
      </c>
      <c r="I457">
        <f>VLOOKUP(Table4[[#This Row],[Visitor]],'NHL Model'!$A$6:$B$38,2,FALSE)</f>
        <v>0.16690670582810133</v>
      </c>
      <c r="J457">
        <f>($B$1+Table4[[#This Row],[Home Differential]])-Table4[[#This Row],[Away Differential]]</f>
        <v>0.10016280934823787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0.51798991764771418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0.23233371948925735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0.10902894471156278</v>
      </c>
      <c r="H458" t="s">
        <v>35</v>
      </c>
      <c r="I458">
        <f>VLOOKUP(Table4[[#This Row],[Visitor]],'NHL Model'!$A$6:$B$38,2,FALSE)</f>
        <v>-0.96065798985911643</v>
      </c>
      <c r="J458">
        <f>($B$1+Table4[[#This Row],[Home Differential]])-Table4[[#This Row],[Away Differential]]</f>
        <v>1.1439045884755097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0.66337582401371287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0.44006748388587252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-6.2506340836952119E-3</v>
      </c>
      <c r="H459" t="s">
        <v>20</v>
      </c>
      <c r="I459">
        <f>VLOOKUP(Table4[[#This Row],[Visitor]],'NHL Model'!$A$6:$B$38,2,FALSE)</f>
        <v>0.14556378660539449</v>
      </c>
      <c r="J459">
        <f>($B$1+Table4[[#This Row],[Home Differential]])-Table4[[#This Row],[Away Differential]]</f>
        <v>-7.7596766784259169E-2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0.48913842968604482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0.26097954402364015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0.17784181108472058</v>
      </c>
      <c r="H460" t="s">
        <v>12</v>
      </c>
      <c r="I460">
        <f>VLOOKUP(Table4[[#This Row],[Visitor]],'NHL Model'!$A$6:$B$38,2,FALSE)</f>
        <v>1.8591692540144091</v>
      </c>
      <c r="J460">
        <f>($B$1+Table4[[#This Row],[Home Differential]])-Table4[[#This Row],[Away Differential]]</f>
        <v>-1.607109789024858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0.71500148540858055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8.1224153319315526E-2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0.45610704431993199</v>
      </c>
      <c r="H461" t="s">
        <v>28</v>
      </c>
      <c r="I461">
        <f>VLOOKUP(Table4[[#This Row],[Visitor]],'NHL Model'!$A$6:$B$38,2,FALSE)</f>
        <v>-0.19727709229606127</v>
      </c>
      <c r="J461">
        <f>($B$1+Table4[[#This Row],[Home Differential]])-Table4[[#This Row],[Away Differential]]</f>
        <v>0.72760179052082374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0.13506205053856282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-0.21926170023436534</v>
      </c>
      <c r="H462" t="s">
        <v>23</v>
      </c>
      <c r="I462">
        <f>VLOOKUP(Table4[[#This Row],[Visitor]],'NHL Model'!$A$6:$B$38,2,FALSE)</f>
        <v>0.18511137883580026</v>
      </c>
      <c r="J462">
        <f>($B$1+Table4[[#This Row],[Home Differential]])-Table4[[#This Row],[Away Differential]]</f>
        <v>-0.33015542516533508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0.45701681925475302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0.20886437308173159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-0.2855111111085496</v>
      </c>
      <c r="H463" t="s">
        <v>34</v>
      </c>
      <c r="I463">
        <f>VLOOKUP(Table4[[#This Row],[Visitor]],'NHL Model'!$A$6:$B$38,2,FALSE)</f>
        <v>0.59379638322319717</v>
      </c>
      <c r="J463">
        <f>($B$1+Table4[[#This Row],[Home Differential]])-Table4[[#This Row],[Away Differential]]</f>
        <v>-0.80508984042691623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0.15662871964015981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-7.3686276472912369E-4</v>
      </c>
      <c r="H464" t="s">
        <v>37</v>
      </c>
      <c r="I464">
        <f>VLOOKUP(Table4[[#This Row],[Visitor]],'NHL Model'!$A$6:$B$38,2,FALSE)</f>
        <v>0.79636680320115127</v>
      </c>
      <c r="J464">
        <f>($B$1+Table4[[#This Row],[Home Differential]])-Table4[[#This Row],[Away Differential]]</f>
        <v>-0.72288601206104985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0.36601761233427871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0.3142836898216293</v>
      </c>
      <c r="H465" t="s">
        <v>13</v>
      </c>
      <c r="I465">
        <f>VLOOKUP(Table4[[#This Row],[Visitor]],'NHL Model'!$A$6:$B$38,2,FALSE)</f>
        <v>1.584470710005189E-2</v>
      </c>
      <c r="J465">
        <f>($B$1+Table4[[#This Row],[Home Differential]])-Table4[[#This Row],[Away Differential]]</f>
        <v>0.37265663662640797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0.30008763219509543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-0.48278309788469043</v>
      </c>
      <c r="H466" t="s">
        <v>26</v>
      </c>
      <c r="I466">
        <f>VLOOKUP(Table4[[#This Row],[Visitor]],'NHL Model'!$A$6:$B$38,2,FALSE)</f>
        <v>-8.5361594338821137E-2</v>
      </c>
      <c r="J466">
        <f>($B$1+Table4[[#This Row],[Home Differential]])-Table4[[#This Row],[Away Differential]]</f>
        <v>-0.32320384964103877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0.51562838045321768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0.23461586582237284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0.45392063308446812</v>
      </c>
      <c r="H467" t="s">
        <v>28</v>
      </c>
      <c r="I467">
        <f>VLOOKUP(Table4[[#This Row],[Visitor]],'NHL Model'!$A$6:$B$38,2,FALSE)</f>
        <v>-0.19727709229606127</v>
      </c>
      <c r="J467">
        <f>($B$1+Table4[[#This Row],[Home Differential]])-Table4[[#This Row],[Away Differential]]</f>
        <v>0.72541537928535993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0.12114728195589274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7.1049614431123245E-2</v>
      </c>
      <c r="H468" t="s">
        <v>23</v>
      </c>
      <c r="I468">
        <f>VLOOKUP(Table4[[#This Row],[Visitor]],'NHL Model'!$A$6:$B$38,2,FALSE)</f>
        <v>0.18511137883580026</v>
      </c>
      <c r="J468">
        <f>($B$1+Table4[[#This Row],[Home Differential]])-Table4[[#This Row],[Away Differential]]</f>
        <v>-3.9844110499846486E-2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0.44313015851680043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0.31010402035352386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0.10902894471156278</v>
      </c>
      <c r="H469" t="s">
        <v>37</v>
      </c>
      <c r="I469">
        <f>VLOOKUP(Table4[[#This Row],[Visitor]],'NHL Model'!$A$6:$B$38,2,FALSE)</f>
        <v>0.79636680320115127</v>
      </c>
      <c r="J469">
        <f>($B$1+Table4[[#This Row],[Home Differential]])-Table4[[#This Row],[Away Differential]]</f>
        <v>-0.61312020458475791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0.1502751863039791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-0.3202921716073342</v>
      </c>
      <c r="H470" t="s">
        <v>12</v>
      </c>
      <c r="I470">
        <f>VLOOKUP(Table4[[#This Row],[Visitor]],'NHL Model'!$A$6:$B$38,2,FALSE)</f>
        <v>1.8591692540144091</v>
      </c>
      <c r="J470">
        <f>($B$1+Table4[[#This Row],[Home Differential]])-Table4[[#This Row],[Away Differential]]</f>
        <v>-2.1052437717169128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0.59796125394044242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0.16690670582810133</v>
      </c>
      <c r="H471" t="s">
        <v>20</v>
      </c>
      <c r="I471">
        <f>VLOOKUP(Table4[[#This Row],[Visitor]],'NHL Model'!$A$6:$B$38,2,FALSE)</f>
        <v>0.14556378660539449</v>
      </c>
      <c r="J471">
        <f>($B$1+Table4[[#This Row],[Home Differential]])-Table4[[#This Row],[Away Differential]]</f>
        <v>9.5560573127537352E-2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0.5320458156003216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0.21898111869716821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9.4361646617848058E-2</v>
      </c>
      <c r="H472" t="s">
        <v>24</v>
      </c>
      <c r="I472">
        <f>VLOOKUP(Table4[[#This Row],[Visitor]],'NHL Model'!$A$6:$B$38,2,FALSE)</f>
        <v>-6.1952588060713437E-2</v>
      </c>
      <c r="J472">
        <f>($B$1+Table4[[#This Row],[Home Differential]])-Table4[[#This Row],[Away Differential]]</f>
        <v>0.23053188858339202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0.28352822470126199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0.17784181108472058</v>
      </c>
      <c r="H473" t="s">
        <v>33</v>
      </c>
      <c r="I473">
        <f>VLOOKUP(Table4[[#This Row],[Visitor]],'NHL Model'!$A$6:$B$38,2,FALSE)</f>
        <v>-0.17930549805059143</v>
      </c>
      <c r="J473">
        <f>($B$1+Table4[[#This Row],[Home Differential]])-Table4[[#This Row],[Away Differential]]</f>
        <v>0.43136496304014255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0.58379993032864597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0.17322249799443995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3.9336367625328564E-2</v>
      </c>
      <c r="H474" t="s">
        <v>31</v>
      </c>
      <c r="I474">
        <f>VLOOKUP(Table4[[#This Row],[Visitor]],'NHL Model'!$A$6:$B$38,2,FALSE)</f>
        <v>-6.6593655044643821E-4</v>
      </c>
      <c r="J474">
        <f>($B$1+Table4[[#This Row],[Home Differential]])-Table4[[#This Row],[Away Differential]]</f>
        <v>0.11421995808060553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0.55231919304195376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0.30505649100251497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-0.96065798985911643</v>
      </c>
      <c r="H475" t="s">
        <v>21</v>
      </c>
      <c r="I475">
        <f>VLOOKUP(Table4[[#This Row],[Visitor]],'NHL Model'!$A$6:$B$38,2,FALSE)</f>
        <v>3.9572996236628868E-2</v>
      </c>
      <c r="J475">
        <f>($B$1+Table4[[#This Row],[Home Differential]])-Table4[[#This Row],[Away Differential]]</f>
        <v>-0.92601333219091486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0.55987516359121958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0.19370987162385572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-0.10659687498124908</v>
      </c>
      <c r="H476" t="s">
        <v>39</v>
      </c>
      <c r="I476">
        <f>VLOOKUP(Table4[[#This Row],[Visitor]],'NHL Model'!$A$6:$B$38,2,FALSE)</f>
        <v>0.76796514781800074</v>
      </c>
      <c r="J476">
        <f>($B$1+Table4[[#This Row],[Home Differential]])-Table4[[#This Row],[Away Differential]]</f>
        <v>-0.80034436889441929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0.14407992522850135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-0.21926170023436534</v>
      </c>
      <c r="H477" t="s">
        <v>26</v>
      </c>
      <c r="I477">
        <f>VLOOKUP(Table4[[#This Row],[Visitor]],'NHL Model'!$A$6:$B$38,2,FALSE)</f>
        <v>-8.5361594338821137E-2</v>
      </c>
      <c r="J477">
        <f>($B$1+Table4[[#This Row],[Home Differential]])-Table4[[#This Row],[Away Differential]]</f>
        <v>-5.9682451990713689E-2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0.44829751569523196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0.30437563118805278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-0.39984103039900787</v>
      </c>
      <c r="H478" t="s">
        <v>15</v>
      </c>
      <c r="I478">
        <f>VLOOKUP(Table4[[#This Row],[Visitor]],'NHL Model'!$A$6:$B$38,2,FALSE)</f>
        <v>-6.2506340836952119E-3</v>
      </c>
      <c r="J478">
        <f>($B$1+Table4[[#This Row],[Home Differential]])-Table4[[#This Row],[Away Differential]]</f>
        <v>-0.31937274241048214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0.5537337794595345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0.30662109851454039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-0.2855111111085496</v>
      </c>
      <c r="H479" t="s">
        <v>13</v>
      </c>
      <c r="I479">
        <f>VLOOKUP(Table4[[#This Row],[Visitor]],'NHL Model'!$A$6:$B$38,2,FALSE)</f>
        <v>1.584470710005189E-2</v>
      </c>
      <c r="J479">
        <f>($B$1+Table4[[#This Row],[Home Differential]])-Table4[[#This Row],[Away Differential]]</f>
        <v>-0.22713816430377096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0.26717353213515038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0.3142836898216293</v>
      </c>
      <c r="H480" t="s">
        <v>11</v>
      </c>
      <c r="I480">
        <f>VLOOKUP(Table4[[#This Row],[Visitor]],'NHL Model'!$A$6:$B$38,2,FALSE)</f>
        <v>0.19285186127150866</v>
      </c>
      <c r="J480">
        <f>($B$1+Table4[[#This Row],[Home Differential]])-Table4[[#This Row],[Away Differential]]</f>
        <v>0.19564948245495117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0.5242073640727446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0.274793360548095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-0.19727709229606127</v>
      </c>
      <c r="H481" t="s">
        <v>36</v>
      </c>
      <c r="I481">
        <f>VLOOKUP(Table4[[#This Row],[Visitor]],'NHL Model'!$A$6:$B$38,2,FALSE)</f>
        <v>9.4361646617848058E-2</v>
      </c>
      <c r="J481">
        <f>($B$1+Table4[[#This Row],[Home Differential]])-Table4[[#This Row],[Away Differential]]</f>
        <v>-0.21742108500907881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0.24579862061620919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1.8591692540144091</v>
      </c>
      <c r="H482" t="s">
        <v>11</v>
      </c>
      <c r="I482">
        <f>VLOOKUP(Table4[[#This Row],[Visitor]],'NHL Model'!$A$6:$B$38,2,FALSE)</f>
        <v>0.19285186127150866</v>
      </c>
      <c r="J482">
        <f>($B$1+Table4[[#This Row],[Home Differential]])-Table4[[#This Row],[Away Differential]]</f>
        <v>1.740535046647731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0.81426102581136117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3.4498966532647841E-2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7.1049614431123245E-2</v>
      </c>
      <c r="H483" t="s">
        <v>26</v>
      </c>
      <c r="I483">
        <f>VLOOKUP(Table4[[#This Row],[Visitor]],'NHL Model'!$A$6:$B$38,2,FALSE)</f>
        <v>-8.5361594338821137E-2</v>
      </c>
      <c r="J483">
        <f>($B$1+Table4[[#This Row],[Home Differential]])-Table4[[#This Row],[Away Differential]]</f>
        <v>0.23062886267477489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0.56541501544038042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0.18886410880468479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0.59379638322319717</v>
      </c>
      <c r="H484" t="s">
        <v>39</v>
      </c>
      <c r="I484">
        <f>VLOOKUP(Table4[[#This Row],[Visitor]],'NHL Model'!$A$6:$B$38,2,FALSE)</f>
        <v>0.76796514781800074</v>
      </c>
      <c r="J484">
        <f>($B$1+Table4[[#This Row],[Home Differential]])-Table4[[#This Row],[Away Differential]]</f>
        <v>-9.9951110689973088E-2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0.2729102579996589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-6.1952588060713437E-2</v>
      </c>
      <c r="H485" t="s">
        <v>37</v>
      </c>
      <c r="I485">
        <f>VLOOKUP(Table4[[#This Row],[Visitor]],'NHL Model'!$A$6:$B$38,2,FALSE)</f>
        <v>0.79636680320115127</v>
      </c>
      <c r="J485">
        <f>($B$1+Table4[[#This Row],[Home Differential]])-Table4[[#This Row],[Away Differential]]</f>
        <v>-0.78410173735703415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0.63078777659234908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0.13631766591362113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-0.3202921716073342</v>
      </c>
      <c r="H486" t="s">
        <v>35</v>
      </c>
      <c r="I486">
        <f>VLOOKUP(Table4[[#This Row],[Visitor]],'NHL Model'!$A$6:$B$38,2,FALSE)</f>
        <v>-0.96065798985911643</v>
      </c>
      <c r="J486">
        <f>($B$1+Table4[[#This Row],[Home Differential]])-Table4[[#This Row],[Away Differential]]</f>
        <v>0.71458347215661278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0.14663431497184123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0.16690670582810133</v>
      </c>
      <c r="H487" t="s">
        <v>31</v>
      </c>
      <c r="I487">
        <f>VLOOKUP(Table4[[#This Row],[Visitor]],'NHL Model'!$A$6:$B$38,2,FALSE)</f>
        <v>-6.6593655044643821E-4</v>
      </c>
      <c r="J487">
        <f>($B$1+Table4[[#This Row],[Home Differential]])-Table4[[#This Row],[Away Differential]]</f>
        <v>0.24179029628337828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0.56857377047357738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0.18612859152338548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0.17784181108472058</v>
      </c>
      <c r="H488" t="s">
        <v>20</v>
      </c>
      <c r="I488">
        <f>VLOOKUP(Table4[[#This Row],[Visitor]],'NHL Model'!$A$6:$B$38,2,FALSE)</f>
        <v>0.14556378660539449</v>
      </c>
      <c r="J488">
        <f>($B$1+Table4[[#This Row],[Home Differential]])-Table4[[#This Row],[Away Differential]]</f>
        <v>0.10649567838415663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0.53529561470112097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0.28654139511825094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3.9336367625328564E-2</v>
      </c>
      <c r="H489" t="s">
        <v>18</v>
      </c>
      <c r="I489">
        <f>VLOOKUP(Table4[[#This Row],[Visitor]],'NHL Model'!$A$6:$B$38,2,FALSE)</f>
        <v>0.10902894471156278</v>
      </c>
      <c r="J489">
        <f>($B$1+Table4[[#This Row],[Home Differential]])-Table4[[#This Row],[Away Differential]]</f>
        <v>4.5250768185963047E-3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0.22483933468114708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-7.3686276472912369E-4</v>
      </c>
      <c r="H490" t="s">
        <v>33</v>
      </c>
      <c r="I490">
        <f>VLOOKUP(Table4[[#This Row],[Visitor]],'NHL Model'!$A$6:$B$38,2,FALSE)</f>
        <v>-0.17930549805059143</v>
      </c>
      <c r="J490">
        <f>($B$1+Table4[[#This Row],[Home Differential]])-Table4[[#This Row],[Away Differential]]</f>
        <v>0.25278628919069285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0.57913148394958758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0.33539327570165139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-0.48278309788469043</v>
      </c>
      <c r="H491" t="s">
        <v>23</v>
      </c>
      <c r="I491">
        <f>VLOOKUP(Table4[[#This Row],[Visitor]],'NHL Model'!$A$6:$B$38,2,FALSE)</f>
        <v>0.18511137883580026</v>
      </c>
      <c r="J491">
        <f>($B$1+Table4[[#This Row],[Home Differential]])-Table4[[#This Row],[Away Differential]]</f>
        <v>-0.59367682281566014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0.52403101093452187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0.22654647855201324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-0.10659687498124908</v>
      </c>
      <c r="H492" t="s">
        <v>21</v>
      </c>
      <c r="I492">
        <f>VLOOKUP(Table4[[#This Row],[Visitor]],'NHL Model'!$A$6:$B$38,2,FALSE)</f>
        <v>3.9572996236628868E-2</v>
      </c>
      <c r="J492">
        <f>($B$1+Table4[[#This Row],[Home Differential]])-Table4[[#This Row],[Away Differential]]</f>
        <v>-7.195221731304742E-2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0.46776040606012576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0.2832789853572823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0.45610704431993199</v>
      </c>
      <c r="H493" t="s">
        <v>25</v>
      </c>
      <c r="I493">
        <f>VLOOKUP(Table4[[#This Row],[Visitor]],'NHL Model'!$A$6:$B$38,2,FALSE)</f>
        <v>0.45392063308446812</v>
      </c>
      <c r="J493">
        <f>($B$1+Table4[[#This Row],[Home Differential]])-Table4[[#This Row],[Away Differential]]</f>
        <v>7.6404065140294353E-2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0.2549973128442195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-0.96065798985911643</v>
      </c>
      <c r="H494" t="s">
        <v>10</v>
      </c>
      <c r="I494">
        <f>VLOOKUP(Table4[[#This Row],[Visitor]],'NHL Model'!$A$6:$B$38,2,FALSE)</f>
        <v>-0.39984103039900787</v>
      </c>
      <c r="J494">
        <f>($B$1+Table4[[#This Row],[Home Differential]])-Table4[[#This Row],[Away Differential]]</f>
        <v>-0.48659930555527808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0.26263797027706393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0.3142836898216293</v>
      </c>
      <c r="H495" t="s">
        <v>32</v>
      </c>
      <c r="I495">
        <f>VLOOKUP(Table4[[#This Row],[Visitor]],'NHL Model'!$A$6:$B$38,2,FALSE)</f>
        <v>-0.2855111111085496</v>
      </c>
      <c r="J495">
        <f>($B$1+Table4[[#This Row],[Home Differential]])-Table4[[#This Row],[Away Differential]]</f>
        <v>0.67401245483500949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0.15000469039832479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-0.19727709229606127</v>
      </c>
      <c r="H496" t="s">
        <v>20</v>
      </c>
      <c r="I496">
        <f>VLOOKUP(Table4[[#This Row],[Visitor]],'NHL Model'!$A$6:$B$38,2,FALSE)</f>
        <v>0.14556378660539449</v>
      </c>
      <c r="J496">
        <f>($B$1+Table4[[#This Row],[Home Differential]])-Table4[[#This Row],[Away Differential]]</f>
        <v>-0.26862322499662522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0.50974158743872156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0.2403533110871047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-0.39984103039900787</v>
      </c>
      <c r="H497" t="s">
        <v>26</v>
      </c>
      <c r="I497">
        <f>VLOOKUP(Table4[[#This Row],[Visitor]],'NHL Model'!$A$6:$B$38,2,FALSE)</f>
        <v>-8.5361594338821137E-2</v>
      </c>
      <c r="J497">
        <f>($B$1+Table4[[#This Row],[Home Differential]])-Table4[[#This Row],[Away Differential]]</f>
        <v>-0.24026178215535621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0.50668266415437435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0.2433619938458258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1.8591692540144091</v>
      </c>
      <c r="H498" t="s">
        <v>29</v>
      </c>
      <c r="I498">
        <f>VLOOKUP(Table4[[#This Row],[Visitor]],'NHL Model'!$A$6:$B$38,2,FALSE)</f>
        <v>-0.3202921716073342</v>
      </c>
      <c r="J498">
        <f>($B$1+Table4[[#This Row],[Home Differential]])-Table4[[#This Row],[Away Differential]]</f>
        <v>2.2536790795265738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9.3081575024449408E-3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0.76796514781800074</v>
      </c>
      <c r="H499" t="s">
        <v>11</v>
      </c>
      <c r="I499">
        <f>VLOOKUP(Table4[[#This Row],[Visitor]],'NHL Model'!$A$6:$B$38,2,FALSE)</f>
        <v>0.19285186127150866</v>
      </c>
      <c r="J499">
        <f>($B$1+Table4[[#This Row],[Home Differential]])-Table4[[#This Row],[Away Differential]]</f>
        <v>0.64933094045132256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0.59944535023642609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0.35933472792007154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1.584470710005189E-2</v>
      </c>
      <c r="H500" t="s">
        <v>16</v>
      </c>
      <c r="I500">
        <f>VLOOKUP(Table4[[#This Row],[Visitor]],'NHL Model'!$A$6:$B$38,2,FALSE)</f>
        <v>-0.21926170023436534</v>
      </c>
      <c r="J500">
        <f>($B$1+Table4[[#This Row],[Home Differential]])-Table4[[#This Row],[Away Differential]]</f>
        <v>0.30932406123924772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0.32874414951525871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0.59379638322319717</v>
      </c>
      <c r="H501" t="s">
        <v>36</v>
      </c>
      <c r="I501">
        <f>VLOOKUP(Table4[[#This Row],[Visitor]],'NHL Model'!$A$6:$B$38,2,FALSE)</f>
        <v>9.4361646617848058E-2</v>
      </c>
      <c r="J501">
        <f>($B$1+Table4[[#This Row],[Home Differential]])-Table4[[#This Row],[Away Differential]]</f>
        <v>0.57365239051017958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0.60353794254899518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0.15718216299828386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-6.1952588060713437E-2</v>
      </c>
      <c r="H502" t="s">
        <v>31</v>
      </c>
      <c r="I502">
        <f>VLOOKUP(Table4[[#This Row],[Visitor]],'NHL Model'!$A$6:$B$38,2,FALSE)</f>
        <v>-6.6593655044643821E-4</v>
      </c>
      <c r="J502">
        <f>($B$1+Table4[[#This Row],[Home Differential]])-Table4[[#This Row],[Away Differential]]</f>
        <v>1.2931002394563525E-2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0.54139467320249046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0.21031884576705051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0.16690670582810133</v>
      </c>
      <c r="H503" t="s">
        <v>37</v>
      </c>
      <c r="I503">
        <f>VLOOKUP(Table4[[#This Row],[Visitor]],'NHL Model'!$A$6:$B$38,2,FALSE)</f>
        <v>0.79636680320115127</v>
      </c>
      <c r="J503">
        <f>($B$1+Table4[[#This Row],[Home Differential]])-Table4[[#This Row],[Away Differential]]</f>
        <v>-0.55524244346821949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0.36434733411775927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-6.2506340836952119E-3</v>
      </c>
      <c r="H504" t="s">
        <v>18</v>
      </c>
      <c r="I504">
        <f>VLOOKUP(Table4[[#This Row],[Visitor]],'NHL Model'!$A$6:$B$38,2,FALSE)</f>
        <v>0.10902894471156278</v>
      </c>
      <c r="J504">
        <f>($B$1+Table4[[#This Row],[Home Differential]])-Table4[[#This Row],[Away Differential]]</f>
        <v>-4.1061924890427468E-2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0.28168974889591669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0.17784181108472058</v>
      </c>
      <c r="H505" t="s">
        <v>25</v>
      </c>
      <c r="I505">
        <f>VLOOKUP(Table4[[#This Row],[Visitor]],'NHL Model'!$A$6:$B$38,2,FALSE)</f>
        <v>0.45392063308446812</v>
      </c>
      <c r="J505">
        <f>($B$1+Table4[[#This Row],[Home Differential]])-Table4[[#This Row],[Away Differential]]</f>
        <v>-0.201861168094917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0.21660437547588191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3.9336367625328564E-2</v>
      </c>
      <c r="H506" t="s">
        <v>33</v>
      </c>
      <c r="I506">
        <f>VLOOKUP(Table4[[#This Row],[Visitor]],'NHL Model'!$A$6:$B$38,2,FALSE)</f>
        <v>-0.17930549805059143</v>
      </c>
      <c r="J506">
        <f>($B$1+Table4[[#This Row],[Home Differential]])-Table4[[#This Row],[Away Differential]]</f>
        <v>0.29285951958075052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0.56429664248178379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0.3184307007162141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-7.3686276472912369E-4</v>
      </c>
      <c r="H507" t="s">
        <v>17</v>
      </c>
      <c r="I507">
        <f>VLOOKUP(Table4[[#This Row],[Visitor]],'NHL Model'!$A$6:$B$38,2,FALSE)</f>
        <v>7.1049614431123245E-2</v>
      </c>
      <c r="J507">
        <f>($B$1+Table4[[#This Row],[Home Differential]])-Table4[[#This Row],[Away Differential]]</f>
        <v>2.4311767089781611E-3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0.55936764586242449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0.31289216323767072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-0.10659687498124908</v>
      </c>
      <c r="H508" t="s">
        <v>22</v>
      </c>
      <c r="I508">
        <f>VLOOKUP(Table4[[#This Row],[Visitor]],'NHL Model'!$A$6:$B$38,2,FALSE)</f>
        <v>0.45610704431993199</v>
      </c>
      <c r="J508">
        <f>($B$1+Table4[[#This Row],[Home Differential]])-Table4[[#This Row],[Away Differential]]</f>
        <v>-0.48848626539635054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0.51268568385845437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0.26284661043341101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0.45392063308446812</v>
      </c>
      <c r="H509" t="s">
        <v>27</v>
      </c>
      <c r="I509">
        <f>VLOOKUP(Table4[[#This Row],[Visitor]],'NHL Model'!$A$6:$B$38,2,FALSE)</f>
        <v>0.17784181108472058</v>
      </c>
      <c r="J509">
        <f>($B$1+Table4[[#This Row],[Home Differential]])-Table4[[#This Row],[Away Differential]]</f>
        <v>0.35029647590457808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0.15658245792256029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0.59379638322319717</v>
      </c>
      <c r="H510" t="s">
        <v>21</v>
      </c>
      <c r="I510">
        <f>VLOOKUP(Table4[[#This Row],[Visitor]],'NHL Model'!$A$6:$B$38,2,FALSE)</f>
        <v>3.9572996236628868E-2</v>
      </c>
      <c r="J510">
        <f>($B$1+Table4[[#This Row],[Home Differential]])-Table4[[#This Row],[Away Differential]]</f>
        <v>0.62844104089139874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0.63006424253591142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0.13685246465052897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0.10902894471156278</v>
      </c>
      <c r="H511" t="s">
        <v>17</v>
      </c>
      <c r="I511">
        <f>VLOOKUP(Table4[[#This Row],[Visitor]],'NHL Model'!$A$6:$B$38,2,FALSE)</f>
        <v>7.1049614431123245E-2</v>
      </c>
      <c r="J511">
        <f>($B$1+Table4[[#This Row],[Home Differential]])-Table4[[#This Row],[Away Differential]]</f>
        <v>0.11219698418527006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0.55210100520198024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0.20061350954107654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-6.1952588060713437E-2</v>
      </c>
      <c r="H512" t="s">
        <v>38</v>
      </c>
      <c r="I512">
        <f>VLOOKUP(Table4[[#This Row],[Visitor]],'NHL Model'!$A$6:$B$38,2,FALSE)</f>
        <v>-0.48278309788469043</v>
      </c>
      <c r="J512">
        <f>($B$1+Table4[[#This Row],[Home Differential]])-Table4[[#This Row],[Away Differential]]</f>
        <v>0.4950481637288075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0.55088085455819047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0.30346971591876221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3.9336367625328564E-2</v>
      </c>
      <c r="H513" t="s">
        <v>55</v>
      </c>
      <c r="I513">
        <f>VLOOKUP(Table4[[#This Row],[Visitor]],'NHL Model'!$A$6:$B$38,2,FALSE)</f>
        <v>0.3142836898216293</v>
      </c>
      <c r="J513">
        <f>($B$1+Table4[[#This Row],[Home Differential]])-Table4[[#This Row],[Away Differential]]</f>
        <v>-0.20072966829147021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0.48164969743015384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0.26868703617425105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-0.2855111111085496</v>
      </c>
      <c r="H514" t="s">
        <v>23</v>
      </c>
      <c r="I514">
        <f>VLOOKUP(Table4[[#This Row],[Visitor]],'NHL Model'!$A$6:$B$38,2,FALSE)</f>
        <v>0.18511137883580026</v>
      </c>
      <c r="J514">
        <f>($B$1+Table4[[#This Row],[Home Differential]])-Table4[[#This Row],[Away Differential]]</f>
        <v>-0.39640483603951931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0.50275424172795291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0.24725334411954308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0.76796514781800074</v>
      </c>
      <c r="H515" t="s">
        <v>13</v>
      </c>
      <c r="I515">
        <f>VLOOKUP(Table4[[#This Row],[Visitor]],'NHL Model'!$A$6:$B$38,2,FALSE)</f>
        <v>1.584470710005189E-2</v>
      </c>
      <c r="J515">
        <f>($B$1+Table4[[#This Row],[Home Differential]])-Table4[[#This Row],[Away Differential]]</f>
        <v>0.8263380946227793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0.14211166124585498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-6.2506340836952119E-3</v>
      </c>
      <c r="H516" t="s">
        <v>31</v>
      </c>
      <c r="I516">
        <f>VLOOKUP(Table4[[#This Row],[Visitor]],'NHL Model'!$A$6:$B$38,2,FALSE)</f>
        <v>-6.6593655044643821E-4</v>
      </c>
      <c r="J516">
        <f>($B$1+Table4[[#This Row],[Home Differential]])-Table4[[#This Row],[Away Differential]]</f>
        <v>6.863295637158176E-2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0.54740240718688438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0.29964939539399554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-0.96065798985911643</v>
      </c>
      <c r="H517" t="s">
        <v>29</v>
      </c>
      <c r="I517">
        <f>VLOOKUP(Table4[[#This Row],[Visitor]],'NHL Model'!$A$6:$B$38,2,FALSE)</f>
        <v>-0.3202921716073342</v>
      </c>
      <c r="J517">
        <f>($B$1+Table4[[#This Row],[Home Differential]])-Table4[[#This Row],[Away Differential]]</f>
        <v>-0.5661481643469517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0.22938169634718847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0.79636680320115127</v>
      </c>
      <c r="H518" t="s">
        <v>11</v>
      </c>
      <c r="I518">
        <f>VLOOKUP(Table4[[#This Row],[Visitor]],'NHL Model'!$A$6:$B$38,2,FALSE)</f>
        <v>0.19285186127150866</v>
      </c>
      <c r="J518">
        <f>($B$1+Table4[[#This Row],[Home Differential]])-Table4[[#This Row],[Away Differential]]</f>
        <v>0.67773259583447309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0.33731604097508139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-0.10659687498124908</v>
      </c>
      <c r="H519" t="s">
        <v>36</v>
      </c>
      <c r="I519">
        <f>VLOOKUP(Table4[[#This Row],[Visitor]],'NHL Model'!$A$6:$B$38,2,FALSE)</f>
        <v>9.4361646617848058E-2</v>
      </c>
      <c r="J519">
        <f>($B$1+Table4[[#This Row],[Home Differential]])-Table4[[#This Row],[Away Differential]]</f>
        <v>-0.12674086769426662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0.49443886645871804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0.25559205974754595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3.9572996236628868E-2</v>
      </c>
      <c r="H520" t="s">
        <v>55</v>
      </c>
      <c r="I520">
        <f>VLOOKUP(Table4[[#This Row],[Visitor]],'NHL Model'!$A$6:$B$38,2,FALSE)</f>
        <v>0.3142836898216293</v>
      </c>
      <c r="J520">
        <f>($B$1+Table4[[#This Row],[Home Differential]])-Table4[[#This Row],[Away Differential]]</f>
        <v>-0.2004930396801699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0.46760755535377929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0.21865682582393775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-0.19727709229606127</v>
      </c>
      <c r="H521" t="s">
        <v>31</v>
      </c>
      <c r="I521">
        <f>VLOOKUP(Table4[[#This Row],[Visitor]],'NHL Model'!$A$6:$B$38,2,FALSE)</f>
        <v>-6.6593655044643821E-4</v>
      </c>
      <c r="J521">
        <f>($B$1+Table4[[#This Row],[Home Differential]])-Table4[[#This Row],[Away Differential]]</f>
        <v>-0.12239350184078431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0.47320075056579247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0.22391895033602935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-8.5361594338821137E-2</v>
      </c>
      <c r="H522" t="s">
        <v>30</v>
      </c>
      <c r="I522">
        <f>VLOOKUP(Table4[[#This Row],[Visitor]],'NHL Model'!$A$6:$B$38,2,FALSE)</f>
        <v>0.16690670582810133</v>
      </c>
      <c r="J522">
        <f>($B$1+Table4[[#This Row],[Home Differential]])-Table4[[#This Row],[Away Differential]]</f>
        <v>-0.17805064626209194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0.22266936475635116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0.59379638322319717</v>
      </c>
      <c r="H523" t="s">
        <v>22</v>
      </c>
      <c r="I523">
        <f>VLOOKUP(Table4[[#This Row],[Visitor]],'NHL Model'!$A$6:$B$38,2,FALSE)</f>
        <v>0.45610704431993199</v>
      </c>
      <c r="J523">
        <f>($B$1+Table4[[#This Row],[Home Differential]])-Table4[[#This Row],[Away Differential]]</f>
        <v>0.21190699280809566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0.58513896473758276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0.17210967857900461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0.10902894471156278</v>
      </c>
      <c r="H524" t="s">
        <v>27</v>
      </c>
      <c r="I524">
        <f>VLOOKUP(Table4[[#This Row],[Visitor]],'NHL Model'!$A$6:$B$38,2,FALSE)</f>
        <v>0.17784181108472058</v>
      </c>
      <c r="J524">
        <f>($B$1+Table4[[#This Row],[Home Differential]])-Table4[[#This Row],[Away Differential]]</f>
        <v>5.4047875316727279E-3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0.28440165178664184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-6.2506340836952119E-3</v>
      </c>
      <c r="H525" t="s">
        <v>38</v>
      </c>
      <c r="I525">
        <f>VLOOKUP(Table4[[#This Row],[Visitor]],'NHL Model'!$A$6:$B$38,2,FALSE)</f>
        <v>-0.48278309788469043</v>
      </c>
      <c r="J525">
        <f>($B$1+Table4[[#This Row],[Home Differential]])-Table4[[#This Row],[Away Differential]]</f>
        <v>0.55075011770582571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0.55688858854258438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0.31012490004895182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3.9336367625328564E-2</v>
      </c>
      <c r="H526" t="s">
        <v>17</v>
      </c>
      <c r="I526">
        <f>VLOOKUP(Table4[[#This Row],[Visitor]],'NHL Model'!$A$6:$B$38,2,FALSE)</f>
        <v>7.1049614431123245E-2</v>
      </c>
      <c r="J526">
        <f>($B$1+Table4[[#This Row],[Home Differential]])-Table4[[#This Row],[Away Differential]]</f>
        <v>4.2504407099035843E-2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0.5445843126278973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0.29657207356039939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-0.2855111111085496</v>
      </c>
      <c r="H527" t="s">
        <v>12</v>
      </c>
      <c r="I527">
        <f>VLOOKUP(Table4[[#This Row],[Visitor]],'NHL Model'!$A$6:$B$38,2,FALSE)</f>
        <v>1.8591692540144091</v>
      </c>
      <c r="J527">
        <f>($B$1+Table4[[#This Row],[Home Differential]])-Table4[[#This Row],[Away Differential]]</f>
        <v>-2.070462711218128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5.3117235207890981E-2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-0.17930549805059143</v>
      </c>
      <c r="H528" t="s">
        <v>16</v>
      </c>
      <c r="I528">
        <f>VLOOKUP(Table4[[#This Row],[Visitor]],'NHL Model'!$A$6:$B$38,2,FALSE)</f>
        <v>-0.21926170023436534</v>
      </c>
      <c r="J528">
        <f>($B$1+Table4[[#This Row],[Home Differential]])-Table4[[#This Row],[Away Differential]]</f>
        <v>0.11417385608860443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0.20042255697686223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-7.3686276472912369E-4</v>
      </c>
      <c r="H529" t="s">
        <v>10</v>
      </c>
      <c r="I529">
        <f>VLOOKUP(Table4[[#This Row],[Visitor]],'NHL Model'!$A$6:$B$38,2,FALSE)</f>
        <v>-0.39984103039900787</v>
      </c>
      <c r="J529">
        <f>($B$1+Table4[[#This Row],[Home Differential]])-Table4[[#This Row],[Away Differential]]</f>
        <v>0.47332182153910929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0.61015555414740807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0.15197869196211447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-8.5361594338821137E-2</v>
      </c>
      <c r="H530" t="s">
        <v>55</v>
      </c>
      <c r="I530">
        <f>VLOOKUP(Table4[[#This Row],[Visitor]],'NHL Model'!$A$6:$B$38,2,FALSE)</f>
        <v>0.3142836898216293</v>
      </c>
      <c r="J530">
        <f>($B$1+Table4[[#This Row],[Home Differential]])-Table4[[#This Row],[Away Differential]]</f>
        <v>-0.32542763025561994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0.45466781808561807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0.29738718863150054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0.19285186127150866</v>
      </c>
      <c r="H531" t="s">
        <v>13</v>
      </c>
      <c r="I531">
        <f>VLOOKUP(Table4[[#This Row],[Visitor]],'NHL Model'!$A$6:$B$38,2,FALSE)</f>
        <v>1.584470710005189E-2</v>
      </c>
      <c r="J531">
        <f>($B$1+Table4[[#This Row],[Home Differential]])-Table4[[#This Row],[Away Differential]]</f>
        <v>0.25122480807628733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0.53547573876247623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0.21578278927826722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-0.3202921716073342</v>
      </c>
      <c r="H532" t="s">
        <v>25</v>
      </c>
      <c r="I532">
        <f>VLOOKUP(Table4[[#This Row],[Visitor]],'NHL Model'!$A$6:$B$38,2,FALSE)</f>
        <v>0.45392063308446812</v>
      </c>
      <c r="J532">
        <f>($B$1+Table4[[#This Row],[Home Differential]])-Table4[[#This Row],[Away Differential]]</f>
        <v>-0.69999515078697172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0.59290154848651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0.16572914922468138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-0.96065798985911643</v>
      </c>
      <c r="H533" t="s">
        <v>40</v>
      </c>
      <c r="I533">
        <f>VLOOKUP(Table4[[#This Row],[Visitor]],'NHL Model'!$A$6:$B$38,2,FALSE)</f>
        <v>-0.10659687498124908</v>
      </c>
      <c r="J533">
        <f>($B$1+Table4[[#This Row],[Home Differential]])-Table4[[#This Row],[Away Differential]]</f>
        <v>-0.77984346097303692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0.29605570604881365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0.14556378660539449</v>
      </c>
      <c r="H534" t="s">
        <v>24</v>
      </c>
      <c r="I534">
        <f>VLOOKUP(Table4[[#This Row],[Visitor]],'NHL Model'!$A$6:$B$38,2,FALSE)</f>
        <v>-6.1952588060713437E-2</v>
      </c>
      <c r="J534">
        <f>($B$1+Table4[[#This Row],[Home Differential]])-Table4[[#This Row],[Away Differential]]</f>
        <v>0.28173402857093843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0.53799609108297353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0.28943979402055914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3.9572996236628868E-2</v>
      </c>
      <c r="H535" t="s">
        <v>17</v>
      </c>
      <c r="I535">
        <f>VLOOKUP(Table4[[#This Row],[Visitor]],'NHL Model'!$A$6:$B$38,2,FALSE)</f>
        <v>7.1049614431123245E-2</v>
      </c>
      <c r="J535">
        <f>($B$1+Table4[[#This Row],[Home Differential]])-Table4[[#This Row],[Away Differential]]</f>
        <v>4.2741035710336148E-2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0.55862645470427186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0.31206351589546388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0.18511137883580026</v>
      </c>
      <c r="H536" t="s">
        <v>27</v>
      </c>
      <c r="I536">
        <f>VLOOKUP(Table4[[#This Row],[Visitor]],'NHL Model'!$A$6:$B$38,2,FALSE)</f>
        <v>0.17784181108472058</v>
      </c>
      <c r="J536">
        <f>($B$1+Table4[[#This Row],[Home Differential]])-Table4[[#This Row],[Away Differential]]</f>
        <v>8.1487221655910214E-2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0.17621745196871999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-0.19727709229606127</v>
      </c>
      <c r="H537" t="s">
        <v>34</v>
      </c>
      <c r="I537">
        <f>VLOOKUP(Table4[[#This Row],[Visitor]],'NHL Model'!$A$6:$B$38,2,FALSE)</f>
        <v>0.59379638322319717</v>
      </c>
      <c r="J537">
        <f>($B$1+Table4[[#This Row],[Home Differential]])-Table4[[#This Row],[Away Differential]]</f>
        <v>-0.71685582161442796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0.59472005605936062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0.16425183296052778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-0.21926170023436534</v>
      </c>
      <c r="H538" t="s">
        <v>32</v>
      </c>
      <c r="I538">
        <f>VLOOKUP(Table4[[#This Row],[Visitor]],'NHL Model'!$A$6:$B$38,2,FALSE)</f>
        <v>-0.2855111111085496</v>
      </c>
      <c r="J538">
        <f>($B$1+Table4[[#This Row],[Home Differential]])-Table4[[#This Row],[Away Differential]]</f>
        <v>0.14046706477901477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0.16504542672249647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0.10902894471156278</v>
      </c>
      <c r="H539" t="s">
        <v>10</v>
      </c>
      <c r="I539">
        <f>VLOOKUP(Table4[[#This Row],[Visitor]],'NHL Model'!$A$6:$B$38,2,FALSE)</f>
        <v>-0.39984103039900787</v>
      </c>
      <c r="J539">
        <f>($B$1+Table4[[#This Row],[Home Differential]])-Table4[[#This Row],[Away Differential]]</f>
        <v>0.58308762901540123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0.60288891348696383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0.15769721503156409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9.4361646617848058E-2</v>
      </c>
      <c r="H540" t="s">
        <v>14</v>
      </c>
      <c r="I540">
        <f>VLOOKUP(Table4[[#This Row],[Visitor]],'NHL Model'!$A$6:$B$38,2,FALSE)</f>
        <v>3.9336367625328564E-2</v>
      </c>
      <c r="J540">
        <f>($B$1+Table4[[#This Row],[Home Differential]])-Table4[[#This Row],[Away Differential]]</f>
        <v>0.12924293289735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0.2055264253342457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-0.17930549805059143</v>
      </c>
      <c r="H541" t="s">
        <v>39</v>
      </c>
      <c r="I541">
        <f>VLOOKUP(Table4[[#This Row],[Visitor]],'NHL Model'!$A$6:$B$38,2,FALSE)</f>
        <v>0.76796514781800074</v>
      </c>
      <c r="J541">
        <f>($B$1+Table4[[#This Row],[Home Differential]])-Table4[[#This Row],[Away Differential]]</f>
        <v>-0.87305299196376163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0.13818811996282263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-0.96065798985911643</v>
      </c>
      <c r="H542" t="s">
        <v>15</v>
      </c>
      <c r="I542">
        <f>VLOOKUP(Table4[[#This Row],[Visitor]],'NHL Model'!$A$6:$B$38,2,FALSE)</f>
        <v>-6.2506340836952119E-3</v>
      </c>
      <c r="J542">
        <f>($B$1+Table4[[#This Row],[Home Differential]])-Table4[[#This Row],[Away Differential]]</f>
        <v>-0.88018970187059076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0.61422068998628365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0.14882567603465907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0.79636680320115127</v>
      </c>
      <c r="H543" t="s">
        <v>13</v>
      </c>
      <c r="I543">
        <f>VLOOKUP(Table4[[#This Row],[Visitor]],'NHL Model'!$A$6:$B$38,2,FALSE)</f>
        <v>1.584470710005189E-2</v>
      </c>
      <c r="J543">
        <f>($B$1+Table4[[#This Row],[Home Differential]])-Table4[[#This Row],[Away Differential]]</f>
        <v>0.85473975000592983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0.60438307367086086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0.36527889973983724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0.45610704431993199</v>
      </c>
      <c r="H544" t="s">
        <v>19</v>
      </c>
      <c r="I544">
        <f>VLOOKUP(Table4[[#This Row],[Visitor]],'NHL Model'!$A$6:$B$38,2,FALSE)</f>
        <v>-7.3686276472912369E-4</v>
      </c>
      <c r="J544">
        <f>($B$1+Table4[[#This Row],[Home Differential]])-Table4[[#This Row],[Away Differential]]</f>
        <v>0.53106156098949164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0.15109215023857248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-6.6593655044643821E-4</v>
      </c>
      <c r="H545" t="s">
        <v>39</v>
      </c>
      <c r="I545">
        <f>VLOOKUP(Table4[[#This Row],[Visitor]],'NHL Model'!$A$6:$B$38,2,FALSE)</f>
        <v>0.76796514781800074</v>
      </c>
      <c r="J545">
        <f>($B$1+Table4[[#This Row],[Home Differential]])-Table4[[#This Row],[Away Differential]]</f>
        <v>-0.6944134304636167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0.17413223162652766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1.8591692540144091</v>
      </c>
      <c r="H546" t="s">
        <v>40</v>
      </c>
      <c r="I546">
        <f>VLOOKUP(Table4[[#This Row],[Visitor]],'NHL Model'!$A$6:$B$38,2,FALSE)</f>
        <v>-0.10659687498124908</v>
      </c>
      <c r="J546">
        <f>($B$1+Table4[[#This Row],[Home Differential]])-Table4[[#This Row],[Away Differential]]</f>
        <v>2.0399837829004888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1.4286679401073537E-2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0.19285186127150866</v>
      </c>
      <c r="H547" t="s">
        <v>25</v>
      </c>
      <c r="I547">
        <f>VLOOKUP(Table4[[#This Row],[Visitor]],'NHL Model'!$A$6:$B$38,2,FALSE)</f>
        <v>0.45392063308446812</v>
      </c>
      <c r="J547">
        <f>($B$1+Table4[[#This Row],[Home Differential]])-Table4[[#This Row],[Away Differential]]</f>
        <v>-0.18685111790812892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0.53678687732441355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0.28814015166769502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0.16690670582810133</v>
      </c>
      <c r="H548" t="s">
        <v>38</v>
      </c>
      <c r="I548">
        <f>VLOOKUP(Table4[[#This Row],[Visitor]],'NHL Model'!$A$6:$B$38,2,FALSE)</f>
        <v>-0.48278309788469043</v>
      </c>
      <c r="J548">
        <f>($B$1+Table4[[#This Row],[Home Differential]])-Table4[[#This Row],[Away Differential]]</f>
        <v>0.72390745761762232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0.5780770354390079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0.33417305890195198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0.3142836898216293</v>
      </c>
      <c r="H549" t="s">
        <v>24</v>
      </c>
      <c r="I549">
        <f>VLOOKUP(Table4[[#This Row],[Visitor]],'NHL Model'!$A$6:$B$38,2,FALSE)</f>
        <v>-6.1952588060713437E-2</v>
      </c>
      <c r="J549">
        <f>($B$1+Table4[[#This Row],[Home Differential]])-Table4[[#This Row],[Away Differential]]</f>
        <v>0.4504539317871733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0.55619337545138259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0.30935107089600261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-6.6593655044643821E-4</v>
      </c>
      <c r="H550" t="s">
        <v>28</v>
      </c>
      <c r="I550">
        <f>VLOOKUP(Table4[[#This Row],[Visitor]],'NHL Model'!$A$6:$B$38,2,FALSE)</f>
        <v>-0.19727709229606127</v>
      </c>
      <c r="J550">
        <f>($B$1+Table4[[#This Row],[Home Differential]])-Table4[[#This Row],[Away Differential]]</f>
        <v>0.27082880965044537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0.59524797584101907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0.16382420106079229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3.9572996236628868E-2</v>
      </c>
      <c r="H551" t="s">
        <v>38</v>
      </c>
      <c r="I551">
        <f>VLOOKUP(Table4[[#This Row],[Visitor]],'NHL Model'!$A$6:$B$38,2,FALSE)</f>
        <v>-0.48278309788469043</v>
      </c>
      <c r="J551">
        <f>($B$1+Table4[[#This Row],[Home Differential]])-Table4[[#This Row],[Away Differential]]</f>
        <v>0.59657374802614982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0.57597136576622798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0.33174301418261398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0.18511137883580026</v>
      </c>
      <c r="H552" t="s">
        <v>30</v>
      </c>
      <c r="I552">
        <f>VLOOKUP(Table4[[#This Row],[Visitor]],'NHL Model'!$A$6:$B$38,2,FALSE)</f>
        <v>0.16690670582810133</v>
      </c>
      <c r="J552">
        <f>($B$1+Table4[[#This Row],[Home Differential]])-Table4[[#This Row],[Away Differential]]</f>
        <v>9.2422326912529468E-2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0.19764892669237563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-0.21926170023436534</v>
      </c>
      <c r="H553" t="s">
        <v>20</v>
      </c>
      <c r="I553">
        <f>VLOOKUP(Table4[[#This Row],[Visitor]],'NHL Model'!$A$6:$B$38,2,FALSE)</f>
        <v>0.14556378660539449</v>
      </c>
      <c r="J553">
        <f>($B$1+Table4[[#This Row],[Home Differential]])-Table4[[#This Row],[Away Differential]]</f>
        <v>-0.29060783293492931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0.22392199871116289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0.19285186127150866</v>
      </c>
      <c r="H554" t="s">
        <v>35</v>
      </c>
      <c r="I554">
        <f>VLOOKUP(Table4[[#This Row],[Visitor]],'NHL Model'!$A$6:$B$38,2,FALSE)</f>
        <v>-0.96065798985911643</v>
      </c>
      <c r="J554">
        <f>($B$1+Table4[[#This Row],[Home Differential]])-Table4[[#This Row],[Away Differential]]</f>
        <v>1.2277275050354557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0.67318193530029591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0.45317391801465179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0.59379638322319717</v>
      </c>
      <c r="H555" t="s">
        <v>17</v>
      </c>
      <c r="I555">
        <f>VLOOKUP(Table4[[#This Row],[Visitor]],'NHL Model'!$A$6:$B$38,2,FALSE)</f>
        <v>7.1049614431123245E-2</v>
      </c>
      <c r="J555">
        <f>($B$1+Table4[[#This Row],[Home Differential]])-Table4[[#This Row],[Away Differential]]</f>
        <v>0.59696442269690442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0.62666933202848329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0.13937578764805886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0.10902894471156278</v>
      </c>
      <c r="H556" t="s">
        <v>14</v>
      </c>
      <c r="I556">
        <f>VLOOKUP(Table4[[#This Row],[Visitor]],'NHL Model'!$A$6:$B$38,2,FALSE)</f>
        <v>3.9336367625328564E-2</v>
      </c>
      <c r="J556">
        <f>($B$1+Table4[[#This Row],[Home Differential]])-Table4[[#This Row],[Away Differential]]</f>
        <v>0.14391023099106476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0.54823171766099987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0.20409458092753052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-0.3202921716073342</v>
      </c>
      <c r="H557" t="s">
        <v>19</v>
      </c>
      <c r="I557">
        <f>VLOOKUP(Table4[[#This Row],[Visitor]],'NHL Model'!$A$6:$B$38,2,FALSE)</f>
        <v>-7.3686276472912369E-4</v>
      </c>
      <c r="J557">
        <f>($B$1+Table4[[#This Row],[Home Differential]])-Table4[[#This Row],[Away Differential]]</f>
        <v>-0.24533765493777454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0.48646089162023493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0.23664419907595394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-6.2506340836952119E-3</v>
      </c>
      <c r="H558" t="s">
        <v>27</v>
      </c>
      <c r="I558">
        <f>VLOOKUP(Table4[[#This Row],[Visitor]],'NHL Model'!$A$6:$B$38,2,FALSE)</f>
        <v>0.17784181108472058</v>
      </c>
      <c r="J558">
        <f>($B$1+Table4[[#This Row],[Home Differential]])-Table4[[#This Row],[Away Differential]]</f>
        <v>-0.10987479126358526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0.22957539327738369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9.4361646617848058E-2</v>
      </c>
      <c r="H559" t="s">
        <v>10</v>
      </c>
      <c r="I559">
        <f>VLOOKUP(Table4[[#This Row],[Visitor]],'NHL Model'!$A$6:$B$38,2,FALSE)</f>
        <v>-0.39984103039900787</v>
      </c>
      <c r="J559">
        <f>($B$1+Table4[[#This Row],[Home Differential]])-Table4[[#This Row],[Away Differential]]</f>
        <v>0.56842033092168642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0.60130697212000206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0.15895613048012081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-0.17930549805059143</v>
      </c>
      <c r="H560" t="s">
        <v>32</v>
      </c>
      <c r="I560">
        <f>VLOOKUP(Table4[[#This Row],[Visitor]],'NHL Model'!$A$6:$B$38,2,FALSE)</f>
        <v>-0.2855111111085496</v>
      </c>
      <c r="J560">
        <f>($B$1+Table4[[#This Row],[Home Differential]])-Table4[[#This Row],[Away Differential]]</f>
        <v>0.18042326696278871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0.55945955061028829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0.31299498876906573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0.79636680320115127</v>
      </c>
      <c r="H561" t="s">
        <v>25</v>
      </c>
      <c r="I561">
        <f>VLOOKUP(Table4[[#This Row],[Visitor]],'NHL Model'!$A$6:$B$38,2,FALSE)</f>
        <v>0.45392063308446812</v>
      </c>
      <c r="J561">
        <f>($B$1+Table4[[#This Row],[Home Differential]])-Table4[[#This Row],[Away Differential]]</f>
        <v>0.41666382402151364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0.21891285290888729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0.45610704431993199</v>
      </c>
      <c r="H562" t="s">
        <v>26</v>
      </c>
      <c r="I562">
        <f>VLOOKUP(Table4[[#This Row],[Visitor]],'NHL Model'!$A$6:$B$38,2,FALSE)</f>
        <v>-8.5361594338821137E-2</v>
      </c>
      <c r="J562">
        <f>($B$1+Table4[[#This Row],[Home Differential]])-Table4[[#This Row],[Away Differential]]</f>
        <v>0.61568629256358365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0.59973817552407371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0.35968587918094463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3.9572996236628868E-2</v>
      </c>
      <c r="H563" t="s">
        <v>36</v>
      </c>
      <c r="I563">
        <f>VLOOKUP(Table4[[#This Row],[Visitor]],'NHL Model'!$A$6:$B$38,2,FALSE)</f>
        <v>9.4361646617848058E-2</v>
      </c>
      <c r="J563">
        <f>($B$1+Table4[[#This Row],[Home Differential]])-Table4[[#This Row],[Away Differential]]</f>
        <v>1.9429003523611335E-2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0.2866840517172155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0.76796514781800074</v>
      </c>
      <c r="H564" t="s">
        <v>19</v>
      </c>
      <c r="I564">
        <f>VLOOKUP(Table4[[#This Row],[Visitor]],'NHL Model'!$A$6:$B$38,2,FALSE)</f>
        <v>-7.3686276472912369E-4</v>
      </c>
      <c r="J564">
        <f>($B$1+Table4[[#This Row],[Home Differential]])-Table4[[#This Row],[Away Differential]]</f>
        <v>0.84291966448756039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0.65695083230066831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0.1176827314592042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-8.5361594338821137E-2</v>
      </c>
      <c r="H565" t="s">
        <v>22</v>
      </c>
      <c r="I565">
        <f>VLOOKUP(Table4[[#This Row],[Visitor]],'NHL Model'!$A$6:$B$38,2,FALSE)</f>
        <v>0.45610704431993199</v>
      </c>
      <c r="J565">
        <f>($B$1+Table4[[#This Row],[Home Differential]])-Table4[[#This Row],[Away Differential]]</f>
        <v>-0.46725098475392257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0.22086632608276727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7.1049614431123245E-2</v>
      </c>
      <c r="H566" t="s">
        <v>20</v>
      </c>
      <c r="I566">
        <f>VLOOKUP(Table4[[#This Row],[Visitor]],'NHL Model'!$A$6:$B$38,2,FALSE)</f>
        <v>0.14556378660539449</v>
      </c>
      <c r="J566">
        <f>($B$1+Table4[[#This Row],[Home Differential]])-Table4[[#This Row],[Away Differential]]</f>
        <v>-2.9651826944071535E-4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0.21113238383396513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0.59379638322319717</v>
      </c>
      <c r="H567" t="s">
        <v>12</v>
      </c>
      <c r="I567">
        <f>VLOOKUP(Table4[[#This Row],[Visitor]],'NHL Model'!$A$6:$B$38,2,FALSE)</f>
        <v>1.8591692540144091</v>
      </c>
      <c r="J567">
        <f>($B$1+Table4[[#This Row],[Home Differential]])-Table4[[#This Row],[Away Differential]]</f>
        <v>-1.1911552168863815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0.12090811064498158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-6.1952588060713437E-2</v>
      </c>
      <c r="H568" t="s">
        <v>23</v>
      </c>
      <c r="I568">
        <f>VLOOKUP(Table4[[#This Row],[Visitor]],'NHL Model'!$A$6:$B$38,2,FALSE)</f>
        <v>0.18511137883580026</v>
      </c>
      <c r="J568">
        <f>($B$1+Table4[[#This Row],[Home Differential]])-Table4[[#This Row],[Away Differential]]</f>
        <v>-0.17284631299168318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0.27181381143899858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-0.3202921716073342</v>
      </c>
      <c r="H569" t="s">
        <v>15</v>
      </c>
      <c r="I569">
        <f>VLOOKUP(Table4[[#This Row],[Visitor]],'NHL Model'!$A$6:$B$38,2,FALSE)</f>
        <v>-6.2506340836952119E-3</v>
      </c>
      <c r="J569">
        <f>($B$1+Table4[[#This Row],[Home Differential]])-Table4[[#This Row],[Away Differential]]</f>
        <v>-0.23982388361880844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0.54515403766843551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0.29719292478619802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3.9336367625328564E-2</v>
      </c>
      <c r="H570" t="s">
        <v>18</v>
      </c>
      <c r="I570">
        <f>VLOOKUP(Table4[[#This Row],[Visitor]],'NHL Model'!$A$6:$B$38,2,FALSE)</f>
        <v>0.10902894471156278</v>
      </c>
      <c r="J570">
        <f>($B$1+Table4[[#This Row],[Home Differential]])-Table4[[#This Row],[Away Differential]]</f>
        <v>4.5250768185963047E-3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0.27649480935051157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0.3142836898216293</v>
      </c>
      <c r="H571" t="s">
        <v>40</v>
      </c>
      <c r="I571">
        <f>VLOOKUP(Table4[[#This Row],[Visitor]],'NHL Model'!$A$6:$B$38,2,FALSE)</f>
        <v>-0.10659687498124908</v>
      </c>
      <c r="J571">
        <f>($B$1+Table4[[#This Row],[Home Differential]])-Table4[[#This Row],[Away Differential]]</f>
        <v>0.49509821870770893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0.16532452278809837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-6.6593655044643821E-4</v>
      </c>
      <c r="H572" t="s">
        <v>32</v>
      </c>
      <c r="I572">
        <f>VLOOKUP(Table4[[#This Row],[Visitor]],'NHL Model'!$A$6:$B$38,2,FALSE)</f>
        <v>-0.2855111111085496</v>
      </c>
      <c r="J572">
        <f>($B$1+Table4[[#This Row],[Home Differential]])-Table4[[#This Row],[Away Differential]]</f>
        <v>0.35906282846293369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0.36574004666686466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1.584470710005189E-2</v>
      </c>
      <c r="H573" t="s">
        <v>28</v>
      </c>
      <c r="I573">
        <f>VLOOKUP(Table4[[#This Row],[Visitor]],'NHL Model'!$A$6:$B$38,2,FALSE)</f>
        <v>-0.19727709229606127</v>
      </c>
      <c r="J573">
        <f>($B$1+Table4[[#This Row],[Home Differential]])-Table4[[#This Row],[Away Differential]]</f>
        <v>0.28733945330094368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0.57099099538528753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0.32603071681108142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0.17784181108472058</v>
      </c>
      <c r="H574" t="s">
        <v>38</v>
      </c>
      <c r="I574">
        <f>VLOOKUP(Table4[[#This Row],[Visitor]],'NHL Model'!$A$6:$B$38,2,FALSE)</f>
        <v>-0.48278309788469043</v>
      </c>
      <c r="J574">
        <f>($B$1+Table4[[#This Row],[Home Differential]])-Table4[[#This Row],[Away Differential]]</f>
        <v>0.73484256287424154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0.58133112996174641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0.17528362273910808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0.79636680320115127</v>
      </c>
      <c r="H575" t="s">
        <v>35</v>
      </c>
      <c r="I575">
        <f>VLOOKUP(Table4[[#This Row],[Visitor]],'NHL Model'!$A$6:$B$38,2,FALSE)</f>
        <v>-0.96065798985911643</v>
      </c>
      <c r="J575">
        <f>($B$1+Table4[[#This Row],[Home Differential]])-Table4[[#This Row],[Away Differential]]</f>
        <v>1.8312424469650983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0.7420631009561871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6.6531443888338121E-2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3.9572996236628868E-2</v>
      </c>
      <c r="H576" t="s">
        <v>18</v>
      </c>
      <c r="I576">
        <f>VLOOKUP(Table4[[#This Row],[Visitor]],'NHL Model'!$A$6:$B$38,2,FALSE)</f>
        <v>0.10902894471156278</v>
      </c>
      <c r="J576">
        <f>($B$1+Table4[[#This Row],[Home Differential]])-Table4[[#This Row],[Away Differential]]</f>
        <v>4.7617054298966094E-3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0.23845491033469612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0.45392063308446812</v>
      </c>
      <c r="H577" t="s">
        <v>11</v>
      </c>
      <c r="I577">
        <f>VLOOKUP(Table4[[#This Row],[Visitor]],'NHL Model'!$A$6:$B$38,2,FALSE)</f>
        <v>0.19285186127150866</v>
      </c>
      <c r="J577">
        <f>($B$1+Table4[[#This Row],[Home Differential]])-Table4[[#This Row],[Away Differential]]</f>
        <v>0.33528642571778999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0.32873297288242809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-0.39984103039900787</v>
      </c>
      <c r="H578" t="s">
        <v>27</v>
      </c>
      <c r="I578">
        <f>VLOOKUP(Table4[[#This Row],[Visitor]],'NHL Model'!$A$6:$B$38,2,FALSE)</f>
        <v>0.17784181108472058</v>
      </c>
      <c r="J578">
        <f>($B$1+Table4[[#This Row],[Home Differential]])-Table4[[#This Row],[Away Differential]]</f>
        <v>-0.50346518757889791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0.52159095506622077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0.22887521427445079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1.8591692540144091</v>
      </c>
      <c r="H579" t="s">
        <v>55</v>
      </c>
      <c r="I579">
        <f>VLOOKUP(Table4[[#This Row],[Visitor]],'NHL Model'!$A$6:$B$38,2,FALSE)</f>
        <v>0.3142836898216293</v>
      </c>
      <c r="J579">
        <f>($B$1+Table4[[#This Row],[Home Differential]])-Table4[[#This Row],[Away Differential]]</f>
        <v>1.6191032180976104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2.719892620428906E-2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-8.5361594338821137E-2</v>
      </c>
      <c r="H580" t="s">
        <v>39</v>
      </c>
      <c r="I580">
        <f>VLOOKUP(Table4[[#This Row],[Visitor]],'NHL Model'!$A$6:$B$38,2,FALSE)</f>
        <v>0.76796514781800074</v>
      </c>
      <c r="J580">
        <f>($B$1+Table4[[#This Row],[Home Differential]])-Table4[[#This Row],[Away Differential]]</f>
        <v>-0.77910908825199132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0.57713425532749407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0.33308394867242114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7.1049614431123245E-2</v>
      </c>
      <c r="H581" t="s">
        <v>16</v>
      </c>
      <c r="I581">
        <f>VLOOKUP(Table4[[#This Row],[Visitor]],'NHL Model'!$A$6:$B$38,2,FALSE)</f>
        <v>-0.21926170023436534</v>
      </c>
      <c r="J581">
        <f>($B$1+Table4[[#This Row],[Home Differential]])-Table4[[#This Row],[Away Differential]]</f>
        <v>0.36452896857031913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0.15961343534972303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1.584470710005189E-2</v>
      </c>
      <c r="H582" t="s">
        <v>32</v>
      </c>
      <c r="I582">
        <f>VLOOKUP(Table4[[#This Row],[Visitor]],'NHL Model'!$A$6:$B$38,2,FALSE)</f>
        <v>-0.2855111111085496</v>
      </c>
      <c r="J582">
        <f>($B$1+Table4[[#This Row],[Home Differential]])-Table4[[#This Row],[Away Differential]]</f>
        <v>0.37557347211343201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0.33698892861169566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0.59379638322319717</v>
      </c>
      <c r="H583" t="s">
        <v>29</v>
      </c>
      <c r="I583">
        <f>VLOOKUP(Table4[[#This Row],[Visitor]],'NHL Model'!$A$6:$B$38,2,FALSE)</f>
        <v>-0.3202921716073342</v>
      </c>
      <c r="J583">
        <f>($B$1+Table4[[#This Row],[Home Differential]])-Table4[[#This Row],[Away Differential]]</f>
        <v>0.98830620873536179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0.44739710802954008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0.16690670582810133</v>
      </c>
      <c r="H584" t="s">
        <v>24</v>
      </c>
      <c r="I584">
        <f>VLOOKUP(Table4[[#This Row],[Visitor]],'NHL Model'!$A$6:$B$38,2,FALSE)</f>
        <v>-6.1952588060713437E-2</v>
      </c>
      <c r="J584">
        <f>($B$1+Table4[[#This Row],[Home Differential]])-Table4[[#This Row],[Away Differential]]</f>
        <v>0.30307694779364525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0.20902286044181423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9.4361646617848058E-2</v>
      </c>
      <c r="H585" t="s">
        <v>23</v>
      </c>
      <c r="I585">
        <f>VLOOKUP(Table4[[#This Row],[Visitor]],'NHL Model'!$A$6:$B$38,2,FALSE)</f>
        <v>0.18511137883580026</v>
      </c>
      <c r="J585">
        <f>($B$1+Table4[[#This Row],[Home Differential]])-Table4[[#This Row],[Away Differential]]</f>
        <v>-1.6532078313121673E-2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0.28967746672167988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-7.3686276472912369E-4</v>
      </c>
      <c r="H586" t="s">
        <v>14</v>
      </c>
      <c r="I586">
        <f>VLOOKUP(Table4[[#This Row],[Visitor]],'NHL Model'!$A$6:$B$38,2,FALSE)</f>
        <v>3.9336367625328564E-2</v>
      </c>
      <c r="J586">
        <f>($B$1+Table4[[#This Row],[Home Differential]])-Table4[[#This Row],[Away Differential]]</f>
        <v>3.4144423514772843E-2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0.19753592111952656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0.14556378660539449</v>
      </c>
      <c r="H587" t="s">
        <v>33</v>
      </c>
      <c r="I587">
        <f>VLOOKUP(Table4[[#This Row],[Visitor]],'NHL Model'!$A$6:$B$38,2,FALSE)</f>
        <v>-0.17930549805059143</v>
      </c>
      <c r="J587">
        <f>($B$1+Table4[[#This Row],[Home Differential]])-Table4[[#This Row],[Away Differential]]</f>
        <v>0.39908693856081645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0.17998483799670539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0.45610704431993199</v>
      </c>
      <c r="H588" t="s">
        <v>15</v>
      </c>
      <c r="I588">
        <f>VLOOKUP(Table4[[#This Row],[Visitor]],'NHL Model'!$A$6:$B$38,2,FALSE)</f>
        <v>-6.2506340836952119E-3</v>
      </c>
      <c r="J588">
        <f>($B$1+Table4[[#This Row],[Home Differential]])-Table4[[#This Row],[Away Differential]]</f>
        <v>0.53657533230845766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0.30549684568899921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0.18511137883580026</v>
      </c>
      <c r="H589" t="s">
        <v>21</v>
      </c>
      <c r="I589">
        <f>VLOOKUP(Table4[[#This Row],[Visitor]],'NHL Model'!$A$6:$B$38,2,FALSE)</f>
        <v>3.9572996236628868E-2</v>
      </c>
      <c r="J589">
        <f>($B$1+Table4[[#This Row],[Home Differential]])-Table4[[#This Row],[Away Differential]]</f>
        <v>0.21975603650400194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0.15817015879299762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0.45392063308446812</v>
      </c>
      <c r="H590" t="s">
        <v>26</v>
      </c>
      <c r="I590">
        <f>VLOOKUP(Table4[[#This Row],[Visitor]],'NHL Model'!$A$6:$B$38,2,FALSE)</f>
        <v>-8.5361594338821137E-2</v>
      </c>
      <c r="J590">
        <f>($B$1+Table4[[#This Row],[Home Differential]])-Table4[[#This Row],[Away Differential]]</f>
        <v>0.61349988132811983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0.14488641664358004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-0.21926170023436534</v>
      </c>
      <c r="H591" t="s">
        <v>17</v>
      </c>
      <c r="I591">
        <f>VLOOKUP(Table4[[#This Row],[Visitor]],'NHL Model'!$A$6:$B$38,2,FALSE)</f>
        <v>7.1049614431123245E-2</v>
      </c>
      <c r="J591">
        <f>($B$1+Table4[[#This Row],[Home Differential]])-Table4[[#This Row],[Away Differential]]</f>
        <v>-0.21609366076065806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0.19777115389279437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0.76796514781800074</v>
      </c>
      <c r="H592" t="s">
        <v>10</v>
      </c>
      <c r="I592">
        <f>VLOOKUP(Table4[[#This Row],[Visitor]],'NHL Model'!$A$6:$B$38,2,FALSE)</f>
        <v>-0.39984103039900787</v>
      </c>
      <c r="J592">
        <f>($B$1+Table4[[#This Row],[Home Differential]])-Table4[[#This Row],[Away Differential]]</f>
        <v>1.2420238321218391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0.48999469460948297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0.19285186127150866</v>
      </c>
      <c r="H593" t="s">
        <v>37</v>
      </c>
      <c r="I593">
        <f>VLOOKUP(Table4[[#This Row],[Visitor]],'NHL Model'!$A$6:$B$38,2,FALSE)</f>
        <v>0.79636680320115127</v>
      </c>
      <c r="J593">
        <f>($B$1+Table4[[#This Row],[Home Differential]])-Table4[[#This Row],[Away Differential]]</f>
        <v>-0.52929728802481213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0.15797293969218301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1.584470710005189E-2</v>
      </c>
      <c r="H594" t="s">
        <v>31</v>
      </c>
      <c r="I594">
        <f>VLOOKUP(Table4[[#This Row],[Visitor]],'NHL Model'!$A$6:$B$38,2,FALSE)</f>
        <v>-6.6593655044643821E-4</v>
      </c>
      <c r="J594">
        <f>($B$1+Table4[[#This Row],[Home Differential]])-Table4[[#This Row],[Away Differential]]</f>
        <v>9.0728297555328852E-2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0.20269309591443532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-6.1952588060713437E-2</v>
      </c>
      <c r="H595" t="s">
        <v>22</v>
      </c>
      <c r="I595">
        <f>VLOOKUP(Table4[[#This Row],[Visitor]],'NHL Model'!$A$6:$B$38,2,FALSE)</f>
        <v>0.45610704431993199</v>
      </c>
      <c r="J595">
        <f>($B$1+Table4[[#This Row],[Home Differential]])-Table4[[#This Row],[Away Differential]]</f>
        <v>-0.44384197847581491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0.24219137144053224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0.16690670582810133</v>
      </c>
      <c r="H596" t="s">
        <v>15</v>
      </c>
      <c r="I596">
        <f>VLOOKUP(Table4[[#This Row],[Visitor]],'NHL Model'!$A$6:$B$38,2,FALSE)</f>
        <v>-6.2506340836952119E-3</v>
      </c>
      <c r="J596">
        <f>($B$1+Table4[[#This Row],[Home Differential]])-Table4[[#This Row],[Away Differential]]</f>
        <v>0.24737499381662706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0.24019594638397615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-0.96065798985911643</v>
      </c>
      <c r="H597" t="s">
        <v>29</v>
      </c>
      <c r="I597">
        <f>VLOOKUP(Table4[[#This Row],[Visitor]],'NHL Model'!$A$6:$B$38,2,FALSE)</f>
        <v>-0.3202921716073342</v>
      </c>
      <c r="J597">
        <f>($B$1+Table4[[#This Row],[Home Differential]])-Table4[[#This Row],[Away Differential]]</f>
        <v>-0.5661481643469517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0.27150551155671471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-7.3686276472912369E-4</v>
      </c>
      <c r="H598" t="s">
        <v>36</v>
      </c>
      <c r="I598">
        <f>VLOOKUP(Table4[[#This Row],[Visitor]],'NHL Model'!$A$6:$B$38,2,FALSE)</f>
        <v>9.4361646617848058E-2</v>
      </c>
      <c r="J598">
        <f>($B$1+Table4[[#This Row],[Home Differential]])-Table4[[#This Row],[Away Differential]]</f>
        <v>-2.0880855477746652E-2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0.21510168921066272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-0.48278309788469043</v>
      </c>
      <c r="H599" t="s">
        <v>33</v>
      </c>
      <c r="I599">
        <f>VLOOKUP(Table4[[#This Row],[Visitor]],'NHL Model'!$A$6:$B$38,2,FALSE)</f>
        <v>-0.17930549805059143</v>
      </c>
      <c r="J599">
        <f>($B$1+Table4[[#This Row],[Home Differential]])-Table4[[#This Row],[Away Differential]]</f>
        <v>-0.22925994592926846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0.25804718545677796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0.14556378660539449</v>
      </c>
      <c r="H600" t="s">
        <v>12</v>
      </c>
      <c r="I600">
        <f>VLOOKUP(Table4[[#This Row],[Visitor]],'NHL Model'!$A$6:$B$38,2,FALSE)</f>
        <v>1.8591692540144091</v>
      </c>
      <c r="J600">
        <f>($B$1+Table4[[#This Row],[Home Differential]])-Table4[[#This Row],[Away Differential]]</f>
        <v>-1.6393878135041842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7.6709803818060168E-2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-0.10659687498124908</v>
      </c>
      <c r="H601" t="s">
        <v>34</v>
      </c>
      <c r="I601">
        <f>VLOOKUP(Table4[[#This Row],[Visitor]],'NHL Model'!$A$6:$B$38,2,FALSE)</f>
        <v>0.59379638322319717</v>
      </c>
      <c r="J601">
        <f>($B$1+Table4[[#This Row],[Home Differential]])-Table4[[#This Row],[Away Differential]]</f>
        <v>-0.62617560429961572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0.17227501806400461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-0.19727709229606127</v>
      </c>
      <c r="H602" t="s">
        <v>30</v>
      </c>
      <c r="I602">
        <f>VLOOKUP(Table4[[#This Row],[Visitor]],'NHL Model'!$A$6:$B$38,2,FALSE)</f>
        <v>0.16690670582810133</v>
      </c>
      <c r="J602">
        <f>($B$1+Table4[[#This Row],[Home Differential]])-Table4[[#This Row],[Away Differential]]</f>
        <v>-0.28996614421933209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0.27547561860081027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-0.39984103039900787</v>
      </c>
      <c r="H603" t="s">
        <v>14</v>
      </c>
      <c r="I603">
        <f>VLOOKUP(Table4[[#This Row],[Visitor]],'NHL Model'!$A$6:$B$38,2,FALSE)</f>
        <v>3.9336367625328564E-2</v>
      </c>
      <c r="J603">
        <f>($B$1+Table4[[#This Row],[Home Differential]])-Table4[[#This Row],[Away Differential]]</f>
        <v>-0.36495974411950588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0.50665245111287893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0.24339180399293031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-8.5361594338821137E-2</v>
      </c>
      <c r="H604" t="s">
        <v>19</v>
      </c>
      <c r="I604">
        <f>VLOOKUP(Table4[[#This Row],[Visitor]],'NHL Model'!$A$6:$B$38,2,FALSE)</f>
        <v>-7.3686276472912369E-4</v>
      </c>
      <c r="J604">
        <f>($B$1+Table4[[#This Row],[Home Differential]])-Table4[[#This Row],[Away Differential]]</f>
        <v>-1.0407077669261489E-2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0.17698115127337147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-0.2855111111085496</v>
      </c>
      <c r="H605" t="s">
        <v>27</v>
      </c>
      <c r="I605">
        <f>VLOOKUP(Table4[[#This Row],[Visitor]],'NHL Model'!$A$6:$B$38,2,FALSE)</f>
        <v>0.17784181108472058</v>
      </c>
      <c r="J605">
        <f>($B$1+Table4[[#This Row],[Home Differential]])-Table4[[#This Row],[Away Differential]]</f>
        <v>-0.38913526828843964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0.50925990215849515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0.25934564794648007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0.79636680320115127</v>
      </c>
      <c r="H606" t="s">
        <v>18</v>
      </c>
      <c r="I606">
        <f>VLOOKUP(Table4[[#This Row],[Visitor]],'NHL Model'!$A$6:$B$38,2,FALSE)</f>
        <v>0.10902894471156278</v>
      </c>
      <c r="J606">
        <f>($B$1+Table4[[#This Row],[Home Differential]])-Table4[[#This Row],[Away Differential]]</f>
        <v>0.76155551239441899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0.19324953526886265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-6.6593655044643821E-4</v>
      </c>
      <c r="H607" t="s">
        <v>33</v>
      </c>
      <c r="I607">
        <f>VLOOKUP(Table4[[#This Row],[Visitor]],'NHL Model'!$A$6:$B$38,2,FALSE)</f>
        <v>-0.17930549805059143</v>
      </c>
      <c r="J607">
        <f>($B$1+Table4[[#This Row],[Home Differential]])-Table4[[#This Row],[Away Differential]]</f>
        <v>0.25285721540497552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0.34350786852907644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0.45392063308446812</v>
      </c>
      <c r="H608" t="s">
        <v>15</v>
      </c>
      <c r="I608">
        <f>VLOOKUP(Table4[[#This Row],[Visitor]],'NHL Model'!$A$6:$B$38,2,FALSE)</f>
        <v>-6.2506340836952119E-3</v>
      </c>
      <c r="J608">
        <f>($B$1+Table4[[#This Row],[Home Differential]])-Table4[[#This Row],[Away Differential]]</f>
        <v>0.53438892107299385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0.18276651038406297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-0.21926170023436534</v>
      </c>
      <c r="H609" t="s">
        <v>21</v>
      </c>
      <c r="I609">
        <f>VLOOKUP(Table4[[#This Row],[Visitor]],'NHL Model'!$A$6:$B$38,2,FALSE)</f>
        <v>3.9572996236628868E-2</v>
      </c>
      <c r="J609">
        <f>($B$1+Table4[[#This Row],[Home Differential]])-Table4[[#This Row],[Away Differential]]</f>
        <v>-0.18461704256616368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0.44131977768354491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0.19476314617465351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1.8591692540144091</v>
      </c>
      <c r="H610" t="s">
        <v>13</v>
      </c>
      <c r="I610">
        <f>VLOOKUP(Table4[[#This Row],[Visitor]],'NHL Model'!$A$6:$B$38,2,FALSE)</f>
        <v>1.584470710005189E-2</v>
      </c>
      <c r="J610">
        <f>($B$1+Table4[[#This Row],[Home Differential]])-Table4[[#This Row],[Away Differential]]</f>
        <v>1.9175422008191878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0.83755855452693417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2.6387223207379018E-2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0.19285186127150866</v>
      </c>
      <c r="H611" t="s">
        <v>22</v>
      </c>
      <c r="I611">
        <f>VLOOKUP(Table4[[#This Row],[Visitor]],'NHL Model'!$A$6:$B$38,2,FALSE)</f>
        <v>0.45610704431993199</v>
      </c>
      <c r="J611">
        <f>($B$1+Table4[[#This Row],[Home Differential]])-Table4[[#This Row],[Away Differential]]</f>
        <v>-0.18903752914359279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0.23003846271020154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9.4361646617848058E-2</v>
      </c>
      <c r="H612" t="s">
        <v>28</v>
      </c>
      <c r="I612">
        <f>VLOOKUP(Table4[[#This Row],[Visitor]],'NHL Model'!$A$6:$B$38,2,FALSE)</f>
        <v>-0.19727709229606127</v>
      </c>
      <c r="J612">
        <f>($B$1+Table4[[#This Row],[Home Differential]])-Table4[[#This Row],[Away Differential]]</f>
        <v>0.36585639281873983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0.57945943952795242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0.33577324205804876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-0.2855111111085496</v>
      </c>
      <c r="H613" t="s">
        <v>38</v>
      </c>
      <c r="I613">
        <f>VLOOKUP(Table4[[#This Row],[Visitor]],'NHL Model'!$A$6:$B$38,2,FALSE)</f>
        <v>-0.48278309788469043</v>
      </c>
      <c r="J613">
        <f>($B$1+Table4[[#This Row],[Home Differential]])-Table4[[#This Row],[Away Differential]]</f>
        <v>0.27148964068097137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0.27748552784887676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-0.96065798985911643</v>
      </c>
      <c r="H614" t="s">
        <v>23</v>
      </c>
      <c r="I614">
        <f>VLOOKUP(Table4[[#This Row],[Visitor]],'NHL Model'!$A$6:$B$38,2,FALSE)</f>
        <v>0.18511137883580026</v>
      </c>
      <c r="J614">
        <f>($B$1+Table4[[#This Row],[Home Differential]])-Table4[[#This Row],[Away Differential]]</f>
        <v>-1.0715517147900862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0.57557220516242757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0.18013895303068447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0.3142836898216293</v>
      </c>
      <c r="H615" t="s">
        <v>29</v>
      </c>
      <c r="I615">
        <f>VLOOKUP(Table4[[#This Row],[Visitor]],'NHL Model'!$A$6:$B$38,2,FALSE)</f>
        <v>-0.3202921716073342</v>
      </c>
      <c r="J615">
        <f>($B$1+Table4[[#This Row],[Home Differential]])-Table4[[#This Row],[Away Differential]]</f>
        <v>0.70879351533379409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0.38000680673712256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0.14556378660539449</v>
      </c>
      <c r="H616" t="s">
        <v>34</v>
      </c>
      <c r="I616">
        <f>VLOOKUP(Table4[[#This Row],[Visitor]],'NHL Model'!$A$6:$B$38,2,FALSE)</f>
        <v>0.59379638322319717</v>
      </c>
      <c r="J616">
        <f>($B$1+Table4[[#This Row],[Home Differential]])-Table4[[#This Row],[Away Differential]]</f>
        <v>-0.37401494271297214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0.19559129413802043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-0.10659687498124908</v>
      </c>
      <c r="H617" t="s">
        <v>17</v>
      </c>
      <c r="I617">
        <f>VLOOKUP(Table4[[#This Row],[Visitor]],'NHL Model'!$A$6:$B$38,2,FALSE)</f>
        <v>7.1049614431123245E-2</v>
      </c>
      <c r="J617">
        <f>($B$1+Table4[[#This Row],[Home Differential]])-Table4[[#This Row],[Away Differential]]</f>
        <v>-0.1034288355075418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0.27967669919476407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-0.39984103039900787</v>
      </c>
      <c r="H618" t="s">
        <v>30</v>
      </c>
      <c r="I618">
        <f>VLOOKUP(Table4[[#This Row],[Visitor]],'NHL Model'!$A$6:$B$38,2,FALSE)</f>
        <v>0.16690670582810133</v>
      </c>
      <c r="J618">
        <f>($B$1+Table4[[#This Row],[Home Differential]])-Table4[[#This Row],[Away Differential]]</f>
        <v>-0.49253008232227868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0.54670524531123044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0.20547613462835176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0.19285186127150866</v>
      </c>
      <c r="H619" t="s">
        <v>18</v>
      </c>
      <c r="I619">
        <f>VLOOKUP(Table4[[#This Row],[Visitor]],'NHL Model'!$A$6:$B$38,2,FALSE)</f>
        <v>0.10902894471156278</v>
      </c>
      <c r="J619">
        <f>($B$1+Table4[[#This Row],[Home Differential]])-Table4[[#This Row],[Away Differential]]</f>
        <v>0.15804057046477643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0.49149801972921858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0.24157030339774335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3.9336367625328564E-2</v>
      </c>
      <c r="H620" t="s">
        <v>25</v>
      </c>
      <c r="I620">
        <f>VLOOKUP(Table4[[#This Row],[Visitor]],'NHL Model'!$A$6:$B$38,2,FALSE)</f>
        <v>0.45392063308446812</v>
      </c>
      <c r="J620">
        <f>($B$1+Table4[[#This Row],[Home Differential]])-Table4[[#This Row],[Away Differential]]</f>
        <v>-0.34036661155430903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0.3070421189518614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-7.3686276472912369E-4</v>
      </c>
      <c r="H621" t="s">
        <v>24</v>
      </c>
      <c r="I621">
        <f>VLOOKUP(Table4[[#This Row],[Visitor]],'NHL Model'!$A$6:$B$38,2,FALSE)</f>
        <v>-6.1952588060713437E-2</v>
      </c>
      <c r="J621">
        <f>($B$1+Table4[[#This Row],[Home Differential]])-Table4[[#This Row],[Away Differential]]</f>
        <v>0.13543337920081483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0.21023244082952597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-0.48278309788469043</v>
      </c>
      <c r="H622" t="s">
        <v>27</v>
      </c>
      <c r="I622">
        <f>VLOOKUP(Table4[[#This Row],[Visitor]],'NHL Model'!$A$6:$B$38,2,FALSE)</f>
        <v>0.17784181108472058</v>
      </c>
      <c r="J622">
        <f>($B$1+Table4[[#This Row],[Home Differential]])-Table4[[#This Row],[Away Differential]]</f>
        <v>-0.58640725506458047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0.53053667136506411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0.22039581693299382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-6.6593655044643821E-4</v>
      </c>
      <c r="H623" t="s">
        <v>37</v>
      </c>
      <c r="I623">
        <f>VLOOKUP(Table4[[#This Row],[Visitor]],'NHL Model'!$A$6:$B$38,2,FALSE)</f>
        <v>0.79636680320115127</v>
      </c>
      <c r="J623">
        <f>($B$1+Table4[[#This Row],[Home Differential]])-Table4[[#This Row],[Away Differential]]</f>
        <v>-0.72281508584676724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0.59795921768679638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0.16163679064301278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-0.19727709229606127</v>
      </c>
      <c r="H624" t="s">
        <v>24</v>
      </c>
      <c r="I624">
        <f>VLOOKUP(Table4[[#This Row],[Visitor]],'NHL Model'!$A$6:$B$38,2,FALSE)</f>
        <v>-6.1952588060713437E-2</v>
      </c>
      <c r="J624">
        <f>($B$1+Table4[[#This Row],[Home Differential]])-Table4[[#This Row],[Away Differential]]</f>
        <v>-6.1106850330517312E-2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0.25102002804040713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-0.21926170023436534</v>
      </c>
      <c r="H625" t="s">
        <v>27</v>
      </c>
      <c r="I625">
        <f>VLOOKUP(Table4[[#This Row],[Visitor]],'NHL Model'!$A$6:$B$38,2,FALSE)</f>
        <v>0.17784181108472058</v>
      </c>
      <c r="J625">
        <f>($B$1+Table4[[#This Row],[Home Differential]])-Table4[[#This Row],[Away Differential]]</f>
        <v>-0.32288585741425541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0.46339628120529042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0.2147361134348926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1.8591692540144091</v>
      </c>
      <c r="H626" t="s">
        <v>35</v>
      </c>
      <c r="I626">
        <f>VLOOKUP(Table4[[#This Row],[Visitor]],'NHL Model'!$A$6:$B$38,2,FALSE)</f>
        <v>-0.96065798985911643</v>
      </c>
      <c r="J626">
        <f>($B$1+Table4[[#This Row],[Home Differential]])-Table4[[#This Row],[Away Differential]]</f>
        <v>2.8940448977783562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7.5142545783165053E-4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0.76796514781800074</v>
      </c>
      <c r="H627" t="s">
        <v>23</v>
      </c>
      <c r="I627">
        <f>VLOOKUP(Table4[[#This Row],[Visitor]],'NHL Model'!$A$6:$B$38,2,FALSE)</f>
        <v>0.18511137883580026</v>
      </c>
      <c r="J627">
        <f>($B$1+Table4[[#This Row],[Home Differential]])-Table4[[#This Row],[Away Differential]]</f>
        <v>0.65707142288703091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0.63690617107632364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0.40564947075510321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-8.5361594338821137E-2</v>
      </c>
      <c r="H628" t="s">
        <v>40</v>
      </c>
      <c r="I628">
        <f>VLOOKUP(Table4[[#This Row],[Visitor]],'NHL Model'!$A$6:$B$38,2,FALSE)</f>
        <v>-0.10659687498124908</v>
      </c>
      <c r="J628">
        <f>($B$1+Table4[[#This Row],[Home Differential]])-Table4[[#This Row],[Away Differential]]</f>
        <v>9.5452934547258464E-2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0.59072625325307171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0.16750499977626879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7.1049614431123245E-2</v>
      </c>
      <c r="H629" t="s">
        <v>21</v>
      </c>
      <c r="I629">
        <f>VLOOKUP(Table4[[#This Row],[Visitor]],'NHL Model'!$A$6:$B$38,2,FALSE)</f>
        <v>3.9572996236628868E-2</v>
      </c>
      <c r="J629">
        <f>($B$1+Table4[[#This Row],[Home Differential]])-Table4[[#This Row],[Away Differential]]</f>
        <v>0.1056942720993249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0.57256688305440762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0.32783283557063969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-0.17930549805059143</v>
      </c>
      <c r="H630" t="s">
        <v>34</v>
      </c>
      <c r="I630">
        <f>VLOOKUP(Table4[[#This Row],[Visitor]],'NHL Model'!$A$6:$B$38,2,FALSE)</f>
        <v>0.59379638322319717</v>
      </c>
      <c r="J630">
        <f>($B$1+Table4[[#This Row],[Home Differential]])-Table4[[#This Row],[Away Differential]]</f>
        <v>-0.69888422736895806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0.59278172984648136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0.35139017923978683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0.14556378660539449</v>
      </c>
      <c r="H631" t="s">
        <v>29</v>
      </c>
      <c r="I631">
        <f>VLOOKUP(Table4[[#This Row],[Visitor]],'NHL Model'!$A$6:$B$38,2,FALSE)</f>
        <v>-0.3202921716073342</v>
      </c>
      <c r="J631">
        <f>($B$1+Table4[[#This Row],[Home Differential]])-Table4[[#This Row],[Away Differential]]</f>
        <v>0.54007361211755922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0.35790262804692746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0.45610704431993199</v>
      </c>
      <c r="H632" t="s">
        <v>15</v>
      </c>
      <c r="I632">
        <f>VLOOKUP(Table4[[#This Row],[Visitor]],'NHL Model'!$A$6:$B$38,2,FALSE)</f>
        <v>-6.2506340836952119E-3</v>
      </c>
      <c r="J632">
        <f>($B$1+Table4[[#This Row],[Home Differential]])-Table4[[#This Row],[Away Differential]]</f>
        <v>0.53657533230845766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0.20006146415102941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0.45392063308446812</v>
      </c>
      <c r="H633" t="s">
        <v>18</v>
      </c>
      <c r="I633">
        <f>VLOOKUP(Table4[[#This Row],[Visitor]],'NHL Model'!$A$6:$B$38,2,FALSE)</f>
        <v>0.10902894471156278</v>
      </c>
      <c r="J633">
        <f>($B$1+Table4[[#This Row],[Home Differential]])-Table4[[#This Row],[Away Differential]]</f>
        <v>0.41910934227773589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0.305826183213943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-0.39984103039900787</v>
      </c>
      <c r="H634" t="s">
        <v>39</v>
      </c>
      <c r="I634">
        <f>VLOOKUP(Table4[[#This Row],[Visitor]],'NHL Model'!$A$6:$B$38,2,FALSE)</f>
        <v>0.76796514781800074</v>
      </c>
      <c r="J634">
        <f>($B$1+Table4[[#This Row],[Home Differential]])-Table4[[#This Row],[Away Differential]]</f>
        <v>-1.0935885243121781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0.65204923165766659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0.42516820050535337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1.584470710005189E-2</v>
      </c>
      <c r="H635" t="s">
        <v>37</v>
      </c>
      <c r="I635">
        <f>VLOOKUP(Table4[[#This Row],[Visitor]],'NHL Model'!$A$6:$B$38,2,FALSE)</f>
        <v>0.79636680320115127</v>
      </c>
      <c r="J635">
        <f>($B$1+Table4[[#This Row],[Home Differential]])-Table4[[#This Row],[Away Differential]]</f>
        <v>-0.70630444219626887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0.6223969496884294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0.14258406360460252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0.16690670582810133</v>
      </c>
      <c r="H636" t="s">
        <v>55</v>
      </c>
      <c r="I636">
        <f>VLOOKUP(Table4[[#This Row],[Visitor]],'NHL Model'!$A$6:$B$38,2,FALSE)</f>
        <v>0.3142836898216293</v>
      </c>
      <c r="J636">
        <f>($B$1+Table4[[#This Row],[Home Differential]])-Table4[[#This Row],[Away Differential]]</f>
        <v>-7.3159330088697461E-2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0.46539511999853012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0.285802377721386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9.4361646617848058E-2</v>
      </c>
      <c r="H637" t="s">
        <v>22</v>
      </c>
      <c r="I637">
        <f>VLOOKUP(Table4[[#This Row],[Visitor]],'NHL Model'!$A$6:$B$38,2,FALSE)</f>
        <v>0.45610704431993199</v>
      </c>
      <c r="J637">
        <f>($B$1+Table4[[#This Row],[Home Differential]])-Table4[[#This Row],[Away Differential]]</f>
        <v>-0.28752774379725343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0.49101130345588201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0.24109210012144425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3.9336367625328564E-2</v>
      </c>
      <c r="H638" t="s">
        <v>26</v>
      </c>
      <c r="I638">
        <f>VLOOKUP(Table4[[#This Row],[Visitor]],'NHL Model'!$A$6:$B$38,2,FALSE)</f>
        <v>-8.5361594338821137E-2</v>
      </c>
      <c r="J638">
        <f>($B$1+Table4[[#This Row],[Home Differential]])-Table4[[#This Row],[Away Differential]]</f>
        <v>0.19891561586898021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0.21097044188574987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-0.2855111111085496</v>
      </c>
      <c r="H639" t="s">
        <v>29</v>
      </c>
      <c r="I639">
        <f>VLOOKUP(Table4[[#This Row],[Visitor]],'NHL Model'!$A$6:$B$38,2,FALSE)</f>
        <v>-0.3202921716073342</v>
      </c>
      <c r="J639">
        <f>($B$1+Table4[[#This Row],[Home Differential]])-Table4[[#This Row],[Away Differential]]</f>
        <v>0.10899871440361514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0.20092263348533657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-7.3686276472912369E-4</v>
      </c>
      <c r="H640" t="s">
        <v>40</v>
      </c>
      <c r="I640">
        <f>VLOOKUP(Table4[[#This Row],[Visitor]],'NHL Model'!$A$6:$B$38,2,FALSE)</f>
        <v>-0.10659687498124908</v>
      </c>
      <c r="J640">
        <f>($B$1+Table4[[#This Row],[Home Differential]])-Table4[[#This Row],[Away Differential]]</f>
        <v>0.18007766612135048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0.57852770714306334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0.17763889364608337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7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-6.6593655044643821E-4</v>
      </c>
      <c r="H641" t="s">
        <v>34</v>
      </c>
      <c r="I641">
        <f>VLOOKUP(Table4[[#This Row],[Visitor]],'NHL Model'!$A$6:$B$38,2,FALSE)</f>
        <v>0.59379638322319717</v>
      </c>
      <c r="J641">
        <f>($B$1+Table4[[#This Row],[Home Differential]])-Table4[[#This Row],[Away Differential]]</f>
        <v>-0.52024466586881313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0.54718241456357686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O641">
        <v>-0.52024466586881313</v>
      </c>
      <c r="P641" s="11">
        <v>0.54718241456357686</v>
      </c>
      <c r="Q641" t="s">
        <v>34</v>
      </c>
    </row>
    <row r="642" spans="4:17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0.19285186127150866</v>
      </c>
      <c r="H642" t="s">
        <v>15</v>
      </c>
      <c r="I642">
        <f>VLOOKUP(Table4[[#This Row],[Visitor]],'NHL Model'!$A$6:$B$38,2,FALSE)</f>
        <v>-6.2506340836952119E-3</v>
      </c>
      <c r="J642">
        <f>($B$1+Table4[[#This Row],[Home Differential]])-Table4[[#This Row],[Away Differential]]</f>
        <v>0.2733201492600344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O642">
        <v>0.2733201492600344</v>
      </c>
      <c r="P642" s="11">
        <v>0.51096042489532689</v>
      </c>
      <c r="Q642" t="s">
        <v>11</v>
      </c>
    </row>
    <row r="643" spans="4:17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-0.96065798985911643</v>
      </c>
      <c r="H643" t="s">
        <v>20</v>
      </c>
      <c r="I643">
        <f>VLOOKUP(Table4[[#This Row],[Visitor]],'NHL Model'!$A$6:$B$38,2,FALSE)</f>
        <v>0.14556378660539449</v>
      </c>
      <c r="J643">
        <f>($B$1+Table4[[#This Row],[Home Differential]])-Table4[[#This Row],[Away Differential]]</f>
        <v>-1.0320041225596803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O643">
        <v>-1.0320041225596803</v>
      </c>
      <c r="P643" s="11">
        <v>0.59207603055752023</v>
      </c>
      <c r="Q643" t="s">
        <v>20</v>
      </c>
    </row>
    <row r="644" spans="4:17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-0.48278309788469043</v>
      </c>
      <c r="H644" t="s">
        <v>32</v>
      </c>
      <c r="I644">
        <f>VLOOKUP(Table4[[#This Row],[Visitor]],'NHL Model'!$A$6:$B$38,2,FALSE)</f>
        <v>-0.2855111111085496</v>
      </c>
      <c r="J644">
        <f>($B$1+Table4[[#This Row],[Home Differential]])-Table4[[#This Row],[Away Differential]]</f>
        <v>-0.12305433287131029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O644">
        <v>-0.12305433287131029</v>
      </c>
      <c r="P644" s="11">
        <v>0.47327202449348393</v>
      </c>
      <c r="Q644" t="s">
        <v>32</v>
      </c>
    </row>
    <row r="645" spans="4:17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0.45392063308446812</v>
      </c>
      <c r="H645" t="s">
        <v>12</v>
      </c>
      <c r="I645">
        <f>VLOOKUP(Table4[[#This Row],[Visitor]],'NHL Model'!$A$6:$B$38,2,FALSE)</f>
        <v>1.8591692540144091</v>
      </c>
      <c r="J645">
        <f>($B$1+Table4[[#This Row],[Home Differential]])-Table4[[#This Row],[Away Differential]]</f>
        <v>-1.3310309670251104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0.65575346064391193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7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-0.19727709229606127</v>
      </c>
      <c r="H646" t="s">
        <v>23</v>
      </c>
      <c r="I646">
        <f>VLOOKUP(Table4[[#This Row],[Visitor]],'NHL Model'!$A$6:$B$38,2,FALSE)</f>
        <v>0.18511137883580026</v>
      </c>
      <c r="J646">
        <f>($B$1+Table4[[#This Row],[Home Differential]])-Table4[[#This Row],[Away Differential]]</f>
        <v>-0.30817081722703099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0.49323776204362896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7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-0.21926170023436534</v>
      </c>
      <c r="H647" t="s">
        <v>29</v>
      </c>
      <c r="I647">
        <f>VLOOKUP(Table4[[#This Row],[Visitor]],'NHL Model'!$A$6:$B$38,2,FALSE)</f>
        <v>-0.3202921716073342</v>
      </c>
      <c r="J647">
        <f>($B$1+Table4[[#This Row],[Home Differential]])-Table4[[#This Row],[Away Differential]]</f>
        <v>0.17524812527779937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0.59749347830291155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7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-8.5361594338821137E-2</v>
      </c>
      <c r="H648" t="s">
        <v>14</v>
      </c>
      <c r="I648">
        <f>VLOOKUP(Table4[[#This Row],[Visitor]],'NHL Model'!$A$6:$B$38,2,FALSE)</f>
        <v>3.9336367625328564E-2</v>
      </c>
      <c r="J648">
        <f>($B$1+Table4[[#This Row],[Home Differential]])-Table4[[#This Row],[Away Differential]]</f>
        <v>-5.0480308059319176E-2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0.43216869131951657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7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7.1049614431123245E-2</v>
      </c>
      <c r="H649" t="s">
        <v>27</v>
      </c>
      <c r="I649">
        <f>VLOOKUP(Table4[[#This Row],[Visitor]],'NHL Model'!$A$6:$B$38,2,FALSE)</f>
        <v>0.17784181108472058</v>
      </c>
      <c r="J649">
        <f>($B$1+Table4[[#This Row],[Home Differential]])-Table4[[#This Row],[Away Differential]]</f>
        <v>-3.257454274876681E-2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0.44957746709675989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7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1.584470710005189E-2</v>
      </c>
      <c r="H650" t="s">
        <v>34</v>
      </c>
      <c r="I650">
        <f>VLOOKUP(Table4[[#This Row],[Visitor]],'NHL Model'!$A$6:$B$38,2,FALSE)</f>
        <v>0.59379638322319717</v>
      </c>
      <c r="J650">
        <f>($B$1+Table4[[#This Row],[Home Differential]])-Table4[[#This Row],[Away Differential]]</f>
        <v>-0.50373402221831476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7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-6.1952588060713437E-2</v>
      </c>
      <c r="H651" t="s">
        <v>55</v>
      </c>
      <c r="I651">
        <f>VLOOKUP(Table4[[#This Row],[Visitor]],'NHL Model'!$A$6:$B$38,2,FALSE)</f>
        <v>0.3142836898216293</v>
      </c>
      <c r="J651">
        <f>($B$1+Table4[[#This Row],[Home Differential]])-Table4[[#This Row],[Away Differential]]</f>
        <v>-0.30201862397751222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0.4925742172696172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7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0.16690670582810133</v>
      </c>
      <c r="H652" t="s">
        <v>19</v>
      </c>
      <c r="I652">
        <f>VLOOKUP(Table4[[#This Row],[Visitor]],'NHL Model'!$A$6:$B$38,2,FALSE)</f>
        <v>-7.3686276472912369E-4</v>
      </c>
      <c r="J652">
        <f>($B$1+Table4[[#This Row],[Home Differential]])-Table4[[#This Row],[Away Differential]]</f>
        <v>0.24186122249766095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7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9.4361646617848058E-2</v>
      </c>
      <c r="H653" t="s">
        <v>40</v>
      </c>
      <c r="I653">
        <f>VLOOKUP(Table4[[#This Row],[Visitor]],'NHL Model'!$A$6:$B$38,2,FALSE)</f>
        <v>-0.10659687498124908</v>
      </c>
      <c r="J653">
        <f>($B$1+Table4[[#This Row],[Home Differential]])-Table4[[#This Row],[Away Differential]]</f>
        <v>0.27517617550392764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0.56967912511565733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7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-0.17930549805059143</v>
      </c>
      <c r="H654" t="s">
        <v>37</v>
      </c>
      <c r="I654">
        <f>VLOOKUP(Table4[[#This Row],[Visitor]],'NHL Model'!$A$6:$B$38,2,FALSE)</f>
        <v>0.79636680320115127</v>
      </c>
      <c r="J654">
        <f>($B$1+Table4[[#This Row],[Home Differential]])-Table4[[#This Row],[Away Differential]]</f>
        <v>-0.90145464734691216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0.64344487414775264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7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-0.96065798985911643</v>
      </c>
      <c r="H655" t="s">
        <v>18</v>
      </c>
      <c r="I655">
        <f>VLOOKUP(Table4[[#This Row],[Visitor]],'NHL Model'!$A$6:$B$38,2,FALSE)</f>
        <v>0.10902894471156278</v>
      </c>
      <c r="J655">
        <f>($B$1+Table4[[#This Row],[Home Differential]])-Table4[[#This Row],[Away Differential]]</f>
        <v>-0.99546928066584872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0.63368212406122704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7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-0.48278309788469043</v>
      </c>
      <c r="H656" t="s">
        <v>21</v>
      </c>
      <c r="I656">
        <f>VLOOKUP(Table4[[#This Row],[Visitor]],'NHL Model'!$A$6:$B$38,2,FALSE)</f>
        <v>3.9572996236628868E-2</v>
      </c>
      <c r="J656">
        <f>($B$1+Table4[[#This Row],[Home Differential]])-Table4[[#This Row],[Away Differential]]</f>
        <v>-0.44813844021648874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0.50833396936331376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0.45610704431993199</v>
      </c>
      <c r="H657" t="s">
        <v>10</v>
      </c>
      <c r="I657">
        <f>VLOOKUP(Table4[[#This Row],[Visitor]],'NHL Model'!$A$6:$B$38,2,FALSE)</f>
        <v>-0.39984103039900787</v>
      </c>
      <c r="J657">
        <f>($B$1+Table4[[#This Row],[Home Differential]])-Table4[[#This Row],[Away Differential]]</f>
        <v>0.93016572862377034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0.654339640787584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-0.19727709229606127</v>
      </c>
      <c r="H658" t="s">
        <v>14</v>
      </c>
      <c r="I658">
        <f>VLOOKUP(Table4[[#This Row],[Visitor]],'NHL Model'!$A$6:$B$38,2,FALSE)</f>
        <v>3.9336367625328564E-2</v>
      </c>
      <c r="J658">
        <f>($B$1+Table4[[#This Row],[Home Differential]])-Table4[[#This Row],[Away Differential]]</f>
        <v>-0.16239580601655931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-0.39984103039900787</v>
      </c>
      <c r="H659" t="s">
        <v>20</v>
      </c>
      <c r="I659">
        <f>VLOOKUP(Table4[[#This Row],[Visitor]],'NHL Model'!$A$6:$B$38,2,FALSE)</f>
        <v>0.14556378660539449</v>
      </c>
      <c r="J659">
        <f>($B$1+Table4[[#This Row],[Home Differential]])-Table4[[#This Row],[Away Differential]]</f>
        <v>-0.47118716309957182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0.53158912003077119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0.76796514781800074</v>
      </c>
      <c r="H660" t="s">
        <v>18</v>
      </c>
      <c r="I660">
        <f>VLOOKUP(Table4[[#This Row],[Visitor]],'NHL Model'!$A$6:$B$38,2,FALSE)</f>
        <v>0.10902894471156278</v>
      </c>
      <c r="J660">
        <f>($B$1+Table4[[#This Row],[Home Differential]])-Table4[[#This Row],[Away Differential]]</f>
        <v>0.73315385701126845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0.5790743058021518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0.19285186127150866</v>
      </c>
      <c r="H661" t="s">
        <v>12</v>
      </c>
      <c r="I661">
        <f>VLOOKUP(Table4[[#This Row],[Visitor]],'NHL Model'!$A$6:$B$38,2,FALSE)</f>
        <v>1.8591692540144091</v>
      </c>
      <c r="J661">
        <f>($B$1+Table4[[#This Row],[Home Differential]])-Table4[[#This Row],[Away Differential]]</f>
        <v>-1.59209973883807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0.71717045530411017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-6.1952588060713437E-2</v>
      </c>
      <c r="H662" t="s">
        <v>25</v>
      </c>
      <c r="I662">
        <f>VLOOKUP(Table4[[#This Row],[Visitor]],'NHL Model'!$A$6:$B$38,2,FALSE)</f>
        <v>0.45392063308446812</v>
      </c>
      <c r="J662">
        <f>($B$1+Table4[[#This Row],[Home Differential]])-Table4[[#This Row],[Away Differential]]</f>
        <v>-0.44165556724035104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-0.21926170023436534</v>
      </c>
      <c r="H663" t="s">
        <v>32</v>
      </c>
      <c r="I663">
        <f>VLOOKUP(Table4[[#This Row],[Visitor]],'NHL Model'!$A$6:$B$38,2,FALSE)</f>
        <v>-0.2855111111085496</v>
      </c>
      <c r="J663">
        <f>($B$1+Table4[[#This Row],[Home Differential]])-Table4[[#This Row],[Away Differential]]</f>
        <v>0.14046706477901477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1.584470710005189E-2</v>
      </c>
      <c r="H664" t="s">
        <v>34</v>
      </c>
      <c r="I664">
        <f>VLOOKUP(Table4[[#This Row],[Visitor]],'NHL Model'!$A$6:$B$38,2,FALSE)</f>
        <v>0.59379638322319717</v>
      </c>
      <c r="J664">
        <f>($B$1+Table4[[#This Row],[Home Differential]])-Table4[[#This Row],[Away Differential]]</f>
        <v>-0.50373402221831476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-6.2506340836952119E-3</v>
      </c>
      <c r="H665" t="s">
        <v>55</v>
      </c>
      <c r="I665">
        <f>VLOOKUP(Table4[[#This Row],[Visitor]],'NHL Model'!$A$6:$B$38,2,FALSE)</f>
        <v>0.3142836898216293</v>
      </c>
      <c r="J665">
        <f>($B$1+Table4[[#This Row],[Home Differential]])-Table4[[#This Row],[Away Differential]]</f>
        <v>-0.24631667000049398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0.48656648328522323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9.4361646617848058E-2</v>
      </c>
      <c r="H666" t="s">
        <v>26</v>
      </c>
      <c r="I666">
        <f>VLOOKUP(Table4[[#This Row],[Visitor]],'NHL Model'!$A$6:$B$38,2,FALSE)</f>
        <v>-8.5361594338821137E-2</v>
      </c>
      <c r="J666">
        <f>($B$1+Table4[[#This Row],[Home Differential]])-Table4[[#This Row],[Away Differential]]</f>
        <v>0.25394089486149973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0.45610704431993199</v>
      </c>
      <c r="H667" t="s">
        <v>31</v>
      </c>
      <c r="I667">
        <f>VLOOKUP(Table4[[#This Row],[Visitor]],'NHL Model'!$A$6:$B$38,2,FALSE)</f>
        <v>-6.6593655044643821E-4</v>
      </c>
      <c r="J667">
        <f>($B$1+Table4[[#This Row],[Home Differential]])-Table4[[#This Row],[Away Differential]]</f>
        <v>0.53099063477520891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0.61128661291665698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0.18511137883580026</v>
      </c>
      <c r="H668" t="s">
        <v>38</v>
      </c>
      <c r="I668">
        <f>VLOOKUP(Table4[[#This Row],[Visitor]],'NHL Model'!$A$6:$B$38,2,FALSE)</f>
        <v>-0.48278309788469043</v>
      </c>
      <c r="J668">
        <f>($B$1+Table4[[#This Row],[Home Differential]])-Table4[[#This Row],[Away Differential]]</f>
        <v>0.74211213062532122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0.61662586621435045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0.45392063308446812</v>
      </c>
      <c r="H669" t="s">
        <v>39</v>
      </c>
      <c r="I669">
        <f>VLOOKUP(Table4[[#This Row],[Visitor]],'NHL Model'!$A$6:$B$38,2,FALSE)</f>
        <v>0.76796514781800074</v>
      </c>
      <c r="J669">
        <f>($B$1+Table4[[#This Row],[Home Differential]])-Table4[[#This Row],[Away Differential]]</f>
        <v>-0.23982686082870208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0.52586652494750141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7.1049614431123245E-2</v>
      </c>
      <c r="H670" t="s">
        <v>29</v>
      </c>
      <c r="I670">
        <f>VLOOKUP(Table4[[#This Row],[Visitor]],'NHL Model'!$A$6:$B$38,2,FALSE)</f>
        <v>-0.3202921716073342</v>
      </c>
      <c r="J670">
        <f>($B$1+Table4[[#This Row],[Home Differential]])-Table4[[#This Row],[Away Differential]]</f>
        <v>0.46555943994328797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0.16690670582810133</v>
      </c>
      <c r="H671" t="s">
        <v>24</v>
      </c>
      <c r="I671">
        <f>VLOOKUP(Table4[[#This Row],[Visitor]],'NHL Model'!$A$6:$B$38,2,FALSE)</f>
        <v>-6.1952588060713437E-2</v>
      </c>
      <c r="J671">
        <f>($B$1+Table4[[#This Row],[Home Differential]])-Table4[[#This Row],[Away Differential]]</f>
        <v>0.30307694779364525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0.17784181108472058</v>
      </c>
      <c r="H672" t="s">
        <v>31</v>
      </c>
      <c r="I672">
        <f>VLOOKUP(Table4[[#This Row],[Visitor]],'NHL Model'!$A$6:$B$38,2,FALSE)</f>
        <v>-6.6593655044643821E-4</v>
      </c>
      <c r="J672">
        <f>($B$1+Table4[[#This Row],[Home Differential]])-Table4[[#This Row],[Away Differential]]</f>
        <v>0.25272540153999756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0.57181215244084016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-0.2855111111085496</v>
      </c>
      <c r="H673" t="s">
        <v>21</v>
      </c>
      <c r="I673">
        <f>VLOOKUP(Table4[[#This Row],[Visitor]],'NHL Model'!$A$6:$B$38,2,FALSE)</f>
        <v>3.9572996236628868E-2</v>
      </c>
      <c r="J673">
        <f>($B$1+Table4[[#This Row],[Home Differential]])-Table4[[#This Row],[Away Differential]]</f>
        <v>-0.25086645344034791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0.48705720015674481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-0.17930549805059143</v>
      </c>
      <c r="H674" t="s">
        <v>28</v>
      </c>
      <c r="I674">
        <f>VLOOKUP(Table4[[#This Row],[Visitor]],'NHL Model'!$A$6:$B$38,2,FALSE)</f>
        <v>-0.19727709229606127</v>
      </c>
      <c r="J674">
        <f>($B$1+Table4[[#This Row],[Home Differential]])-Table4[[#This Row],[Away Differential]]</f>
        <v>9.2189248150300371E-2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0.54994307092596428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0.79636680320115127</v>
      </c>
      <c r="H675" t="s">
        <v>12</v>
      </c>
      <c r="I675">
        <f>VLOOKUP(Table4[[#This Row],[Visitor]],'NHL Model'!$A$6:$B$38,2,FALSE)</f>
        <v>1.8591692540144091</v>
      </c>
      <c r="J675">
        <f>($B$1+Table4[[#This Row],[Home Differential]])-Table4[[#This Row],[Away Differential]]</f>
        <v>-0.98858479690842738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0.64829047529090966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-7.3686276472912369E-4</v>
      </c>
      <c r="H676" t="s">
        <v>11</v>
      </c>
      <c r="I676">
        <f>VLOOKUP(Table4[[#This Row],[Visitor]],'NHL Model'!$A$6:$B$38,2,FALSE)</f>
        <v>0.19285186127150866</v>
      </c>
      <c r="J676">
        <f>($B$1+Table4[[#This Row],[Home Differential]])-Table4[[#This Row],[Away Differential]]</f>
        <v>-0.11937107013140726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-0.10659687498124908</v>
      </c>
      <c r="H677" t="s">
        <v>20</v>
      </c>
      <c r="I677">
        <f>VLOOKUP(Table4[[#This Row],[Visitor]],'NHL Model'!$A$6:$B$38,2,FALSE)</f>
        <v>0.14556378660539449</v>
      </c>
      <c r="J677">
        <f>($B$1+Table4[[#This Row],[Home Differential]])-Table4[[#This Row],[Away Differential]]</f>
        <v>-0.17794300768181304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-0.39984103039900787</v>
      </c>
      <c r="H678" t="s">
        <v>35</v>
      </c>
      <c r="I678">
        <f>VLOOKUP(Table4[[#This Row],[Visitor]],'NHL Model'!$A$6:$B$38,2,FALSE)</f>
        <v>-0.96065798985911643</v>
      </c>
      <c r="J678">
        <f>($B$1+Table4[[#This Row],[Home Differential]])-Table4[[#This Row],[Away Differential]]</f>
        <v>0.63503461336493916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1.584470710005189E-2</v>
      </c>
      <c r="H679" t="s">
        <v>33</v>
      </c>
      <c r="I679">
        <f>VLOOKUP(Table4[[#This Row],[Visitor]],'NHL Model'!$A$6:$B$38,2,FALSE)</f>
        <v>-0.17930549805059143</v>
      </c>
      <c r="J679">
        <f>($B$1+Table4[[#This Row],[Home Differential]])-Table4[[#This Row],[Away Differential]]</f>
        <v>0.26936785905547384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0.56176294954624006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0.10902894471156278</v>
      </c>
      <c r="H680" t="s">
        <v>16</v>
      </c>
      <c r="I680">
        <f>VLOOKUP(Table4[[#This Row],[Visitor]],'NHL Model'!$A$6:$B$38,2,FALSE)</f>
        <v>-0.21926170023436534</v>
      </c>
      <c r="J680">
        <f>($B$1+Table4[[#This Row],[Home Differential]])-Table4[[#This Row],[Away Differential]]</f>
        <v>0.40250829885075867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0.58341253068077314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0.3142836898216293</v>
      </c>
      <c r="H681" t="s">
        <v>36</v>
      </c>
      <c r="I681">
        <f>VLOOKUP(Table4[[#This Row],[Visitor]],'NHL Model'!$A$6:$B$38,2,FALSE)</f>
        <v>9.4361646617848058E-2</v>
      </c>
      <c r="J681">
        <f>($B$1+Table4[[#This Row],[Home Differential]])-Table4[[#This Row],[Away Differential]]</f>
        <v>0.29413969710861176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0.55095520487997185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0.45610704431993199</v>
      </c>
      <c r="H682" t="s">
        <v>39</v>
      </c>
      <c r="I682">
        <f>VLOOKUP(Table4[[#This Row],[Visitor]],'NHL Model'!$A$6:$B$38,2,FALSE)</f>
        <v>0.76796514781800074</v>
      </c>
      <c r="J682">
        <f>($B$1+Table4[[#This Row],[Home Differential]])-Table4[[#This Row],[Away Differential]]</f>
        <v>-0.23764044959323827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0.54563070957397664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3.9572996236628868E-2</v>
      </c>
      <c r="H683" t="s">
        <v>16</v>
      </c>
      <c r="I683">
        <f>VLOOKUP(Table4[[#This Row],[Visitor]],'NHL Model'!$A$6:$B$38,2,FALSE)</f>
        <v>-0.21926170023436534</v>
      </c>
      <c r="J683">
        <f>($B$1+Table4[[#This Row],[Home Differential]])-Table4[[#This Row],[Away Differential]]</f>
        <v>0.3330523503758247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0.58993798018306465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0.45392063308446812</v>
      </c>
      <c r="H684" t="s">
        <v>31</v>
      </c>
      <c r="I684">
        <f>VLOOKUP(Table4[[#This Row],[Visitor]],'NHL Model'!$A$6:$B$38,2,FALSE)</f>
        <v>-6.6593655044643821E-4</v>
      </c>
      <c r="J684">
        <f>($B$1+Table4[[#This Row],[Home Differential]])-Table4[[#This Row],[Away Differential]]</f>
        <v>0.5288042235397451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0.63073232355819764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1.8591692540144091</v>
      </c>
      <c r="H685" t="s">
        <v>36</v>
      </c>
      <c r="I685">
        <f>VLOOKUP(Table4[[#This Row],[Visitor]],'NHL Model'!$A$6:$B$38,2,FALSE)</f>
        <v>9.4361646617848058E-2</v>
      </c>
      <c r="J685">
        <f>($B$1+Table4[[#This Row],[Home Differential]])-Table4[[#This Row],[Away Differential]]</f>
        <v>1.8390252613013915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0.83985749487656869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-8.5361594338821137E-2</v>
      </c>
      <c r="H686" t="s">
        <v>38</v>
      </c>
      <c r="I686">
        <f>VLOOKUP(Table4[[#This Row],[Visitor]],'NHL Model'!$A$6:$B$38,2,FALSE)</f>
        <v>-0.48278309788469043</v>
      </c>
      <c r="J686">
        <f>($B$1+Table4[[#This Row],[Home Differential]])-Table4[[#This Row],[Away Differential]]</f>
        <v>0.47163915745069984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0.58933017757169559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0.10902894471156278</v>
      </c>
      <c r="H687" t="s">
        <v>11</v>
      </c>
      <c r="I687">
        <f>VLOOKUP(Table4[[#This Row],[Visitor]],'NHL Model'!$A$6:$B$38,2,FALSE)</f>
        <v>0.19285186127150866</v>
      </c>
      <c r="J687">
        <f>($B$1+Table4[[#This Row],[Home Differential]])-Table4[[#This Row],[Away Differential]]</f>
        <v>-9.6052626551153542E-3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-0.3202921716073342</v>
      </c>
      <c r="H688" t="s">
        <v>30</v>
      </c>
      <c r="I688">
        <f>VLOOKUP(Table4[[#This Row],[Visitor]],'NHL Model'!$A$6:$B$38,2,FALSE)</f>
        <v>0.16690670582810133</v>
      </c>
      <c r="J688">
        <f>($B$1+Table4[[#This Row],[Home Differential]])-Table4[[#This Row],[Away Differential]]</f>
        <v>-0.41298122353060496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0.53812550352013144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-6.2506340836952119E-3</v>
      </c>
      <c r="H689" t="s">
        <v>23</v>
      </c>
      <c r="I689">
        <f>VLOOKUP(Table4[[#This Row],[Visitor]],'NHL Model'!$A$6:$B$38,2,FALSE)</f>
        <v>0.18511137883580026</v>
      </c>
      <c r="J689">
        <f>($B$1+Table4[[#This Row],[Home Differential]])-Table4[[#This Row],[Away Differential]]</f>
        <v>-0.11714435901466494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0.17784181108472058</v>
      </c>
      <c r="H690" t="s">
        <v>19</v>
      </c>
      <c r="I690">
        <f>VLOOKUP(Table4[[#This Row],[Visitor]],'NHL Model'!$A$6:$B$38,2,FALSE)</f>
        <v>-7.3686276472912369E-4</v>
      </c>
      <c r="J690">
        <f>($B$1+Table4[[#This Row],[Home Differential]])-Table4[[#This Row],[Away Differential]]</f>
        <v>0.25279632775428024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3.9336367625328564E-2</v>
      </c>
      <c r="H691" t="s">
        <v>24</v>
      </c>
      <c r="I691">
        <f>VLOOKUP(Table4[[#This Row],[Visitor]],'NHL Model'!$A$6:$B$38,2,FALSE)</f>
        <v>-6.1952588060713437E-2</v>
      </c>
      <c r="J691">
        <f>($B$1+Table4[[#This Row],[Home Differential]])-Table4[[#This Row],[Away Differential]]</f>
        <v>0.17550660959087253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-0.2855111111085496</v>
      </c>
      <c r="H692" t="s">
        <v>34</v>
      </c>
      <c r="I692">
        <f>VLOOKUP(Table4[[#This Row],[Visitor]],'NHL Model'!$A$6:$B$38,2,FALSE)</f>
        <v>0.59379638322319717</v>
      </c>
      <c r="J692">
        <f>($B$1+Table4[[#This Row],[Home Differential]])-Table4[[#This Row],[Away Differential]]</f>
        <v>-0.80508984042691623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0.14556378660539449</v>
      </c>
      <c r="H693" t="s">
        <v>28</v>
      </c>
      <c r="I693">
        <f>VLOOKUP(Table4[[#This Row],[Visitor]],'NHL Model'!$A$6:$B$38,2,FALSE)</f>
        <v>-0.19727709229606127</v>
      </c>
      <c r="J693">
        <f>($B$1+Table4[[#This Row],[Home Differential]])-Table4[[#This Row],[Away Differential]]</f>
        <v>0.4170585328062863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0.58498184609566095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-0.10659687498124908</v>
      </c>
      <c r="H694" t="s">
        <v>17</v>
      </c>
      <c r="I694">
        <f>VLOOKUP(Table4[[#This Row],[Visitor]],'NHL Model'!$A$6:$B$38,2,FALSE)</f>
        <v>7.1049614431123245E-2</v>
      </c>
      <c r="J694">
        <f>($B$1+Table4[[#This Row],[Home Differential]])-Table4[[#This Row],[Away Differential]]</f>
        <v>-0.1034288355075418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-0.39984103039900787</v>
      </c>
      <c r="H695" t="s">
        <v>22</v>
      </c>
      <c r="I695">
        <f>VLOOKUP(Table4[[#This Row],[Visitor]],'NHL Model'!$A$6:$B$38,2,FALSE)</f>
        <v>0.45610704431993199</v>
      </c>
      <c r="J695">
        <f>($B$1+Table4[[#This Row],[Home Differential]])-Table4[[#This Row],[Away Differential]]</f>
        <v>-0.78173042081410937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0.54431353086279899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0.3142836898216293</v>
      </c>
      <c r="H696" t="s">
        <v>35</v>
      </c>
      <c r="I696">
        <f>VLOOKUP(Table4[[#This Row],[Visitor]],'NHL Model'!$A$6:$B$38,2,FALSE)</f>
        <v>-0.96065798985911643</v>
      </c>
      <c r="J696">
        <f>($B$1+Table4[[#This Row],[Home Differential]])-Table4[[#This Row],[Away Differential]]</f>
        <v>1.3491593335855763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-0.10659687498124908</v>
      </c>
      <c r="H697" t="s">
        <v>13</v>
      </c>
      <c r="I697">
        <f>VLOOKUP(Table4[[#This Row],[Visitor]],'NHL Model'!$A$6:$B$38,2,FALSE)</f>
        <v>1.584470710005189E-2</v>
      </c>
      <c r="J697">
        <f>($B$1+Table4[[#This Row],[Home Differential]])-Table4[[#This Row],[Away Differential]]</f>
        <v>-4.8223928176470442E-2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3.9572996236628868E-2</v>
      </c>
      <c r="H698" t="s">
        <v>15</v>
      </c>
      <c r="I698">
        <f>VLOOKUP(Table4[[#This Row],[Visitor]],'NHL Model'!$A$6:$B$38,2,FALSE)</f>
        <v>-6.2506340836952119E-3</v>
      </c>
      <c r="J698">
        <f>($B$1+Table4[[#This Row],[Home Differential]])-Table4[[#This Row],[Away Differential]]</f>
        <v>0.1200412842251546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0.18511137883580026</v>
      </c>
      <c r="H699" t="s">
        <v>31</v>
      </c>
      <c r="I699">
        <f>VLOOKUP(Table4[[#This Row],[Visitor]],'NHL Model'!$A$6:$B$38,2,FALSE)</f>
        <v>-6.6593655044643821E-4</v>
      </c>
      <c r="J699">
        <f>($B$1+Table4[[#This Row],[Home Differential]])-Table4[[#This Row],[Away Differential]]</f>
        <v>0.25999496929107724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0.60663384876565629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0.45392063308446812</v>
      </c>
      <c r="H700" t="s">
        <v>32</v>
      </c>
      <c r="I700">
        <f>VLOOKUP(Table4[[#This Row],[Visitor]],'NHL Model'!$A$6:$B$38,2,FALSE)</f>
        <v>-0.2855111111085496</v>
      </c>
      <c r="J700">
        <f>($B$1+Table4[[#This Row],[Home Differential]])-Table4[[#This Row],[Away Differential]]</f>
        <v>0.81364939809784831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0.66145429852139914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1.8591692540144091</v>
      </c>
      <c r="H701" t="s">
        <v>28</v>
      </c>
      <c r="I701">
        <f>VLOOKUP(Table4[[#This Row],[Visitor]],'NHL Model'!$A$6:$B$38,2,FALSE)</f>
        <v>-0.19727709229606127</v>
      </c>
      <c r="J701">
        <f>($B$1+Table4[[#This Row],[Home Differential]])-Table4[[#This Row],[Away Differential]]</f>
        <v>2.130664000215301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0.89025341617983234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7.1049614431123245E-2</v>
      </c>
      <c r="H702" t="s">
        <v>13</v>
      </c>
      <c r="I702">
        <f>VLOOKUP(Table4[[#This Row],[Visitor]],'NHL Model'!$A$6:$B$38,2,FALSE)</f>
        <v>1.584470710005189E-2</v>
      </c>
      <c r="J702">
        <f>($B$1+Table4[[#This Row],[Home Differential]])-Table4[[#This Row],[Away Differential]]</f>
        <v>0.12942256123590187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0.54292612414187702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0.59379638322319717</v>
      </c>
      <c r="H703" t="s">
        <v>30</v>
      </c>
      <c r="I703">
        <f>VLOOKUP(Table4[[#This Row],[Visitor]],'NHL Model'!$A$6:$B$38,2,FALSE)</f>
        <v>0.16690670582810133</v>
      </c>
      <c r="J703">
        <f>($B$1+Table4[[#This Row],[Home Differential]])-Table4[[#This Row],[Away Differential]]</f>
        <v>0.50110733129992635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0.58295485177437145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0.10902894471156278</v>
      </c>
      <c r="H704" t="s">
        <v>26</v>
      </c>
      <c r="I704">
        <f>VLOOKUP(Table4[[#This Row],[Visitor]],'NHL Model'!$A$6:$B$38,2,FALSE)</f>
        <v>-8.5361594338821137E-2</v>
      </c>
      <c r="J704">
        <f>($B$1+Table4[[#This Row],[Home Differential]])-Table4[[#This Row],[Away Differential]]</f>
        <v>0.26860819295521443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0.54820150461950445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-0.3202921716073342</v>
      </c>
      <c r="H705" t="s">
        <v>10</v>
      </c>
      <c r="I705">
        <f>VLOOKUP(Table4[[#This Row],[Visitor]],'NHL Model'!$A$6:$B$38,2,FALSE)</f>
        <v>-0.39984103039900787</v>
      </c>
      <c r="J705">
        <f>($B$1+Table4[[#This Row],[Home Differential]])-Table4[[#This Row],[Away Differential]]</f>
        <v>0.15376651269650421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9.4361646617848058E-2</v>
      </c>
      <c r="H706" t="s">
        <v>11</v>
      </c>
      <c r="I706">
        <f>VLOOKUP(Table4[[#This Row],[Visitor]],'NHL Model'!$A$6:$B$38,2,FALSE)</f>
        <v>0.19285186127150866</v>
      </c>
      <c r="J706">
        <f>($B$1+Table4[[#This Row],[Home Differential]])-Table4[[#This Row],[Away Differential]]</f>
        <v>-2.427256074883008E-2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0.17784181108472058</v>
      </c>
      <c r="H707" t="s">
        <v>37</v>
      </c>
      <c r="I707">
        <f>VLOOKUP(Table4[[#This Row],[Visitor]],'NHL Model'!$A$6:$B$38,2,FALSE)</f>
        <v>0.79636680320115127</v>
      </c>
      <c r="J707">
        <f>($B$1+Table4[[#This Row],[Home Differential]])-Table4[[#This Row],[Away Differential]]</f>
        <v>-0.54430733821160016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3.9336367625328564E-2</v>
      </c>
      <c r="H708" t="s">
        <v>16</v>
      </c>
      <c r="I708">
        <f>VLOOKUP(Table4[[#This Row],[Visitor]],'NHL Model'!$A$6:$B$38,2,FALSE)</f>
        <v>-0.21926170023436534</v>
      </c>
      <c r="J708">
        <f>($B$1+Table4[[#This Row],[Home Differential]])-Table4[[#This Row],[Away Differential]]</f>
        <v>0.33281572176452445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0.57589583810669009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-0.17930549805059143</v>
      </c>
      <c r="H709" t="s">
        <v>39</v>
      </c>
      <c r="I709">
        <f>VLOOKUP(Table4[[#This Row],[Visitor]],'NHL Model'!$A$6:$B$38,2,FALSE)</f>
        <v>0.76796514781800074</v>
      </c>
      <c r="J709">
        <f>($B$1+Table4[[#This Row],[Home Differential]])-Table4[[#This Row],[Away Differential]]</f>
        <v>-0.87305299196376163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-7.3686276472912369E-4</v>
      </c>
      <c r="H710" t="s">
        <v>38</v>
      </c>
      <c r="I710">
        <f>VLOOKUP(Table4[[#This Row],[Visitor]],'NHL Model'!$A$6:$B$38,2,FALSE)</f>
        <v>-0.48278309788469043</v>
      </c>
      <c r="J710">
        <f>($B$1+Table4[[#This Row],[Home Differential]])-Table4[[#This Row],[Away Differential]]</f>
        <v>0.55626388902479185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0.57677436262628023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0.14556378660539449</v>
      </c>
      <c r="H711" t="s">
        <v>35</v>
      </c>
      <c r="I711">
        <f>VLOOKUP(Table4[[#This Row],[Visitor]],'NHL Model'!$A$6:$B$38,2,FALSE)</f>
        <v>-0.96065798985911643</v>
      </c>
      <c r="J711">
        <f>($B$1+Table4[[#This Row],[Home Differential]])-Table4[[#This Row],[Away Differential]]</f>
        <v>1.1804394303693415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0.66731628921445962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3.9572996236628868E-2</v>
      </c>
      <c r="H712" t="s">
        <v>14</v>
      </c>
      <c r="I712">
        <f>VLOOKUP(Table4[[#This Row],[Visitor]],'NHL Model'!$A$6:$B$38,2,FALSE)</f>
        <v>3.9336367625328564E-2</v>
      </c>
      <c r="J712">
        <f>($B$1+Table4[[#This Row],[Home Differential]])-Table4[[#This Row],[Away Differential]]</f>
        <v>7.4454282516130829E-2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-0.3202921716073342</v>
      </c>
      <c r="H713" t="s">
        <v>22</v>
      </c>
      <c r="I713">
        <f>VLOOKUP(Table4[[#This Row],[Visitor]],'NHL Model'!$A$6:$B$38,2,FALSE)</f>
        <v>0.45610704431993199</v>
      </c>
      <c r="J713">
        <f>($B$1+Table4[[#This Row],[Home Differential]])-Table4[[#This Row],[Away Differential]]</f>
        <v>-0.70218156202243565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0.5357337890717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-0.17930549805059143</v>
      </c>
      <c r="H714" t="s">
        <v>20</v>
      </c>
      <c r="I714">
        <f>VLOOKUP(Table4[[#This Row],[Visitor]],'NHL Model'!$A$6:$B$38,2,FALSE)</f>
        <v>0.14556378660539449</v>
      </c>
      <c r="J714">
        <f>($B$1+Table4[[#This Row],[Home Differential]])-Table4[[#This Row],[Away Differential]]</f>
        <v>-0.25065163075115537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0.3142836898216293</v>
      </c>
      <c r="H715" t="s">
        <v>28</v>
      </c>
      <c r="I715">
        <f>VLOOKUP(Table4[[#This Row],[Visitor]],'NHL Model'!$A$6:$B$38,2,FALSE)</f>
        <v>-0.19727709229606127</v>
      </c>
      <c r="J715">
        <f>($B$1+Table4[[#This Row],[Home Differential]])-Table4[[#This Row],[Away Differential]]</f>
        <v>0.58577843602252111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0.60317913046407001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-0.10659687498124908</v>
      </c>
      <c r="H716" t="s">
        <v>24</v>
      </c>
      <c r="I716">
        <f>VLOOKUP(Table4[[#This Row],[Visitor]],'NHL Model'!$A$6:$B$38,2,FALSE)</f>
        <v>-6.1952588060713437E-2</v>
      </c>
      <c r="J716">
        <f>($B$1+Table4[[#This Row],[Home Differential]])-Table4[[#This Row],[Away Differential]]</f>
        <v>2.9573366984294885E-2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0.5107993041126927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0.18511137883580026</v>
      </c>
      <c r="H717" t="s">
        <v>11</v>
      </c>
      <c r="I717">
        <f>VLOOKUP(Table4[[#This Row],[Visitor]],'NHL Model'!$A$6:$B$38,2,FALSE)</f>
        <v>0.19285186127150866</v>
      </c>
      <c r="J717">
        <f>($B$1+Table4[[#This Row],[Home Differential]])-Table4[[#This Row],[Away Differential]]</f>
        <v>6.6477171469122132E-2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-0.39984103039900787</v>
      </c>
      <c r="H718" t="s">
        <v>17</v>
      </c>
      <c r="I718">
        <f>VLOOKUP(Table4[[#This Row],[Visitor]],'NHL Model'!$A$6:$B$38,2,FALSE)</f>
        <v>7.1049614431123245E-2</v>
      </c>
      <c r="J718">
        <f>($B$1+Table4[[#This Row],[Home Differential]])-Table4[[#This Row],[Away Differential]]</f>
        <v>-0.39667299092530056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0.50278316357189856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1.8591692540144091</v>
      </c>
      <c r="H719" t="s">
        <v>19</v>
      </c>
      <c r="I719">
        <f>VLOOKUP(Table4[[#This Row],[Visitor]],'NHL Model'!$A$6:$B$38,2,FALSE)</f>
        <v>-7.3686276472912369E-4</v>
      </c>
      <c r="J719">
        <f>($B$1+Table4[[#This Row],[Home Differential]])-Table4[[#This Row],[Away Differential]]</f>
        <v>1.9341237706839687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0.86905557064746297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-8.5361594338821137E-2</v>
      </c>
      <c r="H720" t="s">
        <v>25</v>
      </c>
      <c r="I720">
        <f>VLOOKUP(Table4[[#This Row],[Visitor]],'NHL Model'!$A$6:$B$38,2,FALSE)</f>
        <v>0.45392063308446812</v>
      </c>
      <c r="J720">
        <f>($B$1+Table4[[#This Row],[Home Differential]])-Table4[[#This Row],[Away Differential]]</f>
        <v>-0.46506457351845876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0.52653749014695106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1.584470710005189E-2</v>
      </c>
      <c r="H721" t="s">
        <v>39</v>
      </c>
      <c r="I721">
        <f>VLOOKUP(Table4[[#This Row],[Visitor]],'NHL Model'!$A$6:$B$38,2,FALSE)</f>
        <v>0.76796514781800074</v>
      </c>
      <c r="J721">
        <f>($B$1+Table4[[#This Row],[Home Differential]])-Table4[[#This Row],[Away Differential]]</f>
        <v>-0.67790278681311833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0.60721544839341457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0.59379638322319717</v>
      </c>
      <c r="H722" t="s">
        <v>24</v>
      </c>
      <c r="I722">
        <f>VLOOKUP(Table4[[#This Row],[Visitor]],'NHL Model'!$A$6:$B$38,2,FALSE)</f>
        <v>-6.1952588060713437E-2</v>
      </c>
      <c r="J722">
        <f>($B$1+Table4[[#This Row],[Home Differential]])-Table4[[#This Row],[Away Differential]]</f>
        <v>0.72996662518874111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0.60882763430755382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0.10902894471156278</v>
      </c>
      <c r="H723" t="s">
        <v>38</v>
      </c>
      <c r="I723">
        <f>VLOOKUP(Table4[[#This Row],[Visitor]],'NHL Model'!$A$6:$B$38,2,FALSE)</f>
        <v>-0.48278309788469043</v>
      </c>
      <c r="J723">
        <f>($B$1+Table4[[#This Row],[Home Differential]])-Table4[[#This Row],[Away Differential]]</f>
        <v>0.66602969650108368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0.56932206697173682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-6.2506340836952119E-3</v>
      </c>
      <c r="H724" t="s">
        <v>32</v>
      </c>
      <c r="I724">
        <f>VLOOKUP(Table4[[#This Row],[Visitor]],'NHL Model'!$A$6:$B$38,2,FALSE)</f>
        <v>-0.2855111111085496</v>
      </c>
      <c r="J724">
        <f>($B$1+Table4[[#This Row],[Home Differential]])-Table4[[#This Row],[Away Differential]]</f>
        <v>0.35347813092968494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0.57812438215008588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0.17784181108472058</v>
      </c>
      <c r="H725" t="s">
        <v>37</v>
      </c>
      <c r="I725">
        <f>VLOOKUP(Table4[[#This Row],[Visitor]],'NHL Model'!$A$6:$B$38,2,FALSE)</f>
        <v>0.79636680320115127</v>
      </c>
      <c r="J725">
        <f>($B$1+Table4[[#This Row],[Home Differential]])-Table4[[#This Row],[Away Differential]]</f>
        <v>-0.54430733821160016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-6.6593655044643821E-4</v>
      </c>
      <c r="H726" t="s">
        <v>39</v>
      </c>
      <c r="I726">
        <f>VLOOKUP(Table4[[#This Row],[Visitor]],'NHL Model'!$A$6:$B$38,2,FALSE)</f>
        <v>0.76796514781800074</v>
      </c>
      <c r="J726">
        <f>($B$1+Table4[[#This Row],[Home Differential]])-Table4[[#This Row],[Away Differential]]</f>
        <v>-0.6944134304636167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3.9572996236628868E-2</v>
      </c>
      <c r="H727" t="s">
        <v>26</v>
      </c>
      <c r="I727">
        <f>VLOOKUP(Table4[[#This Row],[Visitor]],'NHL Model'!$A$6:$B$38,2,FALSE)</f>
        <v>-8.5361594338821137E-2</v>
      </c>
      <c r="J727">
        <f>($B$1+Table4[[#This Row],[Home Differential]])-Table4[[#This Row],[Away Differential]]</f>
        <v>0.19915224448028052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-0.19727709229606127</v>
      </c>
      <c r="H728" t="s">
        <v>16</v>
      </c>
      <c r="I728">
        <f>VLOOKUP(Table4[[#This Row],[Visitor]],'NHL Model'!$A$6:$B$38,2,FALSE)</f>
        <v>-0.21926170023436534</v>
      </c>
      <c r="J728">
        <f>($B$1+Table4[[#This Row],[Home Differential]])-Table4[[#This Row],[Away Differential]]</f>
        <v>9.6202261843134587E-2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0.55037589449894386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-0.3202921716073342</v>
      </c>
      <c r="H729" t="s">
        <v>17</v>
      </c>
      <c r="I729">
        <f>VLOOKUP(Table4[[#This Row],[Visitor]],'NHL Model'!$A$6:$B$38,2,FALSE)</f>
        <v>7.1049614431123245E-2</v>
      </c>
      <c r="J729">
        <f>($B$1+Table4[[#This Row],[Home Differential]])-Table4[[#This Row],[Away Differential]]</f>
        <v>-0.31712413213362689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0.49420342178079957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9.4361646617848058E-2</v>
      </c>
      <c r="H730" t="s">
        <v>38</v>
      </c>
      <c r="I730">
        <f>VLOOKUP(Table4[[#This Row],[Visitor]],'NHL Model'!$A$6:$B$38,2,FALSE)</f>
        <v>-0.48278309788469043</v>
      </c>
      <c r="J730">
        <f>($B$1+Table4[[#This Row],[Home Differential]])-Table4[[#This Row],[Away Differential]]</f>
        <v>0.65136239840736898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0.56774012560477505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3.9336367625328564E-2</v>
      </c>
      <c r="H731" t="s">
        <v>37</v>
      </c>
      <c r="I731">
        <f>VLOOKUP(Table4[[#This Row],[Visitor]],'NHL Model'!$A$6:$B$38,2,FALSE)</f>
        <v>0.79636680320115127</v>
      </c>
      <c r="J731">
        <f>($B$1+Table4[[#This Row],[Home Differential]])-Table4[[#This Row],[Away Differential]]</f>
        <v>-0.68281278167099213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0.61986325675288567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-0.96065798985911643</v>
      </c>
      <c r="H732" t="s">
        <v>25</v>
      </c>
      <c r="I732">
        <f>VLOOKUP(Table4[[#This Row],[Visitor]],'NHL Model'!$A$6:$B$38,2,FALSE)</f>
        <v>0.45392063308446812</v>
      </c>
      <c r="J732">
        <f>($B$1+Table4[[#This Row],[Home Differential]])-Table4[[#This Row],[Away Differential]]</f>
        <v>-1.3403609690387541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0.66196820080435814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0.3142836898216293</v>
      </c>
      <c r="H733" t="s">
        <v>19</v>
      </c>
      <c r="I733">
        <f>VLOOKUP(Table4[[#This Row],[Visitor]],'NHL Model'!$A$6:$B$38,2,FALSE)</f>
        <v>-7.3686276472912369E-4</v>
      </c>
      <c r="J733">
        <f>($B$1+Table4[[#This Row],[Home Differential]])-Table4[[#This Row],[Away Differential]]</f>
        <v>0.38923820649118895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0.58198128493170065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-0.10659687498124908</v>
      </c>
      <c r="H734" t="s">
        <v>30</v>
      </c>
      <c r="I734">
        <f>VLOOKUP(Table4[[#This Row],[Visitor]],'NHL Model'!$A$6:$B$38,2,FALSE)</f>
        <v>0.16690670582810133</v>
      </c>
      <c r="J734">
        <f>($B$1+Table4[[#This Row],[Home Differential]])-Table4[[#This Row],[Away Differential]]</f>
        <v>-0.19928592690451988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0.51507739830688581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0.45610704431993199</v>
      </c>
      <c r="H735" t="s">
        <v>18</v>
      </c>
      <c r="I735">
        <f>VLOOKUP(Table4[[#This Row],[Visitor]],'NHL Model'!$A$6:$B$38,2,FALSE)</f>
        <v>0.10902894471156278</v>
      </c>
      <c r="J735">
        <f>($B$1+Table4[[#This Row],[Home Differential]])-Table4[[#This Row],[Away Differential]]</f>
        <v>0.4212957535131997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0.53324372956387078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0.18511137883580026</v>
      </c>
      <c r="H736" t="s">
        <v>27</v>
      </c>
      <c r="I736">
        <f>VLOOKUP(Table4[[#This Row],[Visitor]],'NHL Model'!$A$6:$B$38,2,FALSE)</f>
        <v>0.17784181108472058</v>
      </c>
      <c r="J736">
        <f>($B$1+Table4[[#This Row],[Home Differential]])-Table4[[#This Row],[Away Differential]]</f>
        <v>8.1487221655910214E-2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1.584470710005189E-2</v>
      </c>
      <c r="H737" t="s">
        <v>20</v>
      </c>
      <c r="I737">
        <f>VLOOKUP(Table4[[#This Row],[Visitor]],'NHL Model'!$A$6:$B$38,2,FALSE)</f>
        <v>0.14556378660539449</v>
      </c>
      <c r="J737">
        <f>($B$1+Table4[[#This Row],[Home Differential]])-Table4[[#This Row],[Away Differential]]</f>
        <v>-5.5501425600512078E-2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-6.1952588060713437E-2</v>
      </c>
      <c r="H738" t="s">
        <v>32</v>
      </c>
      <c r="I738">
        <f>VLOOKUP(Table4[[#This Row],[Visitor]],'NHL Model'!$A$6:$B$38,2,FALSE)</f>
        <v>-0.2855111111085496</v>
      </c>
      <c r="J738">
        <f>($B$1+Table4[[#This Row],[Home Differential]])-Table4[[#This Row],[Away Differential]]</f>
        <v>0.29777617695266667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0.57211664816569185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-6.2506340836952119E-3</v>
      </c>
      <c r="H739" t="s">
        <v>36</v>
      </c>
      <c r="I739">
        <f>VLOOKUP(Table4[[#This Row],[Visitor]],'NHL Model'!$A$6:$B$38,2,FALSE)</f>
        <v>9.4361646617848058E-2</v>
      </c>
      <c r="J739">
        <f>($B$1+Table4[[#This Row],[Home Differential]])-Table4[[#This Row],[Away Differential]]</f>
        <v>-2.6394626796712742E-2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3.9572996236628868E-2</v>
      </c>
      <c r="H740" t="s">
        <v>32</v>
      </c>
      <c r="I740">
        <f>VLOOKUP(Table4[[#This Row],[Visitor]],'NHL Model'!$A$6:$B$38,2,FALSE)</f>
        <v>-0.2855111111085496</v>
      </c>
      <c r="J740">
        <f>($B$1+Table4[[#This Row],[Home Differential]])-Table4[[#This Row],[Away Differential]]</f>
        <v>0.39930176125000899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0.59708331008152982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0.18511137883580026</v>
      </c>
      <c r="H741" t="s">
        <v>18</v>
      </c>
      <c r="I741">
        <f>VLOOKUP(Table4[[#This Row],[Visitor]],'NHL Model'!$A$6:$B$38,2,FALSE)</f>
        <v>0.10902894471156278</v>
      </c>
      <c r="J741">
        <f>($B$1+Table4[[#This Row],[Home Differential]])-Table4[[#This Row],[Away Differential]]</f>
        <v>0.15030008802906802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-0.19727709229606127</v>
      </c>
      <c r="H742" t="s">
        <v>38</v>
      </c>
      <c r="I742">
        <f>VLOOKUP(Table4[[#This Row],[Visitor]],'NHL Model'!$A$6:$B$38,2,FALSE)</f>
        <v>-0.48278309788469043</v>
      </c>
      <c r="J742">
        <f>($B$1+Table4[[#This Row],[Home Differential]])-Table4[[#This Row],[Away Differential]]</f>
        <v>0.35972365949345969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0.53628543078990765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-0.39984103039900787</v>
      </c>
      <c r="H743" t="s">
        <v>16</v>
      </c>
      <c r="I743">
        <f>VLOOKUP(Table4[[#This Row],[Visitor]],'NHL Model'!$A$6:$B$38,2,FALSE)</f>
        <v>-0.21926170023436534</v>
      </c>
      <c r="J743">
        <f>($B$1+Table4[[#This Row],[Home Differential]])-Table4[[#This Row],[Away Differential]]</f>
        <v>-0.10636167625981199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7.1049614431123245E-2</v>
      </c>
      <c r="H744" t="s">
        <v>30</v>
      </c>
      <c r="I744">
        <f>VLOOKUP(Table4[[#This Row],[Visitor]],'NHL Model'!$A$6:$B$38,2,FALSE)</f>
        <v>0.16690670582810133</v>
      </c>
      <c r="J744">
        <f>($B$1+Table4[[#This Row],[Home Differential]])-Table4[[#This Row],[Away Differential]]</f>
        <v>-2.1639437492147556E-2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0.47455614365123316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0.59379638322319717</v>
      </c>
      <c r="H745" t="s">
        <v>40</v>
      </c>
      <c r="I745">
        <f>VLOOKUP(Table4[[#This Row],[Visitor]],'NHL Model'!$A$6:$B$38,2,FALSE)</f>
        <v>-0.10659687498124908</v>
      </c>
      <c r="J745">
        <f>($B$1+Table4[[#This Row],[Home Differential]])-Table4[[#This Row],[Away Differential]]</f>
        <v>0.77461091210927668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3.9336367625328564E-2</v>
      </c>
      <c r="H746" t="s">
        <v>27</v>
      </c>
      <c r="I746">
        <f>VLOOKUP(Table4[[#This Row],[Visitor]],'NHL Model'!$A$6:$B$38,2,FALSE)</f>
        <v>0.17784181108472058</v>
      </c>
      <c r="J746">
        <f>($B$1+Table4[[#This Row],[Home Differential]])-Table4[[#This Row],[Away Differential]]</f>
        <v>-6.4287789554561492E-2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0.3142836898216293</v>
      </c>
      <c r="H747" t="s">
        <v>39</v>
      </c>
      <c r="I747">
        <f>VLOOKUP(Table4[[#This Row],[Visitor]],'NHL Model'!$A$6:$B$38,2,FALSE)</f>
        <v>0.76796514781800074</v>
      </c>
      <c r="J747">
        <f>($B$1+Table4[[#This Row],[Home Differential]])-Table4[[#This Row],[Away Differential]]</f>
        <v>-0.3794638040915409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0.14556378660539449</v>
      </c>
      <c r="H748" t="s">
        <v>19</v>
      </c>
      <c r="I748">
        <f>VLOOKUP(Table4[[#This Row],[Visitor]],'NHL Model'!$A$6:$B$38,2,FALSE)</f>
        <v>-7.3686276472912369E-4</v>
      </c>
      <c r="J748">
        <f>($B$1+Table4[[#This Row],[Home Differential]])-Table4[[#This Row],[Away Differential]]</f>
        <v>0.22051830327495414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0.56378400056329159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0.45610704431993199</v>
      </c>
      <c r="H749" t="s">
        <v>33</v>
      </c>
      <c r="I749">
        <f>VLOOKUP(Table4[[#This Row],[Visitor]],'NHL Model'!$A$6:$B$38,2,FALSE)</f>
        <v>-0.17930549805059143</v>
      </c>
      <c r="J749">
        <f>($B$1+Table4[[#This Row],[Home Differential]])-Table4[[#This Row],[Away Differential]]</f>
        <v>0.70963019627535395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0.6232997514120977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0.45392063308446812</v>
      </c>
      <c r="H750" t="s">
        <v>11</v>
      </c>
      <c r="I750">
        <f>VLOOKUP(Table4[[#This Row],[Visitor]],'NHL Model'!$A$6:$B$38,2,FALSE)</f>
        <v>0.19285186127150866</v>
      </c>
      <c r="J750">
        <f>($B$1+Table4[[#This Row],[Home Differential]])-Table4[[#This Row],[Away Differential]]</f>
        <v>0.33528642571778999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1.8591692540144091</v>
      </c>
      <c r="H751" t="s">
        <v>29</v>
      </c>
      <c r="I751">
        <f>VLOOKUP(Table4[[#This Row],[Visitor]],'NHL Model'!$A$6:$B$38,2,FALSE)</f>
        <v>-0.3202921716073342</v>
      </c>
      <c r="J751">
        <f>($B$1+Table4[[#This Row],[Home Differential]])-Table4[[#This Row],[Away Differential]]</f>
        <v>2.2536790795265738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-8.5361594338821137E-2</v>
      </c>
      <c r="H752" t="s">
        <v>33</v>
      </c>
      <c r="I752">
        <f>VLOOKUP(Table4[[#This Row],[Visitor]],'NHL Model'!$A$6:$B$38,2,FALSE)</f>
        <v>-0.17930549805059143</v>
      </c>
      <c r="J752">
        <f>($B$1+Table4[[#This Row],[Home Differential]])-Table4[[#This Row],[Away Differential]]</f>
        <v>0.16816155761660082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0.59141292607535034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1.584470710005189E-2</v>
      </c>
      <c r="H753" t="s">
        <v>31</v>
      </c>
      <c r="I753">
        <f>VLOOKUP(Table4[[#This Row],[Visitor]],'NHL Model'!$A$6:$B$38,2,FALSE)</f>
        <v>-6.6593655044643821E-4</v>
      </c>
      <c r="J753">
        <f>($B$1+Table4[[#This Row],[Home Differential]])-Table4[[#This Row],[Away Differential]]</f>
        <v>9.0728297555328852E-2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-0.96065798985911643</v>
      </c>
      <c r="H754" t="s">
        <v>37</v>
      </c>
      <c r="I754">
        <f>VLOOKUP(Table4[[#This Row],[Visitor]],'NHL Model'!$A$6:$B$38,2,FALSE)</f>
        <v>0.79636680320115127</v>
      </c>
      <c r="J754">
        <f>($B$1+Table4[[#This Row],[Home Differential]])-Table4[[#This Row],[Away Differential]]</f>
        <v>-1.6828071391554373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0.72771764347943058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-6.6593655044643821E-4</v>
      </c>
      <c r="H755" t="s">
        <v>13</v>
      </c>
      <c r="I755">
        <f>VLOOKUP(Table4[[#This Row],[Visitor]],'NHL Model'!$A$6:$B$38,2,FALSE)</f>
        <v>1.584470710005189E-2</v>
      </c>
      <c r="J755">
        <f>($B$1+Table4[[#This Row],[Home Differential]])-Table4[[#This Row],[Away Differential]]</f>
        <v>5.770701025433219E-2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0.18511137883580026</v>
      </c>
      <c r="H756" t="s">
        <v>34</v>
      </c>
      <c r="I756">
        <f>VLOOKUP(Table4[[#This Row],[Visitor]],'NHL Model'!$A$6:$B$38,2,FALSE)</f>
        <v>0.59379638322319717</v>
      </c>
      <c r="J756">
        <f>($B$1+Table4[[#This Row],[Home Differential]])-Table4[[#This Row],[Away Differential]]</f>
        <v>-0.33446735048256637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0.51433484407952923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-0.21926170023436534</v>
      </c>
      <c r="H757" t="s">
        <v>30</v>
      </c>
      <c r="I757">
        <f>VLOOKUP(Table4[[#This Row],[Visitor]],'NHL Model'!$A$6:$B$38,2,FALSE)</f>
        <v>0.16690670582810133</v>
      </c>
      <c r="J757">
        <f>($B$1+Table4[[#This Row],[Home Differential]])-Table4[[#This Row],[Away Differential]]</f>
        <v>-0.31195075215763612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0.48819090145325822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-0.39984103039900787</v>
      </c>
      <c r="H758" t="s">
        <v>21</v>
      </c>
      <c r="I758">
        <f>VLOOKUP(Table4[[#This Row],[Visitor]],'NHL Model'!$A$6:$B$38,2,FALSE)</f>
        <v>3.9572996236628868E-2</v>
      </c>
      <c r="J758">
        <f>($B$1+Table4[[#This Row],[Home Differential]])-Table4[[#This Row],[Away Differential]]</f>
        <v>-0.36519637273080618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0.49938825306447043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-6.1952588060713437E-2</v>
      </c>
      <c r="H759" t="s">
        <v>25</v>
      </c>
      <c r="I759">
        <f>VLOOKUP(Table4[[#This Row],[Visitor]],'NHL Model'!$A$6:$B$38,2,FALSE)</f>
        <v>0.45392063308446812</v>
      </c>
      <c r="J759">
        <f>($B$1+Table4[[#This Row],[Home Differential]])-Table4[[#This Row],[Away Differential]]</f>
        <v>-0.44165556724035104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9.4361646617848058E-2</v>
      </c>
      <c r="H760" t="s">
        <v>18</v>
      </c>
      <c r="I760">
        <f>VLOOKUP(Table4[[#This Row],[Visitor]],'NHL Model'!$A$6:$B$38,2,FALSE)</f>
        <v>0.10902894471156278</v>
      </c>
      <c r="J760">
        <f>($B$1+Table4[[#This Row],[Home Differential]])-Table4[[#This Row],[Away Differential]]</f>
        <v>5.9550355811115799E-2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0.17784181108472058</v>
      </c>
      <c r="H761" t="s">
        <v>15</v>
      </c>
      <c r="I761">
        <f>VLOOKUP(Table4[[#This Row],[Visitor]],'NHL Model'!$A$6:$B$38,2,FALSE)</f>
        <v>-6.2506340836952119E-3</v>
      </c>
      <c r="J761">
        <f>($B$1+Table4[[#This Row],[Home Differential]])-Table4[[#This Row],[Away Differential]]</f>
        <v>0.25831009907324631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3.9336367625328564E-2</v>
      </c>
      <c r="H762" t="s">
        <v>28</v>
      </c>
      <c r="I762">
        <f>VLOOKUP(Table4[[#This Row],[Visitor]],'NHL Model'!$A$6:$B$38,2,FALSE)</f>
        <v>-0.19727709229606127</v>
      </c>
      <c r="J762">
        <f>($B$1+Table4[[#This Row],[Home Differential]])-Table4[[#This Row],[Away Differential]]</f>
        <v>0.31083111382622036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0.3142836898216293</v>
      </c>
      <c r="H763" t="s">
        <v>32</v>
      </c>
      <c r="I763">
        <f>VLOOKUP(Table4[[#This Row],[Visitor]],'NHL Model'!$A$6:$B$38,2,FALSE)</f>
        <v>-0.2855111111085496</v>
      </c>
      <c r="J763">
        <f>($B$1+Table4[[#This Row],[Home Differential]])-Table4[[#This Row],[Away Differential]]</f>
        <v>0.67401245483500949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-0.48278309788469043</v>
      </c>
      <c r="H764" t="s">
        <v>17</v>
      </c>
      <c r="I764">
        <f>VLOOKUP(Table4[[#This Row],[Visitor]],'NHL Model'!$A$6:$B$38,2,FALSE)</f>
        <v>7.1049614431123245E-2</v>
      </c>
      <c r="J764">
        <f>($B$1+Table4[[#This Row],[Home Differential]])-Table4[[#This Row],[Away Differential]]</f>
        <v>-0.47961505841098312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0.14556378660539449</v>
      </c>
      <c r="H765" t="s">
        <v>29</v>
      </c>
      <c r="I765">
        <f>VLOOKUP(Table4[[#This Row],[Visitor]],'NHL Model'!$A$6:$B$38,2,FALSE)</f>
        <v>-0.3202921716073342</v>
      </c>
      <c r="J765">
        <f>($B$1+Table4[[#This Row],[Home Differential]])-Table4[[#This Row],[Away Differential]]</f>
        <v>0.54007361211755922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-0.10659687498124908</v>
      </c>
      <c r="H766" t="s">
        <v>19</v>
      </c>
      <c r="I766">
        <f>VLOOKUP(Table4[[#This Row],[Visitor]],'NHL Model'!$A$6:$B$38,2,FALSE)</f>
        <v>-7.3686276472912369E-4</v>
      </c>
      <c r="J766">
        <f>($B$1+Table4[[#This Row],[Home Differential]])-Table4[[#This Row],[Away Differential]]</f>
        <v>-3.1642358311689427E-2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0.46341278640698924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0.45610704431993199</v>
      </c>
      <c r="H767" t="s">
        <v>11</v>
      </c>
      <c r="I767">
        <f>VLOOKUP(Table4[[#This Row],[Visitor]],'NHL Model'!$A$6:$B$38,2,FALSE)</f>
        <v>0.19285186127150866</v>
      </c>
      <c r="J767">
        <f>($B$1+Table4[[#This Row],[Home Differential]])-Table4[[#This Row],[Away Differential]]</f>
        <v>0.33747283695325381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0.55363951055382687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0.76796514781800074</v>
      </c>
      <c r="H768" t="s">
        <v>37</v>
      </c>
      <c r="I768">
        <f>VLOOKUP(Table4[[#This Row],[Visitor]],'NHL Model'!$A$6:$B$38,2,FALSE)</f>
        <v>0.79636680320115127</v>
      </c>
      <c r="J768">
        <f>($B$1+Table4[[#This Row],[Home Differential]])-Table4[[#This Row],[Away Differential]]</f>
        <v>4.5815998521679946E-2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0.4849414843052221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-8.5361594338821137E-2</v>
      </c>
      <c r="H769" t="s">
        <v>36</v>
      </c>
      <c r="I769">
        <f>VLOOKUP(Table4[[#This Row],[Visitor]],'NHL Model'!$A$6:$B$38,2,FALSE)</f>
        <v>9.4361646617848058E-2</v>
      </c>
      <c r="J769">
        <f>($B$1+Table4[[#This Row],[Home Differential]])-Table4[[#This Row],[Away Differential]]</f>
        <v>-0.10550558705183867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7.1049614431123245E-2</v>
      </c>
      <c r="H770" t="s">
        <v>35</v>
      </c>
      <c r="I770">
        <f>VLOOKUP(Table4[[#This Row],[Visitor]],'NHL Model'!$A$6:$B$38,2,FALSE)</f>
        <v>-0.96065798985911643</v>
      </c>
      <c r="J770">
        <f>($B$1+Table4[[#This Row],[Home Differential]])-Table4[[#This Row],[Away Differential]]</f>
        <v>1.1059252581950703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0.68044679135871222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-6.6593655044643821E-4</v>
      </c>
      <c r="H771" t="s">
        <v>15</v>
      </c>
      <c r="I771">
        <f>VLOOKUP(Table4[[#This Row],[Visitor]],'NHL Model'!$A$6:$B$38,2,FALSE)</f>
        <v>-6.2506340836952119E-3</v>
      </c>
      <c r="J771">
        <f>($B$1+Table4[[#This Row],[Home Differential]])-Table4[[#This Row],[Away Differential]]</f>
        <v>7.9802351438079289E-2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0.51564933576041239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0.45392063308446812</v>
      </c>
      <c r="H772" t="s">
        <v>23</v>
      </c>
      <c r="I772">
        <f>VLOOKUP(Table4[[#This Row],[Visitor]],'NHL Model'!$A$6:$B$38,2,FALSE)</f>
        <v>0.18511137883580026</v>
      </c>
      <c r="J772">
        <f>($B$1+Table4[[#This Row],[Home Differential]])-Table4[[#This Row],[Away Differential]]</f>
        <v>0.3430269081534984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-0.21926170023436534</v>
      </c>
      <c r="H773" t="s">
        <v>24</v>
      </c>
      <c r="I773">
        <f>VLOOKUP(Table4[[#This Row],[Visitor]],'NHL Model'!$A$6:$B$38,2,FALSE)</f>
        <v>-6.1952588060713437E-2</v>
      </c>
      <c r="J773">
        <f>($B$1+Table4[[#This Row],[Home Differential]])-Table4[[#This Row],[Away Differential]]</f>
        <v>-8.3091458268821389E-2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0.46232408480634951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-0.39984103039900787</v>
      </c>
      <c r="H774" t="s">
        <v>40</v>
      </c>
      <c r="I774">
        <f>VLOOKUP(Table4[[#This Row],[Visitor]],'NHL Model'!$A$6:$B$38,2,FALSE)</f>
        <v>-0.10659687498124908</v>
      </c>
      <c r="J774">
        <f>($B$1+Table4[[#This Row],[Home Differential]])-Table4[[#This Row],[Away Differential]]</f>
        <v>-0.21902650151292824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1.8591692540144091</v>
      </c>
      <c r="H775" t="s">
        <v>22</v>
      </c>
      <c r="I775">
        <f>VLOOKUP(Table4[[#This Row],[Visitor]],'NHL Model'!$A$6:$B$38,2,FALSE)</f>
        <v>0.45610704431993199</v>
      </c>
      <c r="J775">
        <f>($B$1+Table4[[#This Row],[Home Differential]])-Table4[[#This Row],[Away Differential]]</f>
        <v>1.4772798635993076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0.81978267319599785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0.19285186127150866</v>
      </c>
      <c r="H776" t="s">
        <v>33</v>
      </c>
      <c r="I776">
        <f>VLOOKUP(Table4[[#This Row],[Visitor]],'NHL Model'!$A$6:$B$38,2,FALSE)</f>
        <v>-0.17930549805059143</v>
      </c>
      <c r="J776">
        <f>($B$1+Table4[[#This Row],[Home Differential]])-Table4[[#This Row],[Away Differential]]</f>
        <v>0.44637501322693063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0.58162109676789775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-0.2855111111085496</v>
      </c>
      <c r="H777" t="s">
        <v>14</v>
      </c>
      <c r="I777">
        <f>VLOOKUP(Table4[[#This Row],[Visitor]],'NHL Model'!$A$6:$B$38,2,FALSE)</f>
        <v>3.9336367625328564E-2</v>
      </c>
      <c r="J777">
        <f>($B$1+Table4[[#This Row],[Home Differential]])-Table4[[#This Row],[Away Differential]]</f>
        <v>-0.25062982482904761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0.49432139820515336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-7.3686276472912369E-4</v>
      </c>
      <c r="H778" t="s">
        <v>34</v>
      </c>
      <c r="I778">
        <f>VLOOKUP(Table4[[#This Row],[Visitor]],'NHL Model'!$A$6:$B$38,2,FALSE)</f>
        <v>0.59379638322319717</v>
      </c>
      <c r="J778">
        <f>($B$1+Table4[[#This Row],[Home Differential]])-Table4[[#This Row],[Away Differential]]</f>
        <v>-0.52031559208309575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0.5542318432858262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-0.48278309788469043</v>
      </c>
      <c r="H779" t="s">
        <v>30</v>
      </c>
      <c r="I779">
        <f>VLOOKUP(Table4[[#This Row],[Visitor]],'NHL Model'!$A$6:$B$38,2,FALSE)</f>
        <v>0.16690670582810133</v>
      </c>
      <c r="J779">
        <f>($B$1+Table4[[#This Row],[Home Differential]])-Table4[[#This Row],[Away Differential]]</f>
        <v>-0.57547214980796124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0.55565096161007377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0.14556378660539449</v>
      </c>
      <c r="H780" t="s">
        <v>27</v>
      </c>
      <c r="I780">
        <f>VLOOKUP(Table4[[#This Row],[Visitor]],'NHL Model'!$A$6:$B$38,2,FALSE)</f>
        <v>0.17784181108472058</v>
      </c>
      <c r="J780">
        <f>($B$1+Table4[[#This Row],[Home Differential]])-Table4[[#This Row],[Away Differential]]</f>
        <v>4.1939629425504443E-2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0.53723367890840479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-0.19727709229606127</v>
      </c>
      <c r="H781" t="s">
        <v>36</v>
      </c>
      <c r="I781">
        <f>VLOOKUP(Table4[[#This Row],[Visitor]],'NHL Model'!$A$6:$B$38,2,FALSE)</f>
        <v>9.4361646617848058E-2</v>
      </c>
      <c r="J781">
        <f>($B$1+Table4[[#This Row],[Home Differential]])-Table4[[#This Row],[Away Differential]]</f>
        <v>-0.21742108500907881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0.76796514781800074</v>
      </c>
      <c r="H782" t="s">
        <v>21</v>
      </c>
      <c r="I782">
        <f>VLOOKUP(Table4[[#This Row],[Visitor]],'NHL Model'!$A$6:$B$38,2,FALSE)</f>
        <v>3.9572996236628868E-2</v>
      </c>
      <c r="J782">
        <f>($B$1+Table4[[#This Row],[Home Differential]])-Table4[[#This Row],[Away Differential]]</f>
        <v>0.80260980548620231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0.65260321264753174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7.1049614431123245E-2</v>
      </c>
      <c r="H783" t="s">
        <v>24</v>
      </c>
      <c r="I783">
        <f>VLOOKUP(Table4[[#This Row],[Visitor]],'NHL Model'!$A$6:$B$38,2,FALSE)</f>
        <v>-6.1952588060713437E-2</v>
      </c>
      <c r="J783">
        <f>($B$1+Table4[[#This Row],[Home Differential]])-Table4[[#This Row],[Away Differential]]</f>
        <v>0.20721985639666721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0.55131695104579659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1.584470710005189E-2</v>
      </c>
      <c r="H784" t="s">
        <v>15</v>
      </c>
      <c r="I784">
        <f>VLOOKUP(Table4[[#This Row],[Visitor]],'NHL Model'!$A$6:$B$38,2,FALSE)</f>
        <v>-6.2506340836952119E-3</v>
      </c>
      <c r="J784">
        <f>($B$1+Table4[[#This Row],[Home Differential]])-Table4[[#This Row],[Away Differential]]</f>
        <v>9.6312995088577616E-2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0.49110000380471747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0.10902894471156278</v>
      </c>
      <c r="H785" t="s">
        <v>34</v>
      </c>
      <c r="I785">
        <f>VLOOKUP(Table4[[#This Row],[Visitor]],'NHL Model'!$A$6:$B$38,2,FALSE)</f>
        <v>0.59379638322319717</v>
      </c>
      <c r="J785">
        <f>($B$1+Table4[[#This Row],[Home Differential]])-Table4[[#This Row],[Away Differential]]</f>
        <v>-0.41054978460680386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0.56168341987753145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-0.3202921716073342</v>
      </c>
      <c r="H786" t="s">
        <v>23</v>
      </c>
      <c r="I786">
        <f>VLOOKUP(Table4[[#This Row],[Visitor]],'NHL Model'!$A$6:$B$38,2,FALSE)</f>
        <v>0.18511137883580026</v>
      </c>
      <c r="J786">
        <f>($B$1+Table4[[#This Row],[Home Differential]])-Table4[[#This Row],[Away Differential]]</f>
        <v>-0.43118589653830391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0.50650555284457954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0.79636680320115127</v>
      </c>
      <c r="H787" t="s">
        <v>33</v>
      </c>
      <c r="I787">
        <f>VLOOKUP(Table4[[#This Row],[Visitor]],'NHL Model'!$A$6:$B$38,2,FALSE)</f>
        <v>-0.17930549805059143</v>
      </c>
      <c r="J787">
        <f>($B$1+Table4[[#This Row],[Home Differential]])-Table4[[#This Row],[Away Differential]]</f>
        <v>1.0498899551565732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0.65051094044631685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-0.10659687498124908</v>
      </c>
      <c r="H788" t="s">
        <v>35</v>
      </c>
      <c r="I788">
        <f>VLOOKUP(Table4[[#This Row],[Visitor]],'NHL Model'!$A$6:$B$38,2,FALSE)</f>
        <v>-0.96065798985911643</v>
      </c>
      <c r="J788">
        <f>($B$1+Table4[[#This Row],[Home Differential]])-Table4[[#This Row],[Away Differential]]</f>
        <v>0.92827876878269788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-0.21926170023436534</v>
      </c>
      <c r="H789" t="s">
        <v>14</v>
      </c>
      <c r="I789">
        <f>VLOOKUP(Table4[[#This Row],[Visitor]],'NHL Model'!$A$6:$B$38,2,FALSE)</f>
        <v>3.9336367625328564E-2</v>
      </c>
      <c r="J789">
        <f>($B$1+Table4[[#This Row],[Home Differential]])-Table4[[#This Row],[Away Differential]]</f>
        <v>-0.18438041395486338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0.44845777725194863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1.8591692540144091</v>
      </c>
      <c r="H790" t="s">
        <v>31</v>
      </c>
      <c r="I790">
        <f>VLOOKUP(Table4[[#This Row],[Visitor]],'NHL Model'!$A$6:$B$38,2,FALSE)</f>
        <v>-6.6593655044643821E-4</v>
      </c>
      <c r="J790">
        <f>($B$1+Table4[[#This Row],[Home Differential]])-Table4[[#This Row],[Away Differential]]</f>
        <v>1.9340528444696861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-0.2855111111085496</v>
      </c>
      <c r="H791" t="s">
        <v>30</v>
      </c>
      <c r="I791">
        <f>VLOOKUP(Table4[[#This Row],[Visitor]],'NHL Model'!$A$6:$B$38,2,FALSE)</f>
        <v>0.16690670582810133</v>
      </c>
      <c r="J791">
        <f>($B$1+Table4[[#This Row],[Home Differential]])-Table4[[#This Row],[Away Differential]]</f>
        <v>-0.37820016303182036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0.53437419240350481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-7.3686276472912369E-4</v>
      </c>
      <c r="H792" t="s">
        <v>26</v>
      </c>
      <c r="I792">
        <f>VLOOKUP(Table4[[#This Row],[Visitor]],'NHL Model'!$A$6:$B$38,2,FALSE)</f>
        <v>-8.5361594338821137E-2</v>
      </c>
      <c r="J792">
        <f>($B$1+Table4[[#This Row],[Home Differential]])-Table4[[#This Row],[Away Differential]]</f>
        <v>0.15884238547892254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0.3142836898216293</v>
      </c>
      <c r="H793" t="s">
        <v>27</v>
      </c>
      <c r="I793">
        <f>VLOOKUP(Table4[[#This Row],[Visitor]],'NHL Model'!$A$6:$B$38,2,FALSE)</f>
        <v>0.17784181108472058</v>
      </c>
      <c r="J793">
        <f>($B$1+Table4[[#This Row],[Home Differential]])-Table4[[#This Row],[Away Differential]]</f>
        <v>0.21065953264173926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0.55543096327681385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-0.48278309788469043</v>
      </c>
      <c r="H794" t="s">
        <v>22</v>
      </c>
      <c r="I794">
        <f>VLOOKUP(Table4[[#This Row],[Visitor]],'NHL Model'!$A$6:$B$38,2,FALSE)</f>
        <v>0.45610704431993199</v>
      </c>
      <c r="J794">
        <f>($B$1+Table4[[#This Row],[Home Differential]])-Table4[[#This Row],[Away Differential]]</f>
        <v>-0.86467248829979182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0.55325924716164232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3.9572996236628868E-2</v>
      </c>
      <c r="H795" t="s">
        <v>20</v>
      </c>
      <c r="I795">
        <f>VLOOKUP(Table4[[#This Row],[Visitor]],'NHL Model'!$A$6:$B$38,2,FALSE)</f>
        <v>0.14556378660539449</v>
      </c>
      <c r="J795">
        <f>($B$1+Table4[[#This Row],[Home Differential]])-Table4[[#This Row],[Away Differential]]</f>
        <v>-3.1773136463935092E-2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0.47009355815065174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0.45392063308446812</v>
      </c>
      <c r="H796" t="s">
        <v>10</v>
      </c>
      <c r="I796">
        <f>VLOOKUP(Table4[[#This Row],[Visitor]],'NHL Model'!$A$6:$B$38,2,FALSE)</f>
        <v>-0.39984103039900787</v>
      </c>
      <c r="J796">
        <f>($B$1+Table4[[#This Row],[Home Differential]])-Table4[[#This Row],[Away Differential]]</f>
        <v>0.92797931738830652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0.67378535142912466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-0.19727709229606127</v>
      </c>
      <c r="H797" t="s">
        <v>39</v>
      </c>
      <c r="I797">
        <f>VLOOKUP(Table4[[#This Row],[Visitor]],'NHL Model'!$A$6:$B$38,2,FALSE)</f>
        <v>0.76796514781800074</v>
      </c>
      <c r="J797">
        <f>($B$1+Table4[[#This Row],[Home Differential]])-Table4[[#This Row],[Away Differential]]</f>
        <v>-0.89102458620923153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0.63020169906561707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7.1049614431123245E-2</v>
      </c>
      <c r="H798" t="s">
        <v>14</v>
      </c>
      <c r="I798">
        <f>VLOOKUP(Table4[[#This Row],[Visitor]],'NHL Model'!$A$6:$B$38,2,FALSE)</f>
        <v>3.9336367625328564E-2</v>
      </c>
      <c r="J798">
        <f>($B$1+Table4[[#This Row],[Home Differential]])-Table4[[#This Row],[Away Differential]]</f>
        <v>0.10593090071062521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0.5653610368565819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0.59379638322319717</v>
      </c>
      <c r="H799" t="s">
        <v>26</v>
      </c>
      <c r="I799">
        <f>VLOOKUP(Table4[[#This Row],[Visitor]],'NHL Model'!$A$6:$B$38,2,FALSE)</f>
        <v>-8.5361594338821137E-2</v>
      </c>
      <c r="J799">
        <f>($B$1+Table4[[#This Row],[Home Differential]])-Table4[[#This Row],[Away Differential]]</f>
        <v>0.75337563146684883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0.62292199185768349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0.10902894471156278</v>
      </c>
      <c r="H800" t="s">
        <v>23</v>
      </c>
      <c r="I800">
        <f>VLOOKUP(Table4[[#This Row],[Visitor]],'NHL Model'!$A$6:$B$38,2,FALSE)</f>
        <v>0.18511137883580026</v>
      </c>
      <c r="J800">
        <f>($B$1+Table4[[#This Row],[Home Differential]])-Table4[[#This Row],[Away Differential]]</f>
        <v>-1.8647802194069474E-3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-0.3202921716073342</v>
      </c>
      <c r="H801" t="s">
        <v>36</v>
      </c>
      <c r="I801">
        <f>VLOOKUP(Table4[[#This Row],[Visitor]],'NHL Model'!$A$6:$B$38,2,FALSE)</f>
        <v>9.4361646617848058E-2</v>
      </c>
      <c r="J801">
        <f>($B$1+Table4[[#This Row],[Home Differential]])-Table4[[#This Row],[Away Differential]]</f>
        <v>-0.34043616432035173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0.51748697167196367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-0.10659687498124908</v>
      </c>
      <c r="H802" t="s">
        <v>11</v>
      </c>
      <c r="I802">
        <f>VLOOKUP(Table4[[#This Row],[Visitor]],'NHL Model'!$A$6:$B$38,2,FALSE)</f>
        <v>0.19285186127150866</v>
      </c>
      <c r="J802">
        <f>($B$1+Table4[[#This Row],[Home Differential]])-Table4[[#This Row],[Away Differential]]</f>
        <v>-0.22523108234792721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0.5211867072659454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-0.21926170023436534</v>
      </c>
      <c r="H803" t="s">
        <v>22</v>
      </c>
      <c r="I803">
        <f>VLOOKUP(Table4[[#This Row],[Visitor]],'NHL Model'!$A$6:$B$38,2,FALSE)</f>
        <v>0.45610704431993199</v>
      </c>
      <c r="J803">
        <f>($B$1+Table4[[#This Row],[Home Differential]])-Table4[[#This Row],[Away Differential]]</f>
        <v>-0.60115109064946681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0.48624505548187352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-0.39984103039900787</v>
      </c>
      <c r="H804" t="s">
        <v>37</v>
      </c>
      <c r="I804">
        <f>VLOOKUP(Table4[[#This Row],[Visitor]],'NHL Model'!$A$6:$B$38,2,FALSE)</f>
        <v>0.79636680320115127</v>
      </c>
      <c r="J804">
        <f>($B$1+Table4[[#This Row],[Home Differential]])-Table4[[#This Row],[Away Differential]]</f>
        <v>-1.1219901796953287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0.66723073295268143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1.8591692540144091</v>
      </c>
      <c r="H805" t="s">
        <v>27</v>
      </c>
      <c r="I805">
        <f>VLOOKUP(Table4[[#This Row],[Visitor]],'NHL Model'!$A$6:$B$38,2,FALSE)</f>
        <v>0.17784181108472058</v>
      </c>
      <c r="J805">
        <f>($B$1+Table4[[#This Row],[Home Differential]])-Table4[[#This Row],[Away Differential]]</f>
        <v>1.755545096834519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0.84319046201423775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0.76796514781800074</v>
      </c>
      <c r="H806" t="s">
        <v>35</v>
      </c>
      <c r="I806">
        <f>VLOOKUP(Table4[[#This Row],[Visitor]],'NHL Model'!$A$6:$B$38,2,FALSE)</f>
        <v>-0.96065798985911643</v>
      </c>
      <c r="J806">
        <f>($B$1+Table4[[#This Row],[Home Differential]])-Table4[[#This Row],[Away Differential]]</f>
        <v>1.8028407915819478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-0.2855111111085496</v>
      </c>
      <c r="H807" t="s">
        <v>31</v>
      </c>
      <c r="I807">
        <f>VLOOKUP(Table4[[#This Row],[Visitor]],'NHL Model'!$A$6:$B$38,2,FALSE)</f>
        <v>-6.6593655044643821E-4</v>
      </c>
      <c r="J807">
        <f>($B$1+Table4[[#This Row],[Home Differential]])-Table4[[#This Row],[Away Differential]]</f>
        <v>-0.21062752065327262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-0.17930549805059143</v>
      </c>
      <c r="H808" t="s">
        <v>15</v>
      </c>
      <c r="I808">
        <f>VLOOKUP(Table4[[#This Row],[Visitor]],'NHL Model'!$A$6:$B$38,2,FALSE)</f>
        <v>-6.2506340836952119E-3</v>
      </c>
      <c r="J808">
        <f>($B$1+Table4[[#This Row],[Home Differential]])-Table4[[#This Row],[Away Differential]]</f>
        <v>-9.8837210062065695E-2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0.52994792065460561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-7.3686276472912369E-4</v>
      </c>
      <c r="H809" t="s">
        <v>20</v>
      </c>
      <c r="I809">
        <f>VLOOKUP(Table4[[#This Row],[Visitor]],'NHL Model'!$A$6:$B$38,2,FALSE)</f>
        <v>0.14556378660539449</v>
      </c>
      <c r="J809">
        <f>($B$1+Table4[[#This Row],[Home Differential]])-Table4[[#This Row],[Away Differential]]</f>
        <v>-7.2082995465293079E-2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0.46931297267558297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-0.48278309788469043</v>
      </c>
      <c r="H810" t="s">
        <v>24</v>
      </c>
      <c r="I810">
        <f>VLOOKUP(Table4[[#This Row],[Visitor]],'NHL Model'!$A$6:$B$38,2,FALSE)</f>
        <v>-6.1952588060713437E-2</v>
      </c>
      <c r="J810">
        <f>($B$1+Table4[[#This Row],[Home Differential]])-Table4[[#This Row],[Away Differential]]</f>
        <v>-0.34661285591914648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0.52977425919049537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3.9572996236628868E-2</v>
      </c>
      <c r="H811" t="s">
        <v>18</v>
      </c>
      <c r="I811">
        <f>VLOOKUP(Table4[[#This Row],[Visitor]],'NHL Model'!$A$6:$B$38,2,FALSE)</f>
        <v>0.10902894471156278</v>
      </c>
      <c r="J811">
        <f>($B$1+Table4[[#This Row],[Home Differential]])-Table4[[#This Row],[Away Differential]]</f>
        <v>4.7617054298966094E-3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-0.19727709229606127</v>
      </c>
      <c r="H812" t="s">
        <v>37</v>
      </c>
      <c r="I812">
        <f>VLOOKUP(Table4[[#This Row],[Visitor]],'NHL Model'!$A$6:$B$38,2,FALSE)</f>
        <v>0.79636680320115127</v>
      </c>
      <c r="J812">
        <f>($B$1+Table4[[#This Row],[Home Differential]])-Table4[[#This Row],[Away Differential]]</f>
        <v>-0.91942624159238207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7.1049614431123245E-2</v>
      </c>
      <c r="H813" t="s">
        <v>22</v>
      </c>
      <c r="I813">
        <f>VLOOKUP(Table4[[#This Row],[Visitor]],'NHL Model'!$A$6:$B$38,2,FALSE)</f>
        <v>0.45610704431993199</v>
      </c>
      <c r="J813">
        <f>($B$1+Table4[[#This Row],[Home Differential]])-Table4[[#This Row],[Away Differential]]</f>
        <v>-0.31083977598397822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0.47235839474392094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0.59379638322319717</v>
      </c>
      <c r="H814" t="s">
        <v>11</v>
      </c>
      <c r="I814">
        <f>VLOOKUP(Table4[[#This Row],[Visitor]],'NHL Model'!$A$6:$B$38,2,FALSE)</f>
        <v>0.19285186127150866</v>
      </c>
      <c r="J814">
        <f>($B$1+Table4[[#This Row],[Home Differential]])-Table4[[#This Row],[Away Differential]]</f>
        <v>0.47516217585651899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0.57685508324645407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-0.3202921716073342</v>
      </c>
      <c r="H815" t="s">
        <v>55</v>
      </c>
      <c r="I815">
        <f>VLOOKUP(Table4[[#This Row],[Visitor]],'NHL Model'!$A$6:$B$38,2,FALSE)</f>
        <v>0.3142836898216293</v>
      </c>
      <c r="J815">
        <f>($B$1+Table4[[#This Row],[Home Differential]])-Table4[[#This Row],[Away Differential]]</f>
        <v>-0.5603582075241329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0.16690670582810133</v>
      </c>
      <c r="H816" t="s">
        <v>23</v>
      </c>
      <c r="I816">
        <f>VLOOKUP(Table4[[#This Row],[Visitor]],'NHL Model'!$A$6:$B$38,2,FALSE)</f>
        <v>0.18511137883580026</v>
      </c>
      <c r="J816">
        <f>($B$1+Table4[[#This Row],[Home Differential]])-Table4[[#This Row],[Away Differential]]</f>
        <v>5.6012980897131581E-2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0.54853675899574095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9.4361646617848058E-2</v>
      </c>
      <c r="H817" t="s">
        <v>25</v>
      </c>
      <c r="I817">
        <f>VLOOKUP(Table4[[#This Row],[Visitor]],'NHL Model'!$A$6:$B$38,2,FALSE)</f>
        <v>0.45392063308446812</v>
      </c>
      <c r="J817">
        <f>($B$1+Table4[[#This Row],[Home Differential]])-Table4[[#This Row],[Away Differential]]</f>
        <v>-0.28534133256178951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-0.96065798985911643</v>
      </c>
      <c r="H818" t="s">
        <v>13</v>
      </c>
      <c r="I818">
        <f>VLOOKUP(Table4[[#This Row],[Visitor]],'NHL Model'!$A$6:$B$38,2,FALSE)</f>
        <v>1.584470710005189E-2</v>
      </c>
      <c r="J818">
        <f>($B$1+Table4[[#This Row],[Home Differential]])-Table4[[#This Row],[Away Differential]]</f>
        <v>-0.90228504305433788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-0.10659687498124908</v>
      </c>
      <c r="H819" t="s">
        <v>26</v>
      </c>
      <c r="I819">
        <f>VLOOKUP(Table4[[#This Row],[Visitor]],'NHL Model'!$A$6:$B$38,2,FALSE)</f>
        <v>-8.5361594338821137E-2</v>
      </c>
      <c r="J819">
        <f>($B$1+Table4[[#This Row],[Home Differential]])-Table4[[#This Row],[Away Differential]]</f>
        <v>5.2982373262402585E-2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0.52494518284997027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-0.21926170023436534</v>
      </c>
      <c r="H820" t="s">
        <v>31</v>
      </c>
      <c r="I820">
        <f>VLOOKUP(Table4[[#This Row],[Visitor]],'NHL Model'!$A$6:$B$38,2,FALSE)</f>
        <v>-6.6593655044643821E-4</v>
      </c>
      <c r="J820">
        <f>($B$1+Table4[[#This Row],[Home Differential]])-Table4[[#This Row],[Away Differential]]</f>
        <v>-0.14437810977908838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-0.39984103039900787</v>
      </c>
      <c r="H821" t="s">
        <v>11</v>
      </c>
      <c r="I821">
        <f>VLOOKUP(Table4[[#This Row],[Visitor]],'NHL Model'!$A$6:$B$38,2,FALSE)</f>
        <v>0.19285186127150866</v>
      </c>
      <c r="J821">
        <f>($B$1+Table4[[#This Row],[Home Differential]])-Table4[[#This Row],[Away Differential]]</f>
        <v>-0.51847523776568605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0.55281455427029003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9.4361646617848058E-2</v>
      </c>
      <c r="H822" t="s">
        <v>20</v>
      </c>
      <c r="I822">
        <f>VLOOKUP(Table4[[#This Row],[Visitor]],'NHL Model'!$A$6:$B$38,2,FALSE)</f>
        <v>0.14556378660539449</v>
      </c>
      <c r="J822">
        <f>($B$1+Table4[[#This Row],[Home Differential]])-Table4[[#This Row],[Away Differential]]</f>
        <v>2.3015513917284097E-2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0.52171310737614585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-0.2855111111085496</v>
      </c>
      <c r="H823" t="s">
        <v>24</v>
      </c>
      <c r="I823">
        <f>VLOOKUP(Table4[[#This Row],[Visitor]],'NHL Model'!$A$6:$B$38,2,FALSE)</f>
        <v>-6.1952588060713437E-2</v>
      </c>
      <c r="J823">
        <f>($B$1+Table4[[#This Row],[Home Differential]])-Table4[[#This Row],[Away Differential]]</f>
        <v>-0.14934086914300562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0.50849748998392652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-7.3686276472912369E-4</v>
      </c>
      <c r="H824" t="s">
        <v>12</v>
      </c>
      <c r="I824">
        <f>VLOOKUP(Table4[[#This Row],[Visitor]],'NHL Model'!$A$6:$B$38,2,FALSE)</f>
        <v>1.8591692540144091</v>
      </c>
      <c r="J824">
        <f>($B$1+Table4[[#This Row],[Home Differential]])-Table4[[#This Row],[Away Differential]]</f>
        <v>-1.7856884628743077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0.71962244779765949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-0.48278309788469043</v>
      </c>
      <c r="H825" t="s">
        <v>14</v>
      </c>
      <c r="I825">
        <f>VLOOKUP(Table4[[#This Row],[Visitor]],'NHL Model'!$A$6:$B$38,2,FALSE)</f>
        <v>3.9336367625328564E-2</v>
      </c>
      <c r="J825">
        <f>($B$1+Table4[[#This Row],[Home Differential]])-Table4[[#This Row],[Away Differential]]</f>
        <v>-0.44790181160518844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0.51559816741172226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-0.19727709229606127</v>
      </c>
      <c r="H826" t="s">
        <v>13</v>
      </c>
      <c r="I826">
        <f>VLOOKUP(Table4[[#This Row],[Visitor]],'NHL Model'!$A$6:$B$38,2,FALSE)</f>
        <v>1.584470710005189E-2</v>
      </c>
      <c r="J826">
        <f>($B$1+Table4[[#This Row],[Home Differential]])-Table4[[#This Row],[Away Differential]]</f>
        <v>-0.13890414549128263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0.50737183720352219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7.1049614431123245E-2</v>
      </c>
      <c r="H827" t="s">
        <v>31</v>
      </c>
      <c r="I827">
        <f>VLOOKUP(Table4[[#This Row],[Visitor]],'NHL Model'!$A$6:$B$38,2,FALSE)</f>
        <v>-6.6593655044643821E-4</v>
      </c>
      <c r="J827">
        <f>($B$1+Table4[[#This Row],[Home Differential]])-Table4[[#This Row],[Away Differential]]</f>
        <v>0.14593320488640021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-6.2506340836952119E-3</v>
      </c>
      <c r="H828" t="s">
        <v>21</v>
      </c>
      <c r="I828">
        <f>VLOOKUP(Table4[[#This Row],[Visitor]],'NHL Model'!$A$6:$B$38,2,FALSE)</f>
        <v>3.9572996236628868E-2</v>
      </c>
      <c r="J828">
        <f>($B$1+Table4[[#This Row],[Home Differential]])-Table4[[#This Row],[Away Differential]]</f>
        <v>2.8394023584506448E-2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0.54306243728025605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0.17784181108472058</v>
      </c>
      <c r="H829" t="s">
        <v>30</v>
      </c>
      <c r="I829">
        <f>VLOOKUP(Table4[[#This Row],[Visitor]],'NHL Model'!$A$6:$B$38,2,FALSE)</f>
        <v>0.16690670582810133</v>
      </c>
      <c r="J829">
        <f>($B$1+Table4[[#This Row],[Home Differential]])-Table4[[#This Row],[Away Differential]]</f>
        <v>8.5152759161449793E-2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0.79636680320115127</v>
      </c>
      <c r="H830" t="s">
        <v>55</v>
      </c>
      <c r="I830">
        <f>VLOOKUP(Table4[[#This Row],[Visitor]],'NHL Model'!$A$6:$B$38,2,FALSE)</f>
        <v>0.3142836898216293</v>
      </c>
      <c r="J830">
        <f>($B$1+Table4[[#This Row],[Home Differential]])-Table4[[#This Row],[Away Differential]]</f>
        <v>0.55630076728435252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0.60455427208640344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3.9572996236628868E-2</v>
      </c>
      <c r="H831" t="s">
        <v>29</v>
      </c>
      <c r="I831">
        <f>VLOOKUP(Table4[[#This Row],[Visitor]],'NHL Model'!$A$6:$B$38,2,FALSE)</f>
        <v>-0.3202921716073342</v>
      </c>
      <c r="J831">
        <f>($B$1+Table4[[#This Row],[Home Differential]])-Table4[[#This Row],[Away Differential]]</f>
        <v>0.43408282174879359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0.60083462119815645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-8.5361594338821137E-2</v>
      </c>
      <c r="H832" t="s">
        <v>13</v>
      </c>
      <c r="I832">
        <f>VLOOKUP(Table4[[#This Row],[Visitor]],'NHL Model'!$A$6:$B$38,2,FALSE)</f>
        <v>1.584470710005189E-2</v>
      </c>
      <c r="J832">
        <f>($B$1+Table4[[#This Row],[Home Differential]])-Table4[[#This Row],[Away Differential]]</f>
        <v>-2.6988647534042502E-2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0.45440339776637129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0.19285186127150866</v>
      </c>
      <c r="H833" t="s">
        <v>55</v>
      </c>
      <c r="I833">
        <f>VLOOKUP(Table4[[#This Row],[Visitor]],'NHL Model'!$A$6:$B$38,2,FALSE)</f>
        <v>0.3142836898216293</v>
      </c>
      <c r="J833">
        <f>($B$1+Table4[[#This Row],[Home Differential]])-Table4[[#This Row],[Away Differential]]</f>
        <v>-4.7214174645290097E-2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0.46432689356948764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0.59379638322319717</v>
      </c>
      <c r="H834" t="s">
        <v>10</v>
      </c>
      <c r="I834">
        <f>VLOOKUP(Table4[[#This Row],[Visitor]],'NHL Model'!$A$6:$B$38,2,FALSE)</f>
        <v>-0.39984103039900787</v>
      </c>
      <c r="J834">
        <f>($B$1+Table4[[#This Row],[Home Differential]])-Table4[[#This Row],[Away Differential]]</f>
        <v>1.0678550675270355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0.10902894471156278</v>
      </c>
      <c r="H835" t="s">
        <v>20</v>
      </c>
      <c r="I835">
        <f>VLOOKUP(Table4[[#This Row],[Visitor]],'NHL Model'!$A$6:$B$38,2,FALSE)</f>
        <v>0.14556378660539449</v>
      </c>
      <c r="J835">
        <f>($B$1+Table4[[#This Row],[Home Differential]])-Table4[[#This Row],[Away Differential]]</f>
        <v>3.7682812010998823E-2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0.52329504874310762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-6.1952588060713437E-2</v>
      </c>
      <c r="H836" t="s">
        <v>40</v>
      </c>
      <c r="I836">
        <f>VLOOKUP(Table4[[#This Row],[Visitor]],'NHL Model'!$A$6:$B$38,2,FALSE)</f>
        <v>-0.10659687498124908</v>
      </c>
      <c r="J836">
        <f>($B$1+Table4[[#This Row],[Home Differential]])-Table4[[#This Row],[Away Differential]]</f>
        <v>0.11886194082536616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0.55281985406907275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-0.2855111111085496</v>
      </c>
      <c r="H837" t="s">
        <v>22</v>
      </c>
      <c r="I837">
        <f>VLOOKUP(Table4[[#This Row],[Visitor]],'NHL Model'!$A$6:$B$38,2,FALSE)</f>
        <v>0.45610704431993199</v>
      </c>
      <c r="J837">
        <f>($B$1+Table4[[#This Row],[Home Differential]])-Table4[[#This Row],[Away Differential]]</f>
        <v>-0.66740050152365105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0.53198247795507347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-0.96065798985911643</v>
      </c>
      <c r="H838" t="s">
        <v>39</v>
      </c>
      <c r="I838">
        <f>VLOOKUP(Table4[[#This Row],[Visitor]],'NHL Model'!$A$6:$B$38,2,FALSE)</f>
        <v>0.76796514781800074</v>
      </c>
      <c r="J838">
        <f>($B$1+Table4[[#This Row],[Home Differential]])-Table4[[#This Row],[Away Differential]]</f>
        <v>-1.6544054837722868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-7.3686276472912369E-4</v>
      </c>
      <c r="H839" t="s">
        <v>23</v>
      </c>
      <c r="I839">
        <f>VLOOKUP(Table4[[#This Row],[Visitor]],'NHL Model'!$A$6:$B$38,2,FALSE)</f>
        <v>0.18511137883580026</v>
      </c>
      <c r="J839">
        <f>($B$1+Table4[[#This Row],[Home Differential]])-Table4[[#This Row],[Away Differential]]</f>
        <v>-0.11163058769569885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-0.48278309788469043</v>
      </c>
      <c r="H840" t="s">
        <v>33</v>
      </c>
      <c r="I840">
        <f>VLOOKUP(Table4[[#This Row],[Visitor]],'NHL Model'!$A$6:$B$38,2,FALSE)</f>
        <v>-0.17930549805059143</v>
      </c>
      <c r="J840">
        <f>($B$1+Table4[[#This Row],[Home Differential]])-Table4[[#This Row],[Away Differential]]</f>
        <v>-0.22925994592926846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-0.19727709229606127</v>
      </c>
      <c r="H841" t="s">
        <v>27</v>
      </c>
      <c r="I841">
        <f>VLOOKUP(Table4[[#This Row],[Visitor]],'NHL Model'!$A$6:$B$38,2,FALSE)</f>
        <v>0.17784181108472058</v>
      </c>
      <c r="J841">
        <f>($B$1+Table4[[#This Row],[Home Differential]])-Table4[[#This Row],[Away Differential]]</f>
        <v>-0.30090124947595132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0.49974342247417114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0.16690670582810133</v>
      </c>
      <c r="H842" t="s">
        <v>15</v>
      </c>
      <c r="I842">
        <f>VLOOKUP(Table4[[#This Row],[Visitor]],'NHL Model'!$A$6:$B$38,2,FALSE)</f>
        <v>-6.2506340836952119E-3</v>
      </c>
      <c r="J842">
        <f>($B$1+Table4[[#This Row],[Home Differential]])-Table4[[#This Row],[Away Differential]]</f>
        <v>0.24737499381662706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9.4361646617848058E-2</v>
      </c>
      <c r="H843" t="s">
        <v>12</v>
      </c>
      <c r="I843">
        <f>VLOOKUP(Table4[[#This Row],[Visitor]],'NHL Model'!$A$6:$B$38,2,FALSE)</f>
        <v>1.8591692540144091</v>
      </c>
      <c r="J843">
        <f>($B$1+Table4[[#This Row],[Home Differential]])-Table4[[#This Row],[Away Differential]]</f>
        <v>-1.6905899534917306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0.72855705888309252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3.9572996236628868E-2</v>
      </c>
      <c r="H844" t="s">
        <v>27</v>
      </c>
      <c r="I844">
        <f>VLOOKUP(Table4[[#This Row],[Visitor]],'NHL Model'!$A$6:$B$38,2,FALSE)</f>
        <v>0.17784181108472058</v>
      </c>
      <c r="J844">
        <f>($B$1+Table4[[#This Row],[Home Differential]])-Table4[[#This Row],[Away Differential]]</f>
        <v>-6.4051160943261187E-2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0.46014564773443961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0.18511137883580026</v>
      </c>
      <c r="H845" t="s">
        <v>13</v>
      </c>
      <c r="I845">
        <f>VLOOKUP(Table4[[#This Row],[Visitor]],'NHL Model'!$A$6:$B$38,2,FALSE)</f>
        <v>1.584470710005189E-2</v>
      </c>
      <c r="J845">
        <f>($B$1+Table4[[#This Row],[Home Differential]])-Table4[[#This Row],[Away Differential]]</f>
        <v>0.2434843256405789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0.57289874483230352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0.45392063308446812</v>
      </c>
      <c r="H846" t="s">
        <v>55</v>
      </c>
      <c r="I846">
        <f>VLOOKUP(Table4[[#This Row],[Visitor]],'NHL Model'!$A$6:$B$38,2,FALSE)</f>
        <v>0.3142836898216293</v>
      </c>
      <c r="J846">
        <f>($B$1+Table4[[#This Row],[Home Differential]])-Table4[[#This Row],[Away Differential]]</f>
        <v>0.21385459716766936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0.59676343308609014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-8.5361594338821137E-2</v>
      </c>
      <c r="H847" t="s">
        <v>22</v>
      </c>
      <c r="I847">
        <f>VLOOKUP(Table4[[#This Row],[Visitor]],'NHL Model'!$A$6:$B$38,2,FALSE)</f>
        <v>0.45610704431993199</v>
      </c>
      <c r="J847">
        <f>($B$1+Table4[[#This Row],[Home Differential]])-Table4[[#This Row],[Away Differential]]</f>
        <v>-0.46725098475392257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7.1049614431123245E-2</v>
      </c>
      <c r="H848" t="s">
        <v>33</v>
      </c>
      <c r="I848">
        <f>VLOOKUP(Table4[[#This Row],[Visitor]],'NHL Model'!$A$6:$B$38,2,FALSE)</f>
        <v>-0.17930549805059143</v>
      </c>
      <c r="J848">
        <f>($B$1+Table4[[#This Row],[Home Differential]])-Table4[[#This Row],[Away Differential]]</f>
        <v>0.3245727663865452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0.59379638322319717</v>
      </c>
      <c r="H849" t="s">
        <v>16</v>
      </c>
      <c r="I849">
        <f>VLOOKUP(Table4[[#This Row],[Visitor]],'NHL Model'!$A$6:$B$38,2,FALSE)</f>
        <v>-0.21926170023436534</v>
      </c>
      <c r="J849">
        <f>($B$1+Table4[[#This Row],[Home Differential]])-Table4[[#This Row],[Away Differential]]</f>
        <v>0.88727573736239296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0.10902894471156278</v>
      </c>
      <c r="H850" t="s">
        <v>12</v>
      </c>
      <c r="I850">
        <f>VLOOKUP(Table4[[#This Row],[Visitor]],'NHL Model'!$A$6:$B$38,2,FALSE)</f>
        <v>1.8591692540144091</v>
      </c>
      <c r="J850">
        <f>($B$1+Table4[[#This Row],[Home Differential]])-Table4[[#This Row],[Away Differential]]</f>
        <v>-1.6759226553980158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0.72697511751613075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-6.1952588060713437E-2</v>
      </c>
      <c r="H851" t="s">
        <v>29</v>
      </c>
      <c r="I851">
        <f>VLOOKUP(Table4[[#This Row],[Visitor]],'NHL Model'!$A$6:$B$38,2,FALSE)</f>
        <v>-0.3202921716073342</v>
      </c>
      <c r="J851">
        <f>($B$1+Table4[[#This Row],[Home Differential]])-Table4[[#This Row],[Away Differential]]</f>
        <v>0.33255723745145127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0.57586795928231849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-6.2506340836952119E-3</v>
      </c>
      <c r="H852" t="s">
        <v>30</v>
      </c>
      <c r="I852">
        <f>VLOOKUP(Table4[[#This Row],[Visitor]],'NHL Model'!$A$6:$B$38,2,FALSE)</f>
        <v>0.16690670582810133</v>
      </c>
      <c r="J852">
        <f>($B$1+Table4[[#This Row],[Home Differential]])-Table4[[#This Row],[Away Differential]]</f>
        <v>-9.893968600696601E-2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3.9336367625328564E-2</v>
      </c>
      <c r="H853" t="s">
        <v>10</v>
      </c>
      <c r="I853">
        <f>VLOOKUP(Table4[[#This Row],[Visitor]],'NHL Model'!$A$6:$B$38,2,FALSE)</f>
        <v>-0.39984103039900787</v>
      </c>
      <c r="J853">
        <f>($B$1+Table4[[#This Row],[Home Differential]])-Table4[[#This Row],[Away Differential]]</f>
        <v>0.51339505192916701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0.59537222091288078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-0.2855111111085496</v>
      </c>
      <c r="H854" t="s">
        <v>19</v>
      </c>
      <c r="I854">
        <f>VLOOKUP(Table4[[#This Row],[Visitor]],'NHL Model'!$A$6:$B$38,2,FALSE)</f>
        <v>-7.3686276472912369E-4</v>
      </c>
      <c r="J854">
        <f>($B$1+Table4[[#This Row],[Home Differential]])-Table4[[#This Row],[Away Differential]]</f>
        <v>-0.21055659443898994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0.48270958050360835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-0.96065798985911643</v>
      </c>
      <c r="H855" t="s">
        <v>11</v>
      </c>
      <c r="I855">
        <f>VLOOKUP(Table4[[#This Row],[Visitor]],'NHL Model'!$A$6:$B$38,2,FALSE)</f>
        <v>0.19285186127150866</v>
      </c>
      <c r="J855">
        <f>($B$1+Table4[[#This Row],[Home Differential]])-Table4[[#This Row],[Away Differential]]</f>
        <v>-1.0792921972257945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0.61330146479703918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0.79636680320115127</v>
      </c>
      <c r="H856" t="s">
        <v>40</v>
      </c>
      <c r="I856">
        <f>VLOOKUP(Table4[[#This Row],[Visitor]],'NHL Model'!$A$6:$B$38,2,FALSE)</f>
        <v>-0.10659687498124908</v>
      </c>
      <c r="J856">
        <f>($B$1+Table4[[#This Row],[Home Differential]])-Table4[[#This Row],[Away Differential]]</f>
        <v>0.97718133208723079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0.64994834342509333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-0.48278309788469043</v>
      </c>
      <c r="H857" t="s">
        <v>31</v>
      </c>
      <c r="I857">
        <f>VLOOKUP(Table4[[#This Row],[Visitor]],'NHL Model'!$A$6:$B$38,2,FALSE)</f>
        <v>-6.6593655044643821E-4</v>
      </c>
      <c r="J857">
        <f>($B$1+Table4[[#This Row],[Home Differential]])-Table4[[#This Row],[Away Differential]]</f>
        <v>-0.40789950742941344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0.14556378660539449</v>
      </c>
      <c r="H858" t="s">
        <v>39</v>
      </c>
      <c r="I858">
        <f>VLOOKUP(Table4[[#This Row],[Visitor]],'NHL Model'!$A$6:$B$38,2,FALSE)</f>
        <v>0.76796514781800074</v>
      </c>
      <c r="J858">
        <f>($B$1+Table4[[#This Row],[Home Differential]])-Table4[[#This Row],[Away Differential]]</f>
        <v>-0.54818370730777577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0.59322459768304114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-0.39984103039900787</v>
      </c>
      <c r="H859" t="s">
        <v>28</v>
      </c>
      <c r="I859">
        <f>VLOOKUP(Table4[[#This Row],[Visitor]],'NHL Model'!$A$6:$B$38,2,FALSE)</f>
        <v>-0.19727709229606127</v>
      </c>
      <c r="J859">
        <f>($B$1+Table4[[#This Row],[Home Differential]])-Table4[[#This Row],[Away Differential]]</f>
        <v>-0.12834628419811606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0.47384278787896461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0.18511137883580026</v>
      </c>
      <c r="H860" t="s">
        <v>18</v>
      </c>
      <c r="I860">
        <f>VLOOKUP(Table4[[#This Row],[Visitor]],'NHL Model'!$A$6:$B$38,2,FALSE)</f>
        <v>0.10902894471156278</v>
      </c>
      <c r="J860">
        <f>($B$1+Table4[[#This Row],[Home Differential]])-Table4[[#This Row],[Away Differential]]</f>
        <v>0.15030008802906802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-0.21926170023436534</v>
      </c>
      <c r="H861" t="s">
        <v>33</v>
      </c>
      <c r="I861">
        <f>VLOOKUP(Table4[[#This Row],[Visitor]],'NHL Model'!$A$6:$B$38,2,FALSE)</f>
        <v>-0.17930549805059143</v>
      </c>
      <c r="J861">
        <f>($B$1+Table4[[#This Row],[Home Differential]])-Table4[[#This Row],[Away Differential]]</f>
        <v>3.4261451721056602E-2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-8.5361594338821137E-2</v>
      </c>
      <c r="H862" t="s">
        <v>12</v>
      </c>
      <c r="I862">
        <f>VLOOKUP(Table4[[#This Row],[Visitor]],'NHL Model'!$A$6:$B$38,2,FALSE)</f>
        <v>1.8591692540144091</v>
      </c>
      <c r="J862">
        <f>($B$1+Table4[[#This Row],[Home Differential]])-Table4[[#This Row],[Away Differential]]</f>
        <v>-1.8703131944483997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0.70702297415371329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7.1049614431123245E-2</v>
      </c>
      <c r="H863" t="s">
        <v>34</v>
      </c>
      <c r="I863">
        <f>VLOOKUP(Table4[[#This Row],[Visitor]],'NHL Model'!$A$6:$B$38,2,FALSE)</f>
        <v>0.59379638322319717</v>
      </c>
      <c r="J863">
        <f>($B$1+Table4[[#This Row],[Home Differential]])-Table4[[#This Row],[Away Differential]]</f>
        <v>-0.4485291148872434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0.19285186127150866</v>
      </c>
      <c r="H864" t="s">
        <v>40</v>
      </c>
      <c r="I864">
        <f>VLOOKUP(Table4[[#This Row],[Visitor]],'NHL Model'!$A$6:$B$38,2,FALSE)</f>
        <v>-0.10659687498124908</v>
      </c>
      <c r="J864">
        <f>($B$1+Table4[[#This Row],[Home Differential]])-Table4[[#This Row],[Away Differential]]</f>
        <v>0.37366639015758829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0.58106717776920214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0.16690670582810133</v>
      </c>
      <c r="H865" t="s">
        <v>29</v>
      </c>
      <c r="I865">
        <f>VLOOKUP(Table4[[#This Row],[Visitor]],'NHL Model'!$A$6:$B$38,2,FALSE)</f>
        <v>-0.3202921716073342</v>
      </c>
      <c r="J865">
        <f>($B$1+Table4[[#This Row],[Home Differential]])-Table4[[#This Row],[Away Differential]]</f>
        <v>0.56141653134026603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0.6030470565534054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9.4361646617848058E-2</v>
      </c>
      <c r="H866" t="s">
        <v>24</v>
      </c>
      <c r="I866">
        <f>VLOOKUP(Table4[[#This Row],[Visitor]],'NHL Model'!$A$6:$B$38,2,FALSE)</f>
        <v>-6.1952588060713437E-2</v>
      </c>
      <c r="J866">
        <f>($B$1+Table4[[#This Row],[Home Differential]])-Table4[[#This Row],[Away Differential]]</f>
        <v>0.23053188858339202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0.17784181108472058</v>
      </c>
      <c r="H867" t="s">
        <v>13</v>
      </c>
      <c r="I867">
        <f>VLOOKUP(Table4[[#This Row],[Visitor]],'NHL Model'!$A$6:$B$38,2,FALSE)</f>
        <v>1.584470710005189E-2</v>
      </c>
      <c r="J867">
        <f>($B$1+Table4[[#This Row],[Home Differential]])-Table4[[#This Row],[Away Differential]]</f>
        <v>0.23621475788949922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0.53767206355318986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3.9336367625328564E-2</v>
      </c>
      <c r="H868" t="s">
        <v>15</v>
      </c>
      <c r="I868">
        <f>VLOOKUP(Table4[[#This Row],[Visitor]],'NHL Model'!$A$6:$B$38,2,FALSE)</f>
        <v>-6.2506340836952119E-3</v>
      </c>
      <c r="J868">
        <f>($B$1+Table4[[#This Row],[Home Differential]])-Table4[[#This Row],[Away Differential]]</f>
        <v>0.1198046556138543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-0.96065798985911643</v>
      </c>
      <c r="H869" t="s">
        <v>28</v>
      </c>
      <c r="I869">
        <f>VLOOKUP(Table4[[#This Row],[Visitor]],'NHL Model'!$A$6:$B$38,2,FALSE)</f>
        <v>-0.19727709229606127</v>
      </c>
      <c r="J869">
        <f>($B$1+Table4[[#This Row],[Home Differential]])-Table4[[#This Row],[Away Differential]]</f>
        <v>-0.68916324365822468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0.53432969840571376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0.3142836898216293</v>
      </c>
      <c r="H870" t="s">
        <v>39</v>
      </c>
      <c r="I870">
        <f>VLOOKUP(Table4[[#This Row],[Visitor]],'NHL Model'!$A$6:$B$38,2,FALSE)</f>
        <v>0.76796514781800074</v>
      </c>
      <c r="J870">
        <f>($B$1+Table4[[#This Row],[Home Differential]])-Table4[[#This Row],[Away Differential]]</f>
        <v>-0.3794638040915409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-0.48278309788469043</v>
      </c>
      <c r="H871" t="s">
        <v>19</v>
      </c>
      <c r="I871">
        <f>VLOOKUP(Table4[[#This Row],[Visitor]],'NHL Model'!$A$6:$B$38,2,FALSE)</f>
        <v>-7.3686276472912369E-4</v>
      </c>
      <c r="J871">
        <f>($B$1+Table4[[#This Row],[Home Differential]])-Table4[[#This Row],[Away Differential]]</f>
        <v>-0.40782858121513077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0.50398634971017731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0.14556378660539449</v>
      </c>
      <c r="H872" t="s">
        <v>32</v>
      </c>
      <c r="I872">
        <f>VLOOKUP(Table4[[#This Row],[Visitor]],'NHL Model'!$A$6:$B$38,2,FALSE)</f>
        <v>-0.2855111111085496</v>
      </c>
      <c r="J872">
        <f>($B$1+Table4[[#This Row],[Home Differential]])-Table4[[#This Row],[Away Differential]]</f>
        <v>0.50529255161877462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0.45610704431993199</v>
      </c>
      <c r="H873" t="s">
        <v>25</v>
      </c>
      <c r="I873">
        <f>VLOOKUP(Table4[[#This Row],[Visitor]],'NHL Model'!$A$6:$B$38,2,FALSE)</f>
        <v>0.45392063308446812</v>
      </c>
      <c r="J873">
        <f>($B$1+Table4[[#This Row],[Home Differential]])-Table4[[#This Row],[Away Differential]]</f>
        <v>7.6404065140294353E-2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-6.6593655044643821E-4</v>
      </c>
      <c r="H874" t="s">
        <v>20</v>
      </c>
      <c r="I874">
        <f>VLOOKUP(Table4[[#This Row],[Visitor]],'NHL Model'!$A$6:$B$38,2,FALSE)</f>
        <v>0.14556378660539449</v>
      </c>
      <c r="J874">
        <f>($B$1+Table4[[#This Row],[Home Differential]])-Table4[[#This Row],[Away Differential]]</f>
        <v>-7.2012069251010405E-2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0.45392063308446812</v>
      </c>
      <c r="H875" t="s">
        <v>13</v>
      </c>
      <c r="I875">
        <f>VLOOKUP(Table4[[#This Row],[Visitor]],'NHL Model'!$A$6:$B$38,2,FALSE)</f>
        <v>1.584470710005189E-2</v>
      </c>
      <c r="J875">
        <f>($B$1+Table4[[#This Row],[Home Differential]])-Table4[[#This Row],[Away Differential]]</f>
        <v>0.51229357988924673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0.59692008831785881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0.79636680320115127</v>
      </c>
      <c r="H876" t="s">
        <v>21</v>
      </c>
      <c r="I876">
        <f>VLOOKUP(Table4[[#This Row],[Visitor]],'NHL Model'!$A$6:$B$38,2,FALSE)</f>
        <v>3.9572996236628868E-2</v>
      </c>
      <c r="J876">
        <f>($B$1+Table4[[#This Row],[Home Differential]])-Table4[[#This Row],[Away Differential]]</f>
        <v>0.83101146086935285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-0.21926170023436534</v>
      </c>
      <c r="H877" t="s">
        <v>19</v>
      </c>
      <c r="I877">
        <f>VLOOKUP(Table4[[#This Row],[Visitor]],'NHL Model'!$A$6:$B$38,2,FALSE)</f>
        <v>-7.3686276472912369E-4</v>
      </c>
      <c r="J877">
        <f>($B$1+Table4[[#This Row],[Home Differential]])-Table4[[#This Row],[Away Differential]]</f>
        <v>-0.14430718356480571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0.43697215803040845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-0.39984103039900787</v>
      </c>
      <c r="H878" t="s">
        <v>33</v>
      </c>
      <c r="I878">
        <f>VLOOKUP(Table4[[#This Row],[Visitor]],'NHL Model'!$A$6:$B$38,2,FALSE)</f>
        <v>-0.17930549805059143</v>
      </c>
      <c r="J878">
        <f>($B$1+Table4[[#This Row],[Home Differential]])-Table4[[#This Row],[Away Differential]]</f>
        <v>-0.1463178784435859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1.8591692540144091</v>
      </c>
      <c r="H879" t="s">
        <v>26</v>
      </c>
      <c r="I879">
        <f>VLOOKUP(Table4[[#This Row],[Visitor]],'NHL Model'!$A$6:$B$38,2,FALSE)</f>
        <v>-8.5361594338821137E-2</v>
      </c>
      <c r="J879">
        <f>($B$1+Table4[[#This Row],[Home Differential]])-Table4[[#This Row],[Away Differential]]</f>
        <v>2.0187485022580609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0.859241544185257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0.76796514781800074</v>
      </c>
      <c r="H880" t="s">
        <v>40</v>
      </c>
      <c r="I880">
        <f>VLOOKUP(Table4[[#This Row],[Visitor]],'NHL Model'!$A$6:$B$38,2,FALSE)</f>
        <v>-0.10659687498124908</v>
      </c>
      <c r="J880">
        <f>($B$1+Table4[[#This Row],[Home Differential]])-Table4[[#This Row],[Away Differential]]</f>
        <v>0.94877967670408025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0.19285186127150866</v>
      </c>
      <c r="H881" t="s">
        <v>23</v>
      </c>
      <c r="I881">
        <f>VLOOKUP(Table4[[#This Row],[Visitor]],'NHL Model'!$A$6:$B$38,2,FALSE)</f>
        <v>0.18511137883580026</v>
      </c>
      <c r="J881">
        <f>($B$1+Table4[[#This Row],[Home Differential]])-Table4[[#This Row],[Away Differential]]</f>
        <v>8.1958136340538945E-2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0.59379638322319717</v>
      </c>
      <c r="H882" t="s">
        <v>18</v>
      </c>
      <c r="I882">
        <f>VLOOKUP(Table4[[#This Row],[Visitor]],'NHL Model'!$A$6:$B$38,2,FALSE)</f>
        <v>0.10902894471156278</v>
      </c>
      <c r="J882">
        <f>($B$1+Table4[[#This Row],[Home Differential]])-Table4[[#This Row],[Away Differential]]</f>
        <v>0.55898509241646488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0.55647254062223694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-0.3202921716073342</v>
      </c>
      <c r="H883" t="s">
        <v>35</v>
      </c>
      <c r="I883">
        <f>VLOOKUP(Table4[[#This Row],[Visitor]],'NHL Model'!$A$6:$B$38,2,FALSE)</f>
        <v>-0.96065798985911643</v>
      </c>
      <c r="J883">
        <f>($B$1+Table4[[#This Row],[Home Differential]])-Table4[[#This Row],[Away Differential]]</f>
        <v>0.71458347215661278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3.9336367625328564E-2</v>
      </c>
      <c r="H884" t="s">
        <v>36</v>
      </c>
      <c r="I884">
        <f>VLOOKUP(Table4[[#This Row],[Visitor]],'NHL Model'!$A$6:$B$38,2,FALSE)</f>
        <v>9.4361646617848058E-2</v>
      </c>
      <c r="J884">
        <f>($B$1+Table4[[#This Row],[Home Differential]])-Table4[[#This Row],[Away Differential]]</f>
        <v>1.919237491231103E-2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0.52130076273673309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0.3142836898216293</v>
      </c>
      <c r="H885" t="s">
        <v>38</v>
      </c>
      <c r="I885">
        <f>VLOOKUP(Table4[[#This Row],[Visitor]],'NHL Model'!$A$6:$B$38,2,FALSE)</f>
        <v>-0.48278309788469043</v>
      </c>
      <c r="J885">
        <f>($B$1+Table4[[#This Row],[Home Differential]])-Table4[[#This Row],[Away Differential]]</f>
        <v>0.87128444161115026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0.59145981654089264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0.45610704431993199</v>
      </c>
      <c r="H886" t="s">
        <v>30</v>
      </c>
      <c r="I886">
        <f>VLOOKUP(Table4[[#This Row],[Visitor]],'NHL Model'!$A$6:$B$38,2,FALSE)</f>
        <v>0.16690670582810133</v>
      </c>
      <c r="J886">
        <f>($B$1+Table4[[#This Row],[Home Differential]])-Table4[[#This Row],[Away Differential]]</f>
        <v>0.36341799239666117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-6.6593655044643821E-4</v>
      </c>
      <c r="H887" t="s">
        <v>32</v>
      </c>
      <c r="I887">
        <f>VLOOKUP(Table4[[#This Row],[Visitor]],'NHL Model'!$A$6:$B$38,2,FALSE)</f>
        <v>-0.2855111111085496</v>
      </c>
      <c r="J887">
        <f>($B$1+Table4[[#This Row],[Home Differential]])-Table4[[#This Row],[Away Differential]]</f>
        <v>0.35906282846293369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0.45392063308446812</v>
      </c>
      <c r="H888" t="s">
        <v>36</v>
      </c>
      <c r="I888">
        <f>VLOOKUP(Table4[[#This Row],[Visitor]],'NHL Model'!$A$6:$B$38,2,FALSE)</f>
        <v>9.4361646617848058E-2</v>
      </c>
      <c r="J888">
        <f>($B$1+Table4[[#This Row],[Home Differential]])-Table4[[#This Row],[Away Differential]]</f>
        <v>0.43377664037145058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0.59997646687022932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7.1049614431123245E-2</v>
      </c>
      <c r="H889" t="s">
        <v>19</v>
      </c>
      <c r="I889">
        <f>VLOOKUP(Table4[[#This Row],[Visitor]],'NHL Model'!$A$6:$B$38,2,FALSE)</f>
        <v>-7.3686276472912369E-4</v>
      </c>
      <c r="J889">
        <f>($B$1+Table4[[#This Row],[Home Differential]])-Table4[[#This Row],[Away Differential]]</f>
        <v>0.14600413110068289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0.57691450270754419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-6.1952588060713437E-2</v>
      </c>
      <c r="H890" t="s">
        <v>28</v>
      </c>
      <c r="I890">
        <f>VLOOKUP(Table4[[#This Row],[Visitor]],'NHL Model'!$A$6:$B$38,2,FALSE)</f>
        <v>-0.19727709229606127</v>
      </c>
      <c r="J890">
        <f>($B$1+Table4[[#This Row],[Home Differential]])-Table4[[#This Row],[Away Differential]]</f>
        <v>0.20954215814017835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0.16690670582810133</v>
      </c>
      <c r="H891" t="s">
        <v>14</v>
      </c>
      <c r="I891">
        <f>VLOOKUP(Table4[[#This Row],[Visitor]],'NHL Model'!$A$6:$B$38,2,FALSE)</f>
        <v>3.9336367625328564E-2</v>
      </c>
      <c r="J891">
        <f>($B$1+Table4[[#This Row],[Home Differential]])-Table4[[#This Row],[Away Differential]]</f>
        <v>0.20178799210760329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0.17784181108472058</v>
      </c>
      <c r="H892" t="s">
        <v>22</v>
      </c>
      <c r="I892">
        <f>VLOOKUP(Table4[[#This Row],[Visitor]],'NHL Model'!$A$6:$B$38,2,FALSE)</f>
        <v>0.45610704431993199</v>
      </c>
      <c r="J892">
        <f>($B$1+Table4[[#This Row],[Home Differential]])-Table4[[#This Row],[Away Differential]]</f>
        <v>-0.20404757933038087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0.79636680320115127</v>
      </c>
      <c r="H893" t="s">
        <v>23</v>
      </c>
      <c r="I893">
        <f>VLOOKUP(Table4[[#This Row],[Visitor]],'NHL Model'!$A$6:$B$38,2,FALSE)</f>
        <v>0.18511137883580026</v>
      </c>
      <c r="J893">
        <f>($B$1+Table4[[#This Row],[Home Differential]])-Table4[[#This Row],[Away Differential]]</f>
        <v>0.68547307827018145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-0.19727709229606127</v>
      </c>
      <c r="H894" t="s">
        <v>10</v>
      </c>
      <c r="I894">
        <f>VLOOKUP(Table4[[#This Row],[Visitor]],'NHL Model'!$A$6:$B$38,2,FALSE)</f>
        <v>-0.39984103039900787</v>
      </c>
      <c r="J894">
        <f>($B$1+Table4[[#This Row],[Home Differential]])-Table4[[#This Row],[Away Differential]]</f>
        <v>0.27678159200777713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0.56985227730513466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-0.21926170023436534</v>
      </c>
      <c r="H895" t="s">
        <v>17</v>
      </c>
      <c r="I895">
        <f>VLOOKUP(Table4[[#This Row],[Visitor]],'NHL Model'!$A$6:$B$38,2,FALSE)</f>
        <v>7.1049614431123245E-2</v>
      </c>
      <c r="J895">
        <f>($B$1+Table4[[#This Row],[Home Differential]])-Table4[[#This Row],[Away Differential]]</f>
        <v>-0.21609366076065806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1.8591692540144091</v>
      </c>
      <c r="H896" t="s">
        <v>33</v>
      </c>
      <c r="I896">
        <f>VLOOKUP(Table4[[#This Row],[Visitor]],'NHL Model'!$A$6:$B$38,2,FALSE)</f>
        <v>-0.17930549805059143</v>
      </c>
      <c r="J896">
        <f>($B$1+Table4[[#This Row],[Home Differential]])-Table4[[#This Row],[Away Differential]]</f>
        <v>2.1126924059698311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0.76796514781800074</v>
      </c>
      <c r="H897" t="s">
        <v>35</v>
      </c>
      <c r="I897">
        <f>VLOOKUP(Table4[[#This Row],[Visitor]],'NHL Model'!$A$6:$B$38,2,FALSE)</f>
        <v>-0.96065798985911643</v>
      </c>
      <c r="J897">
        <f>($B$1+Table4[[#This Row],[Home Differential]])-Table4[[#This Row],[Away Differential]]</f>
        <v>1.8028407915819478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0.19285186127150866</v>
      </c>
      <c r="H898" t="s">
        <v>21</v>
      </c>
      <c r="I898">
        <f>VLOOKUP(Table4[[#This Row],[Visitor]],'NHL Model'!$A$6:$B$38,2,FALSE)</f>
        <v>3.9572996236628868E-2</v>
      </c>
      <c r="J898">
        <f>($B$1+Table4[[#This Row],[Home Differential]])-Table4[[#This Row],[Away Differential]]</f>
        <v>0.22749651893971035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1.584470710005189E-2</v>
      </c>
      <c r="H899" t="s">
        <v>32</v>
      </c>
      <c r="I899">
        <f>VLOOKUP(Table4[[#This Row],[Visitor]],'NHL Model'!$A$6:$B$38,2,FALSE)</f>
        <v>-0.2855111111085496</v>
      </c>
      <c r="J899">
        <f>($B$1+Table4[[#This Row],[Home Differential]])-Table4[[#This Row],[Away Differential]]</f>
        <v>0.37557347211343201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-0.3202921716073342</v>
      </c>
      <c r="H900" t="s">
        <v>34</v>
      </c>
      <c r="I900">
        <f>VLOOKUP(Table4[[#This Row],[Visitor]],'NHL Model'!$A$6:$B$38,2,FALSE)</f>
        <v>0.59379638322319717</v>
      </c>
      <c r="J900">
        <f>($B$1+Table4[[#This Row],[Home Differential]])-Table4[[#This Row],[Away Differential]]</f>
        <v>-0.83987090092570083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0.3142836898216293</v>
      </c>
      <c r="H901" t="s">
        <v>26</v>
      </c>
      <c r="I901">
        <f>VLOOKUP(Table4[[#This Row],[Visitor]],'NHL Model'!$A$6:$B$38,2,FALSE)</f>
        <v>-8.5361594338821137E-2</v>
      </c>
      <c r="J901">
        <f>($B$1+Table4[[#This Row],[Home Differential]])-Table4[[#This Row],[Away Differential]]</f>
        <v>0.47386293806528096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0.57033925418866027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0.14556378660539449</v>
      </c>
      <c r="H902" t="s">
        <v>38</v>
      </c>
      <c r="I902">
        <f>VLOOKUP(Table4[[#This Row],[Visitor]],'NHL Model'!$A$6:$B$38,2,FALSE)</f>
        <v>-0.48278309788469043</v>
      </c>
      <c r="J902">
        <f>($B$1+Table4[[#This Row],[Home Differential]])-Table4[[#This Row],[Away Differential]]</f>
        <v>0.70256453839491551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-0.10659687498124908</v>
      </c>
      <c r="H903" t="s">
        <v>18</v>
      </c>
      <c r="I903">
        <f>VLOOKUP(Table4[[#This Row],[Visitor]],'NHL Model'!$A$6:$B$38,2,FALSE)</f>
        <v>0.10902894471156278</v>
      </c>
      <c r="J903">
        <f>($B$1+Table4[[#This Row],[Home Differential]])-Table4[[#This Row],[Away Differential]]</f>
        <v>-0.14140816578798132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0.54156736653013327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0.18511137883580026</v>
      </c>
      <c r="H904" t="s">
        <v>14</v>
      </c>
      <c r="I904">
        <f>VLOOKUP(Table4[[#This Row],[Visitor]],'NHL Model'!$A$6:$B$38,2,FALSE)</f>
        <v>3.9336367625328564E-2</v>
      </c>
      <c r="J904">
        <f>($B$1+Table4[[#This Row],[Home Differential]])-Table4[[#This Row],[Away Differential]]</f>
        <v>0.21999266511530224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0.5951558792906243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-6.1952588060713437E-2</v>
      </c>
      <c r="H905" t="s">
        <v>30</v>
      </c>
      <c r="I905">
        <f>VLOOKUP(Table4[[#This Row],[Visitor]],'NHL Model'!$A$6:$B$38,2,FALSE)</f>
        <v>0.16690670582810133</v>
      </c>
      <c r="J905">
        <f>($B$1+Table4[[#This Row],[Home Differential]])-Table4[[#This Row],[Away Differential]]</f>
        <v>-0.15464163998398422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-6.2506340836952119E-3</v>
      </c>
      <c r="H906" t="s">
        <v>25</v>
      </c>
      <c r="I906">
        <f>VLOOKUP(Table4[[#This Row],[Visitor]],'NHL Model'!$A$6:$B$38,2,FALSE)</f>
        <v>0.45392063308446812</v>
      </c>
      <c r="J906">
        <f>($B$1+Table4[[#This Row],[Home Differential]])-Table4[[#This Row],[Away Differential]]</f>
        <v>-0.38595361326333277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0.17784181108472058</v>
      </c>
      <c r="H907" t="s">
        <v>36</v>
      </c>
      <c r="I907">
        <f>VLOOKUP(Table4[[#This Row],[Visitor]],'NHL Model'!$A$6:$B$38,2,FALSE)</f>
        <v>9.4361646617848058E-2</v>
      </c>
      <c r="J907">
        <f>($B$1+Table4[[#This Row],[Home Differential]])-Table4[[#This Row],[Away Differential]]</f>
        <v>0.15769781837170305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0.79636680320115127</v>
      </c>
      <c r="H908" t="s">
        <v>11</v>
      </c>
      <c r="I908">
        <f>VLOOKUP(Table4[[#This Row],[Visitor]],'NHL Model'!$A$6:$B$38,2,FALSE)</f>
        <v>0.19285186127150866</v>
      </c>
      <c r="J908">
        <f>($B$1+Table4[[#This Row],[Home Differential]])-Table4[[#This Row],[Away Differential]]</f>
        <v>0.67773259583447309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0.14556378660539449</v>
      </c>
      <c r="H909" t="s">
        <v>13</v>
      </c>
      <c r="I909">
        <f>VLOOKUP(Table4[[#This Row],[Visitor]],'NHL Model'!$A$6:$B$38,2,FALSE)</f>
        <v>1.584470710005189E-2</v>
      </c>
      <c r="J909">
        <f>($B$1+Table4[[#This Row],[Home Differential]])-Table4[[#This Row],[Away Differential]]</f>
        <v>0.20393673341017313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0.45610704431993199</v>
      </c>
      <c r="H910" t="s">
        <v>29</v>
      </c>
      <c r="I910">
        <f>VLOOKUP(Table4[[#This Row],[Visitor]],'NHL Model'!$A$6:$B$38,2,FALSE)</f>
        <v>-0.3202921716073342</v>
      </c>
      <c r="J910">
        <f>($B$1+Table4[[#This Row],[Home Differential]])-Table4[[#This Row],[Away Differential]]</f>
        <v>0.85061686983209661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0.645759898996485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-6.6593655044643821E-4</v>
      </c>
      <c r="H911" t="s">
        <v>17</v>
      </c>
      <c r="I911">
        <f>VLOOKUP(Table4[[#This Row],[Visitor]],'NHL Model'!$A$6:$B$38,2,FALSE)</f>
        <v>7.1049614431123245E-2</v>
      </c>
      <c r="J911">
        <f>($B$1+Table4[[#This Row],[Home Differential]])-Table4[[#This Row],[Away Differential]]</f>
        <v>2.5021029232608349E-3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0.56630760014808512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0.76796514781800074</v>
      </c>
      <c r="H912" t="s">
        <v>32</v>
      </c>
      <c r="I912">
        <f>VLOOKUP(Table4[[#This Row],[Visitor]],'NHL Model'!$A$6:$B$38,2,FALSE)</f>
        <v>-0.2855111111085496</v>
      </c>
      <c r="J912">
        <f>($B$1+Table4[[#This Row],[Home Differential]])-Table4[[#This Row],[Away Differential]]</f>
        <v>1.1276939128313808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1.584470710005189E-2</v>
      </c>
      <c r="H913" t="s">
        <v>20</v>
      </c>
      <c r="I913">
        <f>VLOOKUP(Table4[[#This Row],[Visitor]],'NHL Model'!$A$6:$B$38,2,FALSE)</f>
        <v>0.14556378660539449</v>
      </c>
      <c r="J913">
        <f>($B$1+Table4[[#This Row],[Home Differential]])-Table4[[#This Row],[Away Differential]]</f>
        <v>-5.5501425600512078E-2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-6.1952588060713437E-2</v>
      </c>
      <c r="H914" t="s">
        <v>23</v>
      </c>
      <c r="I914">
        <f>VLOOKUP(Table4[[#This Row],[Visitor]],'NHL Model'!$A$6:$B$38,2,FALSE)</f>
        <v>0.18511137883580026</v>
      </c>
      <c r="J914">
        <f>($B$1+Table4[[#This Row],[Home Differential]])-Table4[[#This Row],[Away Differential]]</f>
        <v>-0.17284631299168318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0.79636680320115127</v>
      </c>
      <c r="H915" t="s">
        <v>19</v>
      </c>
      <c r="I915">
        <f>VLOOKUP(Table4[[#This Row],[Visitor]],'NHL Model'!$A$6:$B$38,2,FALSE)</f>
        <v>-7.3686276472912369E-4</v>
      </c>
      <c r="J915">
        <f>($B$1+Table4[[#This Row],[Home Differential]])-Table4[[#This Row],[Away Differential]]</f>
        <v>0.87132131987071093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0.63853081230501907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0.3142836898216293</v>
      </c>
      <c r="H916" t="s">
        <v>12</v>
      </c>
      <c r="I916">
        <f>VLOOKUP(Table4[[#This Row],[Visitor]],'NHL Model'!$A$6:$B$38,2,FALSE)</f>
        <v>1.8591692540144091</v>
      </c>
      <c r="J916">
        <f>($B$1+Table4[[#This Row],[Home Differential]])-Table4[[#This Row],[Away Differential]]</f>
        <v>-1.4706679102879492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-0.48278309788469043</v>
      </c>
      <c r="H917" t="s">
        <v>40</v>
      </c>
      <c r="I917">
        <f>VLOOKUP(Table4[[#This Row],[Visitor]],'NHL Model'!$A$6:$B$38,2,FALSE)</f>
        <v>-0.10659687498124908</v>
      </c>
      <c r="J917">
        <f>($B$1+Table4[[#This Row],[Home Differential]])-Table4[[#This Row],[Away Differential]]</f>
        <v>-0.3019685689986108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0.45610704431993199</v>
      </c>
      <c r="H918" t="s">
        <v>27</v>
      </c>
      <c r="I918">
        <f>VLOOKUP(Table4[[#This Row],[Visitor]],'NHL Model'!$A$6:$B$38,2,FALSE)</f>
        <v>0.17784181108472058</v>
      </c>
      <c r="J918">
        <f>($B$1+Table4[[#This Row],[Home Differential]])-Table4[[#This Row],[Away Differential]]</f>
        <v>0.35248288714004189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3.9572996236628868E-2</v>
      </c>
      <c r="H919" t="s">
        <v>28</v>
      </c>
      <c r="I919">
        <f>VLOOKUP(Table4[[#This Row],[Visitor]],'NHL Model'!$A$6:$B$38,2,FALSE)</f>
        <v>-0.19727709229606127</v>
      </c>
      <c r="J919">
        <f>($B$1+Table4[[#This Row],[Home Differential]])-Table4[[#This Row],[Away Differential]]</f>
        <v>0.31106774243752067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0.58756683039720581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0.45392063308446812</v>
      </c>
      <c r="H920" t="s">
        <v>37</v>
      </c>
      <c r="I920">
        <f>VLOOKUP(Table4[[#This Row],[Visitor]],'NHL Model'!$A$6:$B$38,2,FALSE)</f>
        <v>0.79636680320115127</v>
      </c>
      <c r="J920">
        <f>($B$1+Table4[[#This Row],[Home Differential]])-Table4[[#This Row],[Away Differential]]</f>
        <v>-0.26822851621185262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0.5411249073065838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1.8591692540144091</v>
      </c>
      <c r="H921" t="s">
        <v>34</v>
      </c>
      <c r="I921">
        <f>VLOOKUP(Table4[[#This Row],[Visitor]],'NHL Model'!$A$6:$B$38,2,FALSE)</f>
        <v>0.59379638322319717</v>
      </c>
      <c r="J921">
        <f>($B$1+Table4[[#This Row],[Home Differential]])-Table4[[#This Row],[Away Differential]]</f>
        <v>1.3395905246960425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0.19285186127150866</v>
      </c>
      <c r="H922" t="s">
        <v>19</v>
      </c>
      <c r="I922">
        <f>VLOOKUP(Table4[[#This Row],[Visitor]],'NHL Model'!$A$6:$B$38,2,FALSE)</f>
        <v>-7.3686276472912369E-4</v>
      </c>
      <c r="J922">
        <f>($B$1+Table4[[#This Row],[Home Differential]])-Table4[[#This Row],[Away Differential]]</f>
        <v>0.26780637794106832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1.584470710005189E-2</v>
      </c>
      <c r="H923" t="s">
        <v>17</v>
      </c>
      <c r="I923">
        <f>VLOOKUP(Table4[[#This Row],[Visitor]],'NHL Model'!$A$6:$B$38,2,FALSE)</f>
        <v>7.1049614431123245E-2</v>
      </c>
      <c r="J923">
        <f>($B$1+Table4[[#This Row],[Home Differential]])-Table4[[#This Row],[Away Differential]]</f>
        <v>1.9012746573759162E-2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0.10902894471156278</v>
      </c>
      <c r="H924" t="s">
        <v>30</v>
      </c>
      <c r="I924">
        <f>VLOOKUP(Table4[[#This Row],[Visitor]],'NHL Model'!$A$6:$B$38,2,FALSE)</f>
        <v>0.16690670582810133</v>
      </c>
      <c r="J924">
        <f>($B$1+Table4[[#This Row],[Home Differential]])-Table4[[#This Row],[Away Differential]]</f>
        <v>1.6339892788291982E-2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-0.3202921716073342</v>
      </c>
      <c r="H925" t="s">
        <v>10</v>
      </c>
      <c r="I925">
        <f>VLOOKUP(Table4[[#This Row],[Visitor]],'NHL Model'!$A$6:$B$38,2,FALSE)</f>
        <v>-0.39984103039900787</v>
      </c>
      <c r="J925">
        <f>($B$1+Table4[[#This Row],[Home Differential]])-Table4[[#This Row],[Away Differential]]</f>
        <v>0.15376651269650421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-6.2506340836952119E-3</v>
      </c>
      <c r="H926" t="s">
        <v>27</v>
      </c>
      <c r="I926">
        <f>VLOOKUP(Table4[[#This Row],[Visitor]],'NHL Model'!$A$6:$B$38,2,FALSE)</f>
        <v>0.17784181108472058</v>
      </c>
      <c r="J926">
        <f>($B$1+Table4[[#This Row],[Home Differential]])-Table4[[#This Row],[Away Differential]]</f>
        <v>-0.10987479126358526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9.4361646617848058E-2</v>
      </c>
      <c r="H927" t="s">
        <v>26</v>
      </c>
      <c r="I927">
        <f>VLOOKUP(Table4[[#This Row],[Visitor]],'NHL Model'!$A$6:$B$38,2,FALSE)</f>
        <v>-8.5361594338821137E-2</v>
      </c>
      <c r="J927">
        <f>($B$1+Table4[[#This Row],[Home Differential]])-Table4[[#This Row],[Away Differential]]</f>
        <v>0.25394089486149973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3.9336367625328564E-2</v>
      </c>
      <c r="H928" t="s">
        <v>24</v>
      </c>
      <c r="I928">
        <f>VLOOKUP(Table4[[#This Row],[Visitor]],'NHL Model'!$A$6:$B$38,2,FALSE)</f>
        <v>-6.1952588060713437E-2</v>
      </c>
      <c r="J928">
        <f>($B$1+Table4[[#This Row],[Home Differential]])-Table4[[#This Row],[Away Differential]]</f>
        <v>0.17550660959087253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-0.17930549805059143</v>
      </c>
      <c r="H929" t="s">
        <v>16</v>
      </c>
      <c r="I929">
        <f>VLOOKUP(Table4[[#This Row],[Visitor]],'NHL Model'!$A$6:$B$38,2,FALSE)</f>
        <v>-0.21926170023436534</v>
      </c>
      <c r="J929">
        <f>($B$1+Table4[[#This Row],[Home Differential]])-Table4[[#This Row],[Away Differential]]</f>
        <v>0.11417385608860443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-0.96065798985911643</v>
      </c>
      <c r="H930" t="s">
        <v>32</v>
      </c>
      <c r="I930">
        <f>VLOOKUP(Table4[[#This Row],[Visitor]],'NHL Model'!$A$6:$B$38,2,FALSE)</f>
        <v>-0.2855111111085496</v>
      </c>
      <c r="J930">
        <f>($B$1+Table4[[#This Row],[Home Differential]])-Table4[[#This Row],[Away Differential]]</f>
        <v>-0.6009292248457363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-6.6593655044643821E-4</v>
      </c>
      <c r="H931" t="s">
        <v>40</v>
      </c>
      <c r="I931">
        <f>VLOOKUP(Table4[[#This Row],[Visitor]],'NHL Model'!$A$6:$B$38,2,FALSE)</f>
        <v>-0.10659687498124908</v>
      </c>
      <c r="J931">
        <f>($B$1+Table4[[#This Row],[Home Differential]])-Table4[[#This Row],[Away Differential]]</f>
        <v>0.18014859233563316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0.19285186127150866</v>
      </c>
      <c r="H932" t="s">
        <v>23</v>
      </c>
      <c r="I932">
        <f>VLOOKUP(Table4[[#This Row],[Visitor]],'NHL Model'!$A$6:$B$38,2,FALSE)</f>
        <v>0.18511137883580026</v>
      </c>
      <c r="J932">
        <f>($B$1+Table4[[#This Row],[Home Differential]])-Table4[[#This Row],[Away Differential]]</f>
        <v>8.1958136340538945E-2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0.3142836898216293</v>
      </c>
      <c r="H933" t="s">
        <v>34</v>
      </c>
      <c r="I933">
        <f>VLOOKUP(Table4[[#This Row],[Visitor]],'NHL Model'!$A$6:$B$38,2,FALSE)</f>
        <v>0.59379638322319717</v>
      </c>
      <c r="J933">
        <f>($B$1+Table4[[#This Row],[Home Differential]])-Table4[[#This Row],[Away Differential]]</f>
        <v>-0.20529503949673733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0.53954567030837564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0.45610704431993199</v>
      </c>
      <c r="H934" t="s">
        <v>20</v>
      </c>
      <c r="I934">
        <f>VLOOKUP(Table4[[#This Row],[Visitor]],'NHL Model'!$A$6:$B$38,2,FALSE)</f>
        <v>0.14556378660539449</v>
      </c>
      <c r="J934">
        <f>($B$1+Table4[[#This Row],[Home Differential]])-Table4[[#This Row],[Away Differential]]</f>
        <v>0.38476091161936798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0.57483171964767688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0.45392063308446812</v>
      </c>
      <c r="H935" t="s">
        <v>26</v>
      </c>
      <c r="I935">
        <f>VLOOKUP(Table4[[#This Row],[Visitor]],'NHL Model'!$A$6:$B$38,2,FALSE)</f>
        <v>-8.5361594338821137E-2</v>
      </c>
      <c r="J935">
        <f>($B$1+Table4[[#This Row],[Home Differential]])-Table4[[#This Row],[Away Differential]]</f>
        <v>0.61349988132811983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-0.19727709229606127</v>
      </c>
      <c r="H936" t="s">
        <v>30</v>
      </c>
      <c r="I936">
        <f>VLOOKUP(Table4[[#This Row],[Visitor]],'NHL Model'!$A$6:$B$38,2,FALSE)</f>
        <v>0.16690670582810133</v>
      </c>
      <c r="J936">
        <f>($B$1+Table4[[#This Row],[Home Differential]])-Table4[[#This Row],[Away Differential]]</f>
        <v>-0.28996614421933209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1.8591692540144091</v>
      </c>
      <c r="H937" t="s">
        <v>10</v>
      </c>
      <c r="I937">
        <f>VLOOKUP(Table4[[#This Row],[Visitor]],'NHL Model'!$A$6:$B$38,2,FALSE)</f>
        <v>-0.39984103039900787</v>
      </c>
      <c r="J937">
        <f>($B$1+Table4[[#This Row],[Home Differential]])-Table4[[#This Row],[Away Differential]]</f>
        <v>2.3332279383182475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0.91210094877188186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0.76796514781800074</v>
      </c>
      <c r="H938" t="s">
        <v>29</v>
      </c>
      <c r="I938">
        <f>VLOOKUP(Table4[[#This Row],[Visitor]],'NHL Model'!$A$6:$B$38,2,FALSE)</f>
        <v>-0.3202921716073342</v>
      </c>
      <c r="J938">
        <f>($B$1+Table4[[#This Row],[Home Differential]])-Table4[[#This Row],[Away Differential]]</f>
        <v>1.1624749733301654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0.6914164686339882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1.584470710005189E-2</v>
      </c>
      <c r="H939" t="s">
        <v>16</v>
      </c>
      <c r="I939">
        <f>VLOOKUP(Table4[[#This Row],[Visitor]],'NHL Model'!$A$6:$B$38,2,FALSE)</f>
        <v>-0.21926170023436534</v>
      </c>
      <c r="J939">
        <f>($B$1+Table4[[#This Row],[Home Differential]])-Table4[[#This Row],[Away Differential]]</f>
        <v>0.30932406123924772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0.10902894471156278</v>
      </c>
      <c r="H940" t="s">
        <v>22</v>
      </c>
      <c r="I940">
        <f>VLOOKUP(Table4[[#This Row],[Visitor]],'NHL Model'!$A$6:$B$38,2,FALSE)</f>
        <v>0.45610704431993199</v>
      </c>
      <c r="J940">
        <f>($B$1+Table4[[#This Row],[Home Differential]])-Table4[[#This Row],[Away Differential]]</f>
        <v>-0.27286044570353868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-6.2506340836952119E-3</v>
      </c>
      <c r="H941" t="s">
        <v>14</v>
      </c>
      <c r="I941">
        <f>VLOOKUP(Table4[[#This Row],[Visitor]],'NHL Model'!$A$6:$B$38,2,FALSE)</f>
        <v>3.9336367625328564E-2</v>
      </c>
      <c r="J941">
        <f>($B$1+Table4[[#This Row],[Home Differential]])-Table4[[#This Row],[Away Differential]]</f>
        <v>2.8630652195806752E-2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0.17784181108472058</v>
      </c>
      <c r="H942" t="s">
        <v>21</v>
      </c>
      <c r="I942">
        <f>VLOOKUP(Table4[[#This Row],[Visitor]],'NHL Model'!$A$6:$B$38,2,FALSE)</f>
        <v>3.9572996236628868E-2</v>
      </c>
      <c r="J942">
        <f>($B$1+Table4[[#This Row],[Home Differential]])-Table4[[#This Row],[Away Differential]]</f>
        <v>0.21248646875292226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-0.2855111111085496</v>
      </c>
      <c r="H943" t="s">
        <v>38</v>
      </c>
      <c r="I943">
        <f>VLOOKUP(Table4[[#This Row],[Visitor]],'NHL Model'!$A$6:$B$38,2,FALSE)</f>
        <v>-0.48278309788469043</v>
      </c>
      <c r="J943">
        <f>($B$1+Table4[[#This Row],[Home Differential]])-Table4[[#This Row],[Away Differential]]</f>
        <v>0.27148964068097137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-0.17930549805059143</v>
      </c>
      <c r="H944" t="s">
        <v>17</v>
      </c>
      <c r="I944">
        <f>VLOOKUP(Table4[[#This Row],[Visitor]],'NHL Model'!$A$6:$B$38,2,FALSE)</f>
        <v>7.1049614431123245E-2</v>
      </c>
      <c r="J944">
        <f>($B$1+Table4[[#This Row],[Home Differential]])-Table4[[#This Row],[Away Differential]]</f>
        <v>-0.17613745857688415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-0.96065798985911643</v>
      </c>
      <c r="H945" t="s">
        <v>24</v>
      </c>
      <c r="I945">
        <f>VLOOKUP(Table4[[#This Row],[Visitor]],'NHL Model'!$A$6:$B$38,2,FALSE)</f>
        <v>-6.1952588060713437E-2</v>
      </c>
      <c r="J945">
        <f>($B$1+Table4[[#This Row],[Home Differential]])-Table4[[#This Row],[Away Differential]]</f>
        <v>-0.82448774789357249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0.58131545341840118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0.79636680320115127</v>
      </c>
      <c r="H946" t="s">
        <v>23</v>
      </c>
      <c r="I946">
        <f>VLOOKUP(Table4[[#This Row],[Visitor]],'NHL Model'!$A$6:$B$38,2,FALSE)</f>
        <v>0.18511137883580026</v>
      </c>
      <c r="J946">
        <f>($B$1+Table4[[#This Row],[Home Differential]])-Table4[[#This Row],[Away Differential]]</f>
        <v>0.68547307827018145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-7.3686276472912369E-4</v>
      </c>
      <c r="H947" t="s">
        <v>36</v>
      </c>
      <c r="I947">
        <f>VLOOKUP(Table4[[#This Row],[Visitor]],'NHL Model'!$A$6:$B$38,2,FALSE)</f>
        <v>9.4361646617848058E-2</v>
      </c>
      <c r="J947">
        <f>($B$1+Table4[[#This Row],[Home Differential]])-Table4[[#This Row],[Away Differential]]</f>
        <v>-2.0880855477746652E-2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-6.6593655044643821E-4</v>
      </c>
      <c r="H948" t="s">
        <v>16</v>
      </c>
      <c r="I948">
        <f>VLOOKUP(Table4[[#This Row],[Visitor]],'NHL Model'!$A$6:$B$38,2,FALSE)</f>
        <v>-0.21926170023436534</v>
      </c>
      <c r="J948">
        <f>($B$1+Table4[[#This Row],[Home Differential]])-Table4[[#This Row],[Away Differential]]</f>
        <v>0.2928134175887494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0.59379638322319717</v>
      </c>
      <c r="H949" t="s">
        <v>35</v>
      </c>
      <c r="I949">
        <f>VLOOKUP(Table4[[#This Row],[Visitor]],'NHL Model'!$A$6:$B$38,2,FALSE)</f>
        <v>-0.96065798985911643</v>
      </c>
      <c r="J949">
        <f>($B$1+Table4[[#This Row],[Home Differential]])-Table4[[#This Row],[Away Differential]]</f>
        <v>1.628672026987144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0.73794415084021592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0.16690670582810133</v>
      </c>
      <c r="H950" t="s">
        <v>11</v>
      </c>
      <c r="I950">
        <f>VLOOKUP(Table4[[#This Row],[Visitor]],'NHL Model'!$A$6:$B$38,2,FALSE)</f>
        <v>0.19285186127150866</v>
      </c>
      <c r="J950">
        <f>($B$1+Table4[[#This Row],[Home Differential]])-Table4[[#This Row],[Away Differential]]</f>
        <v>4.8272498461423174E-2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3.9336367625328564E-2</v>
      </c>
      <c r="H951" t="s">
        <v>20</v>
      </c>
      <c r="I951">
        <f>VLOOKUP(Table4[[#This Row],[Visitor]],'NHL Model'!$A$6:$B$38,2,FALSE)</f>
        <v>0.14556378660539449</v>
      </c>
      <c r="J951">
        <f>($B$1+Table4[[#This Row],[Home Differential]])-Table4[[#This Row],[Away Differential]]</f>
        <v>-3.2009765075235397E-2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0.48422164383097543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-0.17930549805059143</v>
      </c>
      <c r="H952" t="s">
        <v>40</v>
      </c>
      <c r="I952">
        <f>VLOOKUP(Table4[[#This Row],[Visitor]],'NHL Model'!$A$6:$B$38,2,FALSE)</f>
        <v>-0.10659687498124908</v>
      </c>
      <c r="J952">
        <f>($B$1+Table4[[#This Row],[Home Differential]])-Table4[[#This Row],[Away Differential]]</f>
        <v>1.5090308354881732E-3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0.3142836898216293</v>
      </c>
      <c r="H953" t="s">
        <v>10</v>
      </c>
      <c r="I953">
        <f>VLOOKUP(Table4[[#This Row],[Visitor]],'NHL Model'!$A$6:$B$38,2,FALSE)</f>
        <v>-0.39984103039900787</v>
      </c>
      <c r="J953">
        <f>($B$1+Table4[[#This Row],[Home Differential]])-Table4[[#This Row],[Away Differential]]</f>
        <v>0.7883423741254677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1.584470710005189E-2</v>
      </c>
      <c r="H954" t="s">
        <v>12</v>
      </c>
      <c r="I954">
        <f>VLOOKUP(Table4[[#This Row],[Visitor]],'NHL Model'!$A$6:$B$38,2,FALSE)</f>
        <v>1.8591692540144091</v>
      </c>
      <c r="J954">
        <f>($B$1+Table4[[#This Row],[Home Differential]])-Table4[[#This Row],[Away Differential]]</f>
        <v>-1.7691068930095266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-0.3202921716073342</v>
      </c>
      <c r="H955" t="s">
        <v>26</v>
      </c>
      <c r="I955">
        <f>VLOOKUP(Table4[[#This Row],[Visitor]],'NHL Model'!$A$6:$B$38,2,FALSE)</f>
        <v>-8.5361594338821137E-2</v>
      </c>
      <c r="J955">
        <f>($B$1+Table4[[#This Row],[Home Differential]])-Table4[[#This Row],[Away Differential]]</f>
        <v>-0.16071292336368254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0.49810292236327536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-6.2506340836952119E-3</v>
      </c>
      <c r="H956" t="s">
        <v>28</v>
      </c>
      <c r="I956">
        <f>VLOOKUP(Table4[[#This Row],[Visitor]],'NHL Model'!$A$6:$B$38,2,FALSE)</f>
        <v>-0.19727709229606127</v>
      </c>
      <c r="J956">
        <f>($B$1+Table4[[#This Row],[Home Differential]])-Table4[[#This Row],[Away Differential]]</f>
        <v>0.26524411211719656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0.56860790246576187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-0.2855111111085496</v>
      </c>
      <c r="H957" t="s">
        <v>25</v>
      </c>
      <c r="I957">
        <f>VLOOKUP(Table4[[#This Row],[Visitor]],'NHL Model'!$A$6:$B$38,2,FALSE)</f>
        <v>0.45392063308446812</v>
      </c>
      <c r="J957">
        <f>($B$1+Table4[[#This Row],[Home Differential]])-Table4[[#This Row],[Away Differential]]</f>
        <v>-0.66521409028818712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0.58915023736988337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-7.3686276472912369E-4</v>
      </c>
      <c r="H958" t="s">
        <v>27</v>
      </c>
      <c r="I958">
        <f>VLOOKUP(Table4[[#This Row],[Visitor]],'NHL Model'!$A$6:$B$38,2,FALSE)</f>
        <v>0.17784181108472058</v>
      </c>
      <c r="J958">
        <f>($B$1+Table4[[#This Row],[Home Differential]])-Table4[[#This Row],[Away Differential]]</f>
        <v>-0.10436101994461917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0.45938863739862112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-0.48278309788469043</v>
      </c>
      <c r="H959" t="s">
        <v>39</v>
      </c>
      <c r="I959">
        <f>VLOOKUP(Table4[[#This Row],[Visitor]],'NHL Model'!$A$6:$B$38,2,FALSE)</f>
        <v>0.76796514781800074</v>
      </c>
      <c r="J959">
        <f>($B$1+Table4[[#This Row],[Home Differential]])-Table4[[#This Row],[Away Differential]]</f>
        <v>-1.1765305917978606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-6.6593655044643821E-4</v>
      </c>
      <c r="H960" t="s">
        <v>12</v>
      </c>
      <c r="I960">
        <f>VLOOKUP(Table4[[#This Row],[Visitor]],'NHL Model'!$A$6:$B$38,2,FALSE)</f>
        <v>1.8591692540144091</v>
      </c>
      <c r="J960">
        <f>($B$1+Table4[[#This Row],[Home Differential]])-Table4[[#This Row],[Away Differential]]</f>
        <v>-1.7856175366600251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0.71258777102412441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3.9572996236628868E-2</v>
      </c>
      <c r="H961" t="s">
        <v>14</v>
      </c>
      <c r="I961">
        <f>VLOOKUP(Table4[[#This Row],[Visitor]],'NHL Model'!$A$6:$B$38,2,FALSE)</f>
        <v>3.9336367625328564E-2</v>
      </c>
      <c r="J961">
        <f>($B$1+Table4[[#This Row],[Home Differential]])-Table4[[#This Row],[Away Differential]]</f>
        <v>7.4454282516130829E-2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0.18511137883580026</v>
      </c>
      <c r="H962" t="s">
        <v>20</v>
      </c>
      <c r="I962">
        <f>VLOOKUP(Table4[[#This Row],[Visitor]],'NHL Model'!$A$6:$B$38,2,FALSE)</f>
        <v>0.14556378660539449</v>
      </c>
      <c r="J962">
        <f>($B$1+Table4[[#This Row],[Home Differential]])-Table4[[#This Row],[Away Differential]]</f>
        <v>0.11376524613523631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0.57040968497094402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-0.19727709229606127</v>
      </c>
      <c r="H963" t="s">
        <v>29</v>
      </c>
      <c r="I963">
        <f>VLOOKUP(Table4[[#This Row],[Visitor]],'NHL Model'!$A$6:$B$38,2,FALSE)</f>
        <v>-0.3202921716073342</v>
      </c>
      <c r="J963">
        <f>($B$1+Table4[[#This Row],[Home Differential]])-Table4[[#This Row],[Away Differential]]</f>
        <v>0.19723273321610346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0.56127253551403566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-0.21926170023436534</v>
      </c>
      <c r="H964" t="s">
        <v>39</v>
      </c>
      <c r="I964">
        <f>VLOOKUP(Table4[[#This Row],[Visitor]],'NHL Model'!$A$6:$B$38,2,FALSE)</f>
        <v>0.76796514781800074</v>
      </c>
      <c r="J964">
        <f>($B$1+Table4[[#This Row],[Home Differential]])-Table4[[#This Row],[Away Differential]]</f>
        <v>-0.91300919414753556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7.1049614431123245E-2</v>
      </c>
      <c r="H965" t="s">
        <v>36</v>
      </c>
      <c r="I965">
        <f>VLOOKUP(Table4[[#This Row],[Visitor]],'NHL Model'!$A$6:$B$38,2,FALSE)</f>
        <v>9.4361646617848058E-2</v>
      </c>
      <c r="J965">
        <f>($B$1+Table4[[#This Row],[Home Differential]])-Table4[[#This Row],[Away Differential]]</f>
        <v>5.0905621718105712E-2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0.546030966131692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0.59379638322319717</v>
      </c>
      <c r="H966" t="s">
        <v>37</v>
      </c>
      <c r="I966">
        <f>VLOOKUP(Table4[[#This Row],[Visitor]],'NHL Model'!$A$6:$B$38,2,FALSE)</f>
        <v>0.79636680320115127</v>
      </c>
      <c r="J966">
        <f>($B$1+Table4[[#This Row],[Home Differential]])-Table4[[#This Row],[Away Differential]]</f>
        <v>-0.12835276607312363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0.53765301079108685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-6.1952588060713437E-2</v>
      </c>
      <c r="H967" t="s">
        <v>11</v>
      </c>
      <c r="I967">
        <f>VLOOKUP(Table4[[#This Row],[Visitor]],'NHL Model'!$A$6:$B$38,2,FALSE)</f>
        <v>0.19285186127150866</v>
      </c>
      <c r="J967">
        <f>($B$1+Table4[[#This Row],[Home Differential]])-Table4[[#This Row],[Away Differential]]</f>
        <v>-0.18058679542739159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-0.17930549805059143</v>
      </c>
      <c r="H968" t="s">
        <v>18</v>
      </c>
      <c r="I968">
        <f>VLOOKUP(Table4[[#This Row],[Visitor]],'NHL Model'!$A$6:$B$38,2,FALSE)</f>
        <v>0.10902894471156278</v>
      </c>
      <c r="J968">
        <f>($B$1+Table4[[#This Row],[Home Differential]])-Table4[[#This Row],[Away Differential]]</f>
        <v>-0.21411678885732369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0.5494093547295491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-0.10659687498124908</v>
      </c>
      <c r="H969" t="s">
        <v>10</v>
      </c>
      <c r="I969">
        <f>VLOOKUP(Table4[[#This Row],[Visitor]],'NHL Model'!$A$6:$B$38,2,FALSE)</f>
        <v>-0.39984103039900787</v>
      </c>
      <c r="J969">
        <f>($B$1+Table4[[#This Row],[Home Differential]])-Table4[[#This Row],[Away Differential]]</f>
        <v>0.36746180932258932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0.45610704431993199</v>
      </c>
      <c r="H970" t="s">
        <v>55</v>
      </c>
      <c r="I970">
        <f>VLOOKUP(Table4[[#This Row],[Visitor]],'NHL Model'!$A$6:$B$38,2,FALSE)</f>
        <v>0.3142836898216293</v>
      </c>
      <c r="J970">
        <f>($B$1+Table4[[#This Row],[Home Differential]])-Table4[[#This Row],[Away Differential]]</f>
        <v>0.21604100840313317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0.57731772244454937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-6.6593655044643821E-4</v>
      </c>
      <c r="H971" t="s">
        <v>30</v>
      </c>
      <c r="I971">
        <f>VLOOKUP(Table4[[#This Row],[Visitor]],'NHL Model'!$A$6:$B$38,2,FALSE)</f>
        <v>0.16690670582810133</v>
      </c>
      <c r="J971">
        <f>($B$1+Table4[[#This Row],[Home Differential]])-Table4[[#This Row],[Away Differential]]</f>
        <v>-9.3354988473717246E-2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0.47735852146923569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-8.5361594338821137E-2</v>
      </c>
      <c r="H972" t="s">
        <v>20</v>
      </c>
      <c r="I972">
        <f>VLOOKUP(Table4[[#This Row],[Visitor]],'NHL Model'!$A$6:$B$38,2,FALSE)</f>
        <v>0.14556378660539449</v>
      </c>
      <c r="J972">
        <f>($B$1+Table4[[#This Row],[Home Differential]])-Table4[[#This Row],[Away Differential]]</f>
        <v>-0.1567077270393851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0.45690171116331185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-6.1952588060713437E-2</v>
      </c>
      <c r="H973" t="s">
        <v>19</v>
      </c>
      <c r="I973">
        <f>VLOOKUP(Table4[[#This Row],[Visitor]],'NHL Model'!$A$6:$B$38,2,FALSE)</f>
        <v>-7.3686276472912369E-4</v>
      </c>
      <c r="J973">
        <f>($B$1+Table4[[#This Row],[Home Differential]])-Table4[[#This Row],[Away Differential]]</f>
        <v>1.3001928608846211E-2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0.54140232294899848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-0.2855111111085496</v>
      </c>
      <c r="H974" t="s">
        <v>35</v>
      </c>
      <c r="I974">
        <f>VLOOKUP(Table4[[#This Row],[Visitor]],'NHL Model'!$A$6:$B$38,2,FALSE)</f>
        <v>-0.96065798985911643</v>
      </c>
      <c r="J974">
        <f>($B$1+Table4[[#This Row],[Home Differential]])-Table4[[#This Row],[Away Differential]]</f>
        <v>0.74936453265539738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0.62082270814755969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-0.48278309788469043</v>
      </c>
      <c r="H975" t="s">
        <v>25</v>
      </c>
      <c r="I975">
        <f>VLOOKUP(Table4[[#This Row],[Visitor]],'NHL Model'!$A$6:$B$38,2,FALSE)</f>
        <v>0.45392063308446812</v>
      </c>
      <c r="J975">
        <f>($B$1+Table4[[#This Row],[Home Differential]])-Table4[[#This Row],[Away Differential]]</f>
        <v>-0.86248607706432801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0.61042700657645232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-0.19727709229606127</v>
      </c>
      <c r="H976" t="s">
        <v>11</v>
      </c>
      <c r="I976">
        <f>VLOOKUP(Table4[[#This Row],[Visitor]],'NHL Model'!$A$6:$B$38,2,FALSE)</f>
        <v>0.19285186127150866</v>
      </c>
      <c r="J976">
        <f>($B$1+Table4[[#This Row],[Home Differential]])-Table4[[#This Row],[Away Differential]]</f>
        <v>-0.3159112996627394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0.5309670216782405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-0.21926170023436534</v>
      </c>
      <c r="H977" t="s">
        <v>36</v>
      </c>
      <c r="I977">
        <f>VLOOKUP(Table4[[#This Row],[Visitor]],'NHL Model'!$A$6:$B$38,2,FALSE)</f>
        <v>9.4361646617848058E-2</v>
      </c>
      <c r="J977">
        <f>($B$1+Table4[[#This Row],[Home Differential]])-Table4[[#This Row],[Away Differential]]</f>
        <v>-0.2394056929473829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0.46768156500392033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1.584470710005189E-2</v>
      </c>
      <c r="H978" t="s">
        <v>30</v>
      </c>
      <c r="I978">
        <f>VLOOKUP(Table4[[#This Row],[Visitor]],'NHL Model'!$A$6:$B$38,2,FALSE)</f>
        <v>0.16690670582810133</v>
      </c>
      <c r="J978">
        <f>($B$1+Table4[[#This Row],[Home Differential]])-Table4[[#This Row],[Away Differential]]</f>
        <v>-7.6844344823218919E-2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0.50187146204697841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-0.3202921716073342</v>
      </c>
      <c r="H979" t="s">
        <v>21</v>
      </c>
      <c r="I979">
        <f>VLOOKUP(Table4[[#This Row],[Visitor]],'NHL Model'!$A$6:$B$38,2,FALSE)</f>
        <v>3.9572996236628868E-2</v>
      </c>
      <c r="J979">
        <f>($B$1+Table4[[#This Row],[Home Differential]])-Table4[[#This Row],[Away Differential]]</f>
        <v>-0.28564751393913251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0.49080851127337144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-6.2506340836952119E-3</v>
      </c>
      <c r="H980" t="s">
        <v>19</v>
      </c>
      <c r="I980">
        <f>VLOOKUP(Table4[[#This Row],[Visitor]],'NHL Model'!$A$6:$B$38,2,FALSE)</f>
        <v>-7.3686276472912369E-4</v>
      </c>
      <c r="J980">
        <f>($B$1+Table4[[#This Row],[Home Differential]])-Table4[[#This Row],[Away Differential]]</f>
        <v>6.8703882585864434E-2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0.54741005693339251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0.17784181108472058</v>
      </c>
      <c r="H981" t="s">
        <v>55</v>
      </c>
      <c r="I981">
        <f>VLOOKUP(Table4[[#This Row],[Visitor]],'NHL Model'!$A$6:$B$38,2,FALSE)</f>
        <v>0.3142836898216293</v>
      </c>
      <c r="J981">
        <f>($B$1+Table4[[#This Row],[Home Differential]])-Table4[[#This Row],[Away Differential]]</f>
        <v>-6.2224224832078179E-2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0.4621567380312675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3.9336367625328564E-2</v>
      </c>
      <c r="H982" t="s">
        <v>23</v>
      </c>
      <c r="I982">
        <f>VLOOKUP(Table4[[#This Row],[Visitor]],'NHL Model'!$A$6:$B$38,2,FALSE)</f>
        <v>0.18511137883580026</v>
      </c>
      <c r="J982">
        <f>($B$1+Table4[[#This Row],[Home Differential]])-Table4[[#This Row],[Away Differential]]</f>
        <v>-7.1557357305641167E-2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-0.10659687498124908</v>
      </c>
      <c r="H983" t="s">
        <v>37</v>
      </c>
      <c r="I983">
        <f>VLOOKUP(Table4[[#This Row],[Visitor]],'NHL Model'!$A$6:$B$38,2,FALSE)</f>
        <v>0.79636680320115127</v>
      </c>
      <c r="J983">
        <f>($B$1+Table4[[#This Row],[Home Differential]])-Table4[[#This Row],[Away Differential]]</f>
        <v>-0.82874602427756983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0.6356028859483368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-6.6593655044643821E-4</v>
      </c>
      <c r="H984" t="s">
        <v>18</v>
      </c>
      <c r="I984">
        <f>VLOOKUP(Table4[[#This Row],[Visitor]],'NHL Model'!$A$6:$B$38,2,FALSE)</f>
        <v>0.10902894471156278</v>
      </c>
      <c r="J984">
        <f>($B$1+Table4[[#This Row],[Home Differential]])-Table4[[#This Row],[Away Differential]]</f>
        <v>-3.5477227357178703E-2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0.50382639618986669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-0.39984103039900787</v>
      </c>
      <c r="H985" t="s">
        <v>38</v>
      </c>
      <c r="I985">
        <f>VLOOKUP(Table4[[#This Row],[Visitor]],'NHL Model'!$A$6:$B$38,2,FALSE)</f>
        <v>-0.48278309788469043</v>
      </c>
      <c r="J985">
        <f>($B$1+Table4[[#This Row],[Home Differential]])-Table4[[#This Row],[Away Differential]]</f>
        <v>0.1571597213905131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0.76796514781800074</v>
      </c>
      <c r="H986" t="s">
        <v>12</v>
      </c>
      <c r="I986">
        <f>VLOOKUP(Table4[[#This Row],[Visitor]],'NHL Model'!$A$6:$B$38,2,FALSE)</f>
        <v>1.8591692540144091</v>
      </c>
      <c r="J986">
        <f>($B$1+Table4[[#This Row],[Home Differential]])-Table4[[#This Row],[Away Differential]]</f>
        <v>-1.0169864522915779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-8.5361594338821137E-2</v>
      </c>
      <c r="H987" t="s">
        <v>11</v>
      </c>
      <c r="I987">
        <f>VLOOKUP(Table4[[#This Row],[Visitor]],'NHL Model'!$A$6:$B$38,2,FALSE)</f>
        <v>0.19285186127150866</v>
      </c>
      <c r="J987">
        <f>($B$1+Table4[[#This Row],[Home Differential]])-Table4[[#This Row],[Away Differential]]</f>
        <v>-0.20399580170549927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7.1049614431123245E-2</v>
      </c>
      <c r="H988" t="s">
        <v>25</v>
      </c>
      <c r="I988">
        <f>VLOOKUP(Table4[[#This Row],[Visitor]],'NHL Model'!$A$6:$B$38,2,FALSE)</f>
        <v>0.45392063308446812</v>
      </c>
      <c r="J988">
        <f>($B$1+Table4[[#This Row],[Home Differential]])-Table4[[#This Row],[Away Differential]]</f>
        <v>-0.30865336474851435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0.52931102736344171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-0.17930549805059143</v>
      </c>
      <c r="H989" t="s">
        <v>35</v>
      </c>
      <c r="I989">
        <f>VLOOKUP(Table4[[#This Row],[Visitor]],'NHL Model'!$A$6:$B$38,2,FALSE)</f>
        <v>-0.96065798985911643</v>
      </c>
      <c r="J989">
        <f>($B$1+Table4[[#This Row],[Home Differential]])-Table4[[#This Row],[Away Differential]]</f>
        <v>0.85557014571335555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0.14556378660539449</v>
      </c>
      <c r="H990" t="s">
        <v>34</v>
      </c>
      <c r="I990">
        <f>VLOOKUP(Table4[[#This Row],[Visitor]],'NHL Model'!$A$6:$B$38,2,FALSE)</f>
        <v>0.59379638322319717</v>
      </c>
      <c r="J990">
        <f>($B$1+Table4[[#This Row],[Home Differential]])-Table4[[#This Row],[Away Differential]]</f>
        <v>-0.37401494271297214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3.9572996236628868E-2</v>
      </c>
      <c r="H991" t="s">
        <v>22</v>
      </c>
      <c r="I991">
        <f>VLOOKUP(Table4[[#This Row],[Visitor]],'NHL Model'!$A$6:$B$38,2,FALSE)</f>
        <v>0.45610704431993199</v>
      </c>
      <c r="J991">
        <f>($B$1+Table4[[#This Row],[Home Differential]])-Table4[[#This Row],[Away Differential]]</f>
        <v>-0.34231639417847259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0.48290391258662868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0.18511137883580026</v>
      </c>
      <c r="H992" t="s">
        <v>29</v>
      </c>
      <c r="I992">
        <f>VLOOKUP(Table4[[#This Row],[Visitor]],'NHL Model'!$A$6:$B$38,2,FALSE)</f>
        <v>-0.3202921716073342</v>
      </c>
      <c r="J992">
        <f>($B$1+Table4[[#This Row],[Home Differential]])-Table4[[#This Row],[Away Differential]]</f>
        <v>0.57962120434796494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0.64110713484548432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-0.19727709229606127</v>
      </c>
      <c r="H993" t="s">
        <v>55</v>
      </c>
      <c r="I993">
        <f>VLOOKUP(Table4[[#This Row],[Visitor]],'NHL Model'!$A$6:$B$38,2,FALSE)</f>
        <v>0.3142836898216293</v>
      </c>
      <c r="J993">
        <f>($B$1+Table4[[#This Row],[Home Differential]])-Table4[[#This Row],[Away Differential]]</f>
        <v>-0.43734312821286003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0.50716964103789997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-0.21926170023436534</v>
      </c>
      <c r="H994" t="s">
        <v>25</v>
      </c>
      <c r="I994">
        <f>VLOOKUP(Table4[[#This Row],[Visitor]],'NHL Model'!$A$6:$B$38,2,FALSE)</f>
        <v>0.45392063308446812</v>
      </c>
      <c r="J994">
        <f>($B$1+Table4[[#This Row],[Home Differential]])-Table4[[#This Row],[Away Differential]]</f>
        <v>-0.59896467941400289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0.54286220224830073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1.584470710005189E-2</v>
      </c>
      <c r="H995" t="s">
        <v>18</v>
      </c>
      <c r="I995">
        <f>VLOOKUP(Table4[[#This Row],[Visitor]],'NHL Model'!$A$6:$B$38,2,FALSE)</f>
        <v>0.10902894471156278</v>
      </c>
      <c r="J995">
        <f>($B$1+Table4[[#This Row],[Home Differential]])-Table4[[#This Row],[Away Differential]]</f>
        <v>-1.8966583706680376E-2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0.52836143027022586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-6.1952588060713437E-2</v>
      </c>
      <c r="H996" t="s">
        <v>15</v>
      </c>
      <c r="I996">
        <f>VLOOKUP(Table4[[#This Row],[Visitor]],'NHL Model'!$A$6:$B$38,2,FALSE)</f>
        <v>-6.2506340836952119E-3</v>
      </c>
      <c r="J996">
        <f>($B$1+Table4[[#This Row],[Home Differential]])-Table4[[#This Row],[Away Differential]]</f>
        <v>1.8515699927812299E-2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0.48270917690079779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3.9336367625328564E-2</v>
      </c>
      <c r="H997" t="s">
        <v>27</v>
      </c>
      <c r="I997">
        <f>VLOOKUP(Table4[[#This Row],[Visitor]],'NHL Model'!$A$6:$B$38,2,FALSE)</f>
        <v>0.17784181108472058</v>
      </c>
      <c r="J997">
        <f>($B$1+Table4[[#This Row],[Home Differential]])-Table4[[#This Row],[Away Differential]]</f>
        <v>-6.4287789554561492E-2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-0.2855111111085496</v>
      </c>
      <c r="H998" t="s">
        <v>36</v>
      </c>
      <c r="I998">
        <f>VLOOKUP(Table4[[#This Row],[Visitor]],'NHL Model'!$A$6:$B$38,2,FALSE)</f>
        <v>9.4361646617848058E-2</v>
      </c>
      <c r="J998">
        <f>($B$1+Table4[[#This Row],[Home Differential]])-Table4[[#This Row],[Away Differential]]</f>
        <v>-0.30565510382156713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0.51373566055533715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-0.17930549805059143</v>
      </c>
      <c r="H999" t="s">
        <v>30</v>
      </c>
      <c r="I999">
        <f>VLOOKUP(Table4[[#This Row],[Visitor]],'NHL Model'!$A$6:$B$38,2,FALSE)</f>
        <v>0.16690670582810133</v>
      </c>
      <c r="J999">
        <f>($B$1+Table4[[#This Row],[Home Differential]])-Table4[[#This Row],[Away Differential]]</f>
        <v>-0.27199454997386224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0.52291938650630154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-7.3686276472912369E-4</v>
      </c>
      <c r="H1000" t="s">
        <v>37</v>
      </c>
      <c r="I1000">
        <f>VLOOKUP(Table4[[#This Row],[Visitor]],'NHL Model'!$A$6:$B$38,2,FALSE)</f>
        <v>0.79636680320115127</v>
      </c>
      <c r="J1000">
        <f>($B$1+Table4[[#This Row],[Home Differential]])-Table4[[#This Row],[Away Differential]]</f>
        <v>-0.72288601206104985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-0.10659687498124908</v>
      </c>
      <c r="H1001" t="s">
        <v>38</v>
      </c>
      <c r="I1001">
        <f>VLOOKUP(Table4[[#This Row],[Visitor]],'NHL Model'!$A$6:$B$38,2,FALSE)</f>
        <v>-0.48278309788469043</v>
      </c>
      <c r="J1001">
        <f>($B$1+Table4[[#This Row],[Home Differential]])-Table4[[#This Row],[Away Differential]]</f>
        <v>0.45040387680827187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0.54606574520220275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-6.6593655044643821E-4</v>
      </c>
      <c r="H1002" t="s">
        <v>35</v>
      </c>
      <c r="I1002">
        <f>VLOOKUP(Table4[[#This Row],[Visitor]],'NHL Model'!$A$6:$B$38,2,FALSE)</f>
        <v>-0.96065798985911643</v>
      </c>
      <c r="J1002">
        <f>($B$1+Table4[[#This Row],[Home Differential]])-Table4[[#This Row],[Away Differential]]</f>
        <v>1.0342097072135006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0.18511137883580026</v>
      </c>
      <c r="H1003" t="s">
        <v>37</v>
      </c>
      <c r="I1003">
        <f>VLOOKUP(Table4[[#This Row],[Visitor]],'NHL Model'!$A$6:$B$38,2,FALSE)</f>
        <v>0.79636680320115127</v>
      </c>
      <c r="J1003">
        <f>($B$1+Table4[[#This Row],[Home Differential]])-Table4[[#This Row],[Away Differential]]</f>
        <v>-0.53703777046052048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1.8591692540144091</v>
      </c>
      <c r="H1004" t="s">
        <v>34</v>
      </c>
      <c r="I1004">
        <f>VLOOKUP(Table4[[#This Row],[Visitor]],'NHL Model'!$A$6:$B$38,2,FALSE)</f>
        <v>0.59379638322319717</v>
      </c>
      <c r="J1004">
        <f>($B$1+Table4[[#This Row],[Home Differential]])-Table4[[#This Row],[Away Differential]]</f>
        <v>1.3395905246960425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0.76796514781800074</v>
      </c>
      <c r="H1005" t="s">
        <v>10</v>
      </c>
      <c r="I1005">
        <f>VLOOKUP(Table4[[#This Row],[Visitor]],'NHL Model'!$A$6:$B$38,2,FALSE)</f>
        <v>-0.39984103039900787</v>
      </c>
      <c r="J1005">
        <f>($B$1+Table4[[#This Row],[Home Differential]])-Table4[[#This Row],[Away Differential]]</f>
        <v>1.2420238321218391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-6.1952588060713437E-2</v>
      </c>
      <c r="H1006" t="s">
        <v>26</v>
      </c>
      <c r="I1006">
        <f>VLOOKUP(Table4[[#This Row],[Visitor]],'NHL Model'!$A$6:$B$38,2,FALSE)</f>
        <v>-8.5361594338821137E-2</v>
      </c>
      <c r="J1006">
        <f>($B$1+Table4[[#This Row],[Home Differential]])-Table4[[#This Row],[Away Differential]]</f>
        <v>9.7626660182938224E-2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3.9336367625328564E-2</v>
      </c>
      <c r="H1007" t="s">
        <v>21</v>
      </c>
      <c r="I1007">
        <f>VLOOKUP(Table4[[#This Row],[Visitor]],'NHL Model'!$A$6:$B$38,2,FALSE)</f>
        <v>3.9572996236628868E-2</v>
      </c>
      <c r="J1007">
        <f>($B$1+Table4[[#This Row],[Home Differential]])-Table4[[#This Row],[Away Differential]]</f>
        <v>7.398102529353022E-2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0.54797922313532543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0.14556378660539449</v>
      </c>
      <c r="H1008" t="s">
        <v>17</v>
      </c>
      <c r="I1008">
        <f>VLOOKUP(Table4[[#This Row],[Visitor]],'NHL Model'!$A$6:$B$38,2,FALSE)</f>
        <v>7.1049614431123245E-2</v>
      </c>
      <c r="J1008">
        <f>($B$1+Table4[[#This Row],[Home Differential]])-Table4[[#This Row],[Away Differential]]</f>
        <v>0.14873182607910179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-0.39984103039900787</v>
      </c>
      <c r="H1009" t="s">
        <v>55</v>
      </c>
      <c r="I1009">
        <f>VLOOKUP(Table4[[#This Row],[Visitor]],'NHL Model'!$A$6:$B$38,2,FALSE)</f>
        <v>0.3142836898216293</v>
      </c>
      <c r="J1009">
        <f>($B$1+Table4[[#This Row],[Home Differential]])-Table4[[#This Row],[Away Differential]]</f>
        <v>-0.63990706631580663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0.17784181108472058</v>
      </c>
      <c r="H1010" t="s">
        <v>15</v>
      </c>
      <c r="I1010">
        <f>VLOOKUP(Table4[[#This Row],[Visitor]],'NHL Model'!$A$6:$B$38,2,FALSE)</f>
        <v>-6.2506340836952119E-3</v>
      </c>
      <c r="J1010">
        <f>($B$1+Table4[[#This Row],[Home Differential]])-Table4[[#This Row],[Away Differential]]</f>
        <v>0.25831009907324631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-0.48278309788469043</v>
      </c>
      <c r="H1011" t="s">
        <v>36</v>
      </c>
      <c r="I1011">
        <f>VLOOKUP(Table4[[#This Row],[Visitor]],'NHL Model'!$A$6:$B$38,2,FALSE)</f>
        <v>9.4361646617848058E-2</v>
      </c>
      <c r="J1011">
        <f>($B$1+Table4[[#This Row],[Home Differential]])-Table4[[#This Row],[Away Differential]]</f>
        <v>-0.5029270905977079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0.53501242976190599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0.45610704431993199</v>
      </c>
      <c r="H1012" t="s">
        <v>16</v>
      </c>
      <c r="I1012">
        <f>VLOOKUP(Table4[[#This Row],[Visitor]],'NHL Model'!$A$6:$B$38,2,FALSE)</f>
        <v>-0.21926170023436534</v>
      </c>
      <c r="J1012">
        <f>($B$1+Table4[[#This Row],[Home Differential]])-Table4[[#This Row],[Away Differential]]</f>
        <v>0.74958639845912778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0.63486325798139331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3.9572996236628868E-2</v>
      </c>
      <c r="H1013" t="s">
        <v>13</v>
      </c>
      <c r="I1013">
        <f>VLOOKUP(Table4[[#This Row],[Visitor]],'NHL Model'!$A$6:$B$38,2,FALSE)</f>
        <v>1.584470710005189E-2</v>
      </c>
      <c r="J1013">
        <f>($B$1+Table4[[#This Row],[Home Differential]])-Table4[[#This Row],[Away Differential]]</f>
        <v>9.7945943041407496E-2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0.53230308966117079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0.18511137883580026</v>
      </c>
      <c r="H1014" t="s">
        <v>33</v>
      </c>
      <c r="I1014">
        <f>VLOOKUP(Table4[[#This Row],[Visitor]],'NHL Model'!$A$6:$B$38,2,FALSE)</f>
        <v>-0.17930549805059143</v>
      </c>
      <c r="J1014">
        <f>($B$1+Table4[[#This Row],[Home Differential]])-Table4[[#This Row],[Away Differential]]</f>
        <v>0.43863453079122222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0.61873749668549116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0.45392063308446812</v>
      </c>
      <c r="H1015" t="s">
        <v>14</v>
      </c>
      <c r="I1015">
        <f>VLOOKUP(Table4[[#This Row],[Visitor]],'NHL Model'!$A$6:$B$38,2,FALSE)</f>
        <v>3.9336367625328564E-2</v>
      </c>
      <c r="J1015">
        <f>($B$1+Table4[[#This Row],[Home Differential]])-Table4[[#This Row],[Away Differential]]</f>
        <v>0.48880191936397011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1.8591692540144091</v>
      </c>
      <c r="H1016" t="s">
        <v>17</v>
      </c>
      <c r="I1016">
        <f>VLOOKUP(Table4[[#This Row],[Visitor]],'NHL Model'!$A$6:$B$38,2,FALSE)</f>
        <v>7.1049614431123245E-2</v>
      </c>
      <c r="J1016">
        <f>($B$1+Table4[[#This Row],[Home Differential]])-Table4[[#This Row],[Away Differential]]</f>
        <v>1.8623372934881164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0.86131304048689827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0.76796514781800074</v>
      </c>
      <c r="H1017" t="s">
        <v>20</v>
      </c>
      <c r="I1017">
        <f>VLOOKUP(Table4[[#This Row],[Visitor]],'NHL Model'!$A$6:$B$38,2,FALSE)</f>
        <v>0.14556378660539449</v>
      </c>
      <c r="J1017">
        <f>($B$1+Table4[[#This Row],[Home Differential]])-Table4[[#This Row],[Away Differential]]</f>
        <v>0.69661901511743674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0.19285186127150866</v>
      </c>
      <c r="H1018" t="s">
        <v>26</v>
      </c>
      <c r="I1018">
        <f>VLOOKUP(Table4[[#This Row],[Visitor]],'NHL Model'!$A$6:$B$38,2,FALSE)</f>
        <v>-8.5361594338821137E-2</v>
      </c>
      <c r="J1018">
        <f>($B$1+Table4[[#This Row],[Home Differential]])-Table4[[#This Row],[Away Differential]]</f>
        <v>0.35243110951516032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0.59379638322319717</v>
      </c>
      <c r="H1019" t="s">
        <v>55</v>
      </c>
      <c r="I1019">
        <f>VLOOKUP(Table4[[#This Row],[Visitor]],'NHL Model'!$A$6:$B$38,2,FALSE)</f>
        <v>0.3142836898216293</v>
      </c>
      <c r="J1019">
        <f>($B$1+Table4[[#This Row],[Home Differential]])-Table4[[#This Row],[Away Differential]]</f>
        <v>0.35373034730639835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0.10902894471156278</v>
      </c>
      <c r="H1020" t="s">
        <v>19</v>
      </c>
      <c r="I1020">
        <f>VLOOKUP(Table4[[#This Row],[Visitor]],'NHL Model'!$A$6:$B$38,2,FALSE)</f>
        <v>-7.3686276472912369E-4</v>
      </c>
      <c r="J1020">
        <f>($B$1+Table4[[#This Row],[Home Differential]])-Table4[[#This Row],[Away Differential]]</f>
        <v>0.18398346138112243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-6.2506340836952119E-3</v>
      </c>
      <c r="H1021" t="s">
        <v>16</v>
      </c>
      <c r="I1021">
        <f>VLOOKUP(Table4[[#This Row],[Visitor]],'NHL Model'!$A$6:$B$38,2,FALSE)</f>
        <v>-0.21926170023436534</v>
      </c>
      <c r="J1021">
        <f>($B$1+Table4[[#This Row],[Home Differential]])-Table4[[#This Row],[Away Differential]]</f>
        <v>0.28722872005550065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0.57097905225162071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-0.2855111111085496</v>
      </c>
      <c r="H1022" t="s">
        <v>29</v>
      </c>
      <c r="I1022">
        <f>VLOOKUP(Table4[[#This Row],[Visitor]],'NHL Model'!$A$6:$B$38,2,FALSE)</f>
        <v>-0.3202921716073342</v>
      </c>
      <c r="J1022">
        <f>($B$1+Table4[[#This Row],[Home Differential]])-Table4[[#This Row],[Away Differential]]</f>
        <v>0.10899871440361514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-0.96065798985911643</v>
      </c>
      <c r="H1023" t="s">
        <v>30</v>
      </c>
      <c r="I1023">
        <f>VLOOKUP(Table4[[#This Row],[Visitor]],'NHL Model'!$A$6:$B$38,2,FALSE)</f>
        <v>0.16690670582810133</v>
      </c>
      <c r="J1023">
        <f>($B$1+Table4[[#This Row],[Home Differential]])-Table4[[#This Row],[Away Differential]]</f>
        <v>-1.0533470417823874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0.60719215583797959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0.79636680320115127</v>
      </c>
      <c r="H1024" t="s">
        <v>28</v>
      </c>
      <c r="I1024">
        <f>VLOOKUP(Table4[[#This Row],[Visitor]],'NHL Model'!$A$6:$B$38,2,FALSE)</f>
        <v>-0.19727709229606127</v>
      </c>
      <c r="J1024">
        <f>($B$1+Table4[[#This Row],[Home Differential]])-Table4[[#This Row],[Away Differential]]</f>
        <v>1.0678615494020431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0.65972865783738843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-0.10659687498124908</v>
      </c>
      <c r="H1025" t="s">
        <v>31</v>
      </c>
      <c r="I1025">
        <f>VLOOKUP(Table4[[#This Row],[Visitor]],'NHL Model'!$A$6:$B$38,2,FALSE)</f>
        <v>-6.6593655044643821E-4</v>
      </c>
      <c r="J1025">
        <f>($B$1+Table4[[#This Row],[Home Differential]])-Table4[[#This Row],[Away Differential]]</f>
        <v>-3.1713284525972114E-2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0.46342043615349737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9.4361646617848058E-2</v>
      </c>
      <c r="H1026" t="s">
        <v>18</v>
      </c>
      <c r="I1026">
        <f>VLOOKUP(Table4[[#This Row],[Visitor]],'NHL Model'!$A$6:$B$38,2,FALSE)</f>
        <v>0.10902894471156278</v>
      </c>
      <c r="J1026">
        <f>($B$1+Table4[[#This Row],[Home Differential]])-Table4[[#This Row],[Away Differential]]</f>
        <v>5.9550355811115799E-2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0.17784181108472058</v>
      </c>
      <c r="H1027" t="s">
        <v>22</v>
      </c>
      <c r="I1027">
        <f>VLOOKUP(Table4[[#This Row],[Visitor]],'NHL Model'!$A$6:$B$38,2,FALSE)</f>
        <v>0.45610704431993199</v>
      </c>
      <c r="J1027">
        <f>($B$1+Table4[[#This Row],[Home Differential]])-Table4[[#This Row],[Away Differential]]</f>
        <v>-0.20404757933038087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3.9572996236628868E-2</v>
      </c>
      <c r="H1028" t="s">
        <v>33</v>
      </c>
      <c r="I1028">
        <f>VLOOKUP(Table4[[#This Row],[Visitor]],'NHL Model'!$A$6:$B$38,2,FALSE)</f>
        <v>-0.17930549805059143</v>
      </c>
      <c r="J1028">
        <f>($B$1+Table4[[#This Row],[Home Differential]])-Table4[[#This Row],[Away Differential]]</f>
        <v>0.29309614819205082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0.57837447361376915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0.18511137883580026</v>
      </c>
      <c r="H1029" t="s">
        <v>22</v>
      </c>
      <c r="I1029">
        <f>VLOOKUP(Table4[[#This Row],[Visitor]],'NHL Model'!$A$6:$B$38,2,FALSE)</f>
        <v>0.45610704431993199</v>
      </c>
      <c r="J1029">
        <f>($B$1+Table4[[#This Row],[Home Differential]])-Table4[[#This Row],[Away Differential]]</f>
        <v>-0.19677801157930119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0.45392063308446812</v>
      </c>
      <c r="H1030" t="s">
        <v>35</v>
      </c>
      <c r="I1030">
        <f>VLOOKUP(Table4[[#This Row],[Visitor]],'NHL Model'!$A$6:$B$38,2,FALSE)</f>
        <v>-0.96065798985911643</v>
      </c>
      <c r="J1030">
        <f>($B$1+Table4[[#This Row],[Home Differential]])-Table4[[#This Row],[Away Differential]]</f>
        <v>1.4887962768484151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0.73427226195587381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0.76796514781800074</v>
      </c>
      <c r="H1031" t="s">
        <v>17</v>
      </c>
      <c r="I1031">
        <f>VLOOKUP(Table4[[#This Row],[Visitor]],'NHL Model'!$A$6:$B$38,2,FALSE)</f>
        <v>7.1049614431123245E-2</v>
      </c>
      <c r="J1031">
        <f>($B$1+Table4[[#This Row],[Home Differential]])-Table4[[#This Row],[Away Differential]]</f>
        <v>0.77113318729170799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0.19285186127150866</v>
      </c>
      <c r="H1032" t="s">
        <v>28</v>
      </c>
      <c r="I1032">
        <f>VLOOKUP(Table4[[#This Row],[Visitor]],'NHL Model'!$A$6:$B$38,2,FALSE)</f>
        <v>-0.19727709229606127</v>
      </c>
      <c r="J1032">
        <f>($B$1+Table4[[#This Row],[Home Differential]])-Table4[[#This Row],[Away Differential]]</f>
        <v>0.46434660747240047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0.59379638322319717</v>
      </c>
      <c r="H1033" t="s">
        <v>27</v>
      </c>
      <c r="I1033">
        <f>VLOOKUP(Table4[[#This Row],[Visitor]],'NHL Model'!$A$6:$B$38,2,FALSE)</f>
        <v>0.17784181108472058</v>
      </c>
      <c r="J1033">
        <f>($B$1+Table4[[#This Row],[Home Differential]])-Table4[[#This Row],[Away Differential]]</f>
        <v>0.49017222604330707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0.60792370291138875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-6.1952588060713437E-2</v>
      </c>
      <c r="H1034" t="s">
        <v>16</v>
      </c>
      <c r="I1034">
        <f>VLOOKUP(Table4[[#This Row],[Visitor]],'NHL Model'!$A$6:$B$38,2,FALSE)</f>
        <v>-0.21926170023436534</v>
      </c>
      <c r="J1034">
        <f>($B$1+Table4[[#This Row],[Home Differential]])-Table4[[#This Row],[Away Differential]]</f>
        <v>0.23152676607848244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0.56497131826722669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-0.2855111111085496</v>
      </c>
      <c r="H1035" t="s">
        <v>12</v>
      </c>
      <c r="I1035">
        <f>VLOOKUP(Table4[[#This Row],[Visitor]],'NHL Model'!$A$6:$B$38,2,FALSE)</f>
        <v>1.8591692540144091</v>
      </c>
      <c r="J1035">
        <f>($B$1+Table4[[#This Row],[Home Differential]])-Table4[[#This Row],[Away Differential]]</f>
        <v>-2.070462711218128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0.79636680320115127</v>
      </c>
      <c r="H1036" t="s">
        <v>26</v>
      </c>
      <c r="I1036">
        <f>VLOOKUP(Table4[[#This Row],[Visitor]],'NHL Model'!$A$6:$B$38,2,FALSE)</f>
        <v>-8.5361594338821137E-2</v>
      </c>
      <c r="J1036">
        <f>($B$1+Table4[[#This Row],[Home Differential]])-Table4[[#This Row],[Away Differential]]</f>
        <v>0.95594605144480294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-7.3686276472912369E-4</v>
      </c>
      <c r="H1037" t="s">
        <v>31</v>
      </c>
      <c r="I1037">
        <f>VLOOKUP(Table4[[#This Row],[Visitor]],'NHL Model'!$A$6:$B$38,2,FALSE)</f>
        <v>-6.6593655044643821E-4</v>
      </c>
      <c r="J1037">
        <f>($B$1+Table4[[#This Row],[Home Differential]])-Table4[[#This Row],[Away Differential]]</f>
        <v>7.4146727690547851E-2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0.56710252627648094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0.3142836898216293</v>
      </c>
      <c r="H1038" t="s">
        <v>10</v>
      </c>
      <c r="I1038">
        <f>VLOOKUP(Table4[[#This Row],[Visitor]],'NHL Model'!$A$6:$B$38,2,FALSE)</f>
        <v>-0.39984103039900787</v>
      </c>
      <c r="J1038">
        <f>($B$1+Table4[[#This Row],[Home Differential]])-Table4[[#This Row],[Away Differential]]</f>
        <v>0.7883423741254677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-0.48278309788469043</v>
      </c>
      <c r="H1039" t="s">
        <v>29</v>
      </c>
      <c r="I1039">
        <f>VLOOKUP(Table4[[#This Row],[Visitor]],'NHL Model'!$A$6:$B$38,2,FALSE)</f>
        <v>-0.3202921716073342</v>
      </c>
      <c r="J1039">
        <f>($B$1+Table4[[#This Row],[Home Differential]])-Table4[[#This Row],[Away Differential]]</f>
        <v>-8.8273272372525691E-2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0.46952071337685736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0.14556378660539449</v>
      </c>
      <c r="H1040" t="s">
        <v>14</v>
      </c>
      <c r="I1040">
        <f>VLOOKUP(Table4[[#This Row],[Visitor]],'NHL Model'!$A$6:$B$38,2,FALSE)</f>
        <v>3.9336367625328564E-2</v>
      </c>
      <c r="J1040">
        <f>($B$1+Table4[[#This Row],[Home Differential]])-Table4[[#This Row],[Away Differential]]</f>
        <v>0.18044507288489647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0.55217218286174652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-0.10659687498124908</v>
      </c>
      <c r="H1041" t="s">
        <v>15</v>
      </c>
      <c r="I1041">
        <f>VLOOKUP(Table4[[#This Row],[Visitor]],'NHL Model'!$A$6:$B$38,2,FALSE)</f>
        <v>-6.2506340836952119E-3</v>
      </c>
      <c r="J1041">
        <f>($B$1+Table4[[#This Row],[Home Differential]])-Table4[[#This Row],[Away Differential]]</f>
        <v>-2.612858699272334E-2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0.52210593245518977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0.16690670582810133</v>
      </c>
      <c r="H1042" t="s">
        <v>13</v>
      </c>
      <c r="I1042">
        <f>VLOOKUP(Table4[[#This Row],[Visitor]],'NHL Model'!$A$6:$B$38,2,FALSE)</f>
        <v>1.584470710005189E-2</v>
      </c>
      <c r="J1042">
        <f>($B$1+Table4[[#This Row],[Home Differential]])-Table4[[#This Row],[Away Differential]]</f>
        <v>0.22527965263287994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0.53441899336579102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-0.96065798985911643</v>
      </c>
      <c r="H1043" t="s">
        <v>17</v>
      </c>
      <c r="I1043">
        <f>VLOOKUP(Table4[[#This Row],[Visitor]],'NHL Model'!$A$6:$B$38,2,FALSE)</f>
        <v>7.1049614431123245E-2</v>
      </c>
      <c r="J1043">
        <f>($B$1+Table4[[#This Row],[Home Differential]])-Table4[[#This Row],[Away Differential]]</f>
        <v>-0.95748995038540918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0.18511137883580026</v>
      </c>
      <c r="H1044" t="s">
        <v>19</v>
      </c>
      <c r="I1044">
        <f>VLOOKUP(Table4[[#This Row],[Visitor]],'NHL Model'!$A$6:$B$38,2,FALSE)</f>
        <v>-7.3686276472912369E-4</v>
      </c>
      <c r="J1044">
        <f>($B$1+Table4[[#This Row],[Home Differential]])-Table4[[#This Row],[Away Differential]]</f>
        <v>0.26006589550535991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0.76796514781800074</v>
      </c>
      <c r="H1045" t="s">
        <v>26</v>
      </c>
      <c r="I1045">
        <f>VLOOKUP(Table4[[#This Row],[Visitor]],'NHL Model'!$A$6:$B$38,2,FALSE)</f>
        <v>-8.5361594338821137E-2</v>
      </c>
      <c r="J1045">
        <f>($B$1+Table4[[#This Row],[Home Differential]])-Table4[[#This Row],[Away Differential]]</f>
        <v>0.9275443960616524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0.64549484193234741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0.59379638322319717</v>
      </c>
      <c r="H1046" t="s">
        <v>15</v>
      </c>
      <c r="I1046">
        <f>VLOOKUP(Table4[[#This Row],[Visitor]],'NHL Model'!$A$6:$B$38,2,FALSE)</f>
        <v>-6.2506340836952119E-3</v>
      </c>
      <c r="J1046">
        <f>($B$1+Table4[[#This Row],[Home Differential]])-Table4[[#This Row],[Away Differential]]</f>
        <v>0.67426467121172284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0.57594861939613184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0.10902894471156278</v>
      </c>
      <c r="H1047" t="s">
        <v>33</v>
      </c>
      <c r="I1047">
        <f>VLOOKUP(Table4[[#This Row],[Visitor]],'NHL Model'!$A$6:$B$38,2,FALSE)</f>
        <v>-0.17930549805059143</v>
      </c>
      <c r="J1047">
        <f>($B$1+Table4[[#This Row],[Home Differential]])-Table4[[#This Row],[Away Differential]]</f>
        <v>0.36255209666698474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0.57181333505586673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-6.1952588060713437E-2</v>
      </c>
      <c r="H1048" t="s">
        <v>13</v>
      </c>
      <c r="I1048">
        <f>VLOOKUP(Table4[[#This Row],[Visitor]],'NHL Model'!$A$6:$B$38,2,FALSE)</f>
        <v>1.584470710005189E-2</v>
      </c>
      <c r="J1048">
        <f>($B$1+Table4[[#This Row],[Home Differential]])-Table4[[#This Row],[Away Differential]]</f>
        <v>-3.5796412559348026E-3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0.49277641343523931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0.16690670582810133</v>
      </c>
      <c r="H1049" t="s">
        <v>16</v>
      </c>
      <c r="I1049">
        <f>VLOOKUP(Table4[[#This Row],[Visitor]],'NHL Model'!$A$6:$B$38,2,FALSE)</f>
        <v>-0.21926170023436534</v>
      </c>
      <c r="J1049">
        <f>($B$1+Table4[[#This Row],[Home Differential]])-Table4[[#This Row],[Away Differential]]</f>
        <v>0.4603860599672972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0.59215041553831371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9.4361646617848058E-2</v>
      </c>
      <c r="H1050" t="s">
        <v>31</v>
      </c>
      <c r="I1050">
        <f>VLOOKUP(Table4[[#This Row],[Visitor]],'NHL Model'!$A$6:$B$38,2,FALSE)</f>
        <v>-6.6593655044643821E-4</v>
      </c>
      <c r="J1050">
        <f>($B$1+Table4[[#This Row],[Home Differential]])-Table4[[#This Row],[Away Differential]]</f>
        <v>0.16924523707312503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0.55825394424907504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0.17784181108472058</v>
      </c>
      <c r="H1051" t="s">
        <v>28</v>
      </c>
      <c r="I1051">
        <f>VLOOKUP(Table4[[#This Row],[Visitor]],'NHL Model'!$A$6:$B$38,2,FALSE)</f>
        <v>-0.19727709229606127</v>
      </c>
      <c r="J1051">
        <f>($B$1+Table4[[#This Row],[Home Differential]])-Table4[[#This Row],[Away Differential]]</f>
        <v>0.44933655728561239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0.79636680320115127</v>
      </c>
      <c r="H1052" t="s">
        <v>25</v>
      </c>
      <c r="I1052">
        <f>VLOOKUP(Table4[[#This Row],[Visitor]],'NHL Model'!$A$6:$B$38,2,FALSE)</f>
        <v>0.45392063308446812</v>
      </c>
      <c r="J1052">
        <f>($B$1+Table4[[#This Row],[Home Differential]])-Table4[[#This Row],[Away Differential]]</f>
        <v>0.41666382402151364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0.3142836898216293</v>
      </c>
      <c r="H1053" t="s">
        <v>14</v>
      </c>
      <c r="I1053">
        <f>VLOOKUP(Table4[[#This Row],[Visitor]],'NHL Model'!$A$6:$B$38,2,FALSE)</f>
        <v>3.9336367625328564E-2</v>
      </c>
      <c r="J1053">
        <f>($B$1+Table4[[#This Row],[Home Differential]])-Table4[[#This Row],[Away Differential]]</f>
        <v>0.34916497610113129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0.57036946723015569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-0.48278309788469043</v>
      </c>
      <c r="H1054" t="s">
        <v>32</v>
      </c>
      <c r="I1054">
        <f>VLOOKUP(Table4[[#This Row],[Visitor]],'NHL Model'!$A$6:$B$38,2,FALSE)</f>
        <v>-0.2855111111085496</v>
      </c>
      <c r="J1054">
        <f>($B$1+Table4[[#This Row],[Home Differential]])-Table4[[#This Row],[Away Differential]]</f>
        <v>-0.12305433287131029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0.14556378660539449</v>
      </c>
      <c r="H1055" t="s">
        <v>10</v>
      </c>
      <c r="I1055">
        <f>VLOOKUP(Table4[[#This Row],[Visitor]],'NHL Model'!$A$6:$B$38,2,FALSE)</f>
        <v>-0.39984103039900787</v>
      </c>
      <c r="J1055">
        <f>($B$1+Table4[[#This Row],[Home Differential]])-Table4[[#This Row],[Away Differential]]</f>
        <v>0.61962247090923284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-0.10659687498124908</v>
      </c>
      <c r="H1056" t="s">
        <v>12</v>
      </c>
      <c r="I1056">
        <f>VLOOKUP(Table4[[#This Row],[Visitor]],'NHL Model'!$A$6:$B$38,2,FALSE)</f>
        <v>1.8591692540144091</v>
      </c>
      <c r="J1056">
        <f>($B$1+Table4[[#This Row],[Home Differential]])-Table4[[#This Row],[Away Differential]]</f>
        <v>-1.8915484750908278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0.45610704431993199</v>
      </c>
      <c r="H1057" t="s">
        <v>21</v>
      </c>
      <c r="I1057">
        <f>VLOOKUP(Table4[[#This Row],[Visitor]],'NHL Model'!$A$6:$B$38,2,FALSE)</f>
        <v>3.9572996236628868E-2</v>
      </c>
      <c r="J1057">
        <f>($B$1+Table4[[#This Row],[Home Differential]])-Table4[[#This Row],[Away Differential]]</f>
        <v>0.49075170198813362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7.1049614431123245E-2</v>
      </c>
      <c r="H1058" t="s">
        <v>29</v>
      </c>
      <c r="I1058">
        <f>VLOOKUP(Table4[[#This Row],[Visitor]],'NHL Model'!$A$6:$B$38,2,FALSE)</f>
        <v>-0.3202921716073342</v>
      </c>
      <c r="J1058">
        <f>($B$1+Table4[[#This Row],[Home Differential]])-Table4[[#This Row],[Away Differential]]</f>
        <v>0.46555943994328797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0.59379638322319717</v>
      </c>
      <c r="H1059" t="s">
        <v>19</v>
      </c>
      <c r="I1059">
        <f>VLOOKUP(Table4[[#This Row],[Visitor]],'NHL Model'!$A$6:$B$38,2,FALSE)</f>
        <v>-7.3686276472912369E-4</v>
      </c>
      <c r="J1059">
        <f>($B$1+Table4[[#This Row],[Home Differential]])-Table4[[#This Row],[Away Differential]]</f>
        <v>0.66875089989275682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0.63441186218904788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0.10902894471156278</v>
      </c>
      <c r="H1060" t="s">
        <v>31</v>
      </c>
      <c r="I1060">
        <f>VLOOKUP(Table4[[#This Row],[Visitor]],'NHL Model'!$A$6:$B$38,2,FALSE)</f>
        <v>-6.6593655044643821E-4</v>
      </c>
      <c r="J1060">
        <f>($B$1+Table4[[#This Row],[Home Differential]])-Table4[[#This Row],[Away Differential]]</f>
        <v>0.18391253516683975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0.55983588561603681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9.4361646617848058E-2</v>
      </c>
      <c r="H1061" t="s">
        <v>33</v>
      </c>
      <c r="I1061">
        <f>VLOOKUP(Table4[[#This Row],[Visitor]],'NHL Model'!$A$6:$B$38,2,FALSE)</f>
        <v>-0.17930549805059143</v>
      </c>
      <c r="J1061">
        <f>($B$1+Table4[[#This Row],[Home Differential]])-Table4[[#This Row],[Away Differential]]</f>
        <v>0.34788479857327004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0.57023139368890496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-0.2855111111085496</v>
      </c>
      <c r="H1062" t="s">
        <v>11</v>
      </c>
      <c r="I1062">
        <f>VLOOKUP(Table4[[#This Row],[Visitor]],'NHL Model'!$A$6:$B$38,2,FALSE)</f>
        <v>0.19285186127150866</v>
      </c>
      <c r="J1062">
        <f>($B$1+Table4[[#This Row],[Home Differential]])-Table4[[#This Row],[Away Differential]]</f>
        <v>-0.40414531847522772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0.54048350136256451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-0.10659687498124908</v>
      </c>
      <c r="H1063" t="s">
        <v>35</v>
      </c>
      <c r="I1063">
        <f>VLOOKUP(Table4[[#This Row],[Visitor]],'NHL Model'!$A$6:$B$38,2,FALSE)</f>
        <v>-0.96065798985911643</v>
      </c>
      <c r="J1063">
        <f>($B$1+Table4[[#This Row],[Home Differential]])-Table4[[#This Row],[Away Differential]]</f>
        <v>0.92827876878269788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1.8591692540144091</v>
      </c>
      <c r="H1064" t="s">
        <v>14</v>
      </c>
      <c r="I1064">
        <f>VLOOKUP(Table4[[#This Row],[Visitor]],'NHL Model'!$A$6:$B$38,2,FALSE)</f>
        <v>3.9336367625328564E-2</v>
      </c>
      <c r="J1064">
        <f>($B$1+Table4[[#This Row],[Home Differential]])-Table4[[#This Row],[Away Differential]]</f>
        <v>1.894050540293911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0.85812896596757959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0.76796514781800074</v>
      </c>
      <c r="H1065" t="s">
        <v>55</v>
      </c>
      <c r="I1065">
        <f>VLOOKUP(Table4[[#This Row],[Visitor]],'NHL Model'!$A$6:$B$38,2,FALSE)</f>
        <v>0.3142836898216293</v>
      </c>
      <c r="J1065">
        <f>($B$1+Table4[[#This Row],[Home Differential]])-Table4[[#This Row],[Away Differential]]</f>
        <v>0.52789911190120198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-8.5361594338821137E-2</v>
      </c>
      <c r="H1066" t="s">
        <v>16</v>
      </c>
      <c r="I1066">
        <f>VLOOKUP(Table4[[#This Row],[Visitor]],'NHL Model'!$A$6:$B$38,2,FALSE)</f>
        <v>-0.21926170023436534</v>
      </c>
      <c r="J1066">
        <f>($B$1+Table4[[#This Row],[Home Differential]])-Table4[[#This Row],[Away Differential]]</f>
        <v>0.20811775980037472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0.60287771745122565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-6.1952588060713437E-2</v>
      </c>
      <c r="H1067" t="s">
        <v>21</v>
      </c>
      <c r="I1067">
        <f>VLOOKUP(Table4[[#This Row],[Visitor]],'NHL Model'!$A$6:$B$38,2,FALSE)</f>
        <v>3.9572996236628868E-2</v>
      </c>
      <c r="J1067">
        <f>($B$1+Table4[[#This Row],[Home Differential]])-Table4[[#This Row],[Away Differential]]</f>
        <v>-2.7307930392511781E-2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0.46294529670413803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-6.2506340836952119E-3</v>
      </c>
      <c r="H1068" t="s">
        <v>13</v>
      </c>
      <c r="I1068">
        <f>VLOOKUP(Table4[[#This Row],[Visitor]],'NHL Model'!$A$6:$B$38,2,FALSE)</f>
        <v>1.584470710005189E-2</v>
      </c>
      <c r="J1068">
        <f>($B$1+Table4[[#This Row],[Home Differential]])-Table4[[#This Row],[Away Differential]]</f>
        <v>5.2122312721083426E-2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0.51323132054915477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-0.19727709229606127</v>
      </c>
      <c r="H1069" t="s">
        <v>25</v>
      </c>
      <c r="I1069">
        <f>VLOOKUP(Table4[[#This Row],[Visitor]],'NHL Model'!$A$6:$B$38,2,FALSE)</f>
        <v>0.45392063308446812</v>
      </c>
      <c r="J1069">
        <f>($B$1+Table4[[#This Row],[Home Differential]])-Table4[[#This Row],[Away Differential]]</f>
        <v>-0.57698007147569885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-0.39984103039900787</v>
      </c>
      <c r="H1070" t="s">
        <v>34</v>
      </c>
      <c r="I1070">
        <f>VLOOKUP(Table4[[#This Row],[Visitor]],'NHL Model'!$A$6:$B$38,2,FALSE)</f>
        <v>0.59379638322319717</v>
      </c>
      <c r="J1070">
        <f>($B$1+Table4[[#This Row],[Home Differential]])-Table4[[#This Row],[Away Differential]]</f>
        <v>-0.91941975971737455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7.1049614431123245E-2</v>
      </c>
      <c r="H1071" t="s">
        <v>33</v>
      </c>
      <c r="I1071">
        <f>VLOOKUP(Table4[[#This Row],[Visitor]],'NHL Model'!$A$6:$B$38,2,FALSE)</f>
        <v>-0.17930549805059143</v>
      </c>
      <c r="J1071">
        <f>($B$1+Table4[[#This Row],[Home Differential]])-Table4[[#This Row],[Away Differential]]</f>
        <v>0.3245727663865452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0.10902894471156278</v>
      </c>
      <c r="H1072" t="s">
        <v>21</v>
      </c>
      <c r="I1072">
        <f>VLOOKUP(Table4[[#This Row],[Visitor]],'NHL Model'!$A$6:$B$38,2,FALSE)</f>
        <v>3.9572996236628868E-2</v>
      </c>
      <c r="J1072">
        <f>($B$1+Table4[[#This Row],[Home Differential]])-Table4[[#This Row],[Away Differential]]</f>
        <v>0.14367360237976445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-0.2855111111085496</v>
      </c>
      <c r="H1073" t="s">
        <v>37</v>
      </c>
      <c r="I1073">
        <f>VLOOKUP(Table4[[#This Row],[Visitor]],'NHL Model'!$A$6:$B$38,2,FALSE)</f>
        <v>0.79636680320115127</v>
      </c>
      <c r="J1073">
        <f>($B$1+Table4[[#This Row],[Home Differential]])-Table4[[#This Row],[Away Differential]]</f>
        <v>-1.0076602604048703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0.65489968004495591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-7.3686276472912369E-4</v>
      </c>
      <c r="H1074" t="s">
        <v>30</v>
      </c>
      <c r="I1074">
        <f>VLOOKUP(Table4[[#This Row],[Visitor]],'NHL Model'!$A$6:$B$38,2,FALSE)</f>
        <v>0.16690670582810133</v>
      </c>
      <c r="J1074">
        <f>($B$1+Table4[[#This Row],[Home Differential]])-Table4[[#This Row],[Away Differential]]</f>
        <v>-9.342591468799992E-2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0.48438475198483244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-0.48278309788469043</v>
      </c>
      <c r="H1075" t="s">
        <v>11</v>
      </c>
      <c r="I1075">
        <f>VLOOKUP(Table4[[#This Row],[Visitor]],'NHL Model'!$A$6:$B$38,2,FALSE)</f>
        <v>0.19285186127150866</v>
      </c>
      <c r="J1075">
        <f>($B$1+Table4[[#This Row],[Home Differential]])-Table4[[#This Row],[Away Differential]]</f>
        <v>-0.60141730525136849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0.56176027056913347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0.14556378660539449</v>
      </c>
      <c r="H1076" t="s">
        <v>23</v>
      </c>
      <c r="I1076">
        <f>VLOOKUP(Table4[[#This Row],[Visitor]],'NHL Model'!$A$6:$B$38,2,FALSE)</f>
        <v>0.18511137883580026</v>
      </c>
      <c r="J1076">
        <f>($B$1+Table4[[#This Row],[Home Differential]])-Table4[[#This Row],[Away Differential]]</f>
        <v>3.4670061674424768E-2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0.54373933933894703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-0.10659687498124908</v>
      </c>
      <c r="H1077" t="s">
        <v>29</v>
      </c>
      <c r="I1077">
        <f>VLOOKUP(Table4[[#This Row],[Visitor]],'NHL Model'!$A$6:$B$38,2,FALSE)</f>
        <v>-0.3202921716073342</v>
      </c>
      <c r="J1077">
        <f>($B$1+Table4[[#This Row],[Home Differential]])-Table4[[#This Row],[Away Differential]]</f>
        <v>0.28791295053091565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-6.6593655044643821E-4</v>
      </c>
      <c r="H1078" t="s">
        <v>27</v>
      </c>
      <c r="I1078">
        <f>VLOOKUP(Table4[[#This Row],[Visitor]],'NHL Model'!$A$6:$B$38,2,FALSE)</f>
        <v>0.17784181108472058</v>
      </c>
      <c r="J1078">
        <f>($B$1+Table4[[#This Row],[Home Differential]])-Table4[[#This Row],[Away Differential]]</f>
        <v>-0.1042900937303365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0.45242467815736076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0.45392063308446812</v>
      </c>
      <c r="H1079" t="s">
        <v>14</v>
      </c>
      <c r="I1079">
        <f>VLOOKUP(Table4[[#This Row],[Visitor]],'NHL Model'!$A$6:$B$38,2,FALSE)</f>
        <v>3.9336367625328564E-2</v>
      </c>
      <c r="J1079">
        <f>($B$1+Table4[[#This Row],[Home Differential]])-Table4[[#This Row],[Away Differential]]</f>
        <v>0.48880191936397011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-0.21926170023436534</v>
      </c>
      <c r="H1080" t="s">
        <v>35</v>
      </c>
      <c r="I1080">
        <f>VLOOKUP(Table4[[#This Row],[Visitor]],'NHL Model'!$A$6:$B$38,2,FALSE)</f>
        <v>-0.96065798985911643</v>
      </c>
      <c r="J1080">
        <f>($B$1+Table4[[#This Row],[Home Differential]])-Table4[[#This Row],[Away Differential]]</f>
        <v>0.81561394352958161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1.8591692540144091</v>
      </c>
      <c r="H1081" t="s">
        <v>39</v>
      </c>
      <c r="I1081">
        <f>VLOOKUP(Table4[[#This Row],[Visitor]],'NHL Model'!$A$6:$B$38,2,FALSE)</f>
        <v>0.76796514781800074</v>
      </c>
      <c r="J1081">
        <f>($B$1+Table4[[#This Row],[Home Differential]])-Table4[[#This Row],[Away Differential]]</f>
        <v>1.1654217601012389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-6.2506340836952119E-3</v>
      </c>
      <c r="H1082" t="s">
        <v>24</v>
      </c>
      <c r="I1082">
        <f>VLOOKUP(Table4[[#This Row],[Visitor]],'NHL Model'!$A$6:$B$38,2,FALSE)</f>
        <v>-6.1952588060713437E-2</v>
      </c>
      <c r="J1082">
        <f>($B$1+Table4[[#This Row],[Home Differential]])-Table4[[#This Row],[Away Differential]]</f>
        <v>0.12991960788184875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0.45610704431993199</v>
      </c>
      <c r="H1083" t="s">
        <v>36</v>
      </c>
      <c r="I1083">
        <f>VLOOKUP(Table4[[#This Row],[Visitor]],'NHL Model'!$A$6:$B$38,2,FALSE)</f>
        <v>9.4361646617848058E-2</v>
      </c>
      <c r="J1083">
        <f>($B$1+Table4[[#This Row],[Home Differential]])-Table4[[#This Row],[Away Differential]]</f>
        <v>0.4359630516069144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3.9572996236628868E-2</v>
      </c>
      <c r="H1084" t="s">
        <v>40</v>
      </c>
      <c r="I1084">
        <f>VLOOKUP(Table4[[#This Row],[Visitor]],'NHL Model'!$A$6:$B$38,2,FALSE)</f>
        <v>-0.10659687498124908</v>
      </c>
      <c r="J1084">
        <f>($B$1+Table4[[#This Row],[Home Differential]])-Table4[[#This Row],[Away Differential]]</f>
        <v>0.22038752512270848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0.57778651598491071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-0.19727709229606127</v>
      </c>
      <c r="H1085" t="s">
        <v>15</v>
      </c>
      <c r="I1085">
        <f>VLOOKUP(Table4[[#This Row],[Visitor]],'NHL Model'!$A$6:$B$38,2,FALSE)</f>
        <v>-6.2506340836952119E-3</v>
      </c>
      <c r="J1085">
        <f>($B$1+Table4[[#This Row],[Home Differential]])-Table4[[#This Row],[Away Differential]]</f>
        <v>-0.11680880430753554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-8.5361594338821137E-2</v>
      </c>
      <c r="H1086" t="s">
        <v>18</v>
      </c>
      <c r="I1086">
        <f>VLOOKUP(Table4[[#This Row],[Visitor]],'NHL Model'!$A$6:$B$38,2,FALSE)</f>
        <v>0.10902894471156278</v>
      </c>
      <c r="J1086">
        <f>($B$1+Table4[[#This Row],[Home Differential]])-Table4[[#This Row],[Away Differential]]</f>
        <v>-0.1201728851455534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7.1049614431123245E-2</v>
      </c>
      <c r="H1087" t="s">
        <v>11</v>
      </c>
      <c r="I1087">
        <f>VLOOKUP(Table4[[#This Row],[Visitor]],'NHL Model'!$A$6:$B$38,2,FALSE)</f>
        <v>0.19285186127150866</v>
      </c>
      <c r="J1087">
        <f>($B$1+Table4[[#This Row],[Home Differential]])-Table4[[#This Row],[Away Differential]]</f>
        <v>-4.7584592935554892E-2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0.48065671157189382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1.584470710005189E-2</v>
      </c>
      <c r="H1088" t="s">
        <v>27</v>
      </c>
      <c r="I1088">
        <f>VLOOKUP(Table4[[#This Row],[Visitor]],'NHL Model'!$A$6:$B$38,2,FALSE)</f>
        <v>0.17784181108472058</v>
      </c>
      <c r="J1088">
        <f>($B$1+Table4[[#This Row],[Home Differential]])-Table4[[#This Row],[Away Differential]]</f>
        <v>-8.7779450079838173E-2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0.47675717180196869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0.59379638322319717</v>
      </c>
      <c r="H1089" t="s">
        <v>10</v>
      </c>
      <c r="I1089">
        <f>VLOOKUP(Table4[[#This Row],[Visitor]],'NHL Model'!$A$6:$B$38,2,FALSE)</f>
        <v>-0.39984103039900787</v>
      </c>
      <c r="J1089">
        <f>($B$1+Table4[[#This Row],[Home Differential]])-Table4[[#This Row],[Away Differential]]</f>
        <v>1.0678550675270355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-0.3202921716073342</v>
      </c>
      <c r="H1090" t="s">
        <v>32</v>
      </c>
      <c r="I1090">
        <f>VLOOKUP(Table4[[#This Row],[Visitor]],'NHL Model'!$A$6:$B$38,2,FALSE)</f>
        <v>-0.2855111111085496</v>
      </c>
      <c r="J1090">
        <f>($B$1+Table4[[#This Row],[Home Differential]])-Table4[[#This Row],[Away Differential]]</f>
        <v>3.9436593406045939E-2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0.5442534335964585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9.4361646617848058E-2</v>
      </c>
      <c r="H1091" t="s">
        <v>30</v>
      </c>
      <c r="I1091">
        <f>VLOOKUP(Table4[[#This Row],[Visitor]],'NHL Model'!$A$6:$B$38,2,FALSE)</f>
        <v>0.16690670582810133</v>
      </c>
      <c r="J1091">
        <f>($B$1+Table4[[#This Row],[Home Differential]])-Table4[[#This Row],[Away Differential]]</f>
        <v>1.6725946945772563E-3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-0.17930549805059143</v>
      </c>
      <c r="H1092" t="s">
        <v>23</v>
      </c>
      <c r="I1092">
        <f>VLOOKUP(Table4[[#This Row],[Visitor]],'NHL Model'!$A$6:$B$38,2,FALSE)</f>
        <v>0.18511137883580026</v>
      </c>
      <c r="J1092">
        <f>($B$1+Table4[[#This Row],[Home Differential]])-Table4[[#This Row],[Away Differential]]</f>
        <v>-0.29019922298156114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0.4912994358307497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-0.48278309788469043</v>
      </c>
      <c r="H1093" t="s">
        <v>37</v>
      </c>
      <c r="I1093">
        <f>VLOOKUP(Table4[[#This Row],[Visitor]],'NHL Model'!$A$6:$B$38,2,FALSE)</f>
        <v>0.79636680320115127</v>
      </c>
      <c r="J1093">
        <f>($B$1+Table4[[#This Row],[Home Differential]])-Table4[[#This Row],[Away Differential]]</f>
        <v>-1.2049322471810111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0.67617644925152476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0.14556378660539449</v>
      </c>
      <c r="H1094" t="s">
        <v>55</v>
      </c>
      <c r="I1094">
        <f>VLOOKUP(Table4[[#This Row],[Visitor]],'NHL Model'!$A$6:$B$38,2,FALSE)</f>
        <v>0.3142836898216293</v>
      </c>
      <c r="J1094">
        <f>($B$1+Table4[[#This Row],[Home Differential]])-Table4[[#This Row],[Away Differential]]</f>
        <v>-9.4502249311404274E-2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0.47019253965532415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-0.21926170023436534</v>
      </c>
      <c r="H1095" t="s">
        <v>11</v>
      </c>
      <c r="I1095">
        <f>VLOOKUP(Table4[[#This Row],[Visitor]],'NHL Model'!$A$6:$B$38,2,FALSE)</f>
        <v>0.19285186127150866</v>
      </c>
      <c r="J1095">
        <f>($B$1+Table4[[#This Row],[Home Differential]])-Table4[[#This Row],[Away Differential]]</f>
        <v>-0.33789590760104349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0.49427508682741589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-0.39984103039900787</v>
      </c>
      <c r="H1096" t="s">
        <v>12</v>
      </c>
      <c r="I1096">
        <f>VLOOKUP(Table4[[#This Row],[Visitor]],'NHL Model'!$A$6:$B$38,2,FALSE)</f>
        <v>1.8591692540144091</v>
      </c>
      <c r="J1096">
        <f>($B$1+Table4[[#This Row],[Home Differential]])-Table4[[#This Row],[Away Differential]]</f>
        <v>-2.1847926305085865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-7.3686276472912369E-4</v>
      </c>
      <c r="H1097" t="s">
        <v>25</v>
      </c>
      <c r="I1097">
        <f>VLOOKUP(Table4[[#This Row],[Visitor]],'NHL Model'!$A$6:$B$38,2,FALSE)</f>
        <v>0.45392063308446812</v>
      </c>
      <c r="J1097">
        <f>($B$1+Table4[[#This Row],[Home Differential]])-Table4[[#This Row],[Away Differential]]</f>
        <v>-0.3804398419443667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0.3142836898216293</v>
      </c>
      <c r="H1098" t="s">
        <v>31</v>
      </c>
      <c r="I1098">
        <f>VLOOKUP(Table4[[#This Row],[Visitor]],'NHL Model'!$A$6:$B$38,2,FALSE)</f>
        <v>-6.6593655044643821E-4</v>
      </c>
      <c r="J1098">
        <f>($B$1+Table4[[#This Row],[Home Differential]])-Table4[[#This Row],[Away Differential]]</f>
        <v>0.38916728027690628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0.58197363518519263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0.45610704431993199</v>
      </c>
      <c r="H1099" t="s">
        <v>24</v>
      </c>
      <c r="I1099">
        <f>VLOOKUP(Table4[[#This Row],[Visitor]],'NHL Model'!$A$6:$B$38,2,FALSE)</f>
        <v>-6.1952588060713437E-2</v>
      </c>
      <c r="J1099">
        <f>($B$1+Table4[[#This Row],[Home Differential]])-Table4[[#This Row],[Away Differential]]</f>
        <v>0.59227728628547593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-0.19727709229606127</v>
      </c>
      <c r="H1100" t="s">
        <v>32</v>
      </c>
      <c r="I1100">
        <f>VLOOKUP(Table4[[#This Row],[Visitor]],'NHL Model'!$A$6:$B$38,2,FALSE)</f>
        <v>-0.2855111111085496</v>
      </c>
      <c r="J1100">
        <f>($B$1+Table4[[#This Row],[Home Differential]])-Table4[[#This Row],[Away Differential]]</f>
        <v>0.16245167271731886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0.55752122439740903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-8.5361594338821137E-2</v>
      </c>
      <c r="H1101" t="s">
        <v>21</v>
      </c>
      <c r="I1101">
        <f>VLOOKUP(Table4[[#This Row],[Visitor]],'NHL Model'!$A$6:$B$38,2,FALSE)</f>
        <v>3.9572996236628868E-2</v>
      </c>
      <c r="J1101">
        <f>($B$1+Table4[[#This Row],[Home Differential]])-Table4[[#This Row],[Away Differential]]</f>
        <v>-5.0716936670619481E-2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7.1049614431123245E-2</v>
      </c>
      <c r="H1102" t="s">
        <v>37</v>
      </c>
      <c r="I1102">
        <f>VLOOKUP(Table4[[#This Row],[Visitor]],'NHL Model'!$A$6:$B$38,2,FALSE)</f>
        <v>0.79636680320115127</v>
      </c>
      <c r="J1102">
        <f>($B$1+Table4[[#This Row],[Home Differential]])-Table4[[#This Row],[Away Differential]]</f>
        <v>-0.65109953486519756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0.59516495484993703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1.584470710005189E-2</v>
      </c>
      <c r="H1103" t="s">
        <v>23</v>
      </c>
      <c r="I1103">
        <f>VLOOKUP(Table4[[#This Row],[Visitor]],'NHL Model'!$A$6:$B$38,2,FALSE)</f>
        <v>0.18511137883580026</v>
      </c>
      <c r="J1103">
        <f>($B$1+Table4[[#This Row],[Home Differential]])-Table4[[#This Row],[Away Differential]]</f>
        <v>-9.5049017830917848E-2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0.47025151137142646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0.59379638322319717</v>
      </c>
      <c r="H1104" t="s">
        <v>39</v>
      </c>
      <c r="I1104">
        <f>VLOOKUP(Table4[[#This Row],[Visitor]],'NHL Model'!$A$6:$B$38,2,FALSE)</f>
        <v>0.76796514781800074</v>
      </c>
      <c r="J1104">
        <f>($B$1+Table4[[#This Row],[Home Differential]])-Table4[[#This Row],[Away Differential]]</f>
        <v>-9.9951110689973088E-2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0.10902894471156278</v>
      </c>
      <c r="H1105" t="s">
        <v>30</v>
      </c>
      <c r="I1105">
        <f>VLOOKUP(Table4[[#This Row],[Visitor]],'NHL Model'!$A$6:$B$38,2,FALSE)</f>
        <v>0.16690670582810133</v>
      </c>
      <c r="J1105">
        <f>($B$1+Table4[[#This Row],[Home Differential]])-Table4[[#This Row],[Away Differential]]</f>
        <v>1.6339892788291982E-2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-0.3202921716073342</v>
      </c>
      <c r="H1106" t="s">
        <v>20</v>
      </c>
      <c r="I1106">
        <f>VLOOKUP(Table4[[#This Row],[Visitor]],'NHL Model'!$A$6:$B$38,2,FALSE)</f>
        <v>0.14556378660539449</v>
      </c>
      <c r="J1106">
        <f>($B$1+Table4[[#This Row],[Home Differential]])-Table4[[#This Row],[Away Differential]]</f>
        <v>-0.39163830430789814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0.5230093782396722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9.4361646617848058E-2</v>
      </c>
      <c r="H1107" t="s">
        <v>19</v>
      </c>
      <c r="I1107">
        <f>VLOOKUP(Table4[[#This Row],[Visitor]],'NHL Model'!$A$6:$B$38,2,FALSE)</f>
        <v>-7.3686276472912369E-4</v>
      </c>
      <c r="J1107">
        <f>($B$1+Table4[[#This Row],[Home Differential]])-Table4[[#This Row],[Away Differential]]</f>
        <v>0.1693161632874077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3.9336367625328564E-2</v>
      </c>
      <c r="H1108" t="s">
        <v>40</v>
      </c>
      <c r="I1108">
        <f>VLOOKUP(Table4[[#This Row],[Visitor]],'NHL Model'!$A$6:$B$38,2,FALSE)</f>
        <v>-0.10659687498124908</v>
      </c>
      <c r="J1108">
        <f>($B$1+Table4[[#This Row],[Home Differential]])-Table4[[#This Row],[Away Differential]]</f>
        <v>0.22015089651140818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0.56374437390853616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-0.17930549805059143</v>
      </c>
      <c r="H1109" t="s">
        <v>27</v>
      </c>
      <c r="I1109">
        <f>VLOOKUP(Table4[[#This Row],[Visitor]],'NHL Model'!$A$6:$B$38,2,FALSE)</f>
        <v>0.17784181108472058</v>
      </c>
      <c r="J1109">
        <f>($B$1+Table4[[#This Row],[Home Differential]])-Table4[[#This Row],[Away Differential]]</f>
        <v>-0.28292965523048147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0.49780509626129188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-0.48278309788469043</v>
      </c>
      <c r="H1110" t="s">
        <v>35</v>
      </c>
      <c r="I1110">
        <f>VLOOKUP(Table4[[#This Row],[Visitor]],'NHL Model'!$A$6:$B$38,2,FALSE)</f>
        <v>-0.96065798985911643</v>
      </c>
      <c r="J1110">
        <f>($B$1+Table4[[#This Row],[Home Differential]])-Table4[[#This Row],[Away Differential]]</f>
        <v>0.55209254587925649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-6.6593655044643821E-4</v>
      </c>
      <c r="H1111" t="s">
        <v>23</v>
      </c>
      <c r="I1111">
        <f>VLOOKUP(Table4[[#This Row],[Visitor]],'NHL Model'!$A$6:$B$38,2,FALSE)</f>
        <v>0.18511137883580026</v>
      </c>
      <c r="J1111">
        <f>($B$1+Table4[[#This Row],[Home Differential]])-Table4[[#This Row],[Away Differential]]</f>
        <v>-0.11155966148141618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0.44599453091569491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-0.21926170023436534</v>
      </c>
      <c r="H1112" t="s">
        <v>37</v>
      </c>
      <c r="I1112">
        <f>VLOOKUP(Table4[[#This Row],[Visitor]],'NHL Model'!$A$6:$B$38,2,FALSE)</f>
        <v>0.79636680320115127</v>
      </c>
      <c r="J1112">
        <f>($B$1+Table4[[#This Row],[Home Differential]])-Table4[[#This Row],[Away Differential]]</f>
        <v>-0.9414108495306861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0.60872272106775449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-0.39984103039900787</v>
      </c>
      <c r="H1113" t="s">
        <v>29</v>
      </c>
      <c r="I1113">
        <f>VLOOKUP(Table4[[#This Row],[Visitor]],'NHL Model'!$A$6:$B$38,2,FALSE)</f>
        <v>-0.3202921716073342</v>
      </c>
      <c r="J1113">
        <f>($B$1+Table4[[#This Row],[Home Differential]])-Table4[[#This Row],[Away Differential]]</f>
        <v>-5.3312048868431328E-3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0.76796514781800074</v>
      </c>
      <c r="H1114" t="s">
        <v>20</v>
      </c>
      <c r="I1114">
        <f>VLOOKUP(Table4[[#This Row],[Visitor]],'NHL Model'!$A$6:$B$38,2,FALSE)</f>
        <v>0.14556378660539449</v>
      </c>
      <c r="J1114">
        <f>($B$1+Table4[[#This Row],[Home Differential]])-Table4[[#This Row],[Away Differential]]</f>
        <v>0.69661901511743674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0.16690670582810133</v>
      </c>
      <c r="H1115" t="s">
        <v>28</v>
      </c>
      <c r="I1115">
        <f>VLOOKUP(Table4[[#This Row],[Visitor]],'NHL Model'!$A$6:$B$38,2,FALSE)</f>
        <v>-0.19727709229606127</v>
      </c>
      <c r="J1115">
        <f>($B$1+Table4[[#This Row],[Home Differential]])-Table4[[#This Row],[Away Differential]]</f>
        <v>0.43840145202899311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-6.2506340836952119E-3</v>
      </c>
      <c r="H1116" t="s">
        <v>40</v>
      </c>
      <c r="I1116">
        <f>VLOOKUP(Table4[[#This Row],[Visitor]],'NHL Model'!$A$6:$B$38,2,FALSE)</f>
        <v>-0.10659687498124908</v>
      </c>
      <c r="J1116">
        <f>($B$1+Table4[[#This Row],[Home Differential]])-Table4[[#This Row],[Away Differential]]</f>
        <v>0.17456389480238438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0.55882758805346677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3.9336367625328564E-2</v>
      </c>
      <c r="H1117" t="s">
        <v>25</v>
      </c>
      <c r="I1117">
        <f>VLOOKUP(Table4[[#This Row],[Visitor]],'NHL Model'!$A$6:$B$38,2,FALSE)</f>
        <v>0.45392063308446812</v>
      </c>
      <c r="J1117">
        <f>($B$1+Table4[[#This Row],[Home Differential]])-Table4[[#This Row],[Away Differential]]</f>
        <v>-0.34036661155430903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0.3142836898216293</v>
      </c>
      <c r="H1118" t="s">
        <v>13</v>
      </c>
      <c r="I1118">
        <f>VLOOKUP(Table4[[#This Row],[Visitor]],'NHL Model'!$A$6:$B$38,2,FALSE)</f>
        <v>1.584470710005189E-2</v>
      </c>
      <c r="J1118">
        <f>($B$1+Table4[[#This Row],[Home Differential]])-Table4[[#This Row],[Away Differential]]</f>
        <v>0.37265663662640797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0.45610704431993199</v>
      </c>
      <c r="H1119" t="s">
        <v>12</v>
      </c>
      <c r="I1119">
        <f>VLOOKUP(Table4[[#This Row],[Visitor]],'NHL Model'!$A$6:$B$38,2,FALSE)</f>
        <v>1.8591692540144091</v>
      </c>
      <c r="J1119">
        <f>($B$1+Table4[[#This Row],[Home Differential]])-Table4[[#This Row],[Away Differential]]</f>
        <v>-1.3288445557896467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0.67548626600922601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-6.2506340836952119E-3</v>
      </c>
      <c r="H1120" t="s">
        <v>36</v>
      </c>
      <c r="I1120">
        <f>VLOOKUP(Table4[[#This Row],[Visitor]],'NHL Model'!$A$6:$B$38,2,FALSE)</f>
        <v>9.4361646617848058E-2</v>
      </c>
      <c r="J1120">
        <f>($B$1+Table4[[#This Row],[Home Differential]])-Table4[[#This Row],[Away Differential]]</f>
        <v>-2.6394626796712742E-2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3.9572996236628868E-2</v>
      </c>
      <c r="H1121" t="s">
        <v>19</v>
      </c>
      <c r="I1121">
        <f>VLOOKUP(Table4[[#This Row],[Visitor]],'NHL Model'!$A$6:$B$38,2,FALSE)</f>
        <v>-7.3686276472912369E-4</v>
      </c>
      <c r="J1121">
        <f>($B$1+Table4[[#This Row],[Home Differential]])-Table4[[#This Row],[Away Differential]]</f>
        <v>0.11452751290618851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-0.21926170023436534</v>
      </c>
      <c r="H1122" t="s">
        <v>13</v>
      </c>
      <c r="I1122">
        <f>VLOOKUP(Table4[[#This Row],[Visitor]],'NHL Model'!$A$6:$B$38,2,FALSE)</f>
        <v>1.584470710005189E-2</v>
      </c>
      <c r="J1122">
        <f>($B$1+Table4[[#This Row],[Home Differential]])-Table4[[#This Row],[Away Differential]]</f>
        <v>-0.16088875342958672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0.76796514781800074</v>
      </c>
      <c r="H1123" t="s">
        <v>24</v>
      </c>
      <c r="I1123">
        <f>VLOOKUP(Table4[[#This Row],[Visitor]],'NHL Model'!$A$6:$B$38,2,FALSE)</f>
        <v>-6.1952588060713437E-2</v>
      </c>
      <c r="J1123">
        <f>($B$1+Table4[[#This Row],[Home Differential]])-Table4[[#This Row],[Away Differential]]</f>
        <v>0.90413538978354469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0.63141382330044393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-8.5361594338821137E-2</v>
      </c>
      <c r="H1124" t="s">
        <v>36</v>
      </c>
      <c r="I1124">
        <f>VLOOKUP(Table4[[#This Row],[Visitor]],'NHL Model'!$A$6:$B$38,2,FALSE)</f>
        <v>9.4361646617848058E-2</v>
      </c>
      <c r="J1124">
        <f>($B$1+Table4[[#This Row],[Home Differential]])-Table4[[#This Row],[Away Differential]]</f>
        <v>-0.10550558705183867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0.19285186127150866</v>
      </c>
      <c r="H1125" t="s">
        <v>32</v>
      </c>
      <c r="I1125">
        <f>VLOOKUP(Table4[[#This Row],[Visitor]],'NHL Model'!$A$6:$B$38,2,FALSE)</f>
        <v>-0.2855111111085496</v>
      </c>
      <c r="J1125">
        <f>($B$1+Table4[[#This Row],[Home Differential]])-Table4[[#This Row],[Away Differential]]</f>
        <v>0.5525806262848888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0.60036397186582124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0.10902894471156278</v>
      </c>
      <c r="H1126" t="s">
        <v>25</v>
      </c>
      <c r="I1126">
        <f>VLOOKUP(Table4[[#This Row],[Visitor]],'NHL Model'!$A$6:$B$38,2,FALSE)</f>
        <v>0.45392063308446812</v>
      </c>
      <c r="J1126">
        <f>($B$1+Table4[[#This Row],[Home Differential]])-Table4[[#This Row],[Away Differential]]</f>
        <v>-0.27067403446807481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0.54659712150373019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-0.3202921716073342</v>
      </c>
      <c r="H1127" t="s">
        <v>33</v>
      </c>
      <c r="I1127">
        <f>VLOOKUP(Table4[[#This Row],[Visitor]],'NHL Model'!$A$6:$B$38,2,FALSE)</f>
        <v>-0.17930549805059143</v>
      </c>
      <c r="J1127">
        <f>($B$1+Table4[[#This Row],[Home Differential]])-Table4[[#This Row],[Away Differential]]</f>
        <v>-6.6769019651912231E-2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0.16690670582810133</v>
      </c>
      <c r="H1128" t="s">
        <v>10</v>
      </c>
      <c r="I1128">
        <f>VLOOKUP(Table4[[#This Row],[Visitor]],'NHL Model'!$A$6:$B$38,2,FALSE)</f>
        <v>-0.39984103039900787</v>
      </c>
      <c r="J1128">
        <f>($B$1+Table4[[#This Row],[Home Differential]])-Table4[[#This Row],[Away Differential]]</f>
        <v>0.64096539013193965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0.6116267983445044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0.17784181108472058</v>
      </c>
      <c r="H1129" t="s">
        <v>28</v>
      </c>
      <c r="I1129">
        <f>VLOOKUP(Table4[[#This Row],[Visitor]],'NHL Model'!$A$6:$B$38,2,FALSE)</f>
        <v>-0.19727709229606127</v>
      </c>
      <c r="J1129">
        <f>($B$1+Table4[[#This Row],[Home Differential]])-Table4[[#This Row],[Away Differential]]</f>
        <v>0.44933655728561239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3.9336367625328564E-2</v>
      </c>
      <c r="H1130" t="s">
        <v>12</v>
      </c>
      <c r="I1130">
        <f>VLOOKUP(Table4[[#This Row],[Visitor]],'NHL Model'!$A$6:$B$38,2,FALSE)</f>
        <v>1.8591692540144091</v>
      </c>
      <c r="J1130">
        <f>($B$1+Table4[[#This Row],[Home Differential]])-Table4[[#This Row],[Away Differential]]</f>
        <v>-1.74561523248425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0.7344918100902138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-0.96065798985911643</v>
      </c>
      <c r="H1131" t="s">
        <v>22</v>
      </c>
      <c r="I1131">
        <f>VLOOKUP(Table4[[#This Row],[Visitor]],'NHL Model'!$A$6:$B$38,2,FALSE)</f>
        <v>0.45610704431993199</v>
      </c>
      <c r="J1131">
        <f>($B$1+Table4[[#This Row],[Home Differential]])-Table4[[#This Row],[Away Differential]]</f>
        <v>-1.342547380274218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0.60480044138954814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0.79636680320115127</v>
      </c>
      <c r="H1132" t="s">
        <v>34</v>
      </c>
      <c r="I1132">
        <f>VLOOKUP(Table4[[#This Row],[Visitor]],'NHL Model'!$A$6:$B$38,2,FALSE)</f>
        <v>0.59379638322319717</v>
      </c>
      <c r="J1132">
        <f>($B$1+Table4[[#This Row],[Home Differential]])-Table4[[#This Row],[Away Differential]]</f>
        <v>0.27678807388278459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0.51703246358722021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0.3142836898216293</v>
      </c>
      <c r="H1133" t="s">
        <v>17</v>
      </c>
      <c r="I1133">
        <f>VLOOKUP(Table4[[#This Row],[Visitor]],'NHL Model'!$A$6:$B$38,2,FALSE)</f>
        <v>7.1049614431123245E-2</v>
      </c>
      <c r="J1133">
        <f>($B$1+Table4[[#This Row],[Home Differential]])-Table4[[#This Row],[Away Differential]]</f>
        <v>0.3174517292953366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-0.48278309788469043</v>
      </c>
      <c r="H1134" t="s">
        <v>31</v>
      </c>
      <c r="I1134">
        <f>VLOOKUP(Table4[[#This Row],[Visitor]],'NHL Model'!$A$6:$B$38,2,FALSE)</f>
        <v>-6.6593655044643821E-4</v>
      </c>
      <c r="J1134">
        <f>($B$1+Table4[[#This Row],[Home Differential]])-Table4[[#This Row],[Away Differential]]</f>
        <v>-0.40789950742941344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-0.10659687498124908</v>
      </c>
      <c r="H1135" t="s">
        <v>20</v>
      </c>
      <c r="I1135">
        <f>VLOOKUP(Table4[[#This Row],[Visitor]],'NHL Model'!$A$6:$B$38,2,FALSE)</f>
        <v>0.14556378660539449</v>
      </c>
      <c r="J1135">
        <f>($B$1+Table4[[#This Row],[Home Differential]])-Table4[[#This Row],[Away Differential]]</f>
        <v>-0.17794300768181304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0.18511137883580026</v>
      </c>
      <c r="H1136" t="s">
        <v>21</v>
      </c>
      <c r="I1136">
        <f>VLOOKUP(Table4[[#This Row],[Visitor]],'NHL Model'!$A$6:$B$38,2,FALSE)</f>
        <v>3.9572996236628868E-2</v>
      </c>
      <c r="J1136">
        <f>($B$1+Table4[[#This Row],[Home Differential]])-Table4[[#This Row],[Away Differential]]</f>
        <v>0.21975603650400194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-7.3686276472912369E-4</v>
      </c>
      <c r="H1137" t="s">
        <v>15</v>
      </c>
      <c r="I1137">
        <f>VLOOKUP(Table4[[#This Row],[Visitor]],'NHL Model'!$A$6:$B$38,2,FALSE)</f>
        <v>-6.2506340836952119E-3</v>
      </c>
      <c r="J1137">
        <f>($B$1+Table4[[#This Row],[Home Differential]])-Table4[[#This Row],[Away Differential]]</f>
        <v>7.9731425223796615E-2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-0.21926170023436534</v>
      </c>
      <c r="H1138" t="s">
        <v>31</v>
      </c>
      <c r="I1138">
        <f>VLOOKUP(Table4[[#This Row],[Visitor]],'NHL Model'!$A$6:$B$38,2,FALSE)</f>
        <v>-6.6593655044643821E-4</v>
      </c>
      <c r="J1138">
        <f>($B$1+Table4[[#This Row],[Home Differential]])-Table4[[#This Row],[Away Differential]]</f>
        <v>-0.14437810977908838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0.19285186127150866</v>
      </c>
      <c r="H1139" t="s">
        <v>34</v>
      </c>
      <c r="I1139">
        <f>VLOOKUP(Table4[[#This Row],[Visitor]],'NHL Model'!$A$6:$B$38,2,FALSE)</f>
        <v>0.59379638322319717</v>
      </c>
      <c r="J1139">
        <f>($B$1+Table4[[#This Row],[Home Differential]])-Table4[[#This Row],[Away Differential]]</f>
        <v>-0.32672686804685797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0.55187317569821481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0.10902894471156278</v>
      </c>
      <c r="H1140" t="s">
        <v>28</v>
      </c>
      <c r="I1140">
        <f>VLOOKUP(Table4[[#This Row],[Visitor]],'NHL Model'!$A$6:$B$38,2,FALSE)</f>
        <v>-0.19727709229606127</v>
      </c>
      <c r="J1140">
        <f>($B$1+Table4[[#This Row],[Home Differential]])-Table4[[#This Row],[Away Differential]]</f>
        <v>0.38052369091245458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-0.3202921716073342</v>
      </c>
      <c r="H1141" t="s">
        <v>24</v>
      </c>
      <c r="I1141">
        <f>VLOOKUP(Table4[[#This Row],[Visitor]],'NHL Model'!$A$6:$B$38,2,FALSE)</f>
        <v>-6.1952588060713437E-2</v>
      </c>
      <c r="J1141">
        <f>($B$1+Table4[[#This Row],[Home Differential]])-Table4[[#This Row],[Away Differential]]</f>
        <v>-0.18412192964179022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0.51224880110055304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0.16690670582810133</v>
      </c>
      <c r="H1142" t="s">
        <v>39</v>
      </c>
      <c r="I1142">
        <f>VLOOKUP(Table4[[#This Row],[Visitor]],'NHL Model'!$A$6:$B$38,2,FALSE)</f>
        <v>0.76796514781800074</v>
      </c>
      <c r="J1142">
        <f>($B$1+Table4[[#This Row],[Home Differential]])-Table4[[#This Row],[Away Differential]]</f>
        <v>-0.52684078808506896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0.58842092373393351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9.4361646617848058E-2</v>
      </c>
      <c r="H1143" t="s">
        <v>14</v>
      </c>
      <c r="I1143">
        <f>VLOOKUP(Table4[[#This Row],[Visitor]],'NHL Model'!$A$6:$B$38,2,FALSE)</f>
        <v>3.9336367625328564E-2</v>
      </c>
      <c r="J1143">
        <f>($B$1+Table4[[#This Row],[Home Differential]])-Table4[[#This Row],[Away Differential]]</f>
        <v>0.12924293289735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0.17784181108472058</v>
      </c>
      <c r="H1144" t="s">
        <v>10</v>
      </c>
      <c r="I1144">
        <f>VLOOKUP(Table4[[#This Row],[Visitor]],'NHL Model'!$A$6:$B$38,2,FALSE)</f>
        <v>-0.39984103039900787</v>
      </c>
      <c r="J1144">
        <f>($B$1+Table4[[#This Row],[Home Differential]])-Table4[[#This Row],[Away Differential]]</f>
        <v>0.65190049538855899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0.61486518031176718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-0.96065798985911643</v>
      </c>
      <c r="H1145" t="s">
        <v>33</v>
      </c>
      <c r="I1145">
        <f>VLOOKUP(Table4[[#This Row],[Visitor]],'NHL Model'!$A$6:$B$38,2,FALSE)</f>
        <v>-0.17930549805059143</v>
      </c>
      <c r="J1145">
        <f>($B$1+Table4[[#This Row],[Home Differential]])-Table4[[#This Row],[Away Differential]]</f>
        <v>-0.70713483790369458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0.54355774424476122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0.79636680320115127</v>
      </c>
      <c r="H1146" t="s">
        <v>32</v>
      </c>
      <c r="I1146">
        <f>VLOOKUP(Table4[[#This Row],[Visitor]],'NHL Model'!$A$6:$B$38,2,FALSE)</f>
        <v>-0.2855111111085496</v>
      </c>
      <c r="J1146">
        <f>($B$1+Table4[[#This Row],[Home Differential]])-Table4[[#This Row],[Away Differential]]</f>
        <v>1.1560955682145313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0.66924513752171244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0.3142836898216293</v>
      </c>
      <c r="H1147" t="s">
        <v>22</v>
      </c>
      <c r="I1147">
        <f>VLOOKUP(Table4[[#This Row],[Visitor]],'NHL Model'!$A$6:$B$38,2,FALSE)</f>
        <v>0.45610704431993199</v>
      </c>
      <c r="J1147">
        <f>($B$1+Table4[[#This Row],[Home Differential]])-Table4[[#This Row],[Away Differential]]</f>
        <v>-6.7605700593472151E-2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0.46729161251976442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-0.48278309788469043</v>
      </c>
      <c r="H1148" t="s">
        <v>13</v>
      </c>
      <c r="I1148">
        <f>VLOOKUP(Table4[[#This Row],[Visitor]],'NHL Model'!$A$6:$B$38,2,FALSE)</f>
        <v>1.584470710005189E-2</v>
      </c>
      <c r="J1148">
        <f>($B$1+Table4[[#This Row],[Home Differential]])-Table4[[#This Row],[Away Differential]]</f>
        <v>-0.42441015107991176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0.14556378660539449</v>
      </c>
      <c r="H1149" t="s">
        <v>17</v>
      </c>
      <c r="I1149">
        <f>VLOOKUP(Table4[[#This Row],[Visitor]],'NHL Model'!$A$6:$B$38,2,FALSE)</f>
        <v>7.1049614431123245E-2</v>
      </c>
      <c r="J1149">
        <f>($B$1+Table4[[#This Row],[Home Differential]])-Table4[[#This Row],[Away Differential]]</f>
        <v>0.14873182607910179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-0.10659687498124908</v>
      </c>
      <c r="H1150" t="s">
        <v>12</v>
      </c>
      <c r="I1150">
        <f>VLOOKUP(Table4[[#This Row],[Visitor]],'NHL Model'!$A$6:$B$38,2,FALSE)</f>
        <v>1.8591692540144091</v>
      </c>
      <c r="J1150">
        <f>($B$1+Table4[[#This Row],[Home Differential]])-Table4[[#This Row],[Away Differential]]</f>
        <v>-1.8915484750908278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0.18511137883580026</v>
      </c>
      <c r="H1151" t="s">
        <v>26</v>
      </c>
      <c r="I1151">
        <f>VLOOKUP(Table4[[#This Row],[Visitor]],'NHL Model'!$A$6:$B$38,2,FALSE)</f>
        <v>-8.5361594338821137E-2</v>
      </c>
      <c r="J1151">
        <f>($B$1+Table4[[#This Row],[Home Differential]])-Table4[[#This Row],[Away Differential]]</f>
        <v>0.34469062707945192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-6.2506340836952119E-3</v>
      </c>
      <c r="H1152" t="s">
        <v>10</v>
      </c>
      <c r="I1152">
        <f>VLOOKUP(Table4[[#This Row],[Visitor]],'NHL Model'!$A$6:$B$38,2,FALSE)</f>
        <v>-0.39984103039900787</v>
      </c>
      <c r="J1152">
        <f>($B$1+Table4[[#This Row],[Home Differential]])-Table4[[#This Row],[Away Differential]]</f>
        <v>0.46780805022014316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0.5904554350578114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3.9572996236628868E-2</v>
      </c>
      <c r="H1153" t="s">
        <v>34</v>
      </c>
      <c r="I1153">
        <f>VLOOKUP(Table4[[#This Row],[Visitor]],'NHL Model'!$A$6:$B$38,2,FALSE)</f>
        <v>0.59379638322319717</v>
      </c>
      <c r="J1153">
        <f>($B$1+Table4[[#This Row],[Home Differential]])-Table4[[#This Row],[Away Differential]]</f>
        <v>-0.48000573308173777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0.55503898994172907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0.18511137883580026</v>
      </c>
      <c r="H1154" t="s">
        <v>32</v>
      </c>
      <c r="I1154">
        <f>VLOOKUP(Table4[[#This Row],[Visitor]],'NHL Model'!$A$6:$B$38,2,FALSE)</f>
        <v>-0.2855111111085496</v>
      </c>
      <c r="J1154">
        <f>($B$1+Table4[[#This Row],[Home Differential]])-Table4[[#This Row],[Away Differential]]</f>
        <v>0.54484014384918034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0.63735582372885768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0.45392063308446812</v>
      </c>
      <c r="H1155" t="s">
        <v>24</v>
      </c>
      <c r="I1155">
        <f>VLOOKUP(Table4[[#This Row],[Visitor]],'NHL Model'!$A$6:$B$38,2,FALSE)</f>
        <v>-6.1952588060713437E-2</v>
      </c>
      <c r="J1155">
        <f>($B$1+Table4[[#This Row],[Home Differential]])-Table4[[#This Row],[Away Differential]]</f>
        <v>0.59009087505001212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-0.19727709229606127</v>
      </c>
      <c r="H1156" t="s">
        <v>33</v>
      </c>
      <c r="I1156">
        <f>VLOOKUP(Table4[[#This Row],[Visitor]],'NHL Model'!$A$6:$B$38,2,FALSE)</f>
        <v>-0.17930549805059143</v>
      </c>
      <c r="J1156">
        <f>($B$1+Table4[[#This Row],[Home Differential]])-Table4[[#This Row],[Away Differential]]</f>
        <v>5.6246059659360678E-2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0.53877669887403756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-0.21926170023436534</v>
      </c>
      <c r="H1157" t="s">
        <v>38</v>
      </c>
      <c r="I1157">
        <f>VLOOKUP(Table4[[#This Row],[Visitor]],'NHL Model'!$A$6:$B$38,2,FALSE)</f>
        <v>-0.48278309788469043</v>
      </c>
      <c r="J1157">
        <f>($B$1+Table4[[#This Row],[Home Differential]])-Table4[[#This Row],[Away Differential]]</f>
        <v>0.3377390515551556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0.57301220967177768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1.8591692540144091</v>
      </c>
      <c r="H1158" t="s">
        <v>40</v>
      </c>
      <c r="I1158">
        <f>VLOOKUP(Table4[[#This Row],[Visitor]],'NHL Model'!$A$6:$B$38,2,FALSE)</f>
        <v>-0.10659687498124908</v>
      </c>
      <c r="J1158">
        <f>($B$1+Table4[[#This Row],[Home Differential]])-Table4[[#This Row],[Away Differential]]</f>
        <v>2.0399837829004888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-8.5361594338821137E-2</v>
      </c>
      <c r="H1159" t="s">
        <v>27</v>
      </c>
      <c r="I1159">
        <f>VLOOKUP(Table4[[#This Row],[Visitor]],'NHL Model'!$A$6:$B$38,2,FALSE)</f>
        <v>0.17784181108472058</v>
      </c>
      <c r="J1159">
        <f>($B$1+Table4[[#This Row],[Home Differential]])-Table4[[#This Row],[Away Differential]]</f>
        <v>-0.18898575151871119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7.1049614431123245E-2</v>
      </c>
      <c r="H1160" t="s">
        <v>31</v>
      </c>
      <c r="I1160">
        <f>VLOOKUP(Table4[[#This Row],[Visitor]],'NHL Model'!$A$6:$B$38,2,FALSE)</f>
        <v>-6.6593655044643821E-4</v>
      </c>
      <c r="J1160">
        <f>($B$1+Table4[[#This Row],[Home Differential]])-Table4[[#This Row],[Away Differential]]</f>
        <v>0.14593320488640021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1.584470710005189E-2</v>
      </c>
      <c r="H1161" t="s">
        <v>55</v>
      </c>
      <c r="I1161">
        <f>VLOOKUP(Table4[[#This Row],[Visitor]],'NHL Model'!$A$6:$B$38,2,FALSE)</f>
        <v>0.3142836898216293</v>
      </c>
      <c r="J1161">
        <f>($B$1+Table4[[#This Row],[Home Differential]])-Table4[[#This Row],[Away Differential]]</f>
        <v>-0.22422132881674689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0.48418339036569752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-0.3202921716073342</v>
      </c>
      <c r="H1162" t="s">
        <v>18</v>
      </c>
      <c r="I1162">
        <f>VLOOKUP(Table4[[#This Row],[Visitor]],'NHL Model'!$A$6:$B$38,2,FALSE)</f>
        <v>0.10902894471156278</v>
      </c>
      <c r="J1162">
        <f>($B$1+Table4[[#This Row],[Home Differential]])-Table4[[#This Row],[Away Differential]]</f>
        <v>-0.35510346241406643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0.56461547174337889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0.16690670582810133</v>
      </c>
      <c r="H1163" t="s">
        <v>11</v>
      </c>
      <c r="I1163">
        <f>VLOOKUP(Table4[[#This Row],[Visitor]],'NHL Model'!$A$6:$B$38,2,FALSE)</f>
        <v>0.19285186127150866</v>
      </c>
      <c r="J1163">
        <f>($B$1+Table4[[#This Row],[Home Differential]])-Table4[[#This Row],[Away Differential]]</f>
        <v>4.8272498461423174E-2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3.9336367625328564E-2</v>
      </c>
      <c r="H1164" t="s">
        <v>39</v>
      </c>
      <c r="I1164">
        <f>VLOOKUP(Table4[[#This Row],[Visitor]],'NHL Model'!$A$6:$B$38,2,FALSE)</f>
        <v>0.76796514781800074</v>
      </c>
      <c r="J1164">
        <f>($B$1+Table4[[#This Row],[Home Differential]])-Table4[[#This Row],[Away Differential]]</f>
        <v>-0.65441112628784159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0.60468175545787084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-0.96065798985911643</v>
      </c>
      <c r="H1165" t="s">
        <v>19</v>
      </c>
      <c r="I1165">
        <f>VLOOKUP(Table4[[#This Row],[Visitor]],'NHL Model'!$A$6:$B$38,2,FALSE)</f>
        <v>-7.3686276472912369E-4</v>
      </c>
      <c r="J1165">
        <f>($B$1+Table4[[#This Row],[Home Differential]])-Table4[[#This Row],[Away Differential]]</f>
        <v>-0.88570347318955678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0.55552754393808301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0.79636680320115127</v>
      </c>
      <c r="H1166" t="s">
        <v>36</v>
      </c>
      <c r="I1166">
        <f>VLOOKUP(Table4[[#This Row],[Visitor]],'NHL Model'!$A$6:$B$38,2,FALSE)</f>
        <v>9.4361646617848058E-2</v>
      </c>
      <c r="J1166">
        <f>($B$1+Table4[[#This Row],[Home Differential]])-Table4[[#This Row],[Away Differential]]</f>
        <v>0.77622281048813369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0.14556378660539449</v>
      </c>
      <c r="H1167" t="s">
        <v>22</v>
      </c>
      <c r="I1167">
        <f>VLOOKUP(Table4[[#This Row],[Visitor]],'NHL Model'!$A$6:$B$38,2,FALSE)</f>
        <v>0.45610704431993199</v>
      </c>
      <c r="J1167">
        <f>($B$1+Table4[[#This Row],[Home Differential]])-Table4[[#This Row],[Away Differential]]</f>
        <v>-0.23632560380970696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0.48548889688817354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0.45392063308446812</v>
      </c>
      <c r="H1168" t="s">
        <v>18</v>
      </c>
      <c r="I1168">
        <f>VLOOKUP(Table4[[#This Row],[Visitor]],'NHL Model'!$A$6:$B$38,2,FALSE)</f>
        <v>0.10902894471156278</v>
      </c>
      <c r="J1168">
        <f>($B$1+Table4[[#This Row],[Home Differential]])-Table4[[#This Row],[Away Differential]]</f>
        <v>0.41910934227773589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-0.19727709229606127</v>
      </c>
      <c r="H1169" t="s">
        <v>21</v>
      </c>
      <c r="I1169">
        <f>VLOOKUP(Table4[[#This Row],[Visitor]],'NHL Model'!$A$6:$B$38,2,FALSE)</f>
        <v>3.9572996236628868E-2</v>
      </c>
      <c r="J1169">
        <f>($B$1+Table4[[#This Row],[Home Differential]])-Table4[[#This Row],[Away Differential]]</f>
        <v>-0.16263243462785962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-6.1952588060713437E-2</v>
      </c>
      <c r="H1170" t="s">
        <v>10</v>
      </c>
      <c r="I1170">
        <f>VLOOKUP(Table4[[#This Row],[Visitor]],'NHL Model'!$A$6:$B$38,2,FALSE)</f>
        <v>-0.39984103039900787</v>
      </c>
      <c r="J1170">
        <f>($B$1+Table4[[#This Row],[Home Differential]])-Table4[[#This Row],[Away Differential]]</f>
        <v>0.41210609624312494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0.58444770107341748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-6.2506340836952119E-3</v>
      </c>
      <c r="H1171" t="s">
        <v>11</v>
      </c>
      <c r="I1171">
        <f>VLOOKUP(Table4[[#This Row],[Visitor]],'NHL Model'!$A$6:$B$38,2,FALSE)</f>
        <v>0.19285186127150866</v>
      </c>
      <c r="J1171">
        <f>($B$1+Table4[[#This Row],[Home Differential]])-Table4[[#This Row],[Away Differential]]</f>
        <v>-0.12488484145037335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0.51036386392556365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0.17784181108472058</v>
      </c>
      <c r="H1172" t="s">
        <v>39</v>
      </c>
      <c r="I1172">
        <f>VLOOKUP(Table4[[#This Row],[Visitor]],'NHL Model'!$A$6:$B$38,2,FALSE)</f>
        <v>0.76796514781800074</v>
      </c>
      <c r="J1172">
        <f>($B$1+Table4[[#This Row],[Home Differential]])-Table4[[#This Row],[Away Differential]]</f>
        <v>-0.51590568282844962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0.58517457322482891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0.79636680320115127</v>
      </c>
      <c r="H1173" t="s">
        <v>29</v>
      </c>
      <c r="I1173">
        <f>VLOOKUP(Table4[[#This Row],[Visitor]],'NHL Model'!$A$6:$B$38,2,FALSE)</f>
        <v>-0.3202921716073342</v>
      </c>
      <c r="J1173">
        <f>($B$1+Table4[[#This Row],[Home Differential]])-Table4[[#This Row],[Away Differential]]</f>
        <v>1.1908766287133159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0.67299644863833907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-6.6593655044643821E-4</v>
      </c>
      <c r="H1174" t="s">
        <v>19</v>
      </c>
      <c r="I1174">
        <f>VLOOKUP(Table4[[#This Row],[Visitor]],'NHL Model'!$A$6:$B$38,2,FALSE)</f>
        <v>-7.3686276472912369E-4</v>
      </c>
      <c r="J1174">
        <f>($B$1+Table4[[#This Row],[Home Differential]])-Table4[[#This Row],[Away Differential]]</f>
        <v>7.4288580119113198E-2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0.57405013030864971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1.8591692540144091</v>
      </c>
      <c r="H1175" t="s">
        <v>16</v>
      </c>
      <c r="I1175">
        <f>VLOOKUP(Table4[[#This Row],[Visitor]],'NHL Model'!$A$6:$B$38,2,FALSE)</f>
        <v>-0.21926170023436534</v>
      </c>
      <c r="J1175">
        <f>($B$1+Table4[[#This Row],[Home Differential]])-Table4[[#This Row],[Away Differential]]</f>
        <v>2.1526486081536049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0.16690670582810133</v>
      </c>
      <c r="H1176" t="s">
        <v>14</v>
      </c>
      <c r="I1176">
        <f>VLOOKUP(Table4[[#This Row],[Visitor]],'NHL Model'!$A$6:$B$38,2,FALSE)</f>
        <v>3.9336367625328564E-2</v>
      </c>
      <c r="J1176">
        <f>($B$1+Table4[[#This Row],[Home Differential]])-Table4[[#This Row],[Away Differential]]</f>
        <v>0.20178799210760329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-0.17930549805059143</v>
      </c>
      <c r="H1177" t="s">
        <v>35</v>
      </c>
      <c r="I1177">
        <f>VLOOKUP(Table4[[#This Row],[Visitor]],'NHL Model'!$A$6:$B$38,2,FALSE)</f>
        <v>-0.96065798985911643</v>
      </c>
      <c r="J1177">
        <f>($B$1+Table4[[#This Row],[Home Differential]])-Table4[[#This Row],[Away Differential]]</f>
        <v>0.85557014571335555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0.14556378660539449</v>
      </c>
      <c r="H1178" t="s">
        <v>38</v>
      </c>
      <c r="I1178">
        <f>VLOOKUP(Table4[[#This Row],[Visitor]],'NHL Model'!$A$6:$B$38,2,FALSE)</f>
        <v>-0.48278309788469043</v>
      </c>
      <c r="J1178">
        <f>($B$1+Table4[[#This Row],[Home Differential]])-Table4[[#This Row],[Away Differential]]</f>
        <v>0.70256453839491551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3.9572996236628868E-2</v>
      </c>
      <c r="H1179" t="s">
        <v>39</v>
      </c>
      <c r="I1179">
        <f>VLOOKUP(Table4[[#This Row],[Visitor]],'NHL Model'!$A$6:$B$38,2,FALSE)</f>
        <v>0.76796514781800074</v>
      </c>
      <c r="J1179">
        <f>($B$1+Table4[[#This Row],[Home Differential]])-Table4[[#This Row],[Away Differential]]</f>
        <v>-0.65417449767654134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0.59055598737230519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0.18511137883580026</v>
      </c>
      <c r="H1180" t="s">
        <v>30</v>
      </c>
      <c r="I1180">
        <f>VLOOKUP(Table4[[#This Row],[Visitor]],'NHL Model'!$A$6:$B$38,2,FALSE)</f>
        <v>0.16690670582810133</v>
      </c>
      <c r="J1180">
        <f>($B$1+Table4[[#This Row],[Home Differential]])-Table4[[#This Row],[Away Differential]]</f>
        <v>9.2422326912529468E-2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-0.19727709229606127</v>
      </c>
      <c r="H1181" t="s">
        <v>25</v>
      </c>
      <c r="I1181">
        <f>VLOOKUP(Table4[[#This Row],[Visitor]],'NHL Model'!$A$6:$B$38,2,FALSE)</f>
        <v>0.45392063308446812</v>
      </c>
      <c r="J1181">
        <f>($B$1+Table4[[#This Row],[Home Differential]])-Table4[[#This Row],[Away Differential]]</f>
        <v>-0.57698007147569885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-0.39984103039900787</v>
      </c>
      <c r="H1182" t="s">
        <v>40</v>
      </c>
      <c r="I1182">
        <f>VLOOKUP(Table4[[#This Row],[Visitor]],'NHL Model'!$A$6:$B$38,2,FALSE)</f>
        <v>-0.10659687498124908</v>
      </c>
      <c r="J1182">
        <f>($B$1+Table4[[#This Row],[Home Differential]])-Table4[[#This Row],[Away Differential]]</f>
        <v>-0.21902650151292824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7.1049614431123245E-2</v>
      </c>
      <c r="H1183" t="s">
        <v>32</v>
      </c>
      <c r="I1183">
        <f>VLOOKUP(Table4[[#This Row],[Visitor]],'NHL Model'!$A$6:$B$38,2,FALSE)</f>
        <v>-0.2855111111085496</v>
      </c>
      <c r="J1183">
        <f>($B$1+Table4[[#This Row],[Home Differential]])-Table4[[#This Row],[Away Differential]]</f>
        <v>0.43077837944450337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0.19285186127150866</v>
      </c>
      <c r="H1184" t="s">
        <v>36</v>
      </c>
      <c r="I1184">
        <f>VLOOKUP(Table4[[#This Row],[Visitor]],'NHL Model'!$A$6:$B$38,2,FALSE)</f>
        <v>9.4361646617848058E-2</v>
      </c>
      <c r="J1184">
        <f>($B$1+Table4[[#This Row],[Home Differential]])-Table4[[#This Row],[Away Differential]]</f>
        <v>0.17270786855849113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-6.2506340836952119E-3</v>
      </c>
      <c r="H1185" t="s">
        <v>24</v>
      </c>
      <c r="I1185">
        <f>VLOOKUP(Table4[[#This Row],[Visitor]],'NHL Model'!$A$6:$B$38,2,FALSE)</f>
        <v>-6.1952588060713437E-2</v>
      </c>
      <c r="J1185">
        <f>($B$1+Table4[[#This Row],[Home Differential]])-Table4[[#This Row],[Away Differential]]</f>
        <v>0.12991960788184875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3.9336367625328564E-2</v>
      </c>
      <c r="H1186" t="s">
        <v>26</v>
      </c>
      <c r="I1186">
        <f>VLOOKUP(Table4[[#This Row],[Visitor]],'NHL Model'!$A$6:$B$38,2,FALSE)</f>
        <v>-8.5361594338821137E-2</v>
      </c>
      <c r="J1186">
        <f>($B$1+Table4[[#This Row],[Home Differential]])-Table4[[#This Row],[Away Differential]]</f>
        <v>0.19891561586898021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0.79636680320115127</v>
      </c>
      <c r="H1187" t="s">
        <v>18</v>
      </c>
      <c r="I1187">
        <f>VLOOKUP(Table4[[#This Row],[Visitor]],'NHL Model'!$A$6:$B$38,2,FALSE)</f>
        <v>0.10902894471156278</v>
      </c>
      <c r="J1187">
        <f>($B$1+Table4[[#This Row],[Home Differential]])-Table4[[#This Row],[Away Differential]]</f>
        <v>0.76155551239441899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0.45610704431993199</v>
      </c>
      <c r="H1188" t="s">
        <v>27</v>
      </c>
      <c r="I1188">
        <f>VLOOKUP(Table4[[#This Row],[Visitor]],'NHL Model'!$A$6:$B$38,2,FALSE)</f>
        <v>0.17784181108472058</v>
      </c>
      <c r="J1188">
        <f>($B$1+Table4[[#This Row],[Home Differential]])-Table4[[#This Row],[Away Differential]]</f>
        <v>0.35248288714004189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1.8591692540144091</v>
      </c>
      <c r="H1189" t="s">
        <v>38</v>
      </c>
      <c r="I1189">
        <f>VLOOKUP(Table4[[#This Row],[Visitor]],'NHL Model'!$A$6:$B$38,2,FALSE)</f>
        <v>-0.48278309788469043</v>
      </c>
      <c r="J1189">
        <f>($B$1+Table4[[#This Row],[Home Differential]])-Table4[[#This Row],[Away Differential]]</f>
        <v>2.4161700058039299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1.584470710005189E-2</v>
      </c>
      <c r="H1190" t="s">
        <v>35</v>
      </c>
      <c r="I1190">
        <f>VLOOKUP(Table4[[#This Row],[Visitor]],'NHL Model'!$A$6:$B$38,2,FALSE)</f>
        <v>-0.96065798985911643</v>
      </c>
      <c r="J1190">
        <f>($B$1+Table4[[#This Row],[Home Differential]])-Table4[[#This Row],[Away Differential]]</f>
        <v>1.0507203508639988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0.6533254385040862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-0.17930549805059143</v>
      </c>
      <c r="H1191" t="s">
        <v>31</v>
      </c>
      <c r="I1191">
        <f>VLOOKUP(Table4[[#This Row],[Visitor]],'NHL Model'!$A$6:$B$38,2,FALSE)</f>
        <v>-6.6593655044643821E-4</v>
      </c>
      <c r="J1191">
        <f>($B$1+Table4[[#This Row],[Home Differential]])-Table4[[#This Row],[Away Differential]]</f>
        <v>-0.10442190759531446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0.45392063308446812</v>
      </c>
      <c r="H1192" t="s">
        <v>28</v>
      </c>
      <c r="I1192">
        <f>VLOOKUP(Table4[[#This Row],[Visitor]],'NHL Model'!$A$6:$B$38,2,FALSE)</f>
        <v>-0.19727709229606127</v>
      </c>
      <c r="J1192">
        <f>($B$1+Table4[[#This Row],[Home Differential]])-Table4[[#This Row],[Away Differential]]</f>
        <v>0.72541537928535993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0.76796514781800074</v>
      </c>
      <c r="H1193" t="s">
        <v>40</v>
      </c>
      <c r="I1193">
        <f>VLOOKUP(Table4[[#This Row],[Visitor]],'NHL Model'!$A$6:$B$38,2,FALSE)</f>
        <v>-0.10659687498124908</v>
      </c>
      <c r="J1193">
        <f>($B$1+Table4[[#This Row],[Home Differential]])-Table4[[#This Row],[Away Differential]]</f>
        <v>0.94877967670408025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7.1049614431123245E-2</v>
      </c>
      <c r="H1194" t="s">
        <v>10</v>
      </c>
      <c r="I1194">
        <f>VLOOKUP(Table4[[#This Row],[Visitor]],'NHL Model'!$A$6:$B$38,2,FALSE)</f>
        <v>-0.39984103039900787</v>
      </c>
      <c r="J1194">
        <f>($B$1+Table4[[#This Row],[Home Differential]])-Table4[[#This Row],[Away Differential]]</f>
        <v>0.54510829873496158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0.19285186127150866</v>
      </c>
      <c r="H1195" t="s">
        <v>21</v>
      </c>
      <c r="I1195">
        <f>VLOOKUP(Table4[[#This Row],[Visitor]],'NHL Model'!$A$6:$B$38,2,FALSE)</f>
        <v>3.9572996236628868E-2</v>
      </c>
      <c r="J1195">
        <f>($B$1+Table4[[#This Row],[Home Differential]])-Table4[[#This Row],[Away Differential]]</f>
        <v>0.22749651893971035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1.584470710005189E-2</v>
      </c>
      <c r="H1196" t="s">
        <v>29</v>
      </c>
      <c r="I1196">
        <f>VLOOKUP(Table4[[#This Row],[Visitor]],'NHL Model'!$A$6:$B$38,2,FALSE)</f>
        <v>-0.3202921716073342</v>
      </c>
      <c r="J1196">
        <f>($B$1+Table4[[#This Row],[Home Differential]])-Table4[[#This Row],[Away Differential]]</f>
        <v>0.4103545326122166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0.59379638322319717</v>
      </c>
      <c r="H1197" t="s">
        <v>38</v>
      </c>
      <c r="I1197">
        <f>VLOOKUP(Table4[[#This Row],[Visitor]],'NHL Model'!$A$6:$B$38,2,FALSE)</f>
        <v>-0.48278309788469043</v>
      </c>
      <c r="J1197">
        <f>($B$1+Table4[[#This Row],[Home Differential]])-Table4[[#This Row],[Away Differential]]</f>
        <v>1.1507971350127182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-6.1952588060713437E-2</v>
      </c>
      <c r="H1198" t="s">
        <v>22</v>
      </c>
      <c r="I1198">
        <f>VLOOKUP(Table4[[#This Row],[Visitor]],'NHL Model'!$A$6:$B$38,2,FALSE)</f>
        <v>0.45610704431993199</v>
      </c>
      <c r="J1198">
        <f>($B$1+Table4[[#This Row],[Home Differential]])-Table4[[#This Row],[Away Differential]]</f>
        <v>-0.44384197847581491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-6.2506340836952119E-3</v>
      </c>
      <c r="H1199" t="s">
        <v>18</v>
      </c>
      <c r="I1199">
        <f>VLOOKUP(Table4[[#This Row],[Visitor]],'NHL Model'!$A$6:$B$38,2,FALSE)</f>
        <v>0.10902894471156278</v>
      </c>
      <c r="J1199">
        <f>($B$1+Table4[[#This Row],[Home Differential]])-Table4[[#This Row],[Away Differential]]</f>
        <v>-4.1061924890427468E-2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9.4361646617848058E-2</v>
      </c>
      <c r="H1200" t="s">
        <v>23</v>
      </c>
      <c r="I1200">
        <f>VLOOKUP(Table4[[#This Row],[Visitor]],'NHL Model'!$A$6:$B$38,2,FALSE)</f>
        <v>0.18511137883580026</v>
      </c>
      <c r="J1200">
        <f>($B$1+Table4[[#This Row],[Home Differential]])-Table4[[#This Row],[Away Differential]]</f>
        <v>-1.6532078313121673E-2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0.17784181108472058</v>
      </c>
      <c r="H1201" t="s">
        <v>26</v>
      </c>
      <c r="I1201">
        <f>VLOOKUP(Table4[[#This Row],[Visitor]],'NHL Model'!$A$6:$B$38,2,FALSE)</f>
        <v>-8.5361594338821137E-2</v>
      </c>
      <c r="J1201">
        <f>($B$1+Table4[[#This Row],[Home Differential]])-Table4[[#This Row],[Away Differential]]</f>
        <v>0.33742105932837224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0.56020207057751781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-0.2855111111085496</v>
      </c>
      <c r="H1202" t="s">
        <v>55</v>
      </c>
      <c r="I1202">
        <f>VLOOKUP(Table4[[#This Row],[Visitor]],'NHL Model'!$A$6:$B$38,2,FALSE)</f>
        <v>0.3142836898216293</v>
      </c>
      <c r="J1202">
        <f>($B$1+Table4[[#This Row],[Home Differential]])-Table4[[#This Row],[Away Differential]]</f>
        <v>-0.5255771470253483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0.51668612072222397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-0.17930549805059143</v>
      </c>
      <c r="H1203" t="s">
        <v>19</v>
      </c>
      <c r="I1203">
        <f>VLOOKUP(Table4[[#This Row],[Visitor]],'NHL Model'!$A$6:$B$38,2,FALSE)</f>
        <v>-7.3686276472912369E-4</v>
      </c>
      <c r="J1203">
        <f>($B$1+Table4[[#This Row],[Home Differential]])-Table4[[#This Row],[Away Differential]]</f>
        <v>-0.10435098138103178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0.47125477460640508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0.79636680320115127</v>
      </c>
      <c r="H1204" t="s">
        <v>14</v>
      </c>
      <c r="I1204">
        <f>VLOOKUP(Table4[[#This Row],[Visitor]],'NHL Model'!$A$6:$B$38,2,FALSE)</f>
        <v>3.9336367625328564E-2</v>
      </c>
      <c r="J1204">
        <f>($B$1+Table4[[#This Row],[Home Differential]])-Table4[[#This Row],[Away Differential]]</f>
        <v>0.83124808948065321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0.14556378660539449</v>
      </c>
      <c r="H1205" t="s">
        <v>16</v>
      </c>
      <c r="I1205">
        <f>VLOOKUP(Table4[[#This Row],[Visitor]],'NHL Model'!$A$6:$B$38,2,FALSE)</f>
        <v>-0.21926170023436534</v>
      </c>
      <c r="J1205">
        <f>($B$1+Table4[[#This Row],[Home Differential]])-Table4[[#This Row],[Away Differential]]</f>
        <v>0.43904314074459039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-6.6593655044643821E-4</v>
      </c>
      <c r="H1206" t="s">
        <v>35</v>
      </c>
      <c r="I1206">
        <f>VLOOKUP(Table4[[#This Row],[Visitor]],'NHL Model'!$A$6:$B$38,2,FALSE)</f>
        <v>-0.96065798985911643</v>
      </c>
      <c r="J1206">
        <f>($B$1+Table4[[#This Row],[Home Differential]])-Table4[[#This Row],[Away Differential]]</f>
        <v>1.0342097072135006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0.16690670582810133</v>
      </c>
      <c r="H1207" t="s">
        <v>27</v>
      </c>
      <c r="I1207">
        <f>VLOOKUP(Table4[[#This Row],[Visitor]],'NHL Model'!$A$6:$B$38,2,FALSE)</f>
        <v>0.17784181108472058</v>
      </c>
      <c r="J1207">
        <f>($B$1+Table4[[#This Row],[Home Differential]])-Table4[[#This Row],[Away Differential]]</f>
        <v>6.3282548648211256E-2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-6.6593655044643821E-4</v>
      </c>
      <c r="H1208" t="s">
        <v>16</v>
      </c>
      <c r="I1208">
        <f>VLOOKUP(Table4[[#This Row],[Visitor]],'NHL Model'!$A$6:$B$38,2,FALSE)</f>
        <v>-0.21926170023436534</v>
      </c>
      <c r="J1208">
        <f>($B$1+Table4[[#This Row],[Home Differential]])-Table4[[#This Row],[Away Differential]]</f>
        <v>0.2928134175887494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0.45392063308446812</v>
      </c>
      <c r="H1209" t="s">
        <v>30</v>
      </c>
      <c r="I1209">
        <f>VLOOKUP(Table4[[#This Row],[Visitor]],'NHL Model'!$A$6:$B$38,2,FALSE)</f>
        <v>0.16690670582810133</v>
      </c>
      <c r="J1209">
        <f>($B$1+Table4[[#This Row],[Home Differential]])-Table4[[#This Row],[Away Differential]]</f>
        <v>0.36123158116119736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-0.19727709229606127</v>
      </c>
      <c r="H1210" t="s">
        <v>40</v>
      </c>
      <c r="I1210">
        <f>VLOOKUP(Table4[[#This Row],[Visitor]],'NHL Model'!$A$6:$B$38,2,FALSE)</f>
        <v>-0.10659687498124908</v>
      </c>
      <c r="J1210">
        <f>($B$1+Table4[[#This Row],[Home Differential]])-Table4[[#This Row],[Away Differential]]</f>
        <v>-1.6462563409981673E-2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0.46177556969921008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0.76796514781800074</v>
      </c>
      <c r="H1211" t="s">
        <v>12</v>
      </c>
      <c r="I1211">
        <f>VLOOKUP(Table4[[#This Row],[Visitor]],'NHL Model'!$A$6:$B$38,2,FALSE)</f>
        <v>1.8591692540144091</v>
      </c>
      <c r="J1211">
        <f>($B$1+Table4[[#This Row],[Home Differential]])-Table4[[#This Row],[Away Differential]]</f>
        <v>-1.0169864522915779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7.1049614431123245E-2</v>
      </c>
      <c r="H1212" t="s">
        <v>20</v>
      </c>
      <c r="I1212">
        <f>VLOOKUP(Table4[[#This Row],[Visitor]],'NHL Model'!$A$6:$B$38,2,FALSE)</f>
        <v>0.14556378660539449</v>
      </c>
      <c r="J1212">
        <f>($B$1+Table4[[#This Row],[Home Differential]])-Table4[[#This Row],[Away Differential]]</f>
        <v>-2.9651826944071535E-4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1.584470710005189E-2</v>
      </c>
      <c r="H1213" t="s">
        <v>19</v>
      </c>
      <c r="I1213">
        <f>VLOOKUP(Table4[[#This Row],[Visitor]],'NHL Model'!$A$6:$B$38,2,FALSE)</f>
        <v>-7.3686276472912369E-4</v>
      </c>
      <c r="J1213">
        <f>($B$1+Table4[[#This Row],[Home Differential]])-Table4[[#This Row],[Away Differential]]</f>
        <v>9.0799223769611526E-2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0.54979314985291816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-6.1952588060713437E-2</v>
      </c>
      <c r="H1214" t="s">
        <v>18</v>
      </c>
      <c r="I1214">
        <f>VLOOKUP(Table4[[#This Row],[Visitor]],'NHL Model'!$A$6:$B$38,2,FALSE)</f>
        <v>0.10902894471156278</v>
      </c>
      <c r="J1214">
        <f>($B$1+Table4[[#This Row],[Home Differential]])-Table4[[#This Row],[Away Differential]]</f>
        <v>-9.6763878867445696E-2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-6.2506340836952119E-3</v>
      </c>
      <c r="H1215" t="s">
        <v>26</v>
      </c>
      <c r="I1215">
        <f>VLOOKUP(Table4[[#This Row],[Visitor]],'NHL Model'!$A$6:$B$38,2,FALSE)</f>
        <v>-8.5361594338821137E-2</v>
      </c>
      <c r="J1215">
        <f>($B$1+Table4[[#This Row],[Home Differential]])-Table4[[#This Row],[Away Differential]]</f>
        <v>0.15332861415995647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9.4361646617848058E-2</v>
      </c>
      <c r="H1216" t="s">
        <v>34</v>
      </c>
      <c r="I1216">
        <f>VLOOKUP(Table4[[#This Row],[Visitor]],'NHL Model'!$A$6:$B$38,2,FALSE)</f>
        <v>0.59379638322319717</v>
      </c>
      <c r="J1216">
        <f>($B$1+Table4[[#This Row],[Home Differential]])-Table4[[#This Row],[Away Differential]]</f>
        <v>-0.42521708270051861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0.56326536124449322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3.9336367625328564E-2</v>
      </c>
      <c r="H1217" t="s">
        <v>11</v>
      </c>
      <c r="I1217">
        <f>VLOOKUP(Table4[[#This Row],[Visitor]],'NHL Model'!$A$6:$B$38,2,FALSE)</f>
        <v>0.19285186127150866</v>
      </c>
      <c r="J1217">
        <f>($B$1+Table4[[#This Row],[Home Differential]])-Table4[[#This Row],[Away Differential]]</f>
        <v>-7.9297839741349574E-2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-0.2855111111085496</v>
      </c>
      <c r="H1218" t="s">
        <v>10</v>
      </c>
      <c r="I1218">
        <f>VLOOKUP(Table4[[#This Row],[Visitor]],'NHL Model'!$A$6:$B$38,2,FALSE)</f>
        <v>-0.39984103039900787</v>
      </c>
      <c r="J1218">
        <f>($B$1+Table4[[#This Row],[Home Differential]])-Table4[[#This Row],[Away Differential]]</f>
        <v>0.18854757319528881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-0.17930549805059143</v>
      </c>
      <c r="H1219" t="s">
        <v>29</v>
      </c>
      <c r="I1219">
        <f>VLOOKUP(Table4[[#This Row],[Visitor]],'NHL Model'!$A$6:$B$38,2,FALSE)</f>
        <v>-0.3202921716073342</v>
      </c>
      <c r="J1219">
        <f>($B$1+Table4[[#This Row],[Home Differential]])-Table4[[#This Row],[Away Differential]]</f>
        <v>0.21520432746157331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0.56321086172691492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0.79636680320115127</v>
      </c>
      <c r="H1220" t="s">
        <v>21</v>
      </c>
      <c r="I1220">
        <f>VLOOKUP(Table4[[#This Row],[Visitor]],'NHL Model'!$A$6:$B$38,2,FALSE)</f>
        <v>3.9572996236628868E-2</v>
      </c>
      <c r="J1220">
        <f>($B$1+Table4[[#This Row],[Home Differential]])-Table4[[#This Row],[Away Differential]]</f>
        <v>0.83101146086935285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-0.48278309788469043</v>
      </c>
      <c r="H1221" t="s">
        <v>55</v>
      </c>
      <c r="I1221">
        <f>VLOOKUP(Table4[[#This Row],[Visitor]],'NHL Model'!$A$6:$B$38,2,FALSE)</f>
        <v>0.3142836898216293</v>
      </c>
      <c r="J1221">
        <f>($B$1+Table4[[#This Row],[Home Differential]])-Table4[[#This Row],[Away Differential]]</f>
        <v>-0.72284913380148919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0.45610704431993199</v>
      </c>
      <c r="H1222" t="s">
        <v>23</v>
      </c>
      <c r="I1222">
        <f>VLOOKUP(Table4[[#This Row],[Visitor]],'NHL Model'!$A$6:$B$38,2,FALSE)</f>
        <v>0.18511137883580026</v>
      </c>
      <c r="J1222">
        <f>($B$1+Table4[[#This Row],[Home Differential]])-Table4[[#This Row],[Away Differential]]</f>
        <v>0.34521331938896221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0.59124960143882044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1.8591692540144091</v>
      </c>
      <c r="H1223" t="s">
        <v>35</v>
      </c>
      <c r="I1223">
        <f>VLOOKUP(Table4[[#This Row],[Visitor]],'NHL Model'!$A$6:$B$38,2,FALSE)</f>
        <v>-0.96065798985911643</v>
      </c>
      <c r="J1223">
        <f>($B$1+Table4[[#This Row],[Home Differential]])-Table4[[#This Row],[Away Differential]]</f>
        <v>2.8940448977783562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-8.5361594338821137E-2</v>
      </c>
      <c r="H1224" t="s">
        <v>34</v>
      </c>
      <c r="I1224">
        <f>VLOOKUP(Table4[[#This Row],[Visitor]],'NHL Model'!$A$6:$B$38,2,FALSE)</f>
        <v>0.59379638322319717</v>
      </c>
      <c r="J1224">
        <f>($B$1+Table4[[#This Row],[Home Differential]])-Table4[[#This Row],[Away Differential]]</f>
        <v>-0.60494032365718775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0.54162378852075233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0.10902894471156278</v>
      </c>
      <c r="H1225" t="s">
        <v>24</v>
      </c>
      <c r="I1225">
        <f>VLOOKUP(Table4[[#This Row],[Visitor]],'NHL Model'!$A$6:$B$38,2,FALSE)</f>
        <v>-6.1952588060713437E-2</v>
      </c>
      <c r="J1225">
        <f>($B$1+Table4[[#This Row],[Home Differential]])-Table4[[#This Row],[Away Differential]]</f>
        <v>0.24519918667710675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0.53405562588222677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-6.2506340836952119E-3</v>
      </c>
      <c r="H1226" t="s">
        <v>22</v>
      </c>
      <c r="I1226">
        <f>VLOOKUP(Table4[[#This Row],[Visitor]],'NHL Model'!$A$6:$B$38,2,FALSE)</f>
        <v>0.45610704431993199</v>
      </c>
      <c r="J1226">
        <f>($B$1+Table4[[#This Row],[Home Differential]])-Table4[[#This Row],[Away Differential]]</f>
        <v>-0.3881400244987967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9.4361646617848058E-2</v>
      </c>
      <c r="H1227" t="s">
        <v>25</v>
      </c>
      <c r="I1227">
        <f>VLOOKUP(Table4[[#This Row],[Visitor]],'NHL Model'!$A$6:$B$38,2,FALSE)</f>
        <v>0.45392063308446812</v>
      </c>
      <c r="J1227">
        <f>($B$1+Table4[[#This Row],[Home Differential]])-Table4[[#This Row],[Away Differential]]</f>
        <v>-0.28534133256178951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0.17784181108472058</v>
      </c>
      <c r="H1228" t="s">
        <v>21</v>
      </c>
      <c r="I1228">
        <f>VLOOKUP(Table4[[#This Row],[Visitor]],'NHL Model'!$A$6:$B$38,2,FALSE)</f>
        <v>3.9572996236628868E-2</v>
      </c>
      <c r="J1228">
        <f>($B$1+Table4[[#This Row],[Home Differential]])-Table4[[#This Row],[Away Differential]]</f>
        <v>0.21248646875292226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3.9336367625328564E-2</v>
      </c>
      <c r="H1229" t="s">
        <v>11</v>
      </c>
      <c r="I1229">
        <f>VLOOKUP(Table4[[#This Row],[Visitor]],'NHL Model'!$A$6:$B$38,2,FALSE)</f>
        <v>0.19285186127150866</v>
      </c>
      <c r="J1229">
        <f>($B$1+Table4[[#This Row],[Home Differential]])-Table4[[#This Row],[Away Differential]]</f>
        <v>-7.9297839741349574E-2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0.18511137883580026</v>
      </c>
      <c r="H1230" t="s">
        <v>37</v>
      </c>
      <c r="I1230">
        <f>VLOOKUP(Table4[[#This Row],[Visitor]],'NHL Model'!$A$6:$B$38,2,FALSE)</f>
        <v>0.79636680320115127</v>
      </c>
      <c r="J1230">
        <f>($B$1+Table4[[#This Row],[Home Differential]])-Table4[[#This Row],[Away Differential]]</f>
        <v>-0.53703777046052048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1.584470710005189E-2</v>
      </c>
      <c r="H1231" t="s">
        <v>29</v>
      </c>
      <c r="I1231">
        <f>VLOOKUP(Table4[[#This Row],[Visitor]],'NHL Model'!$A$6:$B$38,2,FALSE)</f>
        <v>-0.3202921716073342</v>
      </c>
      <c r="J1231">
        <f>($B$1+Table4[[#This Row],[Home Differential]])-Table4[[#This Row],[Away Differential]]</f>
        <v>0.4103545326122166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-0.17930549805059143</v>
      </c>
      <c r="H1232" t="s">
        <v>10</v>
      </c>
      <c r="I1232">
        <f>VLOOKUP(Table4[[#This Row],[Visitor]],'NHL Model'!$A$6:$B$38,2,FALSE)</f>
        <v>-0.39984103039900787</v>
      </c>
      <c r="J1232">
        <f>($B$1+Table4[[#This Row],[Home Differential]])-Table4[[#This Row],[Away Differential]]</f>
        <v>0.29475318625324698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0.57179060351801392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-0.10659687498124908</v>
      </c>
      <c r="H1233" t="s">
        <v>32</v>
      </c>
      <c r="I1233">
        <f>VLOOKUP(Table4[[#This Row],[Visitor]],'NHL Model'!$A$6:$B$38,2,FALSE)</f>
        <v>-0.2855111111085496</v>
      </c>
      <c r="J1233">
        <f>($B$1+Table4[[#This Row],[Home Differential]])-Table4[[#This Row],[Away Differential]]</f>
        <v>0.25313189003213105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-6.6593655044643821E-4</v>
      </c>
      <c r="H1234" t="s">
        <v>29</v>
      </c>
      <c r="I1234">
        <f>VLOOKUP(Table4[[#This Row],[Visitor]],'NHL Model'!$A$6:$B$38,2,FALSE)</f>
        <v>-0.3202921716073342</v>
      </c>
      <c r="J1234">
        <f>($B$1+Table4[[#This Row],[Home Differential]])-Table4[[#This Row],[Away Differential]]</f>
        <v>0.39384388896171829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0.6085157666419696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0.45392063308446812</v>
      </c>
      <c r="H1235" t="s">
        <v>21</v>
      </c>
      <c r="I1235">
        <f>VLOOKUP(Table4[[#This Row],[Visitor]],'NHL Model'!$A$6:$B$38,2,FALSE)</f>
        <v>3.9572996236628868E-2</v>
      </c>
      <c r="J1235">
        <f>($B$1+Table4[[#This Row],[Home Differential]])-Table4[[#This Row],[Away Differential]]</f>
        <v>0.4885652907526698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0.62639235365156931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0.76796514781800074</v>
      </c>
      <c r="H1236" t="s">
        <v>16</v>
      </c>
      <c r="I1236">
        <f>VLOOKUP(Table4[[#This Row],[Visitor]],'NHL Model'!$A$6:$B$38,2,FALSE)</f>
        <v>-0.21926170023436534</v>
      </c>
      <c r="J1236">
        <f>($B$1+Table4[[#This Row],[Home Differential]])-Table4[[#This Row],[Away Differential]]</f>
        <v>1.0614445019571965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0.6805198276188964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-8.5361594338821137E-2</v>
      </c>
      <c r="H1237" t="s">
        <v>28</v>
      </c>
      <c r="I1237">
        <f>VLOOKUP(Table4[[#This Row],[Visitor]],'NHL Model'!$A$6:$B$38,2,FALSE)</f>
        <v>-0.19727709229606127</v>
      </c>
      <c r="J1237">
        <f>($B$1+Table4[[#This Row],[Home Differential]])-Table4[[#This Row],[Away Differential]]</f>
        <v>0.18613315186207066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0.59379638322319717</v>
      </c>
      <c r="H1238" t="s">
        <v>32</v>
      </c>
      <c r="I1238">
        <f>VLOOKUP(Table4[[#This Row],[Visitor]],'NHL Model'!$A$6:$B$38,2,FALSE)</f>
        <v>-0.2855111111085496</v>
      </c>
      <c r="J1238">
        <f>($B$1+Table4[[#This Row],[Home Differential]])-Table4[[#This Row],[Away Differential]]</f>
        <v>0.95352514823657719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0.66512618740574125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0.10902894471156278</v>
      </c>
      <c r="H1239" t="s">
        <v>11</v>
      </c>
      <c r="I1239">
        <f>VLOOKUP(Table4[[#This Row],[Visitor]],'NHL Model'!$A$6:$B$38,2,FALSE)</f>
        <v>0.19285186127150866</v>
      </c>
      <c r="J1239">
        <f>($B$1+Table4[[#This Row],[Home Differential]])-Table4[[#This Row],[Away Differential]]</f>
        <v>-9.6052626551153542E-3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-6.1952588060713437E-2</v>
      </c>
      <c r="H1240" t="s">
        <v>27</v>
      </c>
      <c r="I1240">
        <f>VLOOKUP(Table4[[#This Row],[Visitor]],'NHL Model'!$A$6:$B$38,2,FALSE)</f>
        <v>0.17784181108472058</v>
      </c>
      <c r="J1240">
        <f>($B$1+Table4[[#This Row],[Home Differential]])-Table4[[#This Row],[Away Differential]]</f>
        <v>-0.16557674524060351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9.4361646617848058E-2</v>
      </c>
      <c r="H1241" t="s">
        <v>37</v>
      </c>
      <c r="I1241">
        <f>VLOOKUP(Table4[[#This Row],[Visitor]],'NHL Model'!$A$6:$B$38,2,FALSE)</f>
        <v>0.79636680320115127</v>
      </c>
      <c r="J1241">
        <f>($B$1+Table4[[#This Row],[Home Differential]])-Table4[[#This Row],[Away Differential]]</f>
        <v>-0.62778750267847272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0.6139285055457645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-0.96065798985911643</v>
      </c>
      <c r="H1242" t="s">
        <v>12</v>
      </c>
      <c r="I1242">
        <f>VLOOKUP(Table4[[#This Row],[Visitor]],'NHL Model'!$A$6:$B$38,2,FALSE)</f>
        <v>1.8591692540144091</v>
      </c>
      <c r="J1242">
        <f>($B$1+Table4[[#This Row],[Home Differential]])-Table4[[#This Row],[Away Differential]]</f>
        <v>-2.7456095899686952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0.8423461968167586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0.3142836898216293</v>
      </c>
      <c r="H1243" t="s">
        <v>17</v>
      </c>
      <c r="I1243">
        <f>VLOOKUP(Table4[[#This Row],[Visitor]],'NHL Model'!$A$6:$B$38,2,FALSE)</f>
        <v>7.1049614431123245E-2</v>
      </c>
      <c r="J1243">
        <f>($B$1+Table4[[#This Row],[Home Differential]])-Table4[[#This Row],[Away Differential]]</f>
        <v>0.3174517292953366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-0.48278309788469043</v>
      </c>
      <c r="H1244" t="s">
        <v>20</v>
      </c>
      <c r="I1244">
        <f>VLOOKUP(Table4[[#This Row],[Visitor]],'NHL Model'!$A$6:$B$38,2,FALSE)</f>
        <v>0.14556378660539449</v>
      </c>
      <c r="J1244">
        <f>($B$1+Table4[[#This Row],[Home Differential]])-Table4[[#This Row],[Away Differential]]</f>
        <v>-0.55412923058525432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0.54053483632961452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-6.2506340836952119E-3</v>
      </c>
      <c r="H1245" t="s">
        <v>23</v>
      </c>
      <c r="I1245">
        <f>VLOOKUP(Table4[[#This Row],[Visitor]],'NHL Model'!$A$6:$B$38,2,FALSE)</f>
        <v>0.18511137883580026</v>
      </c>
      <c r="J1245">
        <f>($B$1+Table4[[#This Row],[Home Differential]])-Table4[[#This Row],[Away Differential]]</f>
        <v>-0.11714435901466494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-0.17930549805059143</v>
      </c>
      <c r="H1246" t="s">
        <v>17</v>
      </c>
      <c r="I1246">
        <f>VLOOKUP(Table4[[#This Row],[Visitor]],'NHL Model'!$A$6:$B$38,2,FALSE)</f>
        <v>7.1049614431123245E-2</v>
      </c>
      <c r="J1246">
        <f>($B$1+Table4[[#This Row],[Home Differential]])-Table4[[#This Row],[Away Differential]]</f>
        <v>-0.17613745857688415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-7.3686276472912369E-4</v>
      </c>
      <c r="H1247" t="s">
        <v>22</v>
      </c>
      <c r="I1247">
        <f>VLOOKUP(Table4[[#This Row],[Visitor]],'NHL Model'!$A$6:$B$38,2,FALSE)</f>
        <v>0.45610704431993199</v>
      </c>
      <c r="J1247">
        <f>($B$1+Table4[[#This Row],[Home Differential]])-Table4[[#This Row],[Away Differential]]</f>
        <v>-0.38262625317983057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0.48216272142847588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-6.6593655044643821E-4</v>
      </c>
      <c r="H1248" t="s">
        <v>33</v>
      </c>
      <c r="I1248">
        <f>VLOOKUP(Table4[[#This Row],[Visitor]],'NHL Model'!$A$6:$B$38,2,FALSE)</f>
        <v>-0.17930549805059143</v>
      </c>
      <c r="J1248">
        <f>($B$1+Table4[[#This Row],[Home Differential]])-Table4[[#This Row],[Away Differential]]</f>
        <v>0.25285721540497552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0.18511137883580026</v>
      </c>
      <c r="H1249" t="s">
        <v>28</v>
      </c>
      <c r="I1249">
        <f>VLOOKUP(Table4[[#This Row],[Visitor]],'NHL Model'!$A$6:$B$38,2,FALSE)</f>
        <v>-0.19727709229606127</v>
      </c>
      <c r="J1249">
        <f>($B$1+Table4[[#This Row],[Home Differential]])-Table4[[#This Row],[Away Differential]]</f>
        <v>0.45660612503669207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-0.39984103039900787</v>
      </c>
      <c r="H1250" t="s">
        <v>25</v>
      </c>
      <c r="I1250">
        <f>VLOOKUP(Table4[[#This Row],[Visitor]],'NHL Model'!$A$6:$B$38,2,FALSE)</f>
        <v>0.45392063308446812</v>
      </c>
      <c r="J1250">
        <f>($B$1+Table4[[#This Row],[Home Differential]])-Table4[[#This Row],[Away Differential]]</f>
        <v>-0.77954400957864545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0.60148129027760899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1.8591692540144091</v>
      </c>
      <c r="H1251" t="s">
        <v>16</v>
      </c>
      <c r="I1251">
        <f>VLOOKUP(Table4[[#This Row],[Visitor]],'NHL Model'!$A$6:$B$38,2,FALSE)</f>
        <v>-0.21926170023436534</v>
      </c>
      <c r="J1251">
        <f>($B$1+Table4[[#This Row],[Home Differential]])-Table4[[#This Row],[Away Differential]]</f>
        <v>2.1526486081536049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0.76796514781800074</v>
      </c>
      <c r="H1252" t="s">
        <v>34</v>
      </c>
      <c r="I1252">
        <f>VLOOKUP(Table4[[#This Row],[Visitor]],'NHL Model'!$A$6:$B$38,2,FALSE)</f>
        <v>0.59379638322319717</v>
      </c>
      <c r="J1252">
        <f>($B$1+Table4[[#This Row],[Home Differential]])-Table4[[#This Row],[Away Differential]]</f>
        <v>0.24838641849963405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-8.5361594338821137E-2</v>
      </c>
      <c r="H1253" t="s">
        <v>27</v>
      </c>
      <c r="I1253">
        <f>VLOOKUP(Table4[[#This Row],[Visitor]],'NHL Model'!$A$6:$B$38,2,FALSE)</f>
        <v>0.17784181108472058</v>
      </c>
      <c r="J1253">
        <f>($B$1+Table4[[#This Row],[Home Differential]])-Table4[[#This Row],[Away Differential]]</f>
        <v>-0.18898575151871119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1.584470710005189E-2</v>
      </c>
      <c r="H1254" t="s">
        <v>38</v>
      </c>
      <c r="I1254">
        <f>VLOOKUP(Table4[[#This Row],[Visitor]],'NHL Model'!$A$6:$B$38,2,FALSE)</f>
        <v>-0.48278309788469043</v>
      </c>
      <c r="J1254">
        <f>($B$1+Table4[[#This Row],[Home Differential]])-Table4[[#This Row],[Away Differential]]</f>
        <v>0.57284545888957283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0.10902894471156278</v>
      </c>
      <c r="H1255" t="s">
        <v>37</v>
      </c>
      <c r="I1255">
        <f>VLOOKUP(Table4[[#This Row],[Visitor]],'NHL Model'!$A$6:$B$38,2,FALSE)</f>
        <v>0.79636680320115127</v>
      </c>
      <c r="J1255">
        <f>($B$1+Table4[[#This Row],[Home Differential]])-Table4[[#This Row],[Away Differential]]</f>
        <v>-0.61312020458475791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-6.1952588060713437E-2</v>
      </c>
      <c r="H1256" t="s">
        <v>14</v>
      </c>
      <c r="I1256">
        <f>VLOOKUP(Table4[[#This Row],[Visitor]],'NHL Model'!$A$6:$B$38,2,FALSE)</f>
        <v>3.9336367625328564E-2</v>
      </c>
      <c r="J1256">
        <f>($B$1+Table4[[#This Row],[Home Differential]])-Table4[[#This Row],[Away Differential]]</f>
        <v>-2.7071301781211476E-2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0.16690670582810133</v>
      </c>
      <c r="H1257" t="s">
        <v>19</v>
      </c>
      <c r="I1257">
        <f>VLOOKUP(Table4[[#This Row],[Visitor]],'NHL Model'!$A$6:$B$38,2,FALSE)</f>
        <v>-7.3686276472912369E-4</v>
      </c>
      <c r="J1257">
        <f>($B$1+Table4[[#This Row],[Home Differential]])-Table4[[#This Row],[Away Differential]]</f>
        <v>0.24186122249766095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9.4361646617848058E-2</v>
      </c>
      <c r="H1258" t="s">
        <v>11</v>
      </c>
      <c r="I1258">
        <f>VLOOKUP(Table4[[#This Row],[Visitor]],'NHL Model'!$A$6:$B$38,2,FALSE)</f>
        <v>0.19285186127150866</v>
      </c>
      <c r="J1258">
        <f>($B$1+Table4[[#This Row],[Home Differential]])-Table4[[#This Row],[Away Differential]]</f>
        <v>-2.427256074883008E-2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-0.2855111111085496</v>
      </c>
      <c r="H1259" t="s">
        <v>20</v>
      </c>
      <c r="I1259">
        <f>VLOOKUP(Table4[[#This Row],[Visitor]],'NHL Model'!$A$6:$B$38,2,FALSE)</f>
        <v>0.14556378660539449</v>
      </c>
      <c r="J1259">
        <f>($B$1+Table4[[#This Row],[Home Differential]])-Table4[[#This Row],[Away Differential]]</f>
        <v>-0.35685724380911354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-0.96065798985911643</v>
      </c>
      <c r="H1260" t="s">
        <v>40</v>
      </c>
      <c r="I1260">
        <f>VLOOKUP(Table4[[#This Row],[Visitor]],'NHL Model'!$A$6:$B$38,2,FALSE)</f>
        <v>-0.10659687498124908</v>
      </c>
      <c r="J1260">
        <f>($B$1+Table4[[#This Row],[Home Differential]])-Table4[[#This Row],[Away Differential]]</f>
        <v>-0.77984346097303692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0.3142836898216293</v>
      </c>
      <c r="H1261" t="s">
        <v>29</v>
      </c>
      <c r="I1261">
        <f>VLOOKUP(Table4[[#This Row],[Visitor]],'NHL Model'!$A$6:$B$38,2,FALSE)</f>
        <v>-0.3202921716073342</v>
      </c>
      <c r="J1261">
        <f>($B$1+Table4[[#This Row],[Home Differential]])-Table4[[#This Row],[Away Differential]]</f>
        <v>0.70879351533379409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3.9572996236628868E-2</v>
      </c>
      <c r="H1262" t="s">
        <v>37</v>
      </c>
      <c r="I1262">
        <f>VLOOKUP(Table4[[#This Row],[Visitor]],'NHL Model'!$A$6:$B$38,2,FALSE)</f>
        <v>0.79636680320115127</v>
      </c>
      <c r="J1262">
        <f>($B$1+Table4[[#This Row],[Home Differential]])-Table4[[#This Row],[Away Differential]]</f>
        <v>-0.68257615305969188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-0.39984103039900787</v>
      </c>
      <c r="H1263" t="s">
        <v>35</v>
      </c>
      <c r="I1263">
        <f>VLOOKUP(Table4[[#This Row],[Visitor]],'NHL Model'!$A$6:$B$38,2,FALSE)</f>
        <v>-0.96065798985911643</v>
      </c>
      <c r="J1263">
        <f>($B$1+Table4[[#This Row],[Home Differential]])-Table4[[#This Row],[Away Differential]]</f>
        <v>0.63503461336493916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1.8591692540144091</v>
      </c>
      <c r="H1264" t="s">
        <v>20</v>
      </c>
      <c r="I1264">
        <f>VLOOKUP(Table4[[#This Row],[Visitor]],'NHL Model'!$A$6:$B$38,2,FALSE)</f>
        <v>0.14556378660539449</v>
      </c>
      <c r="J1264">
        <f>($B$1+Table4[[#This Row],[Home Differential]])-Table4[[#This Row],[Away Differential]]</f>
        <v>1.7878231213138451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0.83433508830886016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0.76796514781800074</v>
      </c>
      <c r="H1265" t="s">
        <v>15</v>
      </c>
      <c r="I1265">
        <f>VLOOKUP(Table4[[#This Row],[Visitor]],'NHL Model'!$A$6:$B$38,2,FALSE)</f>
        <v>-6.2506340836952119E-3</v>
      </c>
      <c r="J1265">
        <f>($B$1+Table4[[#This Row],[Home Differential]])-Table4[[#This Row],[Away Differential]]</f>
        <v>0.84843343580652641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0.59855003775243099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-8.5361594338821137E-2</v>
      </c>
      <c r="H1266" t="s">
        <v>24</v>
      </c>
      <c r="I1266">
        <f>VLOOKUP(Table4[[#This Row],[Visitor]],'NHL Model'!$A$6:$B$38,2,FALSE)</f>
        <v>-6.1952588060713437E-2</v>
      </c>
      <c r="J1266">
        <f>($B$1+Table4[[#This Row],[Home Differential]])-Table4[[#This Row],[Away Differential]]</f>
        <v>5.0808647626722825E-2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0.55398742913754839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1.584470710005189E-2</v>
      </c>
      <c r="H1267" t="s">
        <v>17</v>
      </c>
      <c r="I1267">
        <f>VLOOKUP(Table4[[#This Row],[Visitor]],'NHL Model'!$A$6:$B$38,2,FALSE)</f>
        <v>7.1049614431123245E-2</v>
      </c>
      <c r="J1267">
        <f>($B$1+Table4[[#This Row],[Home Differential]])-Table4[[#This Row],[Away Differential]]</f>
        <v>1.9012746573759162E-2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0.10902894471156278</v>
      </c>
      <c r="H1268" t="s">
        <v>28</v>
      </c>
      <c r="I1268">
        <f>VLOOKUP(Table4[[#This Row],[Visitor]],'NHL Model'!$A$6:$B$38,2,FALSE)</f>
        <v>-0.19727709229606127</v>
      </c>
      <c r="J1268">
        <f>($B$1+Table4[[#This Row],[Home Differential]])-Table4[[#This Row],[Away Differential]]</f>
        <v>0.38052369091245458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-0.3202921716073342</v>
      </c>
      <c r="H1269" t="s">
        <v>34</v>
      </c>
      <c r="I1269">
        <f>VLOOKUP(Table4[[#This Row],[Visitor]],'NHL Model'!$A$6:$B$38,2,FALSE)</f>
        <v>0.59379638322319717</v>
      </c>
      <c r="J1269">
        <f>($B$1+Table4[[#This Row],[Home Differential]])-Table4[[#This Row],[Away Differential]]</f>
        <v>-0.83987090092570083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0.16690670582810133</v>
      </c>
      <c r="H1270" t="s">
        <v>36</v>
      </c>
      <c r="I1270">
        <f>VLOOKUP(Table4[[#This Row],[Visitor]],'NHL Model'!$A$6:$B$38,2,FALSE)</f>
        <v>9.4361646617848058E-2</v>
      </c>
      <c r="J1270">
        <f>($B$1+Table4[[#This Row],[Home Differential]])-Table4[[#This Row],[Away Differential]]</f>
        <v>0.14676271311508376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0.53756822216803013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3.9336367625328564E-2</v>
      </c>
      <c r="H1271" t="s">
        <v>22</v>
      </c>
      <c r="I1271">
        <f>VLOOKUP(Table4[[#This Row],[Visitor]],'NHL Model'!$A$6:$B$38,2,FALSE)</f>
        <v>0.45610704431993199</v>
      </c>
      <c r="J1271">
        <f>($B$1+Table4[[#This Row],[Home Differential]])-Table4[[#This Row],[Away Differential]]</f>
        <v>-0.3425530227897729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-0.2855111111085496</v>
      </c>
      <c r="H1272" t="s">
        <v>16</v>
      </c>
      <c r="I1272">
        <f>VLOOKUP(Table4[[#This Row],[Visitor]],'NHL Model'!$A$6:$B$38,2,FALSE)</f>
        <v>-0.21926170023436534</v>
      </c>
      <c r="J1272">
        <f>($B$1+Table4[[#This Row],[Home Differential]])-Table4[[#This Row],[Away Differential]]</f>
        <v>7.968243030646277E-3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0.54085941481461997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-0.17930549805059143</v>
      </c>
      <c r="H1273" t="s">
        <v>38</v>
      </c>
      <c r="I1273">
        <f>VLOOKUP(Table4[[#This Row],[Visitor]],'NHL Model'!$A$6:$B$38,2,FALSE)</f>
        <v>-0.48278309788469043</v>
      </c>
      <c r="J1273">
        <f>($B$1+Table4[[#This Row],[Home Differential]])-Table4[[#This Row],[Away Differential]]</f>
        <v>0.37769525373892954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-7.3686276472912369E-4</v>
      </c>
      <c r="H1274" t="s">
        <v>11</v>
      </c>
      <c r="I1274">
        <f>VLOOKUP(Table4[[#This Row],[Visitor]],'NHL Model'!$A$6:$B$38,2,FALSE)</f>
        <v>0.19285186127150866</v>
      </c>
      <c r="J1274">
        <f>($B$1+Table4[[#This Row],[Home Differential]])-Table4[[#This Row],[Away Differential]]</f>
        <v>-0.11937107013140726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0.3142836898216293</v>
      </c>
      <c r="H1275" t="s">
        <v>25</v>
      </c>
      <c r="I1275">
        <f>VLOOKUP(Table4[[#This Row],[Visitor]],'NHL Model'!$A$6:$B$38,2,FALSE)</f>
        <v>0.45392063308446812</v>
      </c>
      <c r="J1275">
        <f>($B$1+Table4[[#This Row],[Home Differential]])-Table4[[#This Row],[Away Differential]]</f>
        <v>-6.5419289358008281E-2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0.52445937193457437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-0.10659687498124908</v>
      </c>
      <c r="H1276" t="s">
        <v>27</v>
      </c>
      <c r="I1276">
        <f>VLOOKUP(Table4[[#This Row],[Visitor]],'NHL Model'!$A$6:$B$38,2,FALSE)</f>
        <v>0.17784181108472058</v>
      </c>
      <c r="J1276">
        <f>($B$1+Table4[[#This Row],[Home Differential]])-Table4[[#This Row],[Away Differential]]</f>
        <v>-0.21022103216113913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0.4899631080618761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-6.6593655044643821E-4</v>
      </c>
      <c r="H1277" t="s">
        <v>38</v>
      </c>
      <c r="I1277">
        <f>VLOOKUP(Table4[[#This Row],[Visitor]],'NHL Model'!$A$6:$B$38,2,FALSE)</f>
        <v>-0.48278309788469043</v>
      </c>
      <c r="J1277">
        <f>($B$1+Table4[[#This Row],[Home Differential]])-Table4[[#This Row],[Away Differential]]</f>
        <v>0.55633481523907446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-0.19727709229606127</v>
      </c>
      <c r="H1278" t="s">
        <v>21</v>
      </c>
      <c r="I1278">
        <f>VLOOKUP(Table4[[#This Row],[Visitor]],'NHL Model'!$A$6:$B$38,2,FALSE)</f>
        <v>3.9572996236628868E-2</v>
      </c>
      <c r="J1278">
        <f>($B$1+Table4[[#This Row],[Home Differential]])-Table4[[#This Row],[Away Differential]]</f>
        <v>-0.16263243462785962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-0.21926170023436534</v>
      </c>
      <c r="H1279" t="s">
        <v>55</v>
      </c>
      <c r="I1279">
        <f>VLOOKUP(Table4[[#This Row],[Visitor]],'NHL Model'!$A$6:$B$38,2,FALSE)</f>
        <v>0.3142836898216293</v>
      </c>
      <c r="J1279">
        <f>($B$1+Table4[[#This Row],[Home Differential]])-Table4[[#This Row],[Away Differential]]</f>
        <v>-0.45932773615116412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-6.1952588060713437E-2</v>
      </c>
      <c r="H1280" t="s">
        <v>36</v>
      </c>
      <c r="I1280">
        <f>VLOOKUP(Table4[[#This Row],[Visitor]],'NHL Model'!$A$6:$B$38,2,FALSE)</f>
        <v>9.4361646617848058E-2</v>
      </c>
      <c r="J1280">
        <f>($B$1+Table4[[#This Row],[Home Differential]])-Table4[[#This Row],[Away Differential]]</f>
        <v>-8.2096580773730971E-2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0.48962375710273032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0.16690670582810133</v>
      </c>
      <c r="H1281" t="s">
        <v>18</v>
      </c>
      <c r="I1281">
        <f>VLOOKUP(Table4[[#This Row],[Visitor]],'NHL Model'!$A$6:$B$38,2,FALSE)</f>
        <v>0.10902894471156278</v>
      </c>
      <c r="J1281">
        <f>($B$1+Table4[[#This Row],[Home Differential]])-Table4[[#This Row],[Away Differential]]</f>
        <v>0.13209541502136907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0.49043762655676182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0.45610704431993199</v>
      </c>
      <c r="H1282" t="s">
        <v>14</v>
      </c>
      <c r="I1282">
        <f>VLOOKUP(Table4[[#This Row],[Visitor]],'NHL Model'!$A$6:$B$38,2,FALSE)</f>
        <v>3.9336367625328564E-2</v>
      </c>
      <c r="J1282">
        <f>($B$1+Table4[[#This Row],[Home Differential]])-Table4[[#This Row],[Away Differential]]</f>
        <v>0.49098833059943392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0.59971813401723084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-0.39984103039900787</v>
      </c>
      <c r="H1283" t="s">
        <v>23</v>
      </c>
      <c r="I1283">
        <f>VLOOKUP(Table4[[#This Row],[Visitor]],'NHL Model'!$A$6:$B$38,2,FALSE)</f>
        <v>0.18511137883580026</v>
      </c>
      <c r="J1283">
        <f>($B$1+Table4[[#This Row],[Home Differential]])-Table4[[#This Row],[Away Differential]]</f>
        <v>-0.51073475532997759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0.51508529463567854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7.1049614431123245E-2</v>
      </c>
      <c r="H1284" t="s">
        <v>12</v>
      </c>
      <c r="I1284">
        <f>VLOOKUP(Table4[[#This Row],[Visitor]],'NHL Model'!$A$6:$B$38,2,FALSE)</f>
        <v>1.8591692540144091</v>
      </c>
      <c r="J1284">
        <f>($B$1+Table4[[#This Row],[Home Differential]])-Table4[[#This Row],[Away Differential]]</f>
        <v>-1.7139019856784554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0.19285186127150866</v>
      </c>
      <c r="H1285" t="s">
        <v>15</v>
      </c>
      <c r="I1285">
        <f>VLOOKUP(Table4[[#This Row],[Visitor]],'NHL Model'!$A$6:$B$38,2,FALSE)</f>
        <v>-6.2506340836952119E-3</v>
      </c>
      <c r="J1285">
        <f>($B$1+Table4[[#This Row],[Home Differential]])-Table4[[#This Row],[Away Differential]]</f>
        <v>0.2733201492600344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-0.3202921716073342</v>
      </c>
      <c r="H1286" t="s">
        <v>33</v>
      </c>
      <c r="I1286">
        <f>VLOOKUP(Table4[[#This Row],[Visitor]],'NHL Model'!$A$6:$B$38,2,FALSE)</f>
        <v>-0.17930549805059143</v>
      </c>
      <c r="J1286">
        <f>($B$1+Table4[[#This Row],[Home Differential]])-Table4[[#This Row],[Away Differential]]</f>
        <v>-6.6769019651912231E-2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0.17784181108472058</v>
      </c>
      <c r="H1287" t="s">
        <v>25</v>
      </c>
      <c r="I1287">
        <f>VLOOKUP(Table4[[#This Row],[Visitor]],'NHL Model'!$A$6:$B$38,2,FALSE)</f>
        <v>0.45392063308446812</v>
      </c>
      <c r="J1287">
        <f>($B$1+Table4[[#This Row],[Home Differential]])-Table4[[#This Row],[Away Differential]]</f>
        <v>-0.201861168094917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-0.2855111111085496</v>
      </c>
      <c r="H1288" t="s">
        <v>13</v>
      </c>
      <c r="I1288">
        <f>VLOOKUP(Table4[[#This Row],[Visitor]],'NHL Model'!$A$6:$B$38,2,FALSE)</f>
        <v>1.584470710005189E-2</v>
      </c>
      <c r="J1288">
        <f>($B$1+Table4[[#This Row],[Home Differential]])-Table4[[#This Row],[Away Differential]]</f>
        <v>-0.22713816430377096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-0.96065798985911643</v>
      </c>
      <c r="H1289" t="s">
        <v>34</v>
      </c>
      <c r="I1289">
        <f>VLOOKUP(Table4[[#This Row],[Visitor]],'NHL Model'!$A$6:$B$38,2,FALSE)</f>
        <v>0.59379638322319717</v>
      </c>
      <c r="J1289">
        <f>($B$1+Table4[[#This Row],[Home Differential]])-Table4[[#This Row],[Away Differential]]</f>
        <v>-1.480236719177483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0.79636680320115127</v>
      </c>
      <c r="H1290" t="s">
        <v>26</v>
      </c>
      <c r="I1290">
        <f>VLOOKUP(Table4[[#This Row],[Visitor]],'NHL Model'!$A$6:$B$38,2,FALSE)</f>
        <v>-8.5361594338821137E-2</v>
      </c>
      <c r="J1290">
        <f>($B$1+Table4[[#This Row],[Home Differential]])-Table4[[#This Row],[Away Differential]]</f>
        <v>0.95594605144480294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-7.3686276472912369E-4</v>
      </c>
      <c r="H1291" t="s">
        <v>39</v>
      </c>
      <c r="I1291">
        <f>VLOOKUP(Table4[[#This Row],[Visitor]],'NHL Model'!$A$6:$B$38,2,FALSE)</f>
        <v>0.76796514781800074</v>
      </c>
      <c r="J1291">
        <f>($B$1+Table4[[#This Row],[Home Differential]])-Table4[[#This Row],[Away Differential]]</f>
        <v>-0.69448435667789932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0.58975509217395639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0.14556378660539449</v>
      </c>
      <c r="H1292" t="s">
        <v>40</v>
      </c>
      <c r="I1292">
        <f>VLOOKUP(Table4[[#This Row],[Visitor]],'NHL Model'!$A$6:$B$38,2,FALSE)</f>
        <v>-0.10659687498124908</v>
      </c>
      <c r="J1292">
        <f>($B$1+Table4[[#This Row],[Home Differential]])-Table4[[#This Row],[Away Differential]]</f>
        <v>0.32637831549147411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0.57520153168336585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3.9572996236628868E-2</v>
      </c>
      <c r="H1293" t="s">
        <v>24</v>
      </c>
      <c r="I1293">
        <f>VLOOKUP(Table4[[#This Row],[Visitor]],'NHL Model'!$A$6:$B$38,2,FALSE)</f>
        <v>-6.1952588060713437E-2</v>
      </c>
      <c r="J1293">
        <f>($B$1+Table4[[#This Row],[Home Differential]])-Table4[[#This Row],[Away Differential]]</f>
        <v>0.17574323820217283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-0.19727709229606127</v>
      </c>
      <c r="H1294" t="s">
        <v>22</v>
      </c>
      <c r="I1294">
        <f>VLOOKUP(Table4[[#This Row],[Visitor]],'NHL Model'!$A$6:$B$38,2,FALSE)</f>
        <v>0.45610704431993199</v>
      </c>
      <c r="J1294">
        <f>($B$1+Table4[[#This Row],[Home Differential]])-Table4[[#This Row],[Away Differential]]</f>
        <v>-0.57916648271116278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-0.21926170023436534</v>
      </c>
      <c r="H1295" t="s">
        <v>12</v>
      </c>
      <c r="I1295">
        <f>VLOOKUP(Table4[[#This Row],[Visitor]],'NHL Model'!$A$6:$B$38,2,FALSE)</f>
        <v>1.8591692540144091</v>
      </c>
      <c r="J1295">
        <f>($B$1+Table4[[#This Row],[Home Differential]])-Table4[[#This Row],[Away Differential]]</f>
        <v>-2.004213300343944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0.72335127440508251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0.59379638322319717</v>
      </c>
      <c r="H1296" t="s">
        <v>31</v>
      </c>
      <c r="I1296">
        <f>VLOOKUP(Table4[[#This Row],[Visitor]],'NHL Model'!$A$6:$B$38,2,FALSE)</f>
        <v>-6.6593655044643821E-4</v>
      </c>
      <c r="J1296">
        <f>($B$1+Table4[[#This Row],[Home Differential]])-Table4[[#This Row],[Away Differential]]</f>
        <v>0.66867997367847409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0.16690670582810133</v>
      </c>
      <c r="H1297" t="s">
        <v>25</v>
      </c>
      <c r="I1297">
        <f>VLOOKUP(Table4[[#This Row],[Visitor]],'NHL Model'!$A$6:$B$38,2,FALSE)</f>
        <v>0.45392063308446812</v>
      </c>
      <c r="J1297">
        <f>($B$1+Table4[[#This Row],[Home Differential]])-Table4[[#This Row],[Away Differential]]</f>
        <v>-0.21279627335153628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0.53784475808347132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0.17784181108472058</v>
      </c>
      <c r="H1298" t="s">
        <v>18</v>
      </c>
      <c r="I1298">
        <f>VLOOKUP(Table4[[#This Row],[Visitor]],'NHL Model'!$A$6:$B$38,2,FALSE)</f>
        <v>0.10902894471156278</v>
      </c>
      <c r="J1298">
        <f>($B$1+Table4[[#This Row],[Home Differential]])-Table4[[#This Row],[Away Differential]]</f>
        <v>0.14303052027798835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0.49368742565756124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-0.96065798985911643</v>
      </c>
      <c r="H1299" t="s">
        <v>14</v>
      </c>
      <c r="I1299">
        <f>VLOOKUP(Table4[[#This Row],[Visitor]],'NHL Model'!$A$6:$B$38,2,FALSE)</f>
        <v>3.9336367625328564E-2</v>
      </c>
      <c r="J1299">
        <f>($B$1+Table4[[#This Row],[Home Differential]])-Table4[[#This Row],[Away Differential]]</f>
        <v>-0.9257767035796145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0.56713936163962808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0.3142836898216293</v>
      </c>
      <c r="H1300" t="s">
        <v>40</v>
      </c>
      <c r="I1300">
        <f>VLOOKUP(Table4[[#This Row],[Visitor]],'NHL Model'!$A$6:$B$38,2,FALSE)</f>
        <v>-0.10659687498124908</v>
      </c>
      <c r="J1300">
        <f>($B$1+Table4[[#This Row],[Home Differential]])-Table4[[#This Row],[Away Differential]]</f>
        <v>0.49509821870770893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-0.48278309788469043</v>
      </c>
      <c r="H1301" t="s">
        <v>13</v>
      </c>
      <c r="I1301">
        <f>VLOOKUP(Table4[[#This Row],[Visitor]],'NHL Model'!$A$6:$B$38,2,FALSE)</f>
        <v>1.584470710005189E-2</v>
      </c>
      <c r="J1301">
        <f>($B$1+Table4[[#This Row],[Home Differential]])-Table4[[#This Row],[Away Differential]]</f>
        <v>-0.42441015107991176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0.18511137883580026</v>
      </c>
      <c r="H1302" t="s">
        <v>39</v>
      </c>
      <c r="I1302">
        <f>VLOOKUP(Table4[[#This Row],[Visitor]],'NHL Model'!$A$6:$B$38,2,FALSE)</f>
        <v>0.76796514781800074</v>
      </c>
      <c r="J1302">
        <f>($B$1+Table4[[#This Row],[Home Differential]])-Table4[[#This Row],[Away Differential]]</f>
        <v>-0.50863611507736994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0.54984892576101685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-0.39984103039900787</v>
      </c>
      <c r="H1303" t="s">
        <v>33</v>
      </c>
      <c r="I1303">
        <f>VLOOKUP(Table4[[#This Row],[Visitor]],'NHL Model'!$A$6:$B$38,2,FALSE)</f>
        <v>-0.17930549805059143</v>
      </c>
      <c r="J1303">
        <f>($B$1+Table4[[#This Row],[Home Differential]])-Table4[[#This Row],[Away Differential]]</f>
        <v>-0.1463178784435859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0.19285186127150866</v>
      </c>
      <c r="H1304" t="s">
        <v>26</v>
      </c>
      <c r="I1304">
        <f>VLOOKUP(Table4[[#This Row],[Visitor]],'NHL Model'!$A$6:$B$38,2,FALSE)</f>
        <v>-8.5361594338821137E-2</v>
      </c>
      <c r="J1304">
        <f>($B$1+Table4[[#This Row],[Home Differential]])-Table4[[#This Row],[Away Differential]]</f>
        <v>0.35243110951516032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9.4361646617848058E-2</v>
      </c>
      <c r="H1305" t="s">
        <v>19</v>
      </c>
      <c r="I1305">
        <f>VLOOKUP(Table4[[#This Row],[Visitor]],'NHL Model'!$A$6:$B$38,2,FALSE)</f>
        <v>-7.3686276472912369E-4</v>
      </c>
      <c r="J1305">
        <f>($B$1+Table4[[#This Row],[Home Differential]])-Table4[[#This Row],[Away Differential]]</f>
        <v>0.1693161632874077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0.79636680320115127</v>
      </c>
      <c r="H1306" t="s">
        <v>15</v>
      </c>
      <c r="I1306">
        <f>VLOOKUP(Table4[[#This Row],[Visitor]],'NHL Model'!$A$6:$B$38,2,FALSE)</f>
        <v>-6.2506340836952119E-3</v>
      </c>
      <c r="J1306">
        <f>($B$1+Table4[[#This Row],[Home Differential]])-Table4[[#This Row],[Away Differential]]</f>
        <v>0.87683509118967695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0.14556378660539449</v>
      </c>
      <c r="H1307" t="s">
        <v>32</v>
      </c>
      <c r="I1307">
        <f>VLOOKUP(Table4[[#This Row],[Visitor]],'NHL Model'!$A$6:$B$38,2,FALSE)</f>
        <v>-0.2855111111085496</v>
      </c>
      <c r="J1307">
        <f>($B$1+Table4[[#This Row],[Home Differential]])-Table4[[#This Row],[Away Differential]]</f>
        <v>0.50529255161877462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-0.21926170023436534</v>
      </c>
      <c r="H1308" t="s">
        <v>13</v>
      </c>
      <c r="I1308">
        <f>VLOOKUP(Table4[[#This Row],[Visitor]],'NHL Model'!$A$6:$B$38,2,FALSE)</f>
        <v>1.584470710005189E-2</v>
      </c>
      <c r="J1308">
        <f>($B$1+Table4[[#This Row],[Home Differential]])-Table4[[#This Row],[Away Differential]]</f>
        <v>-0.16088875342958672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1.8591692540144091</v>
      </c>
      <c r="H1309" t="s">
        <v>32</v>
      </c>
      <c r="I1309">
        <f>VLOOKUP(Table4[[#This Row],[Visitor]],'NHL Model'!$A$6:$B$38,2,FALSE)</f>
        <v>-0.2855111111085496</v>
      </c>
      <c r="J1309">
        <f>($B$1+Table4[[#This Row],[Home Differential]])-Table4[[#This Row],[Away Differential]]</f>
        <v>2.2188980190277894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0.89976989586415623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7.1049614431123245E-2</v>
      </c>
      <c r="H1310" t="s">
        <v>38</v>
      </c>
      <c r="I1310">
        <f>VLOOKUP(Table4[[#This Row],[Visitor]],'NHL Model'!$A$6:$B$38,2,FALSE)</f>
        <v>-0.48278309788469043</v>
      </c>
      <c r="J1310">
        <f>($B$1+Table4[[#This Row],[Home Differential]])-Table4[[#This Row],[Away Differential]]</f>
        <v>0.62805036622064425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-0.3202921716073342</v>
      </c>
      <c r="H1311" t="s">
        <v>31</v>
      </c>
      <c r="I1311">
        <f>VLOOKUP(Table4[[#This Row],[Visitor]],'NHL Model'!$A$6:$B$38,2,FALSE)</f>
        <v>-6.6593655044643821E-4</v>
      </c>
      <c r="J1311">
        <f>($B$1+Table4[[#This Row],[Home Differential]])-Table4[[#This Row],[Away Differential]]</f>
        <v>-0.24540858115205721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0.3142836898216293</v>
      </c>
      <c r="H1312" t="s">
        <v>35</v>
      </c>
      <c r="I1312">
        <f>VLOOKUP(Table4[[#This Row],[Visitor]],'NHL Model'!$A$6:$B$38,2,FALSE)</f>
        <v>-0.96065798985911643</v>
      </c>
      <c r="J1312">
        <f>($B$1+Table4[[#This Row],[Home Differential]])-Table4[[#This Row],[Away Differential]]</f>
        <v>1.3491593335855763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-0.10659687498124908</v>
      </c>
      <c r="H1313" t="s">
        <v>33</v>
      </c>
      <c r="I1313">
        <f>VLOOKUP(Table4[[#This Row],[Visitor]],'NHL Model'!$A$6:$B$38,2,FALSE)</f>
        <v>-0.17930549805059143</v>
      </c>
      <c r="J1313">
        <f>($B$1+Table4[[#This Row],[Home Differential]])-Table4[[#This Row],[Away Differential]]</f>
        <v>0.14692627697417288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0.54855701328633266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10" operator="containsText" text="NO">
      <formula>NOT(ISERROR(SEARCH("NO",M2)))</formula>
    </cfRule>
    <cfRule type="containsText" dxfId="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7" priority="4" operator="containsText" text="YES">
      <formula>NOT(ISERROR(SEARCH("YES",Q1)))</formula>
    </cfRule>
    <cfRule type="containsText" dxfId="6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40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3.8421052631578947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39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0.54166666666666663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3.4545454545454546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41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0.57894736842105265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3.0526315789473686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3.0666666666666669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42</v>
      </c>
      <c r="C20">
        <f>COUNTIF(NHL2025_26Results[Winning Team],Standings!A20)</f>
        <v>19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0.58333333333333337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3.3636363636363638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2.6818181818181817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38</v>
      </c>
      <c r="C25">
        <f>COUNTIF(NHL2025_26Results[Winning Team],Standings!A25)</f>
        <v>17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41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41</v>
      </c>
      <c r="C26">
        <f>COUNTIF(NHL2025_26Results[Winning Team],Standings!A26)</f>
        <v>15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39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2.9333333333333331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3.9411764705882355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38</v>
      </c>
      <c r="C31">
        <f>COUNTIF(NHL2025_26Results[Winning Team],Standings!A31)</f>
        <v>17</v>
      </c>
      <c r="D31">
        <f>COUNTIFS('NHL2025-26Results'!$H:$H,A31,'NHL2025-26Results'!$F:$F,"")</f>
        <v>10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19"/>
  <sheetViews>
    <sheetView tabSelected="1" topLeftCell="A195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17</v>
      </c>
      <c r="D23" s="19" t="s">
        <v>40</v>
      </c>
      <c r="E23" s="19" t="s">
        <v>17</v>
      </c>
      <c r="F23">
        <v>4</v>
      </c>
      <c r="G23">
        <v>3</v>
      </c>
      <c r="H23">
        <v>0.78990000000000005</v>
      </c>
      <c r="I23" s="19" t="s">
        <v>249</v>
      </c>
      <c r="J23" s="19" t="s">
        <v>40</v>
      </c>
      <c r="K23">
        <v>3</v>
      </c>
      <c r="L23">
        <v>2</v>
      </c>
      <c r="M23">
        <v>-0.33</v>
      </c>
      <c r="N23" s="19" t="s">
        <v>17</v>
      </c>
      <c r="O23" s="19" t="s">
        <v>288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19</v>
      </c>
      <c r="D27" s="19" t="s">
        <v>18</v>
      </c>
      <c r="E27" s="19" t="s">
        <v>19</v>
      </c>
      <c r="F27">
        <v>4</v>
      </c>
      <c r="G27">
        <v>3</v>
      </c>
      <c r="H27">
        <v>0.60129999999999995</v>
      </c>
      <c r="I27" s="19" t="s">
        <v>249</v>
      </c>
      <c r="J27" s="19" t="s">
        <v>19</v>
      </c>
      <c r="K27">
        <v>3</v>
      </c>
      <c r="L27">
        <v>2</v>
      </c>
      <c r="M27">
        <v>0.33</v>
      </c>
      <c r="N27" s="19" t="s">
        <v>18</v>
      </c>
      <c r="O27" s="19" t="s">
        <v>287</v>
      </c>
      <c r="P27" s="19" t="s">
        <v>284</v>
      </c>
      <c r="Q27" s="19" t="s">
        <v>287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1636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22</v>
      </c>
      <c r="D63" s="19" t="s">
        <v>25</v>
      </c>
      <c r="E63" s="19" t="s">
        <v>25</v>
      </c>
      <c r="F63">
        <v>3</v>
      </c>
      <c r="G63">
        <v>4</v>
      </c>
      <c r="H63">
        <v>0.52529999999999999</v>
      </c>
      <c r="I63" s="19" t="s">
        <v>249</v>
      </c>
      <c r="J63" s="19" t="s">
        <v>22</v>
      </c>
      <c r="K63">
        <v>3</v>
      </c>
      <c r="L63">
        <v>2</v>
      </c>
      <c r="M63">
        <v>0.48</v>
      </c>
      <c r="N63" s="19" t="s">
        <v>25</v>
      </c>
      <c r="O63" s="19" t="s">
        <v>284</v>
      </c>
      <c r="P63" s="19" t="s">
        <v>291</v>
      </c>
      <c r="Q63" s="19" t="s">
        <v>287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14</v>
      </c>
      <c r="D65" s="19" t="s">
        <v>18</v>
      </c>
      <c r="E65" s="19" t="s">
        <v>18</v>
      </c>
      <c r="F65">
        <v>3</v>
      </c>
      <c r="G65">
        <v>4</v>
      </c>
      <c r="H65">
        <v>0.73029999999999995</v>
      </c>
      <c r="I65" s="19" t="s">
        <v>249</v>
      </c>
      <c r="J65" s="19" t="s">
        <v>14</v>
      </c>
      <c r="K65">
        <v>3</v>
      </c>
      <c r="L65">
        <v>2</v>
      </c>
      <c r="M65">
        <v>0.77</v>
      </c>
      <c r="N65" s="19" t="s">
        <v>18</v>
      </c>
      <c r="O65" s="19" t="s">
        <v>284</v>
      </c>
      <c r="P65" s="19" t="s">
        <v>289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12</v>
      </c>
      <c r="D66" s="19" t="s">
        <v>11</v>
      </c>
      <c r="E66" s="19" t="s">
        <v>12</v>
      </c>
      <c r="F66">
        <v>4</v>
      </c>
      <c r="G66">
        <v>1</v>
      </c>
      <c r="H66">
        <v>0.94750000000000001</v>
      </c>
      <c r="I66" s="19" t="s">
        <v>249</v>
      </c>
      <c r="J66" s="19" t="s">
        <v>12</v>
      </c>
      <c r="K66">
        <v>3</v>
      </c>
      <c r="L66">
        <v>2</v>
      </c>
      <c r="M66">
        <v>1.69</v>
      </c>
      <c r="N66" s="19" t="s">
        <v>12</v>
      </c>
      <c r="O66" s="19" t="s">
        <v>288</v>
      </c>
      <c r="P66" s="19" t="s">
        <v>284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34</v>
      </c>
      <c r="D67" s="19" t="s">
        <v>39</v>
      </c>
      <c r="E67" s="19" t="s">
        <v>34</v>
      </c>
      <c r="F67">
        <v>3</v>
      </c>
      <c r="G67">
        <v>2</v>
      </c>
      <c r="H67">
        <v>0.73089999999999999</v>
      </c>
      <c r="I67" s="19" t="s">
        <v>248</v>
      </c>
      <c r="J67" s="19" t="s">
        <v>39</v>
      </c>
      <c r="K67">
        <v>3</v>
      </c>
      <c r="L67">
        <v>2</v>
      </c>
      <c r="M67">
        <v>-0.66</v>
      </c>
      <c r="N67" s="19" t="s">
        <v>34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40</v>
      </c>
      <c r="D68" s="19" t="s">
        <v>21</v>
      </c>
      <c r="E68" s="19" t="s">
        <v>40</v>
      </c>
      <c r="F68">
        <v>3</v>
      </c>
      <c r="G68">
        <v>2</v>
      </c>
      <c r="H68">
        <v>0.61360000000000003</v>
      </c>
      <c r="I68" s="19" t="s">
        <v>249</v>
      </c>
      <c r="J68" s="19" t="s">
        <v>21</v>
      </c>
      <c r="K68">
        <v>3</v>
      </c>
      <c r="L68">
        <v>2</v>
      </c>
      <c r="M68">
        <v>-0.28000000000000003</v>
      </c>
      <c r="N68" s="19" t="s">
        <v>21</v>
      </c>
      <c r="O68" s="19" t="s">
        <v>291</v>
      </c>
      <c r="P68" s="19" t="s">
        <v>288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0.52083333333333337</v>
      </c>
      <c r="C74" s="19" t="s">
        <v>24</v>
      </c>
      <c r="D74" s="19" t="s">
        <v>31</v>
      </c>
      <c r="E74" s="19" t="s">
        <v>31</v>
      </c>
      <c r="F74">
        <v>3</v>
      </c>
      <c r="G74">
        <v>4</v>
      </c>
      <c r="H74">
        <v>0.55169999999999997</v>
      </c>
      <c r="I74" s="19" t="s">
        <v>249</v>
      </c>
      <c r="J74" s="19" t="s">
        <v>31</v>
      </c>
      <c r="K74">
        <v>3</v>
      </c>
      <c r="L74">
        <v>2</v>
      </c>
      <c r="M74">
        <v>-0.35</v>
      </c>
      <c r="N74" s="19" t="s">
        <v>24</v>
      </c>
      <c r="O74" s="19" t="s">
        <v>289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0.83333333333333337</v>
      </c>
      <c r="C75" s="19" t="s">
        <v>39</v>
      </c>
      <c r="D75" s="19" t="s">
        <v>11</v>
      </c>
      <c r="E75" s="19" t="s">
        <v>39</v>
      </c>
      <c r="F75">
        <v>4</v>
      </c>
      <c r="G75">
        <v>3</v>
      </c>
      <c r="H75">
        <v>0.54620000000000002</v>
      </c>
      <c r="I75" s="19" t="s">
        <v>249</v>
      </c>
      <c r="J75" s="19" t="s">
        <v>39</v>
      </c>
      <c r="K75">
        <v>3</v>
      </c>
      <c r="L75">
        <v>2</v>
      </c>
      <c r="M75">
        <v>0.95</v>
      </c>
      <c r="N75" s="19" t="s">
        <v>11</v>
      </c>
      <c r="O75" s="19" t="s">
        <v>285</v>
      </c>
      <c r="P75" s="19" t="s">
        <v>289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0.91666666666666663</v>
      </c>
      <c r="C76" s="19" t="s">
        <v>13</v>
      </c>
      <c r="D76" s="19" t="s">
        <v>16</v>
      </c>
      <c r="E76" s="19" t="s">
        <v>13</v>
      </c>
      <c r="F76">
        <v>3</v>
      </c>
      <c r="G76">
        <v>1</v>
      </c>
      <c r="H76">
        <v>0.80530000000000002</v>
      </c>
      <c r="I76" s="19" t="s">
        <v>249</v>
      </c>
      <c r="J76" s="19" t="s">
        <v>13</v>
      </c>
      <c r="K76">
        <v>3</v>
      </c>
      <c r="L76">
        <v>2</v>
      </c>
      <c r="M76">
        <v>0.77</v>
      </c>
      <c r="N76" s="19" t="s">
        <v>16</v>
      </c>
      <c r="O76" s="19" t="s">
        <v>287</v>
      </c>
      <c r="P76" s="19" t="s">
        <v>284</v>
      </c>
      <c r="Q76" s="19" t="s">
        <v>287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0.83333333333333337</v>
      </c>
      <c r="C78" s="19" t="s">
        <v>10</v>
      </c>
      <c r="D78" s="19" t="s">
        <v>26</v>
      </c>
      <c r="E78" s="19" t="s">
        <v>26</v>
      </c>
      <c r="F78">
        <v>3</v>
      </c>
      <c r="G78">
        <v>4</v>
      </c>
      <c r="H78">
        <v>0.53810000000000002</v>
      </c>
      <c r="I78" s="19" t="s">
        <v>248</v>
      </c>
      <c r="J78" s="19" t="s">
        <v>10</v>
      </c>
      <c r="K78">
        <v>3</v>
      </c>
      <c r="L78">
        <v>2</v>
      </c>
      <c r="M78">
        <v>0.28000000000000003</v>
      </c>
      <c r="N78" s="19" t="s">
        <v>26</v>
      </c>
      <c r="O78" s="19" t="s">
        <v>285</v>
      </c>
      <c r="P78" s="19" t="s">
        <v>289</v>
      </c>
      <c r="Q78" s="19" t="s">
        <v>285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0.58333333333333337</v>
      </c>
      <c r="C80" s="19" t="s">
        <v>34</v>
      </c>
      <c r="D80" s="19" t="s">
        <v>36</v>
      </c>
      <c r="E80" s="19" t="s">
        <v>36</v>
      </c>
      <c r="F80">
        <v>3</v>
      </c>
      <c r="G80">
        <v>4</v>
      </c>
      <c r="H80">
        <v>0.67749999999999999</v>
      </c>
      <c r="I80" s="19" t="s">
        <v>248</v>
      </c>
      <c r="J80" s="19" t="s">
        <v>34</v>
      </c>
      <c r="K80">
        <v>3</v>
      </c>
      <c r="L80">
        <v>2</v>
      </c>
      <c r="M80">
        <v>0.41</v>
      </c>
      <c r="N80" s="19" t="s">
        <v>34</v>
      </c>
      <c r="O80" s="19" t="s">
        <v>291</v>
      </c>
      <c r="P80" s="19" t="s">
        <v>284</v>
      </c>
      <c r="Q80" s="19" t="s">
        <v>285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27</v>
      </c>
      <c r="D83" s="19" t="s">
        <v>25</v>
      </c>
      <c r="E83" s="19" t="s">
        <v>25</v>
      </c>
      <c r="F83">
        <v>2</v>
      </c>
      <c r="G83">
        <v>3</v>
      </c>
      <c r="H83">
        <v>0.73609999999999998</v>
      </c>
      <c r="I83" s="19" t="s">
        <v>249</v>
      </c>
      <c r="J83" s="19" t="s">
        <v>25</v>
      </c>
      <c r="K83">
        <v>3</v>
      </c>
      <c r="L83">
        <v>2</v>
      </c>
      <c r="M83">
        <v>-0.39</v>
      </c>
      <c r="N83" s="19" t="s">
        <v>25</v>
      </c>
      <c r="O83" s="19" t="s">
        <v>291</v>
      </c>
      <c r="P83" s="19" t="s">
        <v>289</v>
      </c>
      <c r="Q83" s="19" t="s">
        <v>287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21</v>
      </c>
      <c r="D95" s="19" t="s">
        <v>55</v>
      </c>
      <c r="E95" s="19" t="s">
        <v>21</v>
      </c>
      <c r="F95">
        <v>4</v>
      </c>
      <c r="G95">
        <v>3</v>
      </c>
      <c r="H95">
        <v>0.66569999999999996</v>
      </c>
      <c r="I95" s="19" t="s">
        <v>249</v>
      </c>
      <c r="J95" s="19" t="s">
        <v>21</v>
      </c>
      <c r="K95">
        <v>3</v>
      </c>
      <c r="L95">
        <v>2</v>
      </c>
      <c r="M95">
        <v>0.17</v>
      </c>
      <c r="N95" s="19" t="s">
        <v>21</v>
      </c>
      <c r="O95" s="19" t="s">
        <v>289</v>
      </c>
      <c r="P95" s="19" t="s">
        <v>287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32</v>
      </c>
      <c r="D100" s="19" t="s">
        <v>12</v>
      </c>
      <c r="E100" s="19" t="s">
        <v>12</v>
      </c>
      <c r="F100">
        <v>1</v>
      </c>
      <c r="G100">
        <v>2</v>
      </c>
      <c r="H100">
        <v>0.81510000000000005</v>
      </c>
      <c r="I100" s="19" t="s">
        <v>249</v>
      </c>
      <c r="J100" s="19" t="s">
        <v>12</v>
      </c>
      <c r="K100">
        <v>3</v>
      </c>
      <c r="L100">
        <v>2</v>
      </c>
      <c r="M100">
        <v>-2.2999999999999998</v>
      </c>
      <c r="N100" s="19" t="s">
        <v>12</v>
      </c>
      <c r="O100" s="19" t="s">
        <v>291</v>
      </c>
      <c r="P100" s="19" t="s">
        <v>283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36</v>
      </c>
      <c r="D113" s="19" t="s">
        <v>14</v>
      </c>
      <c r="E113" s="19" t="s">
        <v>14</v>
      </c>
      <c r="F113">
        <v>3</v>
      </c>
      <c r="G113">
        <v>4</v>
      </c>
      <c r="H113">
        <v>0.58830000000000005</v>
      </c>
      <c r="I113" s="19" t="s">
        <v>249</v>
      </c>
      <c r="J113" s="19" t="s">
        <v>14</v>
      </c>
      <c r="K113">
        <v>3</v>
      </c>
      <c r="L113">
        <v>2</v>
      </c>
      <c r="M113">
        <v>-0.03</v>
      </c>
      <c r="N113" s="19" t="s">
        <v>36</v>
      </c>
      <c r="O113" s="19" t="s">
        <v>289</v>
      </c>
      <c r="P113" s="19" t="s">
        <v>285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0.91666666666666663</v>
      </c>
      <c r="C114" s="19" t="s">
        <v>33</v>
      </c>
      <c r="D114" s="19" t="s">
        <v>39</v>
      </c>
      <c r="E114" s="19" t="s">
        <v>39</v>
      </c>
      <c r="F114">
        <v>2</v>
      </c>
      <c r="G114">
        <v>4</v>
      </c>
      <c r="H114">
        <v>0.74929999999999997</v>
      </c>
      <c r="I114" s="19" t="s">
        <v>249</v>
      </c>
      <c r="J114" s="19" t="s">
        <v>39</v>
      </c>
      <c r="K114">
        <v>3</v>
      </c>
      <c r="L114">
        <v>2</v>
      </c>
      <c r="M114">
        <v>-0.81</v>
      </c>
      <c r="N114" s="19" t="s">
        <v>39</v>
      </c>
      <c r="O114" s="19" t="s">
        <v>291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1636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0.70833333333333337</v>
      </c>
      <c r="C126" s="19" t="s">
        <v>23</v>
      </c>
      <c r="D126" s="19" t="s">
        <v>30</v>
      </c>
      <c r="E126" s="19" t="s">
        <v>30</v>
      </c>
      <c r="F126">
        <v>2</v>
      </c>
      <c r="G126">
        <v>3</v>
      </c>
      <c r="H126">
        <v>0.63270000000000004</v>
      </c>
      <c r="I126" s="19" t="s">
        <v>249</v>
      </c>
      <c r="J126" s="19" t="s">
        <v>30</v>
      </c>
      <c r="K126">
        <v>3</v>
      </c>
      <c r="L126">
        <v>2</v>
      </c>
      <c r="M126">
        <v>-0.45</v>
      </c>
      <c r="N126" s="19" t="s">
        <v>23</v>
      </c>
      <c r="O126" s="19" t="s">
        <v>291</v>
      </c>
      <c r="P126" s="19" t="s">
        <v>284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18</v>
      </c>
      <c r="D127" s="19" t="s">
        <v>14</v>
      </c>
      <c r="E127" s="19" t="s">
        <v>14</v>
      </c>
      <c r="F127">
        <v>3</v>
      </c>
      <c r="G127">
        <v>4</v>
      </c>
      <c r="H127">
        <v>0.5988</v>
      </c>
      <c r="I127" s="19" t="s">
        <v>249</v>
      </c>
      <c r="J127" s="19" t="s">
        <v>14</v>
      </c>
      <c r="K127">
        <v>3</v>
      </c>
      <c r="L127">
        <v>2</v>
      </c>
      <c r="M127">
        <v>-0.11</v>
      </c>
      <c r="N127" s="19" t="s">
        <v>18</v>
      </c>
      <c r="O127" s="19" t="s">
        <v>289</v>
      </c>
      <c r="P127" s="19" t="s">
        <v>285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33</v>
      </c>
      <c r="D130" s="19" t="s">
        <v>32</v>
      </c>
      <c r="E130" s="19" t="s">
        <v>33</v>
      </c>
      <c r="F130">
        <v>4</v>
      </c>
      <c r="G130">
        <v>3</v>
      </c>
      <c r="H130">
        <v>0.73929999999999996</v>
      </c>
      <c r="I130" s="19" t="s">
        <v>248</v>
      </c>
      <c r="J130" s="19" t="s">
        <v>33</v>
      </c>
      <c r="K130">
        <v>3</v>
      </c>
      <c r="L130">
        <v>2</v>
      </c>
      <c r="M130">
        <v>0.57999999999999996</v>
      </c>
      <c r="N130" s="19" t="s">
        <v>32</v>
      </c>
      <c r="O130" s="19" t="s">
        <v>284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34</v>
      </c>
      <c r="D131" s="19" t="s">
        <v>17</v>
      </c>
      <c r="E131" s="19" t="s">
        <v>17</v>
      </c>
      <c r="F131">
        <v>4</v>
      </c>
      <c r="G131">
        <v>5</v>
      </c>
      <c r="H131">
        <v>0.55320000000000003</v>
      </c>
      <c r="I131" s="19" t="s">
        <v>248</v>
      </c>
      <c r="J131" s="19" t="s">
        <v>34</v>
      </c>
      <c r="K131">
        <v>3</v>
      </c>
      <c r="L131">
        <v>2</v>
      </c>
      <c r="M131">
        <v>0.67</v>
      </c>
      <c r="N131" s="19" t="s">
        <v>34</v>
      </c>
      <c r="O131" s="19" t="s">
        <v>283</v>
      </c>
      <c r="P131" s="19" t="s">
        <v>284</v>
      </c>
      <c r="Q131" s="19" t="s">
        <v>285</v>
      </c>
      <c r="R131" s="19" t="s">
        <v>249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37</v>
      </c>
      <c r="D134" s="19" t="s">
        <v>25</v>
      </c>
      <c r="E134" s="19" t="s">
        <v>25</v>
      </c>
      <c r="F134">
        <v>2</v>
      </c>
      <c r="G134">
        <v>3</v>
      </c>
      <c r="H134">
        <v>0.55740000000000001</v>
      </c>
      <c r="I134" s="19" t="s">
        <v>249</v>
      </c>
      <c r="J134" s="19" t="s">
        <v>25</v>
      </c>
      <c r="K134">
        <v>3</v>
      </c>
      <c r="L134">
        <v>2</v>
      </c>
      <c r="M134">
        <v>-0.03</v>
      </c>
      <c r="N134" s="19" t="s">
        <v>37</v>
      </c>
      <c r="O134" s="19" t="s">
        <v>288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21</v>
      </c>
      <c r="D136" s="19" t="s">
        <v>38</v>
      </c>
      <c r="E136" s="19" t="s">
        <v>38</v>
      </c>
      <c r="F136">
        <v>3</v>
      </c>
      <c r="G136">
        <v>4</v>
      </c>
      <c r="H136">
        <v>0.5171</v>
      </c>
      <c r="I136" s="19" t="s">
        <v>249</v>
      </c>
      <c r="J136" s="19" t="s">
        <v>21</v>
      </c>
      <c r="K136">
        <v>3</v>
      </c>
      <c r="L136">
        <v>2</v>
      </c>
      <c r="M136">
        <v>0.75</v>
      </c>
      <c r="N136" s="19" t="s">
        <v>38</v>
      </c>
      <c r="O136" s="19" t="s">
        <v>289</v>
      </c>
      <c r="P136" s="19" t="s">
        <v>283</v>
      </c>
      <c r="Q136" s="19" t="s">
        <v>287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29</v>
      </c>
      <c r="D137" s="19" t="s">
        <v>19</v>
      </c>
      <c r="E137" s="19" t="s">
        <v>29</v>
      </c>
      <c r="F137">
        <v>3</v>
      </c>
      <c r="G137">
        <v>2</v>
      </c>
      <c r="H137">
        <v>0.69740000000000002</v>
      </c>
      <c r="I137" s="19" t="s">
        <v>249</v>
      </c>
      <c r="J137" s="19" t="s">
        <v>19</v>
      </c>
      <c r="K137">
        <v>3</v>
      </c>
      <c r="L137">
        <v>2</v>
      </c>
      <c r="M137">
        <v>-0.41</v>
      </c>
      <c r="N137" s="19" t="s">
        <v>29</v>
      </c>
      <c r="O137" s="19" t="s">
        <v>283</v>
      </c>
      <c r="P137" s="19" t="s">
        <v>291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0.54166666666666663</v>
      </c>
      <c r="C146" s="19" t="s">
        <v>26</v>
      </c>
      <c r="D146" s="19" t="s">
        <v>22</v>
      </c>
      <c r="E146" s="19" t="s">
        <v>26</v>
      </c>
      <c r="F146">
        <v>5</v>
      </c>
      <c r="G146">
        <v>4</v>
      </c>
      <c r="H146">
        <v>0.50509999999999999</v>
      </c>
      <c r="I146" s="19" t="s">
        <v>249</v>
      </c>
      <c r="J146" s="19" t="s">
        <v>22</v>
      </c>
      <c r="K146">
        <v>3</v>
      </c>
      <c r="L146">
        <v>2</v>
      </c>
      <c r="M146">
        <v>-0.73</v>
      </c>
      <c r="N146" s="19" t="s">
        <v>26</v>
      </c>
      <c r="O146" s="19" t="s">
        <v>291</v>
      </c>
      <c r="P146" s="19" t="s">
        <v>284</v>
      </c>
      <c r="Q146" s="19" t="s">
        <v>287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30</v>
      </c>
      <c r="D155" s="19" t="s">
        <v>24</v>
      </c>
      <c r="E155" s="19" t="s">
        <v>24</v>
      </c>
      <c r="F155">
        <v>3</v>
      </c>
      <c r="G155">
        <v>4</v>
      </c>
      <c r="H155">
        <v>0.6946</v>
      </c>
      <c r="I155" s="19" t="s">
        <v>249</v>
      </c>
      <c r="J155" s="19" t="s">
        <v>30</v>
      </c>
      <c r="K155">
        <v>3</v>
      </c>
      <c r="L155">
        <v>2</v>
      </c>
      <c r="M155">
        <v>0.33</v>
      </c>
      <c r="N155" s="19" t="s">
        <v>30</v>
      </c>
      <c r="O155" s="19" t="s">
        <v>284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12</v>
      </c>
      <c r="D161" s="19" t="s">
        <v>55</v>
      </c>
      <c r="E161" s="19" t="s">
        <v>12</v>
      </c>
      <c r="F161">
        <v>5</v>
      </c>
      <c r="G161">
        <v>1</v>
      </c>
      <c r="H161">
        <v>0.87890000000000001</v>
      </c>
      <c r="I161" s="19" t="s">
        <v>249</v>
      </c>
      <c r="J161" s="19" t="s">
        <v>12</v>
      </c>
      <c r="K161">
        <v>3</v>
      </c>
      <c r="L161">
        <v>2</v>
      </c>
      <c r="M161">
        <v>1.68</v>
      </c>
      <c r="N161" s="19" t="s">
        <v>12</v>
      </c>
      <c r="O161" s="19" t="s">
        <v>287</v>
      </c>
      <c r="P161" s="19" t="s">
        <v>285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10</v>
      </c>
      <c r="D162" s="19" t="s">
        <v>27</v>
      </c>
      <c r="E162" s="19" t="s">
        <v>27</v>
      </c>
      <c r="F162">
        <v>3</v>
      </c>
      <c r="G162">
        <v>4</v>
      </c>
      <c r="H162">
        <v>0.52180000000000004</v>
      </c>
      <c r="I162" s="19" t="s">
        <v>249</v>
      </c>
      <c r="J162" s="19" t="s">
        <v>27</v>
      </c>
      <c r="K162">
        <v>3</v>
      </c>
      <c r="L162">
        <v>2</v>
      </c>
      <c r="M162">
        <v>-0.59</v>
      </c>
      <c r="N162" s="19" t="s">
        <v>27</v>
      </c>
      <c r="O162" s="19" t="s">
        <v>287</v>
      </c>
      <c r="P162" s="19" t="s">
        <v>291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17</v>
      </c>
      <c r="D163" s="19" t="s">
        <v>16</v>
      </c>
      <c r="E163" s="19" t="s">
        <v>16</v>
      </c>
      <c r="F163">
        <v>3</v>
      </c>
      <c r="G163">
        <v>4</v>
      </c>
      <c r="H163">
        <v>0.622</v>
      </c>
      <c r="I163" s="19" t="s">
        <v>248</v>
      </c>
      <c r="J163" s="19" t="s">
        <v>17</v>
      </c>
      <c r="K163">
        <v>3</v>
      </c>
      <c r="L163">
        <v>2</v>
      </c>
      <c r="M163">
        <v>0.43</v>
      </c>
      <c r="N163" s="19" t="s">
        <v>17</v>
      </c>
      <c r="O163" s="19" t="s">
        <v>283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35</v>
      </c>
      <c r="O166" s="19" t="s">
        <v>291</v>
      </c>
      <c r="P166" s="19" t="s">
        <v>284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40</v>
      </c>
      <c r="D167" s="19" t="s">
        <v>34</v>
      </c>
      <c r="E167" s="19" t="s">
        <v>34</v>
      </c>
      <c r="F167">
        <v>2</v>
      </c>
      <c r="G167">
        <v>3</v>
      </c>
      <c r="H167">
        <v>0.83430000000000004</v>
      </c>
      <c r="I167" s="19" t="s">
        <v>249</v>
      </c>
      <c r="J167" s="19" t="s">
        <v>34</v>
      </c>
      <c r="K167">
        <v>3</v>
      </c>
      <c r="L167">
        <v>2</v>
      </c>
      <c r="M167">
        <v>-0.52</v>
      </c>
      <c r="N167" s="19" t="s">
        <v>34</v>
      </c>
      <c r="O167" s="19" t="s">
        <v>291</v>
      </c>
      <c r="P167" s="19" t="s">
        <v>289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11</v>
      </c>
      <c r="D168" s="19" t="s">
        <v>37</v>
      </c>
      <c r="E168" s="19" t="s">
        <v>37</v>
      </c>
      <c r="F168">
        <v>3</v>
      </c>
      <c r="G168">
        <v>4</v>
      </c>
      <c r="H168">
        <v>0.78510000000000002</v>
      </c>
      <c r="I168" s="19" t="s">
        <v>249</v>
      </c>
      <c r="J168" s="19" t="s">
        <v>37</v>
      </c>
      <c r="K168">
        <v>3</v>
      </c>
      <c r="L168">
        <v>2</v>
      </c>
      <c r="M168">
        <v>-0.45</v>
      </c>
      <c r="N168" s="19" t="s">
        <v>37</v>
      </c>
      <c r="O168" s="19" t="s">
        <v>284</v>
      </c>
      <c r="P168" s="19" t="s">
        <v>289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10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19</v>
      </c>
      <c r="D171" s="19" t="s">
        <v>36</v>
      </c>
      <c r="E171" s="19" t="s">
        <v>36</v>
      </c>
      <c r="F171">
        <v>4</v>
      </c>
      <c r="G171">
        <v>5</v>
      </c>
      <c r="H171">
        <v>0.73709999999999998</v>
      </c>
      <c r="I171" s="19" t="s">
        <v>249</v>
      </c>
      <c r="J171" s="19" t="s">
        <v>36</v>
      </c>
      <c r="K171">
        <v>3</v>
      </c>
      <c r="L171">
        <v>2</v>
      </c>
      <c r="M171">
        <v>-0.33</v>
      </c>
      <c r="N171" s="19" t="s">
        <v>19</v>
      </c>
      <c r="O171" s="19" t="s">
        <v>292</v>
      </c>
      <c r="P171" s="19" t="s">
        <v>283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20</v>
      </c>
      <c r="D173" s="19" t="s">
        <v>12</v>
      </c>
      <c r="E173" s="19" t="s">
        <v>12</v>
      </c>
      <c r="F173">
        <v>2</v>
      </c>
      <c r="G173">
        <v>4</v>
      </c>
      <c r="H173">
        <v>0.76419999999999999</v>
      </c>
      <c r="I173" s="19" t="s">
        <v>249</v>
      </c>
      <c r="J173" s="19" t="s">
        <v>12</v>
      </c>
      <c r="K173">
        <v>3</v>
      </c>
      <c r="L173">
        <v>2</v>
      </c>
      <c r="M173">
        <v>-1.46</v>
      </c>
      <c r="N173" s="19" t="s">
        <v>12</v>
      </c>
      <c r="O173" s="19" t="s">
        <v>283</v>
      </c>
      <c r="P173" s="19" t="s">
        <v>288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16</v>
      </c>
      <c r="D174" s="19" t="s">
        <v>17</v>
      </c>
      <c r="E174" s="19" t="s">
        <v>16</v>
      </c>
      <c r="F174">
        <v>4</v>
      </c>
      <c r="G174">
        <v>3</v>
      </c>
      <c r="H174">
        <v>0.62190000000000001</v>
      </c>
      <c r="I174" s="19" t="s">
        <v>249</v>
      </c>
      <c r="J174" s="19" t="s">
        <v>17</v>
      </c>
      <c r="K174">
        <v>3</v>
      </c>
      <c r="L174">
        <v>2</v>
      </c>
      <c r="M174">
        <v>-0.48</v>
      </c>
      <c r="N174" s="19" t="s">
        <v>16</v>
      </c>
      <c r="O174" s="19" t="s">
        <v>291</v>
      </c>
      <c r="P174" s="19" t="s">
        <v>284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23</v>
      </c>
      <c r="D176" s="19" t="s">
        <v>21</v>
      </c>
      <c r="E176" s="19" t="s">
        <v>23</v>
      </c>
      <c r="F176">
        <v>4</v>
      </c>
      <c r="G176">
        <v>3</v>
      </c>
      <c r="H176">
        <v>0.59740000000000004</v>
      </c>
      <c r="I176" s="19" t="s">
        <v>249</v>
      </c>
      <c r="J176" s="19" t="s">
        <v>21</v>
      </c>
      <c r="K176">
        <v>3</v>
      </c>
      <c r="L176">
        <v>2</v>
      </c>
      <c r="M176">
        <v>-0.01</v>
      </c>
      <c r="N176" s="19" t="s">
        <v>23</v>
      </c>
      <c r="O176" s="19" t="s">
        <v>289</v>
      </c>
      <c r="P176" s="19" t="s">
        <v>287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16</v>
      </c>
      <c r="D183" s="19" t="s">
        <v>21</v>
      </c>
      <c r="E183" s="19" t="s">
        <v>16</v>
      </c>
      <c r="F183">
        <v>4</v>
      </c>
      <c r="G183">
        <v>2</v>
      </c>
      <c r="H183">
        <v>0.67530000000000001</v>
      </c>
      <c r="I183" s="19" t="s">
        <v>249</v>
      </c>
      <c r="J183" s="19" t="s">
        <v>21</v>
      </c>
      <c r="K183">
        <v>3</v>
      </c>
      <c r="L183">
        <v>2</v>
      </c>
      <c r="M183">
        <v>-0.24</v>
      </c>
      <c r="N183" s="19" t="s">
        <v>16</v>
      </c>
      <c r="O183" s="19" t="s">
        <v>284</v>
      </c>
      <c r="P183" s="19" t="s">
        <v>287</v>
      </c>
      <c r="Q183" s="19" t="s">
        <v>287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11</v>
      </c>
      <c r="D184" s="19" t="s">
        <v>22</v>
      </c>
      <c r="E184" s="19" t="s">
        <v>11</v>
      </c>
      <c r="F184">
        <v>4</v>
      </c>
      <c r="G184">
        <v>3</v>
      </c>
      <c r="H184">
        <v>0.65490000000000004</v>
      </c>
      <c r="I184" s="19" t="s">
        <v>249</v>
      </c>
      <c r="J184" s="19" t="s">
        <v>22</v>
      </c>
      <c r="K184">
        <v>3</v>
      </c>
      <c r="L184">
        <v>2</v>
      </c>
      <c r="M184">
        <v>-0.23</v>
      </c>
      <c r="N184" s="19" t="s">
        <v>11</v>
      </c>
      <c r="O184" s="19" t="s">
        <v>283</v>
      </c>
      <c r="P184" s="19" t="s">
        <v>291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55</v>
      </c>
      <c r="D190" s="19" t="s">
        <v>29</v>
      </c>
      <c r="E190" s="19" t="s">
        <v>55</v>
      </c>
      <c r="F190">
        <v>4</v>
      </c>
      <c r="G190">
        <v>2</v>
      </c>
      <c r="H190">
        <v>0.71530000000000005</v>
      </c>
      <c r="I190" s="19" t="s">
        <v>249</v>
      </c>
      <c r="J190" s="19" t="s">
        <v>55</v>
      </c>
      <c r="K190">
        <v>3</v>
      </c>
      <c r="L190">
        <v>2</v>
      </c>
      <c r="M190">
        <v>0.66</v>
      </c>
      <c r="N190" s="19" t="s">
        <v>29</v>
      </c>
      <c r="O190" s="19" t="s">
        <v>291</v>
      </c>
      <c r="P190" s="19" t="s">
        <v>289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32</v>
      </c>
      <c r="D192" s="19" t="s">
        <v>38</v>
      </c>
      <c r="E192" s="19" t="s">
        <v>32</v>
      </c>
      <c r="F192">
        <v>4</v>
      </c>
      <c r="G192">
        <v>3</v>
      </c>
      <c r="H192">
        <v>0.51719999999999999</v>
      </c>
      <c r="I192" s="19" t="s">
        <v>249</v>
      </c>
      <c r="J192" s="19" t="s">
        <v>32</v>
      </c>
      <c r="K192">
        <v>3</v>
      </c>
      <c r="L192">
        <v>2</v>
      </c>
      <c r="M192">
        <v>0.21</v>
      </c>
      <c r="N192" s="19" t="s">
        <v>38</v>
      </c>
      <c r="O192" s="19" t="s">
        <v>284</v>
      </c>
      <c r="P192" s="19" t="s">
        <v>291</v>
      </c>
      <c r="Q192" s="19" t="s">
        <v>287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0.625</v>
      </c>
      <c r="C198" s="19" t="s">
        <v>20</v>
      </c>
      <c r="D198" s="19" t="s">
        <v>29</v>
      </c>
      <c r="E198" s="19" t="s">
        <v>20</v>
      </c>
      <c r="F198">
        <v>4</v>
      </c>
      <c r="G198">
        <v>3</v>
      </c>
      <c r="H198">
        <v>0.66679999999999995</v>
      </c>
      <c r="I198" s="19" t="s">
        <v>248</v>
      </c>
      <c r="J198" s="19" t="s">
        <v>20</v>
      </c>
      <c r="K198">
        <v>3</v>
      </c>
      <c r="L198">
        <v>2</v>
      </c>
      <c r="M198">
        <v>0.59</v>
      </c>
      <c r="N198" s="19" t="s">
        <v>29</v>
      </c>
      <c r="O198" s="19" t="s">
        <v>284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0.79166666666666663</v>
      </c>
      <c r="C199" s="19" t="s">
        <v>28</v>
      </c>
      <c r="D199" s="19" t="s">
        <v>24</v>
      </c>
      <c r="E199" s="19" t="s">
        <v>24</v>
      </c>
      <c r="F199">
        <v>3</v>
      </c>
      <c r="G199">
        <v>4</v>
      </c>
      <c r="H199">
        <v>0.67300000000000004</v>
      </c>
      <c r="I199" s="19" t="s">
        <v>249</v>
      </c>
      <c r="J199" s="19" t="s">
        <v>24</v>
      </c>
      <c r="K199">
        <v>3</v>
      </c>
      <c r="L199">
        <v>2</v>
      </c>
      <c r="M199">
        <v>-0.12</v>
      </c>
      <c r="N199" s="19" t="s">
        <v>24</v>
      </c>
      <c r="O199" s="19" t="s">
        <v>284</v>
      </c>
      <c r="P199" s="19" t="s">
        <v>291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16</v>
      </c>
      <c r="D200" s="19" t="s">
        <v>27</v>
      </c>
      <c r="E200" s="19" t="s">
        <v>16</v>
      </c>
      <c r="F200">
        <v>5</v>
      </c>
      <c r="G200">
        <v>2</v>
      </c>
      <c r="H200">
        <v>0.67779999999999996</v>
      </c>
      <c r="I200" s="19" t="s">
        <v>249</v>
      </c>
      <c r="J200" s="19" t="s">
        <v>27</v>
      </c>
      <c r="K200">
        <v>3</v>
      </c>
      <c r="L200">
        <v>2</v>
      </c>
      <c r="M200">
        <v>-0.49</v>
      </c>
      <c r="N200" s="19" t="s">
        <v>16</v>
      </c>
      <c r="O200" s="19" t="s">
        <v>283</v>
      </c>
      <c r="P200" s="19" t="s">
        <v>287</v>
      </c>
      <c r="Q200" s="19" t="s">
        <v>285</v>
      </c>
      <c r="R200" s="19" t="s">
        <v>248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0.875</v>
      </c>
      <c r="C202" s="19" t="s">
        <v>12</v>
      </c>
      <c r="D202" s="19" t="s">
        <v>35</v>
      </c>
      <c r="E202" s="19" t="s">
        <v>12</v>
      </c>
      <c r="F202">
        <v>3</v>
      </c>
      <c r="G202">
        <v>2</v>
      </c>
      <c r="H202">
        <v>0.87290000000000001</v>
      </c>
      <c r="I202" s="19" t="s">
        <v>249</v>
      </c>
      <c r="J202" s="19" t="s">
        <v>12</v>
      </c>
      <c r="K202">
        <v>3</v>
      </c>
      <c r="L202">
        <v>2</v>
      </c>
      <c r="M202">
        <v>2.8</v>
      </c>
      <c r="N202" s="19" t="s">
        <v>12</v>
      </c>
      <c r="O202" s="19" t="s">
        <v>288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0.77083333333333337</v>
      </c>
      <c r="C203" s="19" t="s">
        <v>26</v>
      </c>
      <c r="D203" s="19" t="s">
        <v>40</v>
      </c>
      <c r="E203" s="19" t="s">
        <v>26</v>
      </c>
      <c r="F203">
        <v>5</v>
      </c>
      <c r="G203">
        <v>4</v>
      </c>
      <c r="H203">
        <v>0.53749999999999998</v>
      </c>
      <c r="I203" s="19" t="s">
        <v>249</v>
      </c>
      <c r="J203" s="19" t="s">
        <v>26</v>
      </c>
      <c r="K203">
        <v>3</v>
      </c>
      <c r="L203">
        <v>2</v>
      </c>
      <c r="M203">
        <v>0.04</v>
      </c>
      <c r="N203" s="19" t="s">
        <v>26</v>
      </c>
      <c r="O203" s="19" t="s">
        <v>284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0.83333333333333337</v>
      </c>
      <c r="C207" s="19" t="s">
        <v>39</v>
      </c>
      <c r="D207" s="19" t="s">
        <v>23</v>
      </c>
      <c r="E207" s="19" t="s">
        <v>39</v>
      </c>
      <c r="F207">
        <v>4</v>
      </c>
      <c r="G207">
        <v>3</v>
      </c>
      <c r="H207">
        <v>0.78620000000000001</v>
      </c>
      <c r="I207" s="19" t="s">
        <v>249</v>
      </c>
      <c r="J207" s="19" t="s">
        <v>39</v>
      </c>
      <c r="K207">
        <v>3</v>
      </c>
      <c r="L207">
        <v>2</v>
      </c>
      <c r="M207">
        <v>0.91</v>
      </c>
      <c r="N207" s="19" t="s">
        <v>23</v>
      </c>
      <c r="O207" s="19" t="s">
        <v>287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60</v>
      </c>
      <c r="O216" s="19" t="s">
        <v>60</v>
      </c>
      <c r="P216" s="19" t="s">
        <v>60</v>
      </c>
      <c r="Q216" s="19" t="s">
        <v>60</v>
      </c>
      <c r="R216" s="19" t="s">
        <v>60</v>
      </c>
      <c r="S216" s="19" t="s">
        <v>60</v>
      </c>
      <c r="T216" s="19" t="s">
        <v>281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60</v>
      </c>
      <c r="O217" s="19" t="s">
        <v>60</v>
      </c>
      <c r="P217" s="19" t="s">
        <v>60</v>
      </c>
      <c r="Q217" s="19" t="s">
        <v>60</v>
      </c>
      <c r="R217" s="19" t="s">
        <v>60</v>
      </c>
      <c r="S217" s="19" t="s">
        <v>60</v>
      </c>
      <c r="T217" s="19" t="s">
        <v>281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60</v>
      </c>
      <c r="O218" s="19" t="s">
        <v>60</v>
      </c>
      <c r="P218" s="19" t="s">
        <v>60</v>
      </c>
      <c r="Q218" s="19" t="s">
        <v>60</v>
      </c>
      <c r="R218" s="19" t="s">
        <v>60</v>
      </c>
      <c r="S218" s="19" t="s">
        <v>60</v>
      </c>
      <c r="T218" s="19" t="s">
        <v>281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60</v>
      </c>
      <c r="O219" s="19" t="s">
        <v>60</v>
      </c>
      <c r="P219" s="19" t="s">
        <v>60</v>
      </c>
      <c r="Q219" s="19" t="s">
        <v>60</v>
      </c>
      <c r="R219" s="19" t="s">
        <v>60</v>
      </c>
      <c r="S219" s="19" t="s">
        <v>60</v>
      </c>
      <c r="T21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5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39</v>
      </c>
      <c r="G2">
        <v>34</v>
      </c>
      <c r="H2">
        <v>36</v>
      </c>
      <c r="I2">
        <v>70</v>
      </c>
      <c r="J2">
        <v>51</v>
      </c>
      <c r="K2">
        <v>14</v>
      </c>
      <c r="L2">
        <v>27</v>
      </c>
      <c r="M2">
        <v>7</v>
      </c>
      <c r="N2">
        <v>0</v>
      </c>
      <c r="O2">
        <v>5</v>
      </c>
      <c r="P2">
        <v>27</v>
      </c>
      <c r="Q2">
        <v>9</v>
      </c>
      <c r="R2">
        <v>0</v>
      </c>
      <c r="S2">
        <v>180</v>
      </c>
      <c r="T2">
        <v>18.899999999999999</v>
      </c>
      <c r="U2">
        <v>306</v>
      </c>
      <c r="V2" s="19" t="s">
        <v>1967</v>
      </c>
      <c r="W2" s="19" t="s">
        <v>793</v>
      </c>
      <c r="X2">
        <v>368</v>
      </c>
      <c r="Y2">
        <v>379</v>
      </c>
      <c r="Z2">
        <v>49.3</v>
      </c>
      <c r="AA2">
        <v>22</v>
      </c>
      <c r="AB2">
        <v>32</v>
      </c>
      <c r="AC2">
        <v>10</v>
      </c>
      <c r="AD2">
        <v>77</v>
      </c>
      <c r="AE2" s="19" t="s">
        <v>60</v>
      </c>
    </row>
    <row r="3" spans="1:31" x14ac:dyDescent="0.2">
      <c r="A3">
        <v>2</v>
      </c>
      <c r="B3" s="19" t="s">
        <v>326</v>
      </c>
      <c r="C3">
        <v>29</v>
      </c>
      <c r="D3" s="19" t="s">
        <v>327</v>
      </c>
      <c r="E3" s="19" t="s">
        <v>322</v>
      </c>
      <c r="F3">
        <v>41</v>
      </c>
      <c r="G3">
        <v>24</v>
      </c>
      <c r="H3">
        <v>46</v>
      </c>
      <c r="I3">
        <v>70</v>
      </c>
      <c r="J3">
        <v>1</v>
      </c>
      <c r="K3">
        <v>16</v>
      </c>
      <c r="L3">
        <v>16</v>
      </c>
      <c r="M3">
        <v>7</v>
      </c>
      <c r="N3">
        <v>1</v>
      </c>
      <c r="O3">
        <v>1</v>
      </c>
      <c r="P3">
        <v>22</v>
      </c>
      <c r="Q3">
        <v>23</v>
      </c>
      <c r="R3">
        <v>1</v>
      </c>
      <c r="S3">
        <v>145</v>
      </c>
      <c r="T3">
        <v>16.600000000000001</v>
      </c>
      <c r="U3">
        <v>262</v>
      </c>
      <c r="V3" s="19" t="s">
        <v>1968</v>
      </c>
      <c r="W3" s="19" t="s">
        <v>1679</v>
      </c>
      <c r="X3">
        <v>210</v>
      </c>
      <c r="Y3">
        <v>222</v>
      </c>
      <c r="Z3">
        <v>48.6</v>
      </c>
      <c r="AA3">
        <v>18</v>
      </c>
      <c r="AB3">
        <v>15</v>
      </c>
      <c r="AC3">
        <v>13</v>
      </c>
      <c r="AD3">
        <v>64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40</v>
      </c>
      <c r="G4">
        <v>22</v>
      </c>
      <c r="H4">
        <v>40</v>
      </c>
      <c r="I4">
        <v>62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12</v>
      </c>
      <c r="R4">
        <v>0</v>
      </c>
      <c r="S4">
        <v>126</v>
      </c>
      <c r="T4">
        <v>17.5</v>
      </c>
      <c r="U4">
        <v>243</v>
      </c>
      <c r="V4" s="19" t="s">
        <v>1969</v>
      </c>
      <c r="W4" s="19" t="s">
        <v>1970</v>
      </c>
      <c r="X4">
        <v>293</v>
      </c>
      <c r="Y4">
        <v>314</v>
      </c>
      <c r="Z4">
        <v>48.3</v>
      </c>
      <c r="AA4">
        <v>23</v>
      </c>
      <c r="AB4">
        <v>23</v>
      </c>
      <c r="AC4">
        <v>22</v>
      </c>
      <c r="AD4">
        <v>62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41</v>
      </c>
      <c r="G5">
        <v>20</v>
      </c>
      <c r="H5">
        <v>37</v>
      </c>
      <c r="I5">
        <v>57</v>
      </c>
      <c r="J5">
        <v>6</v>
      </c>
      <c r="K5">
        <v>20</v>
      </c>
      <c r="L5">
        <v>8</v>
      </c>
      <c r="M5">
        <v>11</v>
      </c>
      <c r="N5">
        <v>1</v>
      </c>
      <c r="O5">
        <v>2</v>
      </c>
      <c r="P5">
        <v>20</v>
      </c>
      <c r="Q5">
        <v>17</v>
      </c>
      <c r="R5">
        <v>0</v>
      </c>
      <c r="S5">
        <v>116</v>
      </c>
      <c r="T5">
        <v>17.2</v>
      </c>
      <c r="U5">
        <v>234</v>
      </c>
      <c r="V5" s="19" t="s">
        <v>1971</v>
      </c>
      <c r="W5" s="19" t="s">
        <v>1972</v>
      </c>
      <c r="X5">
        <v>365</v>
      </c>
      <c r="Y5">
        <v>283</v>
      </c>
      <c r="Z5">
        <v>56.3</v>
      </c>
      <c r="AA5">
        <v>11</v>
      </c>
      <c r="AB5">
        <v>20</v>
      </c>
      <c r="AC5">
        <v>13</v>
      </c>
      <c r="AD5">
        <v>66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40</v>
      </c>
      <c r="G6">
        <v>16</v>
      </c>
      <c r="H6">
        <v>40</v>
      </c>
      <c r="I6">
        <v>56</v>
      </c>
      <c r="J6">
        <v>3</v>
      </c>
      <c r="K6">
        <v>71</v>
      </c>
      <c r="L6">
        <v>12</v>
      </c>
      <c r="M6">
        <v>4</v>
      </c>
      <c r="N6">
        <v>0</v>
      </c>
      <c r="O6">
        <v>1</v>
      </c>
      <c r="P6">
        <v>19</v>
      </c>
      <c r="Q6">
        <v>21</v>
      </c>
      <c r="R6">
        <v>0</v>
      </c>
      <c r="S6">
        <v>99</v>
      </c>
      <c r="T6">
        <v>16.2</v>
      </c>
      <c r="U6">
        <v>192</v>
      </c>
      <c r="V6" s="19" t="s">
        <v>1973</v>
      </c>
      <c r="W6" s="19" t="s">
        <v>1974</v>
      </c>
      <c r="X6">
        <v>26</v>
      </c>
      <c r="Y6">
        <v>25</v>
      </c>
      <c r="Z6">
        <v>51</v>
      </c>
      <c r="AA6">
        <v>19</v>
      </c>
      <c r="AB6">
        <v>29</v>
      </c>
      <c r="AC6">
        <v>14</v>
      </c>
      <c r="AD6">
        <v>45</v>
      </c>
      <c r="AE6" s="19" t="s">
        <v>60</v>
      </c>
    </row>
    <row r="7" spans="1:31" x14ac:dyDescent="0.2">
      <c r="A7">
        <v>6</v>
      </c>
      <c r="B7" s="19" t="s">
        <v>350</v>
      </c>
      <c r="C7">
        <v>32</v>
      </c>
      <c r="D7" s="19" t="s">
        <v>351</v>
      </c>
      <c r="E7" s="19" t="s">
        <v>334</v>
      </c>
      <c r="F7">
        <v>36</v>
      </c>
      <c r="G7">
        <v>19</v>
      </c>
      <c r="H7">
        <v>35</v>
      </c>
      <c r="I7">
        <v>54</v>
      </c>
      <c r="J7">
        <v>16</v>
      </c>
      <c r="K7">
        <v>18</v>
      </c>
      <c r="L7">
        <v>15</v>
      </c>
      <c r="M7">
        <v>4</v>
      </c>
      <c r="N7">
        <v>0</v>
      </c>
      <c r="O7">
        <v>4</v>
      </c>
      <c r="P7">
        <v>24</v>
      </c>
      <c r="Q7">
        <v>11</v>
      </c>
      <c r="R7">
        <v>0</v>
      </c>
      <c r="S7">
        <v>110</v>
      </c>
      <c r="T7">
        <v>17.3</v>
      </c>
      <c r="U7">
        <v>266</v>
      </c>
      <c r="V7" s="19" t="s">
        <v>1975</v>
      </c>
      <c r="W7" s="19" t="s">
        <v>1976</v>
      </c>
      <c r="X7">
        <v>0</v>
      </c>
      <c r="Y7">
        <v>1</v>
      </c>
      <c r="Z7">
        <v>0</v>
      </c>
      <c r="AA7">
        <v>13</v>
      </c>
      <c r="AB7">
        <v>14</v>
      </c>
      <c r="AC7">
        <v>10</v>
      </c>
      <c r="AD7">
        <v>60</v>
      </c>
      <c r="AE7" s="19" t="s">
        <v>60</v>
      </c>
    </row>
    <row r="8" spans="1:31" x14ac:dyDescent="0.2">
      <c r="A8">
        <v>7</v>
      </c>
      <c r="B8" s="19" t="s">
        <v>330</v>
      </c>
      <c r="C8">
        <v>27</v>
      </c>
      <c r="D8" s="19" t="s">
        <v>321</v>
      </c>
      <c r="E8" s="19" t="s">
        <v>322</v>
      </c>
      <c r="F8">
        <v>39</v>
      </c>
      <c r="G8">
        <v>19</v>
      </c>
      <c r="H8">
        <v>32</v>
      </c>
      <c r="I8">
        <v>51</v>
      </c>
      <c r="J8">
        <v>40</v>
      </c>
      <c r="K8">
        <v>22</v>
      </c>
      <c r="L8">
        <v>16</v>
      </c>
      <c r="M8">
        <v>3</v>
      </c>
      <c r="N8">
        <v>0</v>
      </c>
      <c r="O8">
        <v>0</v>
      </c>
      <c r="P8">
        <v>26</v>
      </c>
      <c r="Q8">
        <v>6</v>
      </c>
      <c r="R8">
        <v>0</v>
      </c>
      <c r="S8">
        <v>92</v>
      </c>
      <c r="T8">
        <v>20.7</v>
      </c>
      <c r="U8">
        <v>191</v>
      </c>
      <c r="V8" s="19" t="s">
        <v>1977</v>
      </c>
      <c r="W8" s="19" t="s">
        <v>1606</v>
      </c>
      <c r="X8">
        <v>9</v>
      </c>
      <c r="Y8">
        <v>9</v>
      </c>
      <c r="Z8">
        <v>50</v>
      </c>
      <c r="AA8">
        <v>12</v>
      </c>
      <c r="AB8">
        <v>37</v>
      </c>
      <c r="AC8">
        <v>11</v>
      </c>
      <c r="AD8">
        <v>66</v>
      </c>
      <c r="AE8" s="19" t="s">
        <v>60</v>
      </c>
    </row>
    <row r="9" spans="1:31" x14ac:dyDescent="0.2">
      <c r="A9">
        <v>8</v>
      </c>
      <c r="B9" s="19" t="s">
        <v>338</v>
      </c>
      <c r="C9">
        <v>26</v>
      </c>
      <c r="D9" s="19" t="s">
        <v>333</v>
      </c>
      <c r="E9" s="19" t="s">
        <v>339</v>
      </c>
      <c r="F9">
        <v>41</v>
      </c>
      <c r="G9">
        <v>24</v>
      </c>
      <c r="H9">
        <v>24</v>
      </c>
      <c r="I9">
        <v>48</v>
      </c>
      <c r="J9">
        <v>15</v>
      </c>
      <c r="K9">
        <v>10</v>
      </c>
      <c r="L9">
        <v>15</v>
      </c>
      <c r="M9">
        <v>9</v>
      </c>
      <c r="N9">
        <v>0</v>
      </c>
      <c r="O9">
        <v>3</v>
      </c>
      <c r="P9">
        <v>13</v>
      </c>
      <c r="Q9">
        <v>11</v>
      </c>
      <c r="R9">
        <v>0</v>
      </c>
      <c r="S9">
        <v>159</v>
      </c>
      <c r="T9">
        <v>15.1</v>
      </c>
      <c r="U9">
        <v>277</v>
      </c>
      <c r="V9" s="19" t="s">
        <v>1978</v>
      </c>
      <c r="W9" s="19" t="s">
        <v>1979</v>
      </c>
      <c r="X9">
        <v>0</v>
      </c>
      <c r="Y9">
        <v>1</v>
      </c>
      <c r="Z9">
        <v>0</v>
      </c>
      <c r="AA9">
        <v>16</v>
      </c>
      <c r="AB9">
        <v>24</v>
      </c>
      <c r="AC9">
        <v>11</v>
      </c>
      <c r="AD9">
        <v>59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39</v>
      </c>
      <c r="G10">
        <v>20</v>
      </c>
      <c r="H10">
        <v>28</v>
      </c>
      <c r="I10">
        <v>48</v>
      </c>
      <c r="J10">
        <v>7</v>
      </c>
      <c r="K10">
        <v>22</v>
      </c>
      <c r="L10">
        <v>15</v>
      </c>
      <c r="M10">
        <v>5</v>
      </c>
      <c r="N10">
        <v>0</v>
      </c>
      <c r="O10">
        <v>2</v>
      </c>
      <c r="P10">
        <v>23</v>
      </c>
      <c r="Q10">
        <v>4</v>
      </c>
      <c r="R10">
        <v>1</v>
      </c>
      <c r="S10">
        <v>87</v>
      </c>
      <c r="T10">
        <v>23</v>
      </c>
      <c r="U10">
        <v>158</v>
      </c>
      <c r="V10" s="19" t="s">
        <v>1980</v>
      </c>
      <c r="W10" s="19" t="s">
        <v>1981</v>
      </c>
      <c r="X10">
        <v>294</v>
      </c>
      <c r="Y10">
        <v>326</v>
      </c>
      <c r="Z10">
        <v>47.4</v>
      </c>
      <c r="AA10">
        <v>18</v>
      </c>
      <c r="AB10">
        <v>16</v>
      </c>
      <c r="AC10">
        <v>10</v>
      </c>
      <c r="AD10">
        <v>53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357</v>
      </c>
      <c r="E11" s="19" t="s">
        <v>339</v>
      </c>
      <c r="F11">
        <v>41</v>
      </c>
      <c r="G11">
        <v>25</v>
      </c>
      <c r="H11">
        <v>22</v>
      </c>
      <c r="I11">
        <v>47</v>
      </c>
      <c r="J11">
        <v>16</v>
      </c>
      <c r="K11">
        <v>20</v>
      </c>
      <c r="L11">
        <v>17</v>
      </c>
      <c r="M11">
        <v>6</v>
      </c>
      <c r="N11">
        <v>2</v>
      </c>
      <c r="O11">
        <v>3</v>
      </c>
      <c r="P11">
        <v>14</v>
      </c>
      <c r="Q11">
        <v>8</v>
      </c>
      <c r="R11">
        <v>0</v>
      </c>
      <c r="S11">
        <v>135</v>
      </c>
      <c r="T11">
        <v>18.5</v>
      </c>
      <c r="U11">
        <v>275</v>
      </c>
      <c r="V11" s="19" t="s">
        <v>1982</v>
      </c>
      <c r="W11" s="19" t="s">
        <v>1590</v>
      </c>
      <c r="X11">
        <v>26</v>
      </c>
      <c r="Y11">
        <v>35</v>
      </c>
      <c r="Z11">
        <v>42.6</v>
      </c>
      <c r="AA11">
        <v>30</v>
      </c>
      <c r="AB11">
        <v>28</v>
      </c>
      <c r="AC11">
        <v>15</v>
      </c>
      <c r="AD11">
        <v>45</v>
      </c>
      <c r="AE11" s="19" t="s">
        <v>60</v>
      </c>
    </row>
    <row r="12" spans="1:31" x14ac:dyDescent="0.2">
      <c r="A12">
        <v>11</v>
      </c>
      <c r="B12" s="19" t="s">
        <v>356</v>
      </c>
      <c r="C12">
        <v>28</v>
      </c>
      <c r="D12" s="19" t="s">
        <v>357</v>
      </c>
      <c r="E12" s="19" t="s">
        <v>339</v>
      </c>
      <c r="F12">
        <v>41</v>
      </c>
      <c r="G12">
        <v>23</v>
      </c>
      <c r="H12">
        <v>24</v>
      </c>
      <c r="I12">
        <v>47</v>
      </c>
      <c r="J12">
        <v>5</v>
      </c>
      <c r="K12">
        <v>14</v>
      </c>
      <c r="L12">
        <v>15</v>
      </c>
      <c r="M12">
        <v>8</v>
      </c>
      <c r="N12">
        <v>0</v>
      </c>
      <c r="O12">
        <v>2</v>
      </c>
      <c r="P12">
        <v>17</v>
      </c>
      <c r="Q12">
        <v>7</v>
      </c>
      <c r="R12">
        <v>0</v>
      </c>
      <c r="S12">
        <v>142</v>
      </c>
      <c r="T12">
        <v>16.2</v>
      </c>
      <c r="U12">
        <v>265</v>
      </c>
      <c r="V12" s="19" t="s">
        <v>1983</v>
      </c>
      <c r="W12" s="19" t="s">
        <v>1984</v>
      </c>
      <c r="X12">
        <v>0</v>
      </c>
      <c r="Y12">
        <v>2</v>
      </c>
      <c r="Z12">
        <v>0</v>
      </c>
      <c r="AA12">
        <v>17</v>
      </c>
      <c r="AB12">
        <v>21</v>
      </c>
      <c r="AC12">
        <v>10</v>
      </c>
      <c r="AD12">
        <v>63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39</v>
      </c>
      <c r="G13">
        <v>18</v>
      </c>
      <c r="H13">
        <v>28</v>
      </c>
      <c r="I13">
        <v>46</v>
      </c>
      <c r="J13">
        <v>5</v>
      </c>
      <c r="K13">
        <v>8</v>
      </c>
      <c r="L13">
        <v>14</v>
      </c>
      <c r="M13">
        <v>2</v>
      </c>
      <c r="N13">
        <v>2</v>
      </c>
      <c r="O13">
        <v>1</v>
      </c>
      <c r="P13">
        <v>20</v>
      </c>
      <c r="Q13">
        <v>8</v>
      </c>
      <c r="R13">
        <v>0</v>
      </c>
      <c r="S13">
        <v>137</v>
      </c>
      <c r="T13">
        <v>13.1</v>
      </c>
      <c r="U13">
        <v>233</v>
      </c>
      <c r="V13" s="19" t="s">
        <v>1985</v>
      </c>
      <c r="W13" s="19" t="s">
        <v>1909</v>
      </c>
      <c r="X13">
        <v>0</v>
      </c>
      <c r="Y13">
        <v>0</v>
      </c>
      <c r="AA13">
        <v>6</v>
      </c>
      <c r="AB13">
        <v>10</v>
      </c>
      <c r="AC13">
        <v>9</v>
      </c>
      <c r="AD13">
        <v>31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41</v>
      </c>
      <c r="G14">
        <v>20</v>
      </c>
      <c r="H14">
        <v>26</v>
      </c>
      <c r="I14">
        <v>46</v>
      </c>
      <c r="J14">
        <v>-1</v>
      </c>
      <c r="K14">
        <v>10</v>
      </c>
      <c r="L14">
        <v>6</v>
      </c>
      <c r="M14">
        <v>14</v>
      </c>
      <c r="N14">
        <v>0</v>
      </c>
      <c r="O14">
        <v>3</v>
      </c>
      <c r="P14">
        <v>17</v>
      </c>
      <c r="Q14">
        <v>9</v>
      </c>
      <c r="R14">
        <v>0</v>
      </c>
      <c r="S14">
        <v>100</v>
      </c>
      <c r="T14">
        <v>20</v>
      </c>
      <c r="U14">
        <v>193</v>
      </c>
      <c r="V14" s="19" t="s">
        <v>1986</v>
      </c>
      <c r="W14" s="19" t="s">
        <v>1987</v>
      </c>
      <c r="X14">
        <v>195</v>
      </c>
      <c r="Y14">
        <v>219</v>
      </c>
      <c r="Z14">
        <v>47.1</v>
      </c>
      <c r="AA14">
        <v>30</v>
      </c>
      <c r="AB14">
        <v>12</v>
      </c>
      <c r="AC14">
        <v>10</v>
      </c>
      <c r="AD14">
        <v>26</v>
      </c>
      <c r="AE14" s="19" t="s">
        <v>60</v>
      </c>
    </row>
    <row r="15" spans="1:31" x14ac:dyDescent="0.2">
      <c r="A15">
        <v>14</v>
      </c>
      <c r="B15" s="19" t="s">
        <v>347</v>
      </c>
      <c r="C15">
        <v>27</v>
      </c>
      <c r="D15" s="19" t="s">
        <v>321</v>
      </c>
      <c r="E15" s="19" t="s">
        <v>348</v>
      </c>
      <c r="F15">
        <v>39</v>
      </c>
      <c r="G15">
        <v>12</v>
      </c>
      <c r="H15">
        <v>33</v>
      </c>
      <c r="I15">
        <v>45</v>
      </c>
      <c r="J15">
        <v>34</v>
      </c>
      <c r="K15">
        <v>18</v>
      </c>
      <c r="L15">
        <v>10</v>
      </c>
      <c r="M15">
        <v>2</v>
      </c>
      <c r="N15">
        <v>0</v>
      </c>
      <c r="O15">
        <v>3</v>
      </c>
      <c r="P15">
        <v>21</v>
      </c>
      <c r="Q15">
        <v>12</v>
      </c>
      <c r="R15">
        <v>0</v>
      </c>
      <c r="S15">
        <v>113</v>
      </c>
      <c r="T15">
        <v>10.6</v>
      </c>
      <c r="U15">
        <v>280</v>
      </c>
      <c r="V15" s="19" t="s">
        <v>1988</v>
      </c>
      <c r="W15" s="19" t="s">
        <v>1259</v>
      </c>
      <c r="X15">
        <v>0</v>
      </c>
      <c r="Y15">
        <v>0</v>
      </c>
      <c r="AA15">
        <v>67</v>
      </c>
      <c r="AB15">
        <v>18</v>
      </c>
      <c r="AC15">
        <v>25</v>
      </c>
      <c r="AD15">
        <v>38</v>
      </c>
      <c r="AE15" s="19" t="s">
        <v>60</v>
      </c>
    </row>
    <row r="16" spans="1:31" x14ac:dyDescent="0.2">
      <c r="A16">
        <v>15</v>
      </c>
      <c r="B16" s="19" t="s">
        <v>371</v>
      </c>
      <c r="C16">
        <v>37</v>
      </c>
      <c r="D16" s="19" t="s">
        <v>372</v>
      </c>
      <c r="E16" s="19" t="s">
        <v>339</v>
      </c>
      <c r="F16">
        <v>38</v>
      </c>
      <c r="G16">
        <v>23</v>
      </c>
      <c r="H16">
        <v>22</v>
      </c>
      <c r="I16">
        <v>45</v>
      </c>
      <c r="J16">
        <v>-6</v>
      </c>
      <c r="K16">
        <v>32</v>
      </c>
      <c r="L16">
        <v>18</v>
      </c>
      <c r="M16">
        <v>5</v>
      </c>
      <c r="N16">
        <v>0</v>
      </c>
      <c r="O16">
        <v>2</v>
      </c>
      <c r="P16">
        <v>12</v>
      </c>
      <c r="Q16">
        <v>10</v>
      </c>
      <c r="R16">
        <v>0</v>
      </c>
      <c r="S16">
        <v>105</v>
      </c>
      <c r="T16">
        <v>21.9</v>
      </c>
      <c r="U16">
        <v>215</v>
      </c>
      <c r="V16" s="19" t="s">
        <v>1989</v>
      </c>
      <c r="W16" s="19" t="s">
        <v>1990</v>
      </c>
      <c r="X16">
        <v>1</v>
      </c>
      <c r="Y16">
        <v>7</v>
      </c>
      <c r="Z16">
        <v>12.5</v>
      </c>
      <c r="AA16">
        <v>16</v>
      </c>
      <c r="AB16">
        <v>32</v>
      </c>
      <c r="AC16">
        <v>13</v>
      </c>
      <c r="AD16">
        <v>42</v>
      </c>
      <c r="AE16" s="19" t="s">
        <v>60</v>
      </c>
    </row>
    <row r="17" spans="1:31" x14ac:dyDescent="0.2">
      <c r="A17">
        <v>16</v>
      </c>
      <c r="B17" s="19" t="s">
        <v>362</v>
      </c>
      <c r="C17">
        <v>26</v>
      </c>
      <c r="D17" s="19" t="s">
        <v>363</v>
      </c>
      <c r="E17" s="19" t="s">
        <v>322</v>
      </c>
      <c r="F17">
        <v>40</v>
      </c>
      <c r="G17">
        <v>14</v>
      </c>
      <c r="H17">
        <v>31</v>
      </c>
      <c r="I17">
        <v>45</v>
      </c>
      <c r="J17">
        <v>16</v>
      </c>
      <c r="K17">
        <v>8</v>
      </c>
      <c r="L17">
        <v>6</v>
      </c>
      <c r="M17">
        <v>8</v>
      </c>
      <c r="N17">
        <v>0</v>
      </c>
      <c r="O17">
        <v>1</v>
      </c>
      <c r="P17">
        <v>18</v>
      </c>
      <c r="Q17">
        <v>13</v>
      </c>
      <c r="R17">
        <v>0</v>
      </c>
      <c r="S17">
        <v>86</v>
      </c>
      <c r="T17">
        <v>16.3</v>
      </c>
      <c r="U17">
        <v>189</v>
      </c>
      <c r="V17" s="19" t="s">
        <v>1991</v>
      </c>
      <c r="W17" s="19" t="s">
        <v>1869</v>
      </c>
      <c r="X17">
        <v>346</v>
      </c>
      <c r="Y17">
        <v>357</v>
      </c>
      <c r="Z17">
        <v>49.2</v>
      </c>
      <c r="AA17">
        <v>35</v>
      </c>
      <c r="AB17">
        <v>32</v>
      </c>
      <c r="AC17">
        <v>11</v>
      </c>
      <c r="AD17">
        <v>34</v>
      </c>
      <c r="AE17" s="19" t="s">
        <v>60</v>
      </c>
    </row>
    <row r="18" spans="1:31" x14ac:dyDescent="0.2">
      <c r="A18">
        <v>17</v>
      </c>
      <c r="B18" s="19" t="s">
        <v>328</v>
      </c>
      <c r="C18">
        <v>20</v>
      </c>
      <c r="D18" s="19" t="s">
        <v>329</v>
      </c>
      <c r="E18" s="19" t="s">
        <v>322</v>
      </c>
      <c r="F18">
        <v>31</v>
      </c>
      <c r="G18">
        <v>19</v>
      </c>
      <c r="H18">
        <v>25</v>
      </c>
      <c r="I18">
        <v>44</v>
      </c>
      <c r="J18">
        <v>8</v>
      </c>
      <c r="K18">
        <v>30</v>
      </c>
      <c r="L18">
        <v>14</v>
      </c>
      <c r="M18">
        <v>5</v>
      </c>
      <c r="N18">
        <v>0</v>
      </c>
      <c r="O18">
        <v>3</v>
      </c>
      <c r="P18">
        <v>17</v>
      </c>
      <c r="Q18">
        <v>8</v>
      </c>
      <c r="R18">
        <v>0</v>
      </c>
      <c r="S18">
        <v>103</v>
      </c>
      <c r="T18">
        <v>18.399999999999999</v>
      </c>
      <c r="U18">
        <v>192</v>
      </c>
      <c r="V18" s="19" t="s">
        <v>1673</v>
      </c>
      <c r="W18" s="19" t="s">
        <v>1612</v>
      </c>
      <c r="X18">
        <v>148</v>
      </c>
      <c r="Y18">
        <v>167</v>
      </c>
      <c r="Z18">
        <v>47</v>
      </c>
      <c r="AA18">
        <v>15</v>
      </c>
      <c r="AB18">
        <v>9</v>
      </c>
      <c r="AC18">
        <v>13</v>
      </c>
      <c r="AD18">
        <v>42</v>
      </c>
      <c r="AE18" s="19" t="s">
        <v>60</v>
      </c>
    </row>
    <row r="19" spans="1:31" x14ac:dyDescent="0.2">
      <c r="A19">
        <v>18</v>
      </c>
      <c r="B19" s="19" t="s">
        <v>388</v>
      </c>
      <c r="C19">
        <v>29</v>
      </c>
      <c r="D19" s="19" t="s">
        <v>354</v>
      </c>
      <c r="E19" s="19" t="s">
        <v>334</v>
      </c>
      <c r="F19">
        <v>36</v>
      </c>
      <c r="G19">
        <v>17</v>
      </c>
      <c r="H19">
        <v>27</v>
      </c>
      <c r="I19">
        <v>44</v>
      </c>
      <c r="J19">
        <v>-11</v>
      </c>
      <c r="K19">
        <v>30</v>
      </c>
      <c r="L19">
        <v>9</v>
      </c>
      <c r="M19">
        <v>8</v>
      </c>
      <c r="N19">
        <v>0</v>
      </c>
      <c r="O19">
        <v>2</v>
      </c>
      <c r="P19">
        <v>17</v>
      </c>
      <c r="Q19">
        <v>10</v>
      </c>
      <c r="R19">
        <v>0</v>
      </c>
      <c r="S19">
        <v>124</v>
      </c>
      <c r="T19">
        <v>13.7</v>
      </c>
      <c r="U19">
        <v>275</v>
      </c>
      <c r="V19" s="19" t="s">
        <v>1992</v>
      </c>
      <c r="W19" s="19" t="s">
        <v>1993</v>
      </c>
      <c r="X19">
        <v>1</v>
      </c>
      <c r="Y19">
        <v>1</v>
      </c>
      <c r="Z19">
        <v>50</v>
      </c>
      <c r="AA19">
        <v>13</v>
      </c>
      <c r="AB19">
        <v>45</v>
      </c>
      <c r="AC19">
        <v>12</v>
      </c>
      <c r="AD19">
        <v>63</v>
      </c>
      <c r="AE19" s="19" t="s">
        <v>60</v>
      </c>
    </row>
    <row r="20" spans="1:31" x14ac:dyDescent="0.2">
      <c r="A20">
        <v>19</v>
      </c>
      <c r="B20" s="19" t="s">
        <v>373</v>
      </c>
      <c r="C20">
        <v>23</v>
      </c>
      <c r="D20" s="19" t="s">
        <v>370</v>
      </c>
      <c r="E20" s="19" t="s">
        <v>339</v>
      </c>
      <c r="F20">
        <v>40</v>
      </c>
      <c r="G20">
        <v>11</v>
      </c>
      <c r="H20">
        <v>33</v>
      </c>
      <c r="I20">
        <v>44</v>
      </c>
      <c r="J20">
        <v>3</v>
      </c>
      <c r="K20">
        <v>10</v>
      </c>
      <c r="L20">
        <v>7</v>
      </c>
      <c r="M20">
        <v>4</v>
      </c>
      <c r="N20">
        <v>0</v>
      </c>
      <c r="O20">
        <v>3</v>
      </c>
      <c r="P20">
        <v>19</v>
      </c>
      <c r="Q20">
        <v>14</v>
      </c>
      <c r="R20">
        <v>0</v>
      </c>
      <c r="S20">
        <v>88</v>
      </c>
      <c r="T20">
        <v>12.5</v>
      </c>
      <c r="U20">
        <v>180</v>
      </c>
      <c r="V20" s="19" t="s">
        <v>1994</v>
      </c>
      <c r="W20" s="19" t="s">
        <v>1486</v>
      </c>
      <c r="X20">
        <v>1</v>
      </c>
      <c r="Y20">
        <v>0</v>
      </c>
      <c r="Z20">
        <v>100</v>
      </c>
      <c r="AA20">
        <v>17</v>
      </c>
      <c r="AB20">
        <v>19</v>
      </c>
      <c r="AC20">
        <v>17</v>
      </c>
      <c r="AD20">
        <v>43</v>
      </c>
      <c r="AE20" s="19" t="s">
        <v>60</v>
      </c>
    </row>
    <row r="21" spans="1:31" x14ac:dyDescent="0.2">
      <c r="A21">
        <v>20</v>
      </c>
      <c r="B21" s="19" t="s">
        <v>374</v>
      </c>
      <c r="C21">
        <v>38</v>
      </c>
      <c r="D21" s="19" t="s">
        <v>375</v>
      </c>
      <c r="E21" s="19" t="s">
        <v>322</v>
      </c>
      <c r="F21">
        <v>39</v>
      </c>
      <c r="G21">
        <v>23</v>
      </c>
      <c r="H21">
        <v>20</v>
      </c>
      <c r="I21">
        <v>43</v>
      </c>
      <c r="J21">
        <v>-3</v>
      </c>
      <c r="K21">
        <v>30</v>
      </c>
      <c r="L21">
        <v>14</v>
      </c>
      <c r="M21">
        <v>9</v>
      </c>
      <c r="N21">
        <v>0</v>
      </c>
      <c r="O21">
        <v>2</v>
      </c>
      <c r="P21">
        <v>13</v>
      </c>
      <c r="Q21">
        <v>7</v>
      </c>
      <c r="R21">
        <v>0</v>
      </c>
      <c r="S21">
        <v>95</v>
      </c>
      <c r="T21">
        <v>24.2</v>
      </c>
      <c r="U21">
        <v>171</v>
      </c>
      <c r="V21" s="19" t="s">
        <v>1995</v>
      </c>
      <c r="W21" s="19" t="s">
        <v>1836</v>
      </c>
      <c r="X21">
        <v>454</v>
      </c>
      <c r="Y21">
        <v>355</v>
      </c>
      <c r="Z21">
        <v>56.1</v>
      </c>
      <c r="AA21">
        <v>17</v>
      </c>
      <c r="AB21">
        <v>34</v>
      </c>
      <c r="AC21">
        <v>13</v>
      </c>
      <c r="AD21">
        <v>44</v>
      </c>
      <c r="AE21" s="19" t="s">
        <v>60</v>
      </c>
    </row>
    <row r="22" spans="1:31" x14ac:dyDescent="0.2">
      <c r="A22">
        <v>21</v>
      </c>
      <c r="B22" s="19" t="s">
        <v>396</v>
      </c>
      <c r="C22">
        <v>30</v>
      </c>
      <c r="D22" s="19" t="s">
        <v>372</v>
      </c>
      <c r="E22" s="19" t="s">
        <v>322</v>
      </c>
      <c r="F22">
        <v>39</v>
      </c>
      <c r="G22">
        <v>22</v>
      </c>
      <c r="H22">
        <v>21</v>
      </c>
      <c r="I22">
        <v>43</v>
      </c>
      <c r="J22">
        <v>-6</v>
      </c>
      <c r="K22">
        <v>4</v>
      </c>
      <c r="L22">
        <v>12</v>
      </c>
      <c r="M22">
        <v>7</v>
      </c>
      <c r="N22">
        <v>3</v>
      </c>
      <c r="O22">
        <v>5</v>
      </c>
      <c r="P22">
        <v>13</v>
      </c>
      <c r="Q22">
        <v>8</v>
      </c>
      <c r="R22">
        <v>0</v>
      </c>
      <c r="S22">
        <v>104</v>
      </c>
      <c r="T22">
        <v>21.2</v>
      </c>
      <c r="U22">
        <v>225</v>
      </c>
      <c r="V22" s="19" t="s">
        <v>1996</v>
      </c>
      <c r="W22" s="19" t="s">
        <v>1857</v>
      </c>
      <c r="X22">
        <v>37</v>
      </c>
      <c r="Y22">
        <v>65</v>
      </c>
      <c r="Z22">
        <v>36.299999999999997</v>
      </c>
      <c r="AA22">
        <v>26</v>
      </c>
      <c r="AB22">
        <v>35</v>
      </c>
      <c r="AC22">
        <v>9</v>
      </c>
      <c r="AD22">
        <v>27</v>
      </c>
      <c r="AE22" s="19" t="s">
        <v>60</v>
      </c>
    </row>
    <row r="23" spans="1:31" x14ac:dyDescent="0.2">
      <c r="A23">
        <v>22</v>
      </c>
      <c r="B23" s="19" t="s">
        <v>335</v>
      </c>
      <c r="C23">
        <v>21</v>
      </c>
      <c r="D23" s="19" t="s">
        <v>336</v>
      </c>
      <c r="E23" s="19" t="s">
        <v>322</v>
      </c>
      <c r="F23">
        <v>39</v>
      </c>
      <c r="G23">
        <v>17</v>
      </c>
      <c r="H23">
        <v>25</v>
      </c>
      <c r="I23">
        <v>42</v>
      </c>
      <c r="J23">
        <v>5</v>
      </c>
      <c r="K23">
        <v>25</v>
      </c>
      <c r="L23">
        <v>12</v>
      </c>
      <c r="M23">
        <v>3</v>
      </c>
      <c r="N23">
        <v>2</v>
      </c>
      <c r="O23">
        <v>3</v>
      </c>
      <c r="P23">
        <v>15</v>
      </c>
      <c r="Q23">
        <v>9</v>
      </c>
      <c r="R23">
        <v>1</v>
      </c>
      <c r="S23">
        <v>98</v>
      </c>
      <c r="T23">
        <v>17.3</v>
      </c>
      <c r="U23">
        <v>196</v>
      </c>
      <c r="V23" s="19" t="s">
        <v>1997</v>
      </c>
      <c r="W23" s="19" t="s">
        <v>892</v>
      </c>
      <c r="X23">
        <v>288</v>
      </c>
      <c r="Y23">
        <v>339</v>
      </c>
      <c r="Z23">
        <v>45.9</v>
      </c>
      <c r="AA23">
        <v>14</v>
      </c>
      <c r="AB23">
        <v>5</v>
      </c>
      <c r="AC23">
        <v>17</v>
      </c>
      <c r="AD23">
        <v>40</v>
      </c>
      <c r="AE23" s="19" t="s">
        <v>60</v>
      </c>
    </row>
    <row r="24" spans="1:31" x14ac:dyDescent="0.2">
      <c r="A24">
        <v>23</v>
      </c>
      <c r="B24" s="19" t="s">
        <v>427</v>
      </c>
      <c r="C24">
        <v>24</v>
      </c>
      <c r="D24" s="19" t="s">
        <v>418</v>
      </c>
      <c r="E24" s="19" t="s">
        <v>339</v>
      </c>
      <c r="F24">
        <v>39</v>
      </c>
      <c r="G24">
        <v>19</v>
      </c>
      <c r="H24">
        <v>23</v>
      </c>
      <c r="I24">
        <v>42</v>
      </c>
      <c r="J24">
        <v>3</v>
      </c>
      <c r="K24">
        <v>22</v>
      </c>
      <c r="L24">
        <v>12</v>
      </c>
      <c r="M24">
        <v>6</v>
      </c>
      <c r="N24">
        <v>1</v>
      </c>
      <c r="O24">
        <v>3</v>
      </c>
      <c r="P24">
        <v>15</v>
      </c>
      <c r="Q24">
        <v>8</v>
      </c>
      <c r="R24">
        <v>0</v>
      </c>
      <c r="S24">
        <v>99</v>
      </c>
      <c r="T24">
        <v>19.2</v>
      </c>
      <c r="U24">
        <v>185</v>
      </c>
      <c r="V24" s="19" t="s">
        <v>1998</v>
      </c>
      <c r="W24" s="19" t="s">
        <v>1999</v>
      </c>
      <c r="X24">
        <v>202</v>
      </c>
      <c r="Y24">
        <v>163</v>
      </c>
      <c r="Z24">
        <v>55.3</v>
      </c>
      <c r="AA24">
        <v>27</v>
      </c>
      <c r="AB24">
        <v>74</v>
      </c>
      <c r="AC24">
        <v>18</v>
      </c>
      <c r="AD24">
        <v>55</v>
      </c>
      <c r="AE24" s="19" t="s">
        <v>60</v>
      </c>
    </row>
    <row r="25" spans="1:31" x14ac:dyDescent="0.2">
      <c r="A25">
        <v>24</v>
      </c>
      <c r="B25" s="19" t="s">
        <v>365</v>
      </c>
      <c r="C25">
        <v>31</v>
      </c>
      <c r="D25" s="19" t="s">
        <v>366</v>
      </c>
      <c r="E25" s="19" t="s">
        <v>334</v>
      </c>
      <c r="F25">
        <v>40</v>
      </c>
      <c r="G25">
        <v>22</v>
      </c>
      <c r="H25">
        <v>20</v>
      </c>
      <c r="I25">
        <v>42</v>
      </c>
      <c r="J25">
        <v>20</v>
      </c>
      <c r="K25">
        <v>59</v>
      </c>
      <c r="L25">
        <v>15</v>
      </c>
      <c r="M25">
        <v>7</v>
      </c>
      <c r="N25">
        <v>0</v>
      </c>
      <c r="O25">
        <v>2</v>
      </c>
      <c r="P25">
        <v>18</v>
      </c>
      <c r="Q25">
        <v>2</v>
      </c>
      <c r="R25">
        <v>0</v>
      </c>
      <c r="S25">
        <v>97</v>
      </c>
      <c r="T25">
        <v>22.7</v>
      </c>
      <c r="U25">
        <v>181</v>
      </c>
      <c r="V25" s="19" t="s">
        <v>2000</v>
      </c>
      <c r="W25" s="19" t="s">
        <v>2001</v>
      </c>
      <c r="X25">
        <v>11</v>
      </c>
      <c r="Y25">
        <v>13</v>
      </c>
      <c r="Z25">
        <v>45.8</v>
      </c>
      <c r="AA25">
        <v>24</v>
      </c>
      <c r="AB25">
        <v>108</v>
      </c>
      <c r="AC25">
        <v>11</v>
      </c>
      <c r="AD25">
        <v>49</v>
      </c>
      <c r="AE25" s="19" t="s">
        <v>60</v>
      </c>
    </row>
    <row r="26" spans="1:31" x14ac:dyDescent="0.2">
      <c r="A26">
        <v>25</v>
      </c>
      <c r="B26" s="19" t="s">
        <v>376</v>
      </c>
      <c r="C26">
        <v>28</v>
      </c>
      <c r="D26" s="19" t="s">
        <v>370</v>
      </c>
      <c r="E26" s="19" t="s">
        <v>334</v>
      </c>
      <c r="F26">
        <v>42</v>
      </c>
      <c r="G26">
        <v>21</v>
      </c>
      <c r="H26">
        <v>20</v>
      </c>
      <c r="I26">
        <v>41</v>
      </c>
      <c r="J26">
        <v>1</v>
      </c>
      <c r="K26">
        <v>10</v>
      </c>
      <c r="L26">
        <v>11</v>
      </c>
      <c r="M26">
        <v>10</v>
      </c>
      <c r="N26">
        <v>0</v>
      </c>
      <c r="O26">
        <v>4</v>
      </c>
      <c r="P26">
        <v>17</v>
      </c>
      <c r="Q26">
        <v>3</v>
      </c>
      <c r="R26">
        <v>0</v>
      </c>
      <c r="S26">
        <v>146</v>
      </c>
      <c r="T26">
        <v>14.4</v>
      </c>
      <c r="U26">
        <v>288</v>
      </c>
      <c r="V26" s="19" t="s">
        <v>2002</v>
      </c>
      <c r="W26" s="19" t="s">
        <v>2003</v>
      </c>
      <c r="X26">
        <v>7</v>
      </c>
      <c r="Y26">
        <v>16</v>
      </c>
      <c r="Z26">
        <v>30.4</v>
      </c>
      <c r="AA26">
        <v>18</v>
      </c>
      <c r="AB26">
        <v>21</v>
      </c>
      <c r="AC26">
        <v>20</v>
      </c>
      <c r="AD26">
        <v>39</v>
      </c>
      <c r="AE26" s="19" t="s">
        <v>60</v>
      </c>
    </row>
    <row r="27" spans="1:31" x14ac:dyDescent="0.2">
      <c r="A27">
        <v>26</v>
      </c>
      <c r="B27" s="19" t="s">
        <v>342</v>
      </c>
      <c r="C27">
        <v>29</v>
      </c>
      <c r="D27" s="19" t="s">
        <v>343</v>
      </c>
      <c r="E27" s="19" t="s">
        <v>322</v>
      </c>
      <c r="F27">
        <v>31</v>
      </c>
      <c r="G27">
        <v>12</v>
      </c>
      <c r="H27">
        <v>29</v>
      </c>
      <c r="I27">
        <v>41</v>
      </c>
      <c r="J27">
        <v>6</v>
      </c>
      <c r="K27">
        <v>2</v>
      </c>
      <c r="L27">
        <v>12</v>
      </c>
      <c r="M27">
        <v>0</v>
      </c>
      <c r="N27">
        <v>0</v>
      </c>
      <c r="O27">
        <v>3</v>
      </c>
      <c r="P27">
        <v>13</v>
      </c>
      <c r="Q27">
        <v>16</v>
      </c>
      <c r="R27">
        <v>0</v>
      </c>
      <c r="S27">
        <v>117</v>
      </c>
      <c r="T27">
        <v>10.3</v>
      </c>
      <c r="U27">
        <v>190</v>
      </c>
      <c r="V27" s="19" t="s">
        <v>1676</v>
      </c>
      <c r="W27" s="19" t="s">
        <v>1647</v>
      </c>
      <c r="X27">
        <v>232</v>
      </c>
      <c r="Y27">
        <v>256</v>
      </c>
      <c r="Z27">
        <v>47.5</v>
      </c>
      <c r="AA27">
        <v>21</v>
      </c>
      <c r="AB27">
        <v>16</v>
      </c>
      <c r="AC27">
        <v>16</v>
      </c>
      <c r="AD27">
        <v>54</v>
      </c>
      <c r="AE27" s="19" t="s">
        <v>60</v>
      </c>
    </row>
    <row r="28" spans="1:31" x14ac:dyDescent="0.2">
      <c r="A28">
        <v>27</v>
      </c>
      <c r="B28" s="19" t="s">
        <v>353</v>
      </c>
      <c r="C28">
        <v>27</v>
      </c>
      <c r="D28" s="19" t="s">
        <v>354</v>
      </c>
      <c r="E28" s="19" t="s">
        <v>322</v>
      </c>
      <c r="F28">
        <v>41</v>
      </c>
      <c r="G28">
        <v>25</v>
      </c>
      <c r="H28">
        <v>16</v>
      </c>
      <c r="I28">
        <v>41</v>
      </c>
      <c r="J28">
        <v>-5</v>
      </c>
      <c r="K28">
        <v>14</v>
      </c>
      <c r="L28">
        <v>18</v>
      </c>
      <c r="M28">
        <v>7</v>
      </c>
      <c r="N28">
        <v>0</v>
      </c>
      <c r="O28">
        <v>4</v>
      </c>
      <c r="P28">
        <v>11</v>
      </c>
      <c r="Q28">
        <v>5</v>
      </c>
      <c r="R28">
        <v>0</v>
      </c>
      <c r="S28">
        <v>98</v>
      </c>
      <c r="T28">
        <v>25.5</v>
      </c>
      <c r="U28">
        <v>181</v>
      </c>
      <c r="V28" s="19" t="s">
        <v>2004</v>
      </c>
      <c r="W28" s="19" t="s">
        <v>1792</v>
      </c>
      <c r="X28">
        <v>50</v>
      </c>
      <c r="Y28">
        <v>58</v>
      </c>
      <c r="Z28">
        <v>46.3</v>
      </c>
      <c r="AA28">
        <v>13</v>
      </c>
      <c r="AB28">
        <v>68</v>
      </c>
      <c r="AC28">
        <v>11</v>
      </c>
      <c r="AD28">
        <v>34</v>
      </c>
      <c r="AE28" s="19" t="s">
        <v>60</v>
      </c>
    </row>
    <row r="29" spans="1:31" x14ac:dyDescent="0.2">
      <c r="A29">
        <v>28</v>
      </c>
      <c r="B29" s="19" t="s">
        <v>391</v>
      </c>
      <c r="C29">
        <v>31</v>
      </c>
      <c r="D29" s="19" t="s">
        <v>351</v>
      </c>
      <c r="E29" s="19" t="s">
        <v>322</v>
      </c>
      <c r="F29">
        <v>40</v>
      </c>
      <c r="G29">
        <v>18</v>
      </c>
      <c r="H29">
        <v>23</v>
      </c>
      <c r="I29">
        <v>41</v>
      </c>
      <c r="J29">
        <v>9</v>
      </c>
      <c r="K29">
        <v>15</v>
      </c>
      <c r="L29">
        <v>12</v>
      </c>
      <c r="M29">
        <v>4</v>
      </c>
      <c r="N29">
        <v>2</v>
      </c>
      <c r="O29">
        <v>3</v>
      </c>
      <c r="P29">
        <v>13</v>
      </c>
      <c r="Q29">
        <v>10</v>
      </c>
      <c r="R29">
        <v>0</v>
      </c>
      <c r="S29">
        <v>105</v>
      </c>
      <c r="T29">
        <v>17.100000000000001</v>
      </c>
      <c r="U29">
        <v>186</v>
      </c>
      <c r="V29" s="19" t="s">
        <v>2005</v>
      </c>
      <c r="W29" s="19" t="s">
        <v>1677</v>
      </c>
      <c r="X29">
        <v>82</v>
      </c>
      <c r="Y29">
        <v>89</v>
      </c>
      <c r="Z29">
        <v>48</v>
      </c>
      <c r="AA29">
        <v>25</v>
      </c>
      <c r="AB29">
        <v>18</v>
      </c>
      <c r="AC29">
        <v>15</v>
      </c>
      <c r="AD29">
        <v>33</v>
      </c>
      <c r="AE29" s="19" t="s">
        <v>60</v>
      </c>
    </row>
    <row r="30" spans="1:31" x14ac:dyDescent="0.2">
      <c r="A30">
        <v>29</v>
      </c>
      <c r="B30" s="19" t="s">
        <v>358</v>
      </c>
      <c r="C30">
        <v>29</v>
      </c>
      <c r="D30" s="19" t="s">
        <v>359</v>
      </c>
      <c r="E30" s="19" t="s">
        <v>322</v>
      </c>
      <c r="F30">
        <v>33</v>
      </c>
      <c r="G30">
        <v>14</v>
      </c>
      <c r="H30">
        <v>27</v>
      </c>
      <c r="I30">
        <v>41</v>
      </c>
      <c r="J30">
        <v>-1</v>
      </c>
      <c r="K30">
        <v>12</v>
      </c>
      <c r="L30">
        <v>11</v>
      </c>
      <c r="M30">
        <v>3</v>
      </c>
      <c r="N30">
        <v>0</v>
      </c>
      <c r="O30">
        <v>2</v>
      </c>
      <c r="P30">
        <v>22</v>
      </c>
      <c r="Q30">
        <v>5</v>
      </c>
      <c r="R30">
        <v>0</v>
      </c>
      <c r="S30">
        <v>68</v>
      </c>
      <c r="T30">
        <v>20.6</v>
      </c>
      <c r="U30">
        <v>149</v>
      </c>
      <c r="V30" s="19" t="s">
        <v>1907</v>
      </c>
      <c r="W30" s="19" t="s">
        <v>1623</v>
      </c>
      <c r="X30">
        <v>18</v>
      </c>
      <c r="Y30">
        <v>31</v>
      </c>
      <c r="Z30">
        <v>36.700000000000003</v>
      </c>
      <c r="AA30">
        <v>12</v>
      </c>
      <c r="AB30">
        <v>4</v>
      </c>
      <c r="AC30">
        <v>15</v>
      </c>
      <c r="AD30">
        <v>34</v>
      </c>
      <c r="AE30" s="19" t="s">
        <v>60</v>
      </c>
    </row>
    <row r="31" spans="1:31" x14ac:dyDescent="0.2">
      <c r="A31">
        <v>30</v>
      </c>
      <c r="B31" s="19" t="s">
        <v>360</v>
      </c>
      <c r="C31">
        <v>34</v>
      </c>
      <c r="D31" s="19" t="s">
        <v>361</v>
      </c>
      <c r="E31" s="19" t="s">
        <v>339</v>
      </c>
      <c r="F31">
        <v>41</v>
      </c>
      <c r="G31">
        <v>14</v>
      </c>
      <c r="H31">
        <v>27</v>
      </c>
      <c r="I31">
        <v>41</v>
      </c>
      <c r="J31">
        <v>-6</v>
      </c>
      <c r="K31">
        <v>14</v>
      </c>
      <c r="L31">
        <v>14</v>
      </c>
      <c r="M31">
        <v>0</v>
      </c>
      <c r="N31">
        <v>0</v>
      </c>
      <c r="O31">
        <v>2</v>
      </c>
      <c r="P31">
        <v>17</v>
      </c>
      <c r="Q31">
        <v>10</v>
      </c>
      <c r="R31">
        <v>0</v>
      </c>
      <c r="S31">
        <v>125</v>
      </c>
      <c r="T31">
        <v>11.2</v>
      </c>
      <c r="U31">
        <v>285</v>
      </c>
      <c r="V31" s="19" t="s">
        <v>2006</v>
      </c>
      <c r="W31" s="19" t="s">
        <v>1869</v>
      </c>
      <c r="X31">
        <v>0</v>
      </c>
      <c r="Y31">
        <v>0</v>
      </c>
      <c r="AA31">
        <v>8</v>
      </c>
      <c r="AB31">
        <v>7</v>
      </c>
      <c r="AC31">
        <v>10</v>
      </c>
      <c r="AD31">
        <v>51</v>
      </c>
      <c r="AE31" s="19" t="s">
        <v>60</v>
      </c>
    </row>
    <row r="32" spans="1:31" x14ac:dyDescent="0.2">
      <c r="A32">
        <v>31</v>
      </c>
      <c r="B32" s="19" t="s">
        <v>397</v>
      </c>
      <c r="C32">
        <v>28</v>
      </c>
      <c r="D32" s="19" t="s">
        <v>398</v>
      </c>
      <c r="E32" s="19" t="s">
        <v>325</v>
      </c>
      <c r="F32">
        <v>40</v>
      </c>
      <c r="G32">
        <v>16</v>
      </c>
      <c r="H32">
        <v>24</v>
      </c>
      <c r="I32">
        <v>40</v>
      </c>
      <c r="J32">
        <v>2</v>
      </c>
      <c r="K32">
        <v>16</v>
      </c>
      <c r="L32">
        <v>12</v>
      </c>
      <c r="M32">
        <v>4</v>
      </c>
      <c r="N32">
        <v>0</v>
      </c>
      <c r="O32">
        <v>2</v>
      </c>
      <c r="P32">
        <v>15</v>
      </c>
      <c r="Q32">
        <v>8</v>
      </c>
      <c r="R32">
        <v>1</v>
      </c>
      <c r="S32">
        <v>91</v>
      </c>
      <c r="T32">
        <v>17.600000000000001</v>
      </c>
      <c r="U32">
        <v>203</v>
      </c>
      <c r="V32" s="19" t="s">
        <v>2007</v>
      </c>
      <c r="W32" s="19" t="s">
        <v>2008</v>
      </c>
      <c r="X32">
        <v>307</v>
      </c>
      <c r="Y32">
        <v>327</v>
      </c>
      <c r="Z32">
        <v>48.4</v>
      </c>
      <c r="AA32">
        <v>14</v>
      </c>
      <c r="AB32">
        <v>36</v>
      </c>
      <c r="AC32">
        <v>18</v>
      </c>
      <c r="AD32">
        <v>48</v>
      </c>
      <c r="AE32" s="19" t="s">
        <v>60</v>
      </c>
    </row>
    <row r="33" spans="1:31" x14ac:dyDescent="0.2">
      <c r="A33">
        <v>32</v>
      </c>
      <c r="B33" s="19" t="s">
        <v>368</v>
      </c>
      <c r="C33">
        <v>25</v>
      </c>
      <c r="D33" s="19" t="s">
        <v>363</v>
      </c>
      <c r="E33" s="19" t="s">
        <v>334</v>
      </c>
      <c r="F33">
        <v>40</v>
      </c>
      <c r="G33">
        <v>20</v>
      </c>
      <c r="H33">
        <v>20</v>
      </c>
      <c r="I33">
        <v>40</v>
      </c>
      <c r="J33">
        <v>10</v>
      </c>
      <c r="K33">
        <v>8</v>
      </c>
      <c r="L33">
        <v>16</v>
      </c>
      <c r="M33">
        <v>4</v>
      </c>
      <c r="N33">
        <v>0</v>
      </c>
      <c r="O33">
        <v>5</v>
      </c>
      <c r="P33">
        <v>10</v>
      </c>
      <c r="Q33">
        <v>10</v>
      </c>
      <c r="R33">
        <v>0</v>
      </c>
      <c r="S33">
        <v>113</v>
      </c>
      <c r="T33">
        <v>17.7</v>
      </c>
      <c r="U33">
        <v>219</v>
      </c>
      <c r="V33" s="19" t="s">
        <v>2009</v>
      </c>
      <c r="W33" s="19" t="s">
        <v>1589</v>
      </c>
      <c r="X33">
        <v>3</v>
      </c>
      <c r="Y33">
        <v>8</v>
      </c>
      <c r="Z33">
        <v>27.3</v>
      </c>
      <c r="AA33">
        <v>11</v>
      </c>
      <c r="AB33">
        <v>32</v>
      </c>
      <c r="AC33">
        <v>14</v>
      </c>
      <c r="AD33">
        <v>21</v>
      </c>
      <c r="AE33" s="19" t="s">
        <v>60</v>
      </c>
    </row>
    <row r="34" spans="1:31" x14ac:dyDescent="0.2">
      <c r="A34">
        <v>33</v>
      </c>
      <c r="B34" s="19" t="s">
        <v>452</v>
      </c>
      <c r="C34">
        <v>21</v>
      </c>
      <c r="D34" s="19" t="s">
        <v>363</v>
      </c>
      <c r="E34" s="19" t="s">
        <v>348</v>
      </c>
      <c r="F34">
        <v>40</v>
      </c>
      <c r="G34">
        <v>6</v>
      </c>
      <c r="H34">
        <v>34</v>
      </c>
      <c r="I34">
        <v>40</v>
      </c>
      <c r="J34">
        <v>12</v>
      </c>
      <c r="K34">
        <v>8</v>
      </c>
      <c r="L34">
        <v>5</v>
      </c>
      <c r="M34">
        <v>1</v>
      </c>
      <c r="N34">
        <v>0</v>
      </c>
      <c r="O34">
        <v>1</v>
      </c>
      <c r="P34">
        <v>25</v>
      </c>
      <c r="Q34">
        <v>9</v>
      </c>
      <c r="R34">
        <v>0</v>
      </c>
      <c r="S34">
        <v>68</v>
      </c>
      <c r="T34">
        <v>8.8000000000000007</v>
      </c>
      <c r="U34">
        <v>152</v>
      </c>
      <c r="V34" s="19" t="s">
        <v>2010</v>
      </c>
      <c r="W34" s="19" t="s">
        <v>2011</v>
      </c>
      <c r="X34">
        <v>0</v>
      </c>
      <c r="Y34">
        <v>0</v>
      </c>
      <c r="AA34">
        <v>60</v>
      </c>
      <c r="AB34">
        <v>18</v>
      </c>
      <c r="AC34">
        <v>17</v>
      </c>
      <c r="AD34">
        <v>50</v>
      </c>
      <c r="AE34" s="19" t="s">
        <v>60</v>
      </c>
    </row>
    <row r="35" spans="1:31" x14ac:dyDescent="0.2">
      <c r="A35">
        <v>34</v>
      </c>
      <c r="B35" s="19" t="s">
        <v>395</v>
      </c>
      <c r="C35">
        <v>28</v>
      </c>
      <c r="D35" s="19" t="s">
        <v>343</v>
      </c>
      <c r="E35" s="19" t="s">
        <v>334</v>
      </c>
      <c r="F35">
        <v>38</v>
      </c>
      <c r="G35">
        <v>9</v>
      </c>
      <c r="H35">
        <v>31</v>
      </c>
      <c r="I35">
        <v>40</v>
      </c>
      <c r="J35">
        <v>8</v>
      </c>
      <c r="K35">
        <v>10</v>
      </c>
      <c r="L35">
        <v>7</v>
      </c>
      <c r="M35">
        <v>2</v>
      </c>
      <c r="N35">
        <v>0</v>
      </c>
      <c r="O35">
        <v>0</v>
      </c>
      <c r="P35">
        <v>22</v>
      </c>
      <c r="Q35">
        <v>9</v>
      </c>
      <c r="R35">
        <v>0</v>
      </c>
      <c r="S35">
        <v>72</v>
      </c>
      <c r="T35">
        <v>12.5</v>
      </c>
      <c r="U35">
        <v>174</v>
      </c>
      <c r="V35" s="19" t="s">
        <v>2012</v>
      </c>
      <c r="W35" s="19" t="s">
        <v>2013</v>
      </c>
      <c r="X35">
        <v>35</v>
      </c>
      <c r="Y35">
        <v>47</v>
      </c>
      <c r="Z35">
        <v>42.7</v>
      </c>
      <c r="AA35">
        <v>24</v>
      </c>
      <c r="AB35">
        <v>14</v>
      </c>
      <c r="AC35">
        <v>16</v>
      </c>
      <c r="AD35">
        <v>52</v>
      </c>
      <c r="AE35" s="19" t="s">
        <v>60</v>
      </c>
    </row>
    <row r="36" spans="1:31" x14ac:dyDescent="0.2">
      <c r="A36">
        <v>35</v>
      </c>
      <c r="B36" s="19" t="s">
        <v>379</v>
      </c>
      <c r="C36">
        <v>28</v>
      </c>
      <c r="D36" s="19" t="s">
        <v>380</v>
      </c>
      <c r="E36" s="19" t="s">
        <v>348</v>
      </c>
      <c r="F36">
        <v>35</v>
      </c>
      <c r="G36">
        <v>14</v>
      </c>
      <c r="H36">
        <v>26</v>
      </c>
      <c r="I36">
        <v>40</v>
      </c>
      <c r="J36">
        <v>6</v>
      </c>
      <c r="K36">
        <v>6</v>
      </c>
      <c r="L36">
        <v>13</v>
      </c>
      <c r="M36">
        <v>1</v>
      </c>
      <c r="N36">
        <v>0</v>
      </c>
      <c r="O36">
        <v>0</v>
      </c>
      <c r="P36">
        <v>16</v>
      </c>
      <c r="Q36">
        <v>9</v>
      </c>
      <c r="R36">
        <v>1</v>
      </c>
      <c r="S36">
        <v>132</v>
      </c>
      <c r="T36">
        <v>10.6</v>
      </c>
      <c r="U36">
        <v>280</v>
      </c>
      <c r="V36" s="19" t="s">
        <v>1768</v>
      </c>
      <c r="W36" s="19" t="s">
        <v>1769</v>
      </c>
      <c r="X36">
        <v>0</v>
      </c>
      <c r="Y36">
        <v>0</v>
      </c>
      <c r="AA36">
        <v>52</v>
      </c>
      <c r="AB36">
        <v>17</v>
      </c>
      <c r="AC36">
        <v>20</v>
      </c>
      <c r="AD36">
        <v>61</v>
      </c>
      <c r="AE36" s="19" t="s">
        <v>60</v>
      </c>
    </row>
    <row r="37" spans="1:31" x14ac:dyDescent="0.2">
      <c r="A37">
        <v>36</v>
      </c>
      <c r="B37" s="19" t="s">
        <v>407</v>
      </c>
      <c r="C37">
        <v>24</v>
      </c>
      <c r="D37" s="19" t="s">
        <v>408</v>
      </c>
      <c r="E37" s="19" t="s">
        <v>322</v>
      </c>
      <c r="F37">
        <v>39</v>
      </c>
      <c r="G37">
        <v>15</v>
      </c>
      <c r="H37">
        <v>24</v>
      </c>
      <c r="I37">
        <v>39</v>
      </c>
      <c r="J37">
        <v>2</v>
      </c>
      <c r="K37">
        <v>30</v>
      </c>
      <c r="L37">
        <v>10</v>
      </c>
      <c r="M37">
        <v>5</v>
      </c>
      <c r="N37">
        <v>0</v>
      </c>
      <c r="O37">
        <v>2</v>
      </c>
      <c r="P37">
        <v>17</v>
      </c>
      <c r="Q37">
        <v>7</v>
      </c>
      <c r="R37">
        <v>0</v>
      </c>
      <c r="S37">
        <v>86</v>
      </c>
      <c r="T37">
        <v>17.399999999999999</v>
      </c>
      <c r="U37">
        <v>183</v>
      </c>
      <c r="V37" s="19" t="s">
        <v>2014</v>
      </c>
      <c r="W37" s="19" t="s">
        <v>491</v>
      </c>
      <c r="X37">
        <v>52</v>
      </c>
      <c r="Y37">
        <v>83</v>
      </c>
      <c r="Z37">
        <v>38.5</v>
      </c>
      <c r="AA37">
        <v>11</v>
      </c>
      <c r="AB37">
        <v>12</v>
      </c>
      <c r="AC37">
        <v>11</v>
      </c>
      <c r="AD37">
        <v>39</v>
      </c>
      <c r="AE37" s="19" t="s">
        <v>60</v>
      </c>
    </row>
    <row r="38" spans="1:31" x14ac:dyDescent="0.2">
      <c r="A38">
        <v>37</v>
      </c>
      <c r="B38" s="19" t="s">
        <v>352</v>
      </c>
      <c r="C38">
        <v>22</v>
      </c>
      <c r="D38" s="19" t="s">
        <v>336</v>
      </c>
      <c r="E38" s="19" t="s">
        <v>339</v>
      </c>
      <c r="F38">
        <v>40</v>
      </c>
      <c r="G38">
        <v>19</v>
      </c>
      <c r="H38">
        <v>19</v>
      </c>
      <c r="I38">
        <v>38</v>
      </c>
      <c r="J38">
        <v>10</v>
      </c>
      <c r="K38">
        <v>16</v>
      </c>
      <c r="L38">
        <v>15</v>
      </c>
      <c r="M38">
        <v>4</v>
      </c>
      <c r="N38">
        <v>0</v>
      </c>
      <c r="O38">
        <v>3</v>
      </c>
      <c r="P38">
        <v>15</v>
      </c>
      <c r="Q38">
        <v>4</v>
      </c>
      <c r="R38">
        <v>0</v>
      </c>
      <c r="S38">
        <v>156</v>
      </c>
      <c r="T38">
        <v>12.2</v>
      </c>
      <c r="U38">
        <v>298</v>
      </c>
      <c r="V38" s="19" t="s">
        <v>2015</v>
      </c>
      <c r="W38" s="19" t="s">
        <v>437</v>
      </c>
      <c r="X38">
        <v>26</v>
      </c>
      <c r="Y38">
        <v>35</v>
      </c>
      <c r="Z38">
        <v>42.6</v>
      </c>
      <c r="AA38">
        <v>11</v>
      </c>
      <c r="AB38">
        <v>29</v>
      </c>
      <c r="AC38">
        <v>11</v>
      </c>
      <c r="AD38">
        <v>41</v>
      </c>
      <c r="AE38" s="19" t="s">
        <v>60</v>
      </c>
    </row>
    <row r="39" spans="1:31" x14ac:dyDescent="0.2">
      <c r="A39">
        <v>38</v>
      </c>
      <c r="B39" s="19" t="s">
        <v>369</v>
      </c>
      <c r="C39">
        <v>29</v>
      </c>
      <c r="D39" s="19" t="s">
        <v>370</v>
      </c>
      <c r="E39" s="19" t="s">
        <v>322</v>
      </c>
      <c r="F39">
        <v>42</v>
      </c>
      <c r="G39">
        <v>21</v>
      </c>
      <c r="H39">
        <v>17</v>
      </c>
      <c r="I39">
        <v>38</v>
      </c>
      <c r="J39">
        <v>4</v>
      </c>
      <c r="K39">
        <v>32</v>
      </c>
      <c r="L39">
        <v>15</v>
      </c>
      <c r="M39">
        <v>6</v>
      </c>
      <c r="N39">
        <v>0</v>
      </c>
      <c r="O39">
        <v>5</v>
      </c>
      <c r="P39">
        <v>13</v>
      </c>
      <c r="Q39">
        <v>4</v>
      </c>
      <c r="R39">
        <v>0</v>
      </c>
      <c r="S39">
        <v>121</v>
      </c>
      <c r="T39">
        <v>17.399999999999999</v>
      </c>
      <c r="U39">
        <v>250</v>
      </c>
      <c r="V39" s="19" t="s">
        <v>2016</v>
      </c>
      <c r="W39" s="19" t="s">
        <v>2017</v>
      </c>
      <c r="X39">
        <v>466</v>
      </c>
      <c r="Y39">
        <v>400</v>
      </c>
      <c r="Z39">
        <v>53.8</v>
      </c>
      <c r="AA39">
        <v>26</v>
      </c>
      <c r="AB39">
        <v>21</v>
      </c>
      <c r="AC39">
        <v>11</v>
      </c>
      <c r="AD39">
        <v>36</v>
      </c>
      <c r="AE39" s="19" t="s">
        <v>60</v>
      </c>
    </row>
    <row r="40" spans="1:31" x14ac:dyDescent="0.2">
      <c r="A40">
        <v>39</v>
      </c>
      <c r="B40" s="19" t="s">
        <v>377</v>
      </c>
      <c r="C40">
        <v>28</v>
      </c>
      <c r="D40" s="19" t="s">
        <v>336</v>
      </c>
      <c r="E40" s="19" t="s">
        <v>322</v>
      </c>
      <c r="F40">
        <v>40</v>
      </c>
      <c r="G40">
        <v>12</v>
      </c>
      <c r="H40">
        <v>26</v>
      </c>
      <c r="I40">
        <v>38</v>
      </c>
      <c r="J40">
        <v>9</v>
      </c>
      <c r="K40">
        <v>10</v>
      </c>
      <c r="L40">
        <v>10</v>
      </c>
      <c r="M40">
        <v>0</v>
      </c>
      <c r="N40">
        <v>2</v>
      </c>
      <c r="O40">
        <v>1</v>
      </c>
      <c r="P40">
        <v>17</v>
      </c>
      <c r="Q40">
        <v>7</v>
      </c>
      <c r="R40">
        <v>2</v>
      </c>
      <c r="S40">
        <v>97</v>
      </c>
      <c r="T40">
        <v>12.4</v>
      </c>
      <c r="U40">
        <v>201</v>
      </c>
      <c r="V40" s="19" t="s">
        <v>2018</v>
      </c>
      <c r="W40" s="19" t="s">
        <v>1990</v>
      </c>
      <c r="X40">
        <v>3</v>
      </c>
      <c r="Y40">
        <v>3</v>
      </c>
      <c r="Z40">
        <v>50</v>
      </c>
      <c r="AA40">
        <v>12</v>
      </c>
      <c r="AB40">
        <v>0</v>
      </c>
      <c r="AC40">
        <v>13</v>
      </c>
      <c r="AD40">
        <v>30</v>
      </c>
      <c r="AE40" s="19" t="s">
        <v>60</v>
      </c>
    </row>
    <row r="41" spans="1:31" x14ac:dyDescent="0.2">
      <c r="A41">
        <v>40</v>
      </c>
      <c r="B41" s="19" t="s">
        <v>417</v>
      </c>
      <c r="C41">
        <v>27</v>
      </c>
      <c r="D41" s="19" t="s">
        <v>418</v>
      </c>
      <c r="E41" s="19" t="s">
        <v>322</v>
      </c>
      <c r="F41">
        <v>36</v>
      </c>
      <c r="G41">
        <v>15</v>
      </c>
      <c r="H41">
        <v>22</v>
      </c>
      <c r="I41">
        <v>37</v>
      </c>
      <c r="J41">
        <v>-1</v>
      </c>
      <c r="K41">
        <v>19</v>
      </c>
      <c r="L41">
        <v>10</v>
      </c>
      <c r="M41">
        <v>5</v>
      </c>
      <c r="N41">
        <v>0</v>
      </c>
      <c r="O41">
        <v>2</v>
      </c>
      <c r="P41">
        <v>14</v>
      </c>
      <c r="Q41">
        <v>8</v>
      </c>
      <c r="R41">
        <v>0</v>
      </c>
      <c r="S41">
        <v>78</v>
      </c>
      <c r="T41">
        <v>19.2</v>
      </c>
      <c r="U41">
        <v>159</v>
      </c>
      <c r="V41" s="19" t="s">
        <v>2019</v>
      </c>
      <c r="W41" s="19" t="s">
        <v>2020</v>
      </c>
      <c r="X41">
        <v>6</v>
      </c>
      <c r="Y41">
        <v>4</v>
      </c>
      <c r="Z41">
        <v>60</v>
      </c>
      <c r="AA41">
        <v>13</v>
      </c>
      <c r="AB41">
        <v>55</v>
      </c>
      <c r="AC41">
        <v>15</v>
      </c>
      <c r="AD41">
        <v>26</v>
      </c>
      <c r="AE41" s="19" t="s">
        <v>60</v>
      </c>
    </row>
    <row r="42" spans="1:31" x14ac:dyDescent="0.2">
      <c r="A42">
        <v>41</v>
      </c>
      <c r="B42" s="19" t="s">
        <v>394</v>
      </c>
      <c r="C42">
        <v>26</v>
      </c>
      <c r="D42" s="19" t="s">
        <v>327</v>
      </c>
      <c r="E42" s="19" t="s">
        <v>348</v>
      </c>
      <c r="F42">
        <v>41</v>
      </c>
      <c r="G42">
        <v>7</v>
      </c>
      <c r="H42">
        <v>30</v>
      </c>
      <c r="I42">
        <v>37</v>
      </c>
      <c r="J42">
        <v>0</v>
      </c>
      <c r="K42">
        <v>16</v>
      </c>
      <c r="L42">
        <v>3</v>
      </c>
      <c r="M42">
        <v>4</v>
      </c>
      <c r="N42">
        <v>0</v>
      </c>
      <c r="O42">
        <v>1</v>
      </c>
      <c r="P42">
        <v>20</v>
      </c>
      <c r="Q42">
        <v>9</v>
      </c>
      <c r="R42">
        <v>1</v>
      </c>
      <c r="S42">
        <v>103</v>
      </c>
      <c r="T42">
        <v>6.8</v>
      </c>
      <c r="U42">
        <v>226</v>
      </c>
      <c r="V42" s="19" t="s">
        <v>2021</v>
      </c>
      <c r="W42" s="19" t="s">
        <v>1700</v>
      </c>
      <c r="X42">
        <v>0</v>
      </c>
      <c r="Y42">
        <v>0</v>
      </c>
      <c r="AA42">
        <v>59</v>
      </c>
      <c r="AB42">
        <v>12</v>
      </c>
      <c r="AC42">
        <v>21</v>
      </c>
      <c r="AD42">
        <v>62</v>
      </c>
      <c r="AE42" s="19" t="s">
        <v>60</v>
      </c>
    </row>
    <row r="43" spans="1:31" x14ac:dyDescent="0.2">
      <c r="A43">
        <v>42</v>
      </c>
      <c r="B43" s="19" t="s">
        <v>390</v>
      </c>
      <c r="C43">
        <v>35</v>
      </c>
      <c r="D43" s="19" t="s">
        <v>359</v>
      </c>
      <c r="E43" s="19" t="s">
        <v>322</v>
      </c>
      <c r="F43">
        <v>40</v>
      </c>
      <c r="G43">
        <v>15</v>
      </c>
      <c r="H43">
        <v>22</v>
      </c>
      <c r="I43">
        <v>37</v>
      </c>
      <c r="J43">
        <v>-4</v>
      </c>
      <c r="K43">
        <v>18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106</v>
      </c>
      <c r="T43">
        <v>14.2</v>
      </c>
      <c r="U43">
        <v>206</v>
      </c>
      <c r="V43" s="19" t="s">
        <v>2022</v>
      </c>
      <c r="W43" s="19" t="s">
        <v>2023</v>
      </c>
      <c r="X43">
        <v>376</v>
      </c>
      <c r="Y43">
        <v>259</v>
      </c>
      <c r="Z43">
        <v>59.2</v>
      </c>
      <c r="AA43">
        <v>8</v>
      </c>
      <c r="AB43">
        <v>38</v>
      </c>
      <c r="AC43">
        <v>18</v>
      </c>
      <c r="AD43">
        <v>38</v>
      </c>
      <c r="AE43" s="19" t="s">
        <v>60</v>
      </c>
    </row>
    <row r="44" spans="1:31" x14ac:dyDescent="0.2">
      <c r="A44">
        <v>43</v>
      </c>
      <c r="B44" s="19" t="s">
        <v>459</v>
      </c>
      <c r="C44">
        <v>28</v>
      </c>
      <c r="D44" s="19" t="s">
        <v>430</v>
      </c>
      <c r="E44" s="19" t="s">
        <v>322</v>
      </c>
      <c r="F44">
        <v>39</v>
      </c>
      <c r="G44">
        <v>20</v>
      </c>
      <c r="H44">
        <v>17</v>
      </c>
      <c r="I44">
        <v>37</v>
      </c>
      <c r="J44">
        <v>-8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139</v>
      </c>
      <c r="T44">
        <v>14.4</v>
      </c>
      <c r="U44">
        <v>268</v>
      </c>
      <c r="V44" s="19" t="s">
        <v>2024</v>
      </c>
      <c r="W44" s="19" t="s">
        <v>1799</v>
      </c>
      <c r="X44">
        <v>182</v>
      </c>
      <c r="Y44">
        <v>200</v>
      </c>
      <c r="Z44">
        <v>47.6</v>
      </c>
      <c r="AA44">
        <v>22</v>
      </c>
      <c r="AB44">
        <v>40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448</v>
      </c>
      <c r="C45">
        <v>22</v>
      </c>
      <c r="D45" s="19" t="s">
        <v>406</v>
      </c>
      <c r="E45" s="19" t="s">
        <v>334</v>
      </c>
      <c r="F45">
        <v>41</v>
      </c>
      <c r="G45">
        <v>20</v>
      </c>
      <c r="H45">
        <v>16</v>
      </c>
      <c r="I45">
        <v>36</v>
      </c>
      <c r="J45">
        <v>3</v>
      </c>
      <c r="K45">
        <v>10</v>
      </c>
      <c r="L45">
        <v>16</v>
      </c>
      <c r="M45">
        <v>4</v>
      </c>
      <c r="N45">
        <v>0</v>
      </c>
      <c r="O45">
        <v>5</v>
      </c>
      <c r="P45">
        <v>10</v>
      </c>
      <c r="Q45">
        <v>6</v>
      </c>
      <c r="R45">
        <v>0</v>
      </c>
      <c r="S45">
        <v>135</v>
      </c>
      <c r="T45">
        <v>14.8</v>
      </c>
      <c r="U45">
        <v>264</v>
      </c>
      <c r="V45" s="19" t="s">
        <v>2025</v>
      </c>
      <c r="W45" s="19" t="s">
        <v>2026</v>
      </c>
      <c r="X45">
        <v>17</v>
      </c>
      <c r="Y45">
        <v>24</v>
      </c>
      <c r="Z45">
        <v>41.5</v>
      </c>
      <c r="AA45">
        <v>13</v>
      </c>
      <c r="AB45">
        <v>34</v>
      </c>
      <c r="AC45">
        <v>8</v>
      </c>
      <c r="AD45">
        <v>37</v>
      </c>
      <c r="AE45" s="19" t="s">
        <v>60</v>
      </c>
    </row>
    <row r="46" spans="1:31" x14ac:dyDescent="0.2">
      <c r="A46">
        <v>45</v>
      </c>
      <c r="B46" s="19" t="s">
        <v>405</v>
      </c>
      <c r="C46">
        <v>27</v>
      </c>
      <c r="D46" s="19" t="s">
        <v>406</v>
      </c>
      <c r="E46" s="19" t="s">
        <v>322</v>
      </c>
      <c r="F46">
        <v>41</v>
      </c>
      <c r="G46">
        <v>13</v>
      </c>
      <c r="H46">
        <v>23</v>
      </c>
      <c r="I46">
        <v>36</v>
      </c>
      <c r="J46">
        <v>4</v>
      </c>
      <c r="K46">
        <v>12</v>
      </c>
      <c r="L46">
        <v>12</v>
      </c>
      <c r="M46">
        <v>1</v>
      </c>
      <c r="N46">
        <v>0</v>
      </c>
      <c r="O46">
        <v>3</v>
      </c>
      <c r="P46">
        <v>11</v>
      </c>
      <c r="Q46">
        <v>12</v>
      </c>
      <c r="R46">
        <v>0</v>
      </c>
      <c r="S46">
        <v>115</v>
      </c>
      <c r="T46">
        <v>11.3</v>
      </c>
      <c r="U46">
        <v>193</v>
      </c>
      <c r="V46" s="19" t="s">
        <v>2027</v>
      </c>
      <c r="W46" s="19" t="s">
        <v>1623</v>
      </c>
      <c r="X46">
        <v>11</v>
      </c>
      <c r="Y46">
        <v>13</v>
      </c>
      <c r="Z46">
        <v>45.8</v>
      </c>
      <c r="AA46">
        <v>18</v>
      </c>
      <c r="AB46">
        <v>8</v>
      </c>
      <c r="AC46">
        <v>13</v>
      </c>
      <c r="AD46">
        <v>49</v>
      </c>
      <c r="AE46" s="19" t="s">
        <v>60</v>
      </c>
    </row>
    <row r="47" spans="1:31" x14ac:dyDescent="0.2">
      <c r="A47">
        <v>46</v>
      </c>
      <c r="B47" s="19" t="s">
        <v>392</v>
      </c>
      <c r="C47">
        <v>23</v>
      </c>
      <c r="D47" s="19" t="s">
        <v>359</v>
      </c>
      <c r="E47" s="19" t="s">
        <v>339</v>
      </c>
      <c r="F47">
        <v>37</v>
      </c>
      <c r="G47">
        <v>11</v>
      </c>
      <c r="H47">
        <v>25</v>
      </c>
      <c r="I47">
        <v>36</v>
      </c>
      <c r="J47">
        <v>-2</v>
      </c>
      <c r="K47">
        <v>15</v>
      </c>
      <c r="L47">
        <v>7</v>
      </c>
      <c r="M47">
        <v>4</v>
      </c>
      <c r="N47">
        <v>0</v>
      </c>
      <c r="O47">
        <v>1</v>
      </c>
      <c r="P47">
        <v>25</v>
      </c>
      <c r="Q47">
        <v>0</v>
      </c>
      <c r="R47">
        <v>0</v>
      </c>
      <c r="S47">
        <v>83</v>
      </c>
      <c r="T47">
        <v>13.3</v>
      </c>
      <c r="U47">
        <v>129</v>
      </c>
      <c r="V47" s="19" t="s">
        <v>2028</v>
      </c>
      <c r="W47" s="19" t="s">
        <v>1311</v>
      </c>
      <c r="X47">
        <v>0</v>
      </c>
      <c r="Y47">
        <v>0</v>
      </c>
      <c r="AA47">
        <v>16</v>
      </c>
      <c r="AB47">
        <v>92</v>
      </c>
      <c r="AC47">
        <v>10</v>
      </c>
      <c r="AD47">
        <v>35</v>
      </c>
      <c r="AE47" s="19" t="s">
        <v>60</v>
      </c>
    </row>
    <row r="48" spans="1:31" x14ac:dyDescent="0.2">
      <c r="A48">
        <v>47</v>
      </c>
      <c r="B48" s="19" t="s">
        <v>440</v>
      </c>
      <c r="C48">
        <v>28</v>
      </c>
      <c r="D48" s="19" t="s">
        <v>408</v>
      </c>
      <c r="E48" s="19" t="s">
        <v>334</v>
      </c>
      <c r="F48">
        <v>39</v>
      </c>
      <c r="G48">
        <v>13</v>
      </c>
      <c r="H48">
        <v>23</v>
      </c>
      <c r="I48">
        <v>36</v>
      </c>
      <c r="J48">
        <v>11</v>
      </c>
      <c r="K48">
        <v>23</v>
      </c>
      <c r="L48">
        <v>12</v>
      </c>
      <c r="M48">
        <v>1</v>
      </c>
      <c r="N48">
        <v>0</v>
      </c>
      <c r="O48">
        <v>1</v>
      </c>
      <c r="P48">
        <v>17</v>
      </c>
      <c r="Q48">
        <v>6</v>
      </c>
      <c r="R48">
        <v>0</v>
      </c>
      <c r="S48">
        <v>89</v>
      </c>
      <c r="T48">
        <v>14.6</v>
      </c>
      <c r="U48">
        <v>156</v>
      </c>
      <c r="V48" s="19" t="s">
        <v>2029</v>
      </c>
      <c r="W48" s="19" t="s">
        <v>2030</v>
      </c>
      <c r="X48">
        <v>10</v>
      </c>
      <c r="Y48">
        <v>27</v>
      </c>
      <c r="Z48">
        <v>27</v>
      </c>
      <c r="AA48">
        <v>23</v>
      </c>
      <c r="AB48">
        <v>49</v>
      </c>
      <c r="AC48">
        <v>10</v>
      </c>
      <c r="AD48">
        <v>60</v>
      </c>
      <c r="AE48" s="19" t="s">
        <v>60</v>
      </c>
    </row>
    <row r="49" spans="1:31" x14ac:dyDescent="0.2">
      <c r="A49">
        <v>48</v>
      </c>
      <c r="B49" s="19" t="s">
        <v>414</v>
      </c>
      <c r="C49">
        <v>29</v>
      </c>
      <c r="D49" s="19" t="s">
        <v>406</v>
      </c>
      <c r="E49" s="19" t="s">
        <v>322</v>
      </c>
      <c r="F49">
        <v>41</v>
      </c>
      <c r="G49">
        <v>14</v>
      </c>
      <c r="H49">
        <v>22</v>
      </c>
      <c r="I49">
        <v>36</v>
      </c>
      <c r="J49">
        <v>2</v>
      </c>
      <c r="K49">
        <v>8</v>
      </c>
      <c r="L49">
        <v>11</v>
      </c>
      <c r="M49">
        <v>3</v>
      </c>
      <c r="N49">
        <v>0</v>
      </c>
      <c r="O49">
        <v>4</v>
      </c>
      <c r="P49">
        <v>17</v>
      </c>
      <c r="Q49">
        <v>5</v>
      </c>
      <c r="R49">
        <v>0</v>
      </c>
      <c r="S49">
        <v>98</v>
      </c>
      <c r="T49">
        <v>14.3</v>
      </c>
      <c r="U49">
        <v>192</v>
      </c>
      <c r="V49" s="19" t="s">
        <v>2031</v>
      </c>
      <c r="W49" s="19" t="s">
        <v>1835</v>
      </c>
      <c r="X49">
        <v>168</v>
      </c>
      <c r="Y49">
        <v>196</v>
      </c>
      <c r="Z49">
        <v>46.2</v>
      </c>
      <c r="AA49">
        <v>28</v>
      </c>
      <c r="AB49">
        <v>11</v>
      </c>
      <c r="AC49">
        <v>19</v>
      </c>
      <c r="AD49">
        <v>47</v>
      </c>
      <c r="AE49" s="19" t="s">
        <v>60</v>
      </c>
    </row>
    <row r="50" spans="1:31" x14ac:dyDescent="0.2">
      <c r="A50">
        <v>49</v>
      </c>
      <c r="B50" s="19" t="s">
        <v>447</v>
      </c>
      <c r="C50">
        <v>20</v>
      </c>
      <c r="D50" s="19" t="s">
        <v>363</v>
      </c>
      <c r="E50" s="19" t="s">
        <v>334</v>
      </c>
      <c r="F50">
        <v>40</v>
      </c>
      <c r="G50">
        <v>10</v>
      </c>
      <c r="H50">
        <v>25</v>
      </c>
      <c r="I50">
        <v>35</v>
      </c>
      <c r="J50">
        <v>5</v>
      </c>
      <c r="K50">
        <v>20</v>
      </c>
      <c r="L50">
        <v>8</v>
      </c>
      <c r="M50">
        <v>2</v>
      </c>
      <c r="N50">
        <v>0</v>
      </c>
      <c r="O50">
        <v>2</v>
      </c>
      <c r="P50">
        <v>17</v>
      </c>
      <c r="Q50">
        <v>8</v>
      </c>
      <c r="R50">
        <v>0</v>
      </c>
      <c r="S50">
        <v>55</v>
      </c>
      <c r="T50">
        <v>18.2</v>
      </c>
      <c r="U50">
        <v>126</v>
      </c>
      <c r="V50" s="19" t="s">
        <v>2032</v>
      </c>
      <c r="W50" s="19" t="s">
        <v>2033</v>
      </c>
      <c r="X50">
        <v>0</v>
      </c>
      <c r="Y50">
        <v>0</v>
      </c>
      <c r="AA50">
        <v>14</v>
      </c>
      <c r="AB50">
        <v>17</v>
      </c>
      <c r="AC50">
        <v>10</v>
      </c>
      <c r="AD50">
        <v>33</v>
      </c>
      <c r="AE50" s="19" t="s">
        <v>60</v>
      </c>
    </row>
    <row r="51" spans="1:31" x14ac:dyDescent="0.2">
      <c r="A51">
        <v>50</v>
      </c>
      <c r="B51" s="19" t="s">
        <v>381</v>
      </c>
      <c r="C51">
        <v>27</v>
      </c>
      <c r="D51" s="19" t="s">
        <v>351</v>
      </c>
      <c r="E51" s="19" t="s">
        <v>339</v>
      </c>
      <c r="F51">
        <v>35</v>
      </c>
      <c r="G51">
        <v>18</v>
      </c>
      <c r="H51">
        <v>17</v>
      </c>
      <c r="I51">
        <v>35</v>
      </c>
      <c r="J51">
        <v>20</v>
      </c>
      <c r="K51">
        <v>22</v>
      </c>
      <c r="L51">
        <v>15</v>
      </c>
      <c r="M51">
        <v>2</v>
      </c>
      <c r="N51">
        <v>1</v>
      </c>
      <c r="O51">
        <v>4</v>
      </c>
      <c r="P51">
        <v>14</v>
      </c>
      <c r="Q51">
        <v>3</v>
      </c>
      <c r="R51">
        <v>0</v>
      </c>
      <c r="S51">
        <v>105</v>
      </c>
      <c r="T51">
        <v>17.100000000000001</v>
      </c>
      <c r="U51">
        <v>233</v>
      </c>
      <c r="V51" s="19" t="s">
        <v>2034</v>
      </c>
      <c r="W51" s="19" t="s">
        <v>2035</v>
      </c>
      <c r="X51">
        <v>16</v>
      </c>
      <c r="Y51">
        <v>20</v>
      </c>
      <c r="Z51">
        <v>44.4</v>
      </c>
      <c r="AA51">
        <v>20</v>
      </c>
      <c r="AB51">
        <v>29</v>
      </c>
      <c r="AC51">
        <v>15</v>
      </c>
      <c r="AD51">
        <v>42</v>
      </c>
      <c r="AE51" s="19" t="s">
        <v>60</v>
      </c>
    </row>
    <row r="52" spans="1:31" x14ac:dyDescent="0.2">
      <c r="A52">
        <v>51</v>
      </c>
      <c r="B52" s="19" t="s">
        <v>403</v>
      </c>
      <c r="C52">
        <v>26</v>
      </c>
      <c r="D52" s="19" t="s">
        <v>333</v>
      </c>
      <c r="E52" s="19" t="s">
        <v>348</v>
      </c>
      <c r="F52">
        <v>41</v>
      </c>
      <c r="G52">
        <v>7</v>
      </c>
      <c r="H52">
        <v>28</v>
      </c>
      <c r="I52">
        <v>35</v>
      </c>
      <c r="J52">
        <v>4</v>
      </c>
      <c r="K52">
        <v>14</v>
      </c>
      <c r="L52">
        <v>5</v>
      </c>
      <c r="M52">
        <v>1</v>
      </c>
      <c r="N52">
        <v>1</v>
      </c>
      <c r="O52">
        <v>2</v>
      </c>
      <c r="P52">
        <v>15</v>
      </c>
      <c r="Q52">
        <v>13</v>
      </c>
      <c r="R52">
        <v>0</v>
      </c>
      <c r="S52">
        <v>85</v>
      </c>
      <c r="T52">
        <v>8.1999999999999993</v>
      </c>
      <c r="U52">
        <v>183</v>
      </c>
      <c r="V52" s="19" t="s">
        <v>2036</v>
      </c>
      <c r="W52" s="19" t="s">
        <v>2037</v>
      </c>
      <c r="X52">
        <v>0</v>
      </c>
      <c r="Y52">
        <v>0</v>
      </c>
      <c r="AA52">
        <v>75</v>
      </c>
      <c r="AB52">
        <v>7</v>
      </c>
      <c r="AC52">
        <v>28</v>
      </c>
      <c r="AD52">
        <v>46</v>
      </c>
      <c r="AE52" s="19" t="s">
        <v>60</v>
      </c>
    </row>
    <row r="53" spans="1:31" x14ac:dyDescent="0.2">
      <c r="A53">
        <v>52</v>
      </c>
      <c r="B53" s="19" t="s">
        <v>463</v>
      </c>
      <c r="C53">
        <v>34</v>
      </c>
      <c r="D53" s="19" t="s">
        <v>464</v>
      </c>
      <c r="E53" s="19" t="s">
        <v>322</v>
      </c>
      <c r="F53">
        <v>40</v>
      </c>
      <c r="G53">
        <v>11</v>
      </c>
      <c r="H53">
        <v>24</v>
      </c>
      <c r="I53">
        <v>35</v>
      </c>
      <c r="J53">
        <v>2</v>
      </c>
      <c r="K53">
        <v>8</v>
      </c>
      <c r="L53">
        <v>8</v>
      </c>
      <c r="M53">
        <v>2</v>
      </c>
      <c r="N53">
        <v>1</v>
      </c>
      <c r="O53">
        <v>5</v>
      </c>
      <c r="P53">
        <v>18</v>
      </c>
      <c r="Q53">
        <v>6</v>
      </c>
      <c r="R53">
        <v>0</v>
      </c>
      <c r="S53">
        <v>67</v>
      </c>
      <c r="T53">
        <v>16.399999999999999</v>
      </c>
      <c r="U53">
        <v>118</v>
      </c>
      <c r="V53" s="19" t="s">
        <v>2038</v>
      </c>
      <c r="W53" s="19" t="s">
        <v>2039</v>
      </c>
      <c r="X53">
        <v>370</v>
      </c>
      <c r="Y53">
        <v>292</v>
      </c>
      <c r="Z53">
        <v>55.9</v>
      </c>
      <c r="AA53">
        <v>28</v>
      </c>
      <c r="AB53">
        <v>9</v>
      </c>
      <c r="AC53">
        <v>29</v>
      </c>
      <c r="AD53">
        <v>22</v>
      </c>
      <c r="AE53" s="19" t="s">
        <v>60</v>
      </c>
    </row>
    <row r="54" spans="1:31" x14ac:dyDescent="0.2">
      <c r="A54">
        <v>53</v>
      </c>
      <c r="B54" s="19" t="s">
        <v>466</v>
      </c>
      <c r="C54">
        <v>33</v>
      </c>
      <c r="D54" s="19" t="s">
        <v>375</v>
      </c>
      <c r="E54" s="19" t="s">
        <v>334</v>
      </c>
      <c r="F54">
        <v>37</v>
      </c>
      <c r="G54">
        <v>15</v>
      </c>
      <c r="H54">
        <v>20</v>
      </c>
      <c r="I54">
        <v>35</v>
      </c>
      <c r="J54">
        <v>-5</v>
      </c>
      <c r="K54">
        <v>16</v>
      </c>
      <c r="L54">
        <v>12</v>
      </c>
      <c r="M54">
        <v>3</v>
      </c>
      <c r="N54">
        <v>0</v>
      </c>
      <c r="O54">
        <v>4</v>
      </c>
      <c r="P54">
        <v>7</v>
      </c>
      <c r="Q54">
        <v>13</v>
      </c>
      <c r="R54">
        <v>0</v>
      </c>
      <c r="S54">
        <v>93</v>
      </c>
      <c r="T54">
        <v>16.100000000000001</v>
      </c>
      <c r="U54">
        <v>185</v>
      </c>
      <c r="V54" s="19" t="s">
        <v>2040</v>
      </c>
      <c r="W54" s="19" t="s">
        <v>2041</v>
      </c>
      <c r="X54">
        <v>0</v>
      </c>
      <c r="Y54">
        <v>3</v>
      </c>
      <c r="Z54">
        <v>0</v>
      </c>
      <c r="AA54">
        <v>40</v>
      </c>
      <c r="AB54">
        <v>10</v>
      </c>
      <c r="AC54">
        <v>5</v>
      </c>
      <c r="AD54">
        <v>38</v>
      </c>
      <c r="AE54" s="19" t="s">
        <v>60</v>
      </c>
    </row>
    <row r="55" spans="1:31" x14ac:dyDescent="0.2">
      <c r="A55">
        <v>54</v>
      </c>
      <c r="B55" s="19" t="s">
        <v>415</v>
      </c>
      <c r="C55">
        <v>26</v>
      </c>
      <c r="D55" s="19" t="s">
        <v>345</v>
      </c>
      <c r="E55" s="19" t="s">
        <v>322</v>
      </c>
      <c r="F55">
        <v>39</v>
      </c>
      <c r="G55">
        <v>17</v>
      </c>
      <c r="H55">
        <v>18</v>
      </c>
      <c r="I55">
        <v>35</v>
      </c>
      <c r="J55">
        <v>-4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83</v>
      </c>
      <c r="T55">
        <v>20.5</v>
      </c>
      <c r="U55">
        <v>160</v>
      </c>
      <c r="V55" s="19" t="s">
        <v>2042</v>
      </c>
      <c r="W55" s="19" t="s">
        <v>2030</v>
      </c>
      <c r="X55">
        <v>29</v>
      </c>
      <c r="Y55">
        <v>31</v>
      </c>
      <c r="Z55">
        <v>48.3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387</v>
      </c>
      <c r="C56">
        <v>40</v>
      </c>
      <c r="D56" s="19" t="s">
        <v>366</v>
      </c>
      <c r="E56" s="19" t="s">
        <v>339</v>
      </c>
      <c r="F56">
        <v>41</v>
      </c>
      <c r="G56">
        <v>15</v>
      </c>
      <c r="H56">
        <v>19</v>
      </c>
      <c r="I56">
        <v>34</v>
      </c>
      <c r="J56">
        <v>1</v>
      </c>
      <c r="K56">
        <v>10</v>
      </c>
      <c r="L56">
        <v>13</v>
      </c>
      <c r="M56">
        <v>2</v>
      </c>
      <c r="N56">
        <v>0</v>
      </c>
      <c r="O56">
        <v>3</v>
      </c>
      <c r="P56">
        <v>12</v>
      </c>
      <c r="Q56">
        <v>7</v>
      </c>
      <c r="R56">
        <v>0</v>
      </c>
      <c r="S56">
        <v>109</v>
      </c>
      <c r="T56">
        <v>13.8</v>
      </c>
      <c r="U56">
        <v>269</v>
      </c>
      <c r="V56" s="19" t="s">
        <v>2043</v>
      </c>
      <c r="W56" s="19" t="s">
        <v>437</v>
      </c>
      <c r="X56">
        <v>2</v>
      </c>
      <c r="Y56">
        <v>0</v>
      </c>
      <c r="Z56">
        <v>100</v>
      </c>
      <c r="AA56">
        <v>7</v>
      </c>
      <c r="AB56">
        <v>68</v>
      </c>
      <c r="AC56">
        <v>4</v>
      </c>
      <c r="AD56">
        <v>35</v>
      </c>
      <c r="AE56" s="19" t="s">
        <v>60</v>
      </c>
    </row>
    <row r="57" spans="1:31" x14ac:dyDescent="0.2">
      <c r="A57">
        <v>56</v>
      </c>
      <c r="B57" s="19" t="s">
        <v>382</v>
      </c>
      <c r="C57">
        <v>30</v>
      </c>
      <c r="D57" s="19" t="s">
        <v>383</v>
      </c>
      <c r="E57" s="19" t="s">
        <v>322</v>
      </c>
      <c r="F57">
        <v>36</v>
      </c>
      <c r="G57">
        <v>21</v>
      </c>
      <c r="H57">
        <v>12</v>
      </c>
      <c r="I57">
        <v>33</v>
      </c>
      <c r="J57">
        <v>4</v>
      </c>
      <c r="K57">
        <v>32</v>
      </c>
      <c r="L57">
        <v>14</v>
      </c>
      <c r="M57">
        <v>6</v>
      </c>
      <c r="N57">
        <v>1</v>
      </c>
      <c r="O57">
        <v>3</v>
      </c>
      <c r="P57">
        <v>6</v>
      </c>
      <c r="Q57">
        <v>6</v>
      </c>
      <c r="R57">
        <v>0</v>
      </c>
      <c r="S57">
        <v>122</v>
      </c>
      <c r="T57">
        <v>17.2</v>
      </c>
      <c r="U57">
        <v>213</v>
      </c>
      <c r="V57" s="19" t="s">
        <v>2044</v>
      </c>
      <c r="W57" s="19" t="s">
        <v>2045</v>
      </c>
      <c r="X57">
        <v>377</v>
      </c>
      <c r="Y57">
        <v>277</v>
      </c>
      <c r="Z57">
        <v>57.6</v>
      </c>
      <c r="AA57">
        <v>19</v>
      </c>
      <c r="AB57">
        <v>26</v>
      </c>
      <c r="AC57">
        <v>8</v>
      </c>
      <c r="AD57">
        <v>42</v>
      </c>
      <c r="AE57" s="19" t="s">
        <v>60</v>
      </c>
    </row>
    <row r="58" spans="1:31" x14ac:dyDescent="0.2">
      <c r="A58">
        <v>57</v>
      </c>
      <c r="B58" s="19" t="s">
        <v>474</v>
      </c>
      <c r="C58">
        <v>35</v>
      </c>
      <c r="D58" s="19" t="s">
        <v>357</v>
      </c>
      <c r="E58" s="19" t="s">
        <v>322</v>
      </c>
      <c r="F58">
        <v>39</v>
      </c>
      <c r="G58">
        <v>12</v>
      </c>
      <c r="H58">
        <v>20</v>
      </c>
      <c r="I58">
        <v>32</v>
      </c>
      <c r="J58">
        <v>20</v>
      </c>
      <c r="K58">
        <v>8</v>
      </c>
      <c r="L58">
        <v>9</v>
      </c>
      <c r="M58">
        <v>3</v>
      </c>
      <c r="N58">
        <v>0</v>
      </c>
      <c r="O58">
        <v>4</v>
      </c>
      <c r="P58">
        <v>15</v>
      </c>
      <c r="Q58">
        <v>4</v>
      </c>
      <c r="R58">
        <v>1</v>
      </c>
      <c r="S58">
        <v>59</v>
      </c>
      <c r="T58">
        <v>20.3</v>
      </c>
      <c r="U58">
        <v>105</v>
      </c>
      <c r="V58" s="19" t="s">
        <v>2046</v>
      </c>
      <c r="W58" s="19" t="s">
        <v>1784</v>
      </c>
      <c r="X58">
        <v>5</v>
      </c>
      <c r="Y58">
        <v>7</v>
      </c>
      <c r="Z58">
        <v>41.7</v>
      </c>
      <c r="AA58">
        <v>10</v>
      </c>
      <c r="AB58">
        <v>16</v>
      </c>
      <c r="AC58">
        <v>12</v>
      </c>
      <c r="AD58">
        <v>31</v>
      </c>
      <c r="AE58" s="19" t="s">
        <v>60</v>
      </c>
    </row>
    <row r="59" spans="1:31" x14ac:dyDescent="0.2">
      <c r="A59">
        <v>58</v>
      </c>
      <c r="B59" s="19" t="s">
        <v>438</v>
      </c>
      <c r="C59">
        <v>35</v>
      </c>
      <c r="D59" s="19" t="s">
        <v>439</v>
      </c>
      <c r="E59" s="19" t="s">
        <v>322</v>
      </c>
      <c r="F59">
        <v>40</v>
      </c>
      <c r="G59">
        <v>8</v>
      </c>
      <c r="H59">
        <v>24</v>
      </c>
      <c r="I59">
        <v>32</v>
      </c>
      <c r="J59">
        <v>-10</v>
      </c>
      <c r="K59">
        <v>18</v>
      </c>
      <c r="L59">
        <v>6</v>
      </c>
      <c r="M59">
        <v>2</v>
      </c>
      <c r="N59">
        <v>0</v>
      </c>
      <c r="O59">
        <v>1</v>
      </c>
      <c r="P59">
        <v>14</v>
      </c>
      <c r="Q59">
        <v>10</v>
      </c>
      <c r="R59">
        <v>0</v>
      </c>
      <c r="S59">
        <v>121</v>
      </c>
      <c r="T59">
        <v>6.6</v>
      </c>
      <c r="U59">
        <v>255</v>
      </c>
      <c r="V59" s="19" t="s">
        <v>2047</v>
      </c>
      <c r="W59" s="19" t="s">
        <v>504</v>
      </c>
      <c r="X59">
        <v>266</v>
      </c>
      <c r="Y59">
        <v>266</v>
      </c>
      <c r="Z59">
        <v>50</v>
      </c>
      <c r="AA59">
        <v>15</v>
      </c>
      <c r="AB59">
        <v>26</v>
      </c>
      <c r="AC59">
        <v>9</v>
      </c>
      <c r="AD59">
        <v>43</v>
      </c>
      <c r="AE59" s="19" t="s">
        <v>60</v>
      </c>
    </row>
    <row r="60" spans="1:31" x14ac:dyDescent="0.2">
      <c r="A60">
        <v>59</v>
      </c>
      <c r="B60" s="19" t="s">
        <v>420</v>
      </c>
      <c r="C60">
        <v>29</v>
      </c>
      <c r="D60" s="19" t="s">
        <v>421</v>
      </c>
      <c r="E60" s="19" t="s">
        <v>339</v>
      </c>
      <c r="F60">
        <v>39</v>
      </c>
      <c r="G60">
        <v>13</v>
      </c>
      <c r="H60">
        <v>19</v>
      </c>
      <c r="I60">
        <v>32</v>
      </c>
      <c r="J60">
        <v>9</v>
      </c>
      <c r="K60">
        <v>30</v>
      </c>
      <c r="L60">
        <v>12</v>
      </c>
      <c r="M60">
        <v>1</v>
      </c>
      <c r="N60">
        <v>0</v>
      </c>
      <c r="O60">
        <v>5</v>
      </c>
      <c r="P60">
        <v>12</v>
      </c>
      <c r="Q60">
        <v>5</v>
      </c>
      <c r="R60">
        <v>2</v>
      </c>
      <c r="S60">
        <v>110</v>
      </c>
      <c r="T60">
        <v>11.8</v>
      </c>
      <c r="U60">
        <v>252</v>
      </c>
      <c r="V60" s="19" t="s">
        <v>2048</v>
      </c>
      <c r="W60" s="19" t="s">
        <v>2035</v>
      </c>
      <c r="X60">
        <v>18</v>
      </c>
      <c r="Y60">
        <v>28</v>
      </c>
      <c r="Z60">
        <v>39.1</v>
      </c>
      <c r="AA60">
        <v>25</v>
      </c>
      <c r="AB60">
        <v>82</v>
      </c>
      <c r="AC60">
        <v>11</v>
      </c>
      <c r="AD60">
        <v>32</v>
      </c>
      <c r="AE60" s="19" t="s">
        <v>60</v>
      </c>
    </row>
    <row r="61" spans="1:31" x14ac:dyDescent="0.2">
      <c r="A61">
        <v>60</v>
      </c>
      <c r="B61" s="19" t="s">
        <v>412</v>
      </c>
      <c r="C61">
        <v>30</v>
      </c>
      <c r="D61" s="19" t="s">
        <v>321</v>
      </c>
      <c r="E61" s="19" t="s">
        <v>339</v>
      </c>
      <c r="F61">
        <v>39</v>
      </c>
      <c r="G61">
        <v>14</v>
      </c>
      <c r="H61">
        <v>18</v>
      </c>
      <c r="I61">
        <v>32</v>
      </c>
      <c r="J61">
        <v>37</v>
      </c>
      <c r="K61">
        <v>6</v>
      </c>
      <c r="L61">
        <v>13</v>
      </c>
      <c r="M61">
        <v>1</v>
      </c>
      <c r="N61">
        <v>0</v>
      </c>
      <c r="O61">
        <v>0</v>
      </c>
      <c r="P61">
        <v>17</v>
      </c>
      <c r="Q61">
        <v>1</v>
      </c>
      <c r="R61">
        <v>0</v>
      </c>
      <c r="S61">
        <v>96</v>
      </c>
      <c r="T61">
        <v>14.6</v>
      </c>
      <c r="U61">
        <v>173</v>
      </c>
      <c r="V61" s="19" t="s">
        <v>2049</v>
      </c>
      <c r="W61" s="19" t="s">
        <v>2050</v>
      </c>
      <c r="X61">
        <v>1</v>
      </c>
      <c r="Y61">
        <v>6</v>
      </c>
      <c r="Z61">
        <v>14.3</v>
      </c>
      <c r="AA61">
        <v>23</v>
      </c>
      <c r="AB61">
        <v>28</v>
      </c>
      <c r="AC61">
        <v>10</v>
      </c>
      <c r="AD61">
        <v>26</v>
      </c>
      <c r="AE61" s="19" t="s">
        <v>60</v>
      </c>
    </row>
    <row r="62" spans="1:31" x14ac:dyDescent="0.2">
      <c r="A62">
        <v>61</v>
      </c>
      <c r="B62" s="19" t="s">
        <v>454</v>
      </c>
      <c r="C62">
        <v>32</v>
      </c>
      <c r="D62" s="19" t="s">
        <v>327</v>
      </c>
      <c r="E62" s="19" t="s">
        <v>322</v>
      </c>
      <c r="F62">
        <v>32</v>
      </c>
      <c r="G62">
        <v>11</v>
      </c>
      <c r="H62">
        <v>21</v>
      </c>
      <c r="I62">
        <v>32</v>
      </c>
      <c r="J62">
        <v>-6</v>
      </c>
      <c r="K62">
        <v>15</v>
      </c>
      <c r="L62">
        <v>5</v>
      </c>
      <c r="M62">
        <v>6</v>
      </c>
      <c r="N62">
        <v>0</v>
      </c>
      <c r="O62">
        <v>1</v>
      </c>
      <c r="P62">
        <v>9</v>
      </c>
      <c r="Q62">
        <v>11</v>
      </c>
      <c r="R62">
        <v>1</v>
      </c>
      <c r="S62">
        <v>55</v>
      </c>
      <c r="T62">
        <v>20</v>
      </c>
      <c r="U62">
        <v>109</v>
      </c>
      <c r="V62" s="19" t="s">
        <v>2051</v>
      </c>
      <c r="W62" s="19" t="s">
        <v>1625</v>
      </c>
      <c r="X62">
        <v>69</v>
      </c>
      <c r="Y62">
        <v>80</v>
      </c>
      <c r="Z62">
        <v>46.3</v>
      </c>
      <c r="AA62">
        <v>13</v>
      </c>
      <c r="AB62">
        <v>13</v>
      </c>
      <c r="AC62">
        <v>6</v>
      </c>
      <c r="AD62">
        <v>17</v>
      </c>
      <c r="AE62" s="19" t="s">
        <v>60</v>
      </c>
    </row>
    <row r="63" spans="1:31" x14ac:dyDescent="0.2">
      <c r="A63">
        <v>62</v>
      </c>
      <c r="B63" s="19" t="s">
        <v>444</v>
      </c>
      <c r="C63">
        <v>28</v>
      </c>
      <c r="D63" s="19" t="s">
        <v>366</v>
      </c>
      <c r="E63" s="19" t="s">
        <v>322</v>
      </c>
      <c r="F63">
        <v>39</v>
      </c>
      <c r="G63">
        <v>9</v>
      </c>
      <c r="H63">
        <v>23</v>
      </c>
      <c r="I63">
        <v>32</v>
      </c>
      <c r="J63">
        <v>10</v>
      </c>
      <c r="K63">
        <v>22</v>
      </c>
      <c r="L63">
        <v>7</v>
      </c>
      <c r="M63">
        <v>2</v>
      </c>
      <c r="N63">
        <v>0</v>
      </c>
      <c r="O63">
        <v>1</v>
      </c>
      <c r="P63">
        <v>16</v>
      </c>
      <c r="Q63">
        <v>7</v>
      </c>
      <c r="R63">
        <v>0</v>
      </c>
      <c r="S63">
        <v>70</v>
      </c>
      <c r="T63">
        <v>12.9</v>
      </c>
      <c r="U63">
        <v>123</v>
      </c>
      <c r="V63" s="19" t="s">
        <v>2052</v>
      </c>
      <c r="W63" s="19" t="s">
        <v>1843</v>
      </c>
      <c r="X63">
        <v>390</v>
      </c>
      <c r="Y63">
        <v>281</v>
      </c>
      <c r="Z63">
        <v>58.1</v>
      </c>
      <c r="AA63">
        <v>27</v>
      </c>
      <c r="AB63">
        <v>8</v>
      </c>
      <c r="AC63">
        <v>9</v>
      </c>
      <c r="AD63">
        <v>29</v>
      </c>
      <c r="AE63" s="19" t="s">
        <v>60</v>
      </c>
    </row>
    <row r="64" spans="1:31" x14ac:dyDescent="0.2">
      <c r="A64">
        <v>63</v>
      </c>
      <c r="B64" s="19" t="s">
        <v>429</v>
      </c>
      <c r="C64">
        <v>29</v>
      </c>
      <c r="D64" s="19" t="s">
        <v>430</v>
      </c>
      <c r="E64" s="19" t="s">
        <v>334</v>
      </c>
      <c r="F64">
        <v>38</v>
      </c>
      <c r="G64">
        <v>12</v>
      </c>
      <c r="H64">
        <v>20</v>
      </c>
      <c r="I64">
        <v>32</v>
      </c>
      <c r="J64">
        <v>7</v>
      </c>
      <c r="K64">
        <v>43</v>
      </c>
      <c r="L64">
        <v>9</v>
      </c>
      <c r="M64">
        <v>2</v>
      </c>
      <c r="N64">
        <v>1</v>
      </c>
      <c r="O64">
        <v>1</v>
      </c>
      <c r="P64">
        <v>19</v>
      </c>
      <c r="Q64">
        <v>1</v>
      </c>
      <c r="R64">
        <v>0</v>
      </c>
      <c r="S64">
        <v>96</v>
      </c>
      <c r="T64">
        <v>12.5</v>
      </c>
      <c r="U64">
        <v>190</v>
      </c>
      <c r="V64" s="19" t="s">
        <v>2053</v>
      </c>
      <c r="W64" s="19" t="s">
        <v>1603</v>
      </c>
      <c r="X64">
        <v>15</v>
      </c>
      <c r="Y64">
        <v>20</v>
      </c>
      <c r="Z64">
        <v>42.9</v>
      </c>
      <c r="AA64">
        <v>44</v>
      </c>
      <c r="AB64">
        <v>40</v>
      </c>
      <c r="AC64">
        <v>15</v>
      </c>
      <c r="AD64">
        <v>29</v>
      </c>
      <c r="AE64" s="19" t="s">
        <v>60</v>
      </c>
    </row>
    <row r="65" spans="1:31" x14ac:dyDescent="0.2">
      <c r="A65">
        <v>64</v>
      </c>
      <c r="B65" s="19" t="s">
        <v>399</v>
      </c>
      <c r="C65">
        <v>27</v>
      </c>
      <c r="D65" s="19" t="s">
        <v>400</v>
      </c>
      <c r="E65" s="19" t="s">
        <v>58</v>
      </c>
      <c r="F65">
        <v>40</v>
      </c>
      <c r="G65">
        <v>8</v>
      </c>
      <c r="H65">
        <v>23</v>
      </c>
      <c r="I65">
        <v>31</v>
      </c>
      <c r="J65">
        <v>-9</v>
      </c>
      <c r="K65">
        <v>8</v>
      </c>
      <c r="L65">
        <v>4</v>
      </c>
      <c r="M65">
        <v>3</v>
      </c>
      <c r="N65">
        <v>1</v>
      </c>
      <c r="O65">
        <v>2</v>
      </c>
      <c r="P65">
        <v>15</v>
      </c>
      <c r="Q65">
        <v>8</v>
      </c>
      <c r="R65">
        <v>0</v>
      </c>
      <c r="S65">
        <v>93</v>
      </c>
      <c r="T65">
        <v>8.6</v>
      </c>
      <c r="U65">
        <v>189</v>
      </c>
      <c r="V65" s="19" t="s">
        <v>2054</v>
      </c>
      <c r="W65" s="19" t="s">
        <v>512</v>
      </c>
      <c r="X65">
        <v>0</v>
      </c>
      <c r="Y65">
        <v>2</v>
      </c>
      <c r="Z65">
        <v>0</v>
      </c>
      <c r="AA65">
        <v>14</v>
      </c>
      <c r="AB65">
        <v>39</v>
      </c>
      <c r="AC65">
        <v>17</v>
      </c>
      <c r="AD65">
        <v>34</v>
      </c>
      <c r="AE65" s="19" t="s">
        <v>60</v>
      </c>
    </row>
    <row r="66" spans="1:31" x14ac:dyDescent="0.2">
      <c r="A66">
        <v>65</v>
      </c>
      <c r="B66" s="19" t="s">
        <v>410</v>
      </c>
      <c r="C66">
        <v>27</v>
      </c>
      <c r="D66" s="19" t="s">
        <v>366</v>
      </c>
      <c r="E66" s="19" t="s">
        <v>348</v>
      </c>
      <c r="F66">
        <v>41</v>
      </c>
      <c r="G66">
        <v>15</v>
      </c>
      <c r="H66">
        <v>16</v>
      </c>
      <c r="I66">
        <v>31</v>
      </c>
      <c r="J66">
        <v>24</v>
      </c>
      <c r="K66">
        <v>33</v>
      </c>
      <c r="L66">
        <v>11</v>
      </c>
      <c r="M66">
        <v>4</v>
      </c>
      <c r="N66">
        <v>0</v>
      </c>
      <c r="O66">
        <v>4</v>
      </c>
      <c r="P66">
        <v>12</v>
      </c>
      <c r="Q66">
        <v>4</v>
      </c>
      <c r="R66">
        <v>0</v>
      </c>
      <c r="S66">
        <v>140</v>
      </c>
      <c r="T66">
        <v>10.7</v>
      </c>
      <c r="U66">
        <v>311</v>
      </c>
      <c r="V66" s="19" t="s">
        <v>2055</v>
      </c>
      <c r="W66" s="19" t="s">
        <v>1837</v>
      </c>
      <c r="X66">
        <v>0</v>
      </c>
      <c r="Y66">
        <v>0</v>
      </c>
      <c r="AA66">
        <v>50</v>
      </c>
      <c r="AB66">
        <v>35</v>
      </c>
      <c r="AC66">
        <v>16</v>
      </c>
      <c r="AD66">
        <v>54</v>
      </c>
      <c r="AE66" s="19" t="s">
        <v>60</v>
      </c>
    </row>
    <row r="67" spans="1:31" x14ac:dyDescent="0.2">
      <c r="A67">
        <v>66</v>
      </c>
      <c r="B67" s="19" t="s">
        <v>490</v>
      </c>
      <c r="C67">
        <v>31</v>
      </c>
      <c r="D67" s="19" t="s">
        <v>464</v>
      </c>
      <c r="E67" s="19" t="s">
        <v>322</v>
      </c>
      <c r="F67">
        <v>40</v>
      </c>
      <c r="G67">
        <v>16</v>
      </c>
      <c r="H67">
        <v>15</v>
      </c>
      <c r="I67">
        <v>31</v>
      </c>
      <c r="J67">
        <v>-5</v>
      </c>
      <c r="K67">
        <v>20</v>
      </c>
      <c r="L67">
        <v>15</v>
      </c>
      <c r="M67">
        <v>1</v>
      </c>
      <c r="N67">
        <v>0</v>
      </c>
      <c r="O67">
        <v>1</v>
      </c>
      <c r="P67">
        <v>8</v>
      </c>
      <c r="Q67">
        <v>7</v>
      </c>
      <c r="R67">
        <v>0</v>
      </c>
      <c r="S67">
        <v>121</v>
      </c>
      <c r="T67">
        <v>13.2</v>
      </c>
      <c r="U67">
        <v>260</v>
      </c>
      <c r="V67" s="19" t="s">
        <v>2056</v>
      </c>
      <c r="W67" s="19" t="s">
        <v>1882</v>
      </c>
      <c r="X67">
        <v>6</v>
      </c>
      <c r="Y67">
        <v>12</v>
      </c>
      <c r="Z67">
        <v>33.299999999999997</v>
      </c>
      <c r="AA67">
        <v>14</v>
      </c>
      <c r="AB67">
        <v>80</v>
      </c>
      <c r="AC67">
        <v>24</v>
      </c>
      <c r="AD67">
        <v>52</v>
      </c>
      <c r="AE67" s="19" t="s">
        <v>60</v>
      </c>
    </row>
    <row r="68" spans="1:31" x14ac:dyDescent="0.2">
      <c r="A68">
        <v>67</v>
      </c>
      <c r="B68" s="19" t="s">
        <v>411</v>
      </c>
      <c r="C68">
        <v>29</v>
      </c>
      <c r="D68" s="19" t="s">
        <v>333</v>
      </c>
      <c r="E68" s="19" t="s">
        <v>339</v>
      </c>
      <c r="F68">
        <v>36</v>
      </c>
      <c r="G68">
        <v>12</v>
      </c>
      <c r="H68">
        <v>19</v>
      </c>
      <c r="I68">
        <v>31</v>
      </c>
      <c r="J68">
        <v>13</v>
      </c>
      <c r="K68">
        <v>10</v>
      </c>
      <c r="L68">
        <v>7</v>
      </c>
      <c r="M68">
        <v>5</v>
      </c>
      <c r="N68">
        <v>0</v>
      </c>
      <c r="O68">
        <v>1</v>
      </c>
      <c r="P68">
        <v>9</v>
      </c>
      <c r="Q68">
        <v>10</v>
      </c>
      <c r="R68">
        <v>0</v>
      </c>
      <c r="S68">
        <v>80</v>
      </c>
      <c r="T68">
        <v>15</v>
      </c>
      <c r="U68">
        <v>133</v>
      </c>
      <c r="V68" s="19" t="s">
        <v>2057</v>
      </c>
      <c r="W68" s="19" t="s">
        <v>493</v>
      </c>
      <c r="X68">
        <v>289</v>
      </c>
      <c r="Y68">
        <v>211</v>
      </c>
      <c r="Z68">
        <v>57.8</v>
      </c>
      <c r="AA68">
        <v>10</v>
      </c>
      <c r="AB68">
        <v>34</v>
      </c>
      <c r="AC68">
        <v>2</v>
      </c>
      <c r="AD68">
        <v>28</v>
      </c>
      <c r="AE68" s="19" t="s">
        <v>60</v>
      </c>
    </row>
    <row r="69" spans="1:31" x14ac:dyDescent="0.2">
      <c r="A69">
        <v>68</v>
      </c>
      <c r="B69" s="19" t="s">
        <v>404</v>
      </c>
      <c r="C69">
        <v>27</v>
      </c>
      <c r="D69" s="19" t="s">
        <v>400</v>
      </c>
      <c r="E69" s="19" t="s">
        <v>322</v>
      </c>
      <c r="F69">
        <v>40</v>
      </c>
      <c r="G69">
        <v>11</v>
      </c>
      <c r="H69">
        <v>20</v>
      </c>
      <c r="I69">
        <v>31</v>
      </c>
      <c r="J69">
        <v>-5</v>
      </c>
      <c r="K69">
        <v>19</v>
      </c>
      <c r="L69">
        <v>8</v>
      </c>
      <c r="M69">
        <v>3</v>
      </c>
      <c r="N69">
        <v>0</v>
      </c>
      <c r="O69">
        <v>1</v>
      </c>
      <c r="P69">
        <v>13</v>
      </c>
      <c r="Q69">
        <v>7</v>
      </c>
      <c r="R69">
        <v>0</v>
      </c>
      <c r="S69">
        <v>101</v>
      </c>
      <c r="T69">
        <v>10.9</v>
      </c>
      <c r="U69">
        <v>197</v>
      </c>
      <c r="V69" s="19" t="s">
        <v>2058</v>
      </c>
      <c r="W69" s="19" t="s">
        <v>1869</v>
      </c>
      <c r="X69">
        <v>454</v>
      </c>
      <c r="Y69">
        <v>386</v>
      </c>
      <c r="Z69">
        <v>54</v>
      </c>
      <c r="AA69">
        <v>39</v>
      </c>
      <c r="AB69">
        <v>30</v>
      </c>
      <c r="AC69">
        <v>17</v>
      </c>
      <c r="AD69">
        <v>38</v>
      </c>
      <c r="AE69" s="19" t="s">
        <v>60</v>
      </c>
    </row>
    <row r="70" spans="1:31" x14ac:dyDescent="0.2">
      <c r="A70">
        <v>69</v>
      </c>
      <c r="B70" s="19" t="s">
        <v>453</v>
      </c>
      <c r="C70">
        <v>24</v>
      </c>
      <c r="D70" s="19" t="s">
        <v>372</v>
      </c>
      <c r="E70" s="19" t="s">
        <v>322</v>
      </c>
      <c r="F70">
        <v>39</v>
      </c>
      <c r="G70">
        <v>13</v>
      </c>
      <c r="H70">
        <v>18</v>
      </c>
      <c r="I70">
        <v>31</v>
      </c>
      <c r="J70">
        <v>-4</v>
      </c>
      <c r="K70">
        <v>18</v>
      </c>
      <c r="L70">
        <v>9</v>
      </c>
      <c r="M70">
        <v>3</v>
      </c>
      <c r="N70">
        <v>1</v>
      </c>
      <c r="O70">
        <v>3</v>
      </c>
      <c r="P70">
        <v>11</v>
      </c>
      <c r="Q70">
        <v>5</v>
      </c>
      <c r="R70">
        <v>2</v>
      </c>
      <c r="S70">
        <v>88</v>
      </c>
      <c r="T70">
        <v>14.8</v>
      </c>
      <c r="U70">
        <v>167</v>
      </c>
      <c r="V70" s="19" t="s">
        <v>2059</v>
      </c>
      <c r="W70" s="19" t="s">
        <v>378</v>
      </c>
      <c r="X70">
        <v>358</v>
      </c>
      <c r="Y70">
        <v>341</v>
      </c>
      <c r="Z70">
        <v>51.2</v>
      </c>
      <c r="AA70">
        <v>28</v>
      </c>
      <c r="AB70">
        <v>47</v>
      </c>
      <c r="AC70">
        <v>6</v>
      </c>
      <c r="AD70">
        <v>39</v>
      </c>
      <c r="AE70" s="19" t="s">
        <v>60</v>
      </c>
    </row>
    <row r="71" spans="1:31" x14ac:dyDescent="0.2">
      <c r="A71">
        <v>70</v>
      </c>
      <c r="B71" s="19" t="s">
        <v>422</v>
      </c>
      <c r="C71">
        <v>25</v>
      </c>
      <c r="D71" s="19" t="s">
        <v>380</v>
      </c>
      <c r="E71" s="19" t="s">
        <v>334</v>
      </c>
      <c r="F71">
        <v>35</v>
      </c>
      <c r="G71">
        <v>14</v>
      </c>
      <c r="H71">
        <v>17</v>
      </c>
      <c r="I71">
        <v>31</v>
      </c>
      <c r="J71">
        <v>5</v>
      </c>
      <c r="K71">
        <v>16</v>
      </c>
      <c r="L71">
        <v>10</v>
      </c>
      <c r="M71">
        <v>3</v>
      </c>
      <c r="N71">
        <v>1</v>
      </c>
      <c r="O71">
        <v>3</v>
      </c>
      <c r="P71">
        <v>9</v>
      </c>
      <c r="Q71">
        <v>8</v>
      </c>
      <c r="R71">
        <v>0</v>
      </c>
      <c r="S71">
        <v>109</v>
      </c>
      <c r="T71">
        <v>12.8</v>
      </c>
      <c r="U71">
        <v>237</v>
      </c>
      <c r="V71" s="19" t="s">
        <v>2060</v>
      </c>
      <c r="W71" s="19" t="s">
        <v>1622</v>
      </c>
      <c r="X71">
        <v>1</v>
      </c>
      <c r="Y71">
        <v>2</v>
      </c>
      <c r="Z71">
        <v>33.299999999999997</v>
      </c>
      <c r="AA71">
        <v>21</v>
      </c>
      <c r="AB71">
        <v>31</v>
      </c>
      <c r="AC71">
        <v>21</v>
      </c>
      <c r="AD71">
        <v>50</v>
      </c>
      <c r="AE71" s="19" t="s">
        <v>60</v>
      </c>
    </row>
    <row r="72" spans="1:31" x14ac:dyDescent="0.2">
      <c r="A72">
        <v>71</v>
      </c>
      <c r="B72" s="19" t="s">
        <v>494</v>
      </c>
      <c r="C72">
        <v>28</v>
      </c>
      <c r="D72" s="19" t="s">
        <v>359</v>
      </c>
      <c r="E72" s="19" t="s">
        <v>322</v>
      </c>
      <c r="F72">
        <v>34</v>
      </c>
      <c r="G72">
        <v>18</v>
      </c>
      <c r="H72">
        <v>13</v>
      </c>
      <c r="I72">
        <v>31</v>
      </c>
      <c r="J72">
        <v>6</v>
      </c>
      <c r="K72">
        <v>12</v>
      </c>
      <c r="L72">
        <v>14</v>
      </c>
      <c r="M72">
        <v>4</v>
      </c>
      <c r="N72">
        <v>0</v>
      </c>
      <c r="O72">
        <v>3</v>
      </c>
      <c r="P72">
        <v>10</v>
      </c>
      <c r="Q72">
        <v>3</v>
      </c>
      <c r="R72">
        <v>0</v>
      </c>
      <c r="S72">
        <v>133</v>
      </c>
      <c r="T72">
        <v>13.5</v>
      </c>
      <c r="U72">
        <v>228</v>
      </c>
      <c r="V72" s="19" t="s">
        <v>2061</v>
      </c>
      <c r="W72" s="19" t="s">
        <v>1981</v>
      </c>
      <c r="X72">
        <v>336</v>
      </c>
      <c r="Y72">
        <v>234</v>
      </c>
      <c r="Z72">
        <v>58.9</v>
      </c>
      <c r="AA72">
        <v>53</v>
      </c>
      <c r="AB72">
        <v>19</v>
      </c>
      <c r="AC72">
        <v>15</v>
      </c>
      <c r="AD72">
        <v>33</v>
      </c>
      <c r="AE72" s="19" t="s">
        <v>60</v>
      </c>
    </row>
    <row r="73" spans="1:31" x14ac:dyDescent="0.2">
      <c r="A73">
        <v>72</v>
      </c>
      <c r="B73" s="19" t="s">
        <v>424</v>
      </c>
      <c r="C73">
        <v>30</v>
      </c>
      <c r="D73" s="19" t="s">
        <v>345</v>
      </c>
      <c r="E73" s="19" t="s">
        <v>348</v>
      </c>
      <c r="F73">
        <v>39</v>
      </c>
      <c r="G73">
        <v>6</v>
      </c>
      <c r="H73">
        <v>25</v>
      </c>
      <c r="I73">
        <v>31</v>
      </c>
      <c r="J73">
        <v>6</v>
      </c>
      <c r="K73">
        <v>14</v>
      </c>
      <c r="L73">
        <v>5</v>
      </c>
      <c r="M73">
        <v>1</v>
      </c>
      <c r="N73">
        <v>0</v>
      </c>
      <c r="O73">
        <v>0</v>
      </c>
      <c r="P73">
        <v>17</v>
      </c>
      <c r="Q73">
        <v>8</v>
      </c>
      <c r="R73">
        <v>0</v>
      </c>
      <c r="S73">
        <v>70</v>
      </c>
      <c r="T73">
        <v>8.6</v>
      </c>
      <c r="U73">
        <v>153</v>
      </c>
      <c r="V73" s="19" t="s">
        <v>2062</v>
      </c>
      <c r="W73" s="19" t="s">
        <v>2063</v>
      </c>
      <c r="X73">
        <v>0</v>
      </c>
      <c r="Y73">
        <v>0</v>
      </c>
      <c r="AA73">
        <v>71</v>
      </c>
      <c r="AB73">
        <v>21</v>
      </c>
      <c r="AC73">
        <v>10</v>
      </c>
      <c r="AD73">
        <v>47</v>
      </c>
      <c r="AE73" s="19" t="s">
        <v>60</v>
      </c>
    </row>
    <row r="74" spans="1:31" x14ac:dyDescent="0.2">
      <c r="A74">
        <v>73</v>
      </c>
      <c r="B74" s="19" t="s">
        <v>479</v>
      </c>
      <c r="C74">
        <v>25</v>
      </c>
      <c r="D74" s="19" t="s">
        <v>366</v>
      </c>
      <c r="E74" s="19" t="s">
        <v>322</v>
      </c>
      <c r="F74">
        <v>41</v>
      </c>
      <c r="G74">
        <v>16</v>
      </c>
      <c r="H74">
        <v>15</v>
      </c>
      <c r="I74">
        <v>31</v>
      </c>
      <c r="J74">
        <v>21</v>
      </c>
      <c r="K74">
        <v>14</v>
      </c>
      <c r="L74">
        <v>16</v>
      </c>
      <c r="M74">
        <v>0</v>
      </c>
      <c r="N74">
        <v>0</v>
      </c>
      <c r="O74">
        <v>3</v>
      </c>
      <c r="P74">
        <v>13</v>
      </c>
      <c r="Q74">
        <v>1</v>
      </c>
      <c r="R74">
        <v>1</v>
      </c>
      <c r="S74">
        <v>89</v>
      </c>
      <c r="T74">
        <v>18</v>
      </c>
      <c r="U74">
        <v>173</v>
      </c>
      <c r="V74" s="19" t="s">
        <v>2064</v>
      </c>
      <c r="W74" s="19" t="s">
        <v>2065</v>
      </c>
      <c r="X74">
        <v>10</v>
      </c>
      <c r="Y74">
        <v>19</v>
      </c>
      <c r="Z74">
        <v>34.5</v>
      </c>
      <c r="AA74">
        <v>26</v>
      </c>
      <c r="AB74">
        <v>20</v>
      </c>
      <c r="AC74">
        <v>13</v>
      </c>
      <c r="AD74">
        <v>49</v>
      </c>
      <c r="AE74" s="19" t="s">
        <v>60</v>
      </c>
    </row>
    <row r="75" spans="1:31" x14ac:dyDescent="0.2">
      <c r="A75">
        <v>74</v>
      </c>
      <c r="B75" s="19" t="s">
        <v>515</v>
      </c>
      <c r="C75">
        <v>29</v>
      </c>
      <c r="D75" s="19" t="s">
        <v>351</v>
      </c>
      <c r="E75" s="19" t="s">
        <v>348</v>
      </c>
      <c r="F75">
        <v>34</v>
      </c>
      <c r="G75">
        <v>9</v>
      </c>
      <c r="H75">
        <v>22</v>
      </c>
      <c r="I75">
        <v>31</v>
      </c>
      <c r="J75">
        <v>10</v>
      </c>
      <c r="K75">
        <v>19</v>
      </c>
      <c r="L75">
        <v>5</v>
      </c>
      <c r="M75">
        <v>4</v>
      </c>
      <c r="N75">
        <v>0</v>
      </c>
      <c r="O75">
        <v>2</v>
      </c>
      <c r="P75">
        <v>17</v>
      </c>
      <c r="Q75">
        <v>5</v>
      </c>
      <c r="R75">
        <v>0</v>
      </c>
      <c r="S75">
        <v>78</v>
      </c>
      <c r="T75">
        <v>11.5</v>
      </c>
      <c r="U75">
        <v>180</v>
      </c>
      <c r="V75" s="19" t="s">
        <v>2066</v>
      </c>
      <c r="W75" s="19" t="s">
        <v>1930</v>
      </c>
      <c r="X75">
        <v>0</v>
      </c>
      <c r="Y75">
        <v>0</v>
      </c>
      <c r="AA75">
        <v>31</v>
      </c>
      <c r="AB75">
        <v>32</v>
      </c>
      <c r="AC75">
        <v>6</v>
      </c>
      <c r="AD75">
        <v>31</v>
      </c>
      <c r="AE75" s="19" t="s">
        <v>60</v>
      </c>
    </row>
    <row r="76" spans="1:31" x14ac:dyDescent="0.2">
      <c r="A76">
        <v>75</v>
      </c>
      <c r="B76" s="19" t="s">
        <v>458</v>
      </c>
      <c r="C76">
        <v>24</v>
      </c>
      <c r="D76" s="19" t="s">
        <v>370</v>
      </c>
      <c r="E76" s="19" t="s">
        <v>348</v>
      </c>
      <c r="F76">
        <v>42</v>
      </c>
      <c r="G76">
        <v>7</v>
      </c>
      <c r="H76">
        <v>24</v>
      </c>
      <c r="I76">
        <v>31</v>
      </c>
      <c r="J76">
        <v>12</v>
      </c>
      <c r="K76">
        <v>37</v>
      </c>
      <c r="L76">
        <v>6</v>
      </c>
      <c r="M76">
        <v>1</v>
      </c>
      <c r="N76">
        <v>0</v>
      </c>
      <c r="O76">
        <v>1</v>
      </c>
      <c r="P76">
        <v>11</v>
      </c>
      <c r="Q76">
        <v>13</v>
      </c>
      <c r="R76">
        <v>0</v>
      </c>
      <c r="S76">
        <v>99</v>
      </c>
      <c r="T76">
        <v>7.1</v>
      </c>
      <c r="U76">
        <v>211</v>
      </c>
      <c r="V76" s="19" t="s">
        <v>2067</v>
      </c>
      <c r="W76" s="19" t="s">
        <v>2068</v>
      </c>
      <c r="X76">
        <v>0</v>
      </c>
      <c r="Y76">
        <v>0</v>
      </c>
      <c r="AA76">
        <v>93</v>
      </c>
      <c r="AB76">
        <v>70</v>
      </c>
      <c r="AC76">
        <v>15</v>
      </c>
      <c r="AD76">
        <v>46</v>
      </c>
      <c r="AE76" s="19" t="s">
        <v>60</v>
      </c>
    </row>
    <row r="77" spans="1:31" x14ac:dyDescent="0.2">
      <c r="A77">
        <v>76</v>
      </c>
      <c r="B77" s="19" t="s">
        <v>480</v>
      </c>
      <c r="C77">
        <v>33</v>
      </c>
      <c r="D77" s="19" t="s">
        <v>343</v>
      </c>
      <c r="E77" s="19" t="s">
        <v>334</v>
      </c>
      <c r="F77">
        <v>22</v>
      </c>
      <c r="G77">
        <v>10</v>
      </c>
      <c r="H77">
        <v>21</v>
      </c>
      <c r="I77">
        <v>31</v>
      </c>
      <c r="J77">
        <v>7</v>
      </c>
      <c r="K77">
        <v>0</v>
      </c>
      <c r="L77">
        <v>5</v>
      </c>
      <c r="M77">
        <v>5</v>
      </c>
      <c r="N77">
        <v>0</v>
      </c>
      <c r="O77">
        <v>1</v>
      </c>
      <c r="P77">
        <v>11</v>
      </c>
      <c r="Q77">
        <v>9</v>
      </c>
      <c r="R77">
        <v>1</v>
      </c>
      <c r="S77">
        <v>55</v>
      </c>
      <c r="T77">
        <v>18.2</v>
      </c>
      <c r="U77">
        <v>91</v>
      </c>
      <c r="V77" s="19" t="s">
        <v>2069</v>
      </c>
      <c r="W77" s="19" t="s">
        <v>2070</v>
      </c>
      <c r="X77">
        <v>1</v>
      </c>
      <c r="Y77">
        <v>2</v>
      </c>
      <c r="Z77">
        <v>33.299999999999997</v>
      </c>
      <c r="AA77">
        <v>13</v>
      </c>
      <c r="AB77">
        <v>12</v>
      </c>
      <c r="AC77">
        <v>11</v>
      </c>
      <c r="AD77">
        <v>27</v>
      </c>
      <c r="AE77" s="19" t="s">
        <v>60</v>
      </c>
    </row>
    <row r="78" spans="1:31" x14ac:dyDescent="0.2">
      <c r="A78">
        <v>77</v>
      </c>
      <c r="B78" s="19" t="s">
        <v>432</v>
      </c>
      <c r="C78">
        <v>30</v>
      </c>
      <c r="D78" s="19" t="s">
        <v>343</v>
      </c>
      <c r="E78" s="19" t="s">
        <v>322</v>
      </c>
      <c r="F78">
        <v>38</v>
      </c>
      <c r="G78">
        <v>12</v>
      </c>
      <c r="H78">
        <v>18</v>
      </c>
      <c r="I78">
        <v>30</v>
      </c>
      <c r="J78">
        <v>7</v>
      </c>
      <c r="K78">
        <v>6</v>
      </c>
      <c r="L78">
        <v>11</v>
      </c>
      <c r="M78">
        <v>1</v>
      </c>
      <c r="N78">
        <v>0</v>
      </c>
      <c r="O78">
        <v>1</v>
      </c>
      <c r="P78">
        <v>17</v>
      </c>
      <c r="Q78">
        <v>1</v>
      </c>
      <c r="R78">
        <v>0</v>
      </c>
      <c r="S78">
        <v>60</v>
      </c>
      <c r="T78">
        <v>20</v>
      </c>
      <c r="U78">
        <v>110</v>
      </c>
      <c r="V78" s="19" t="s">
        <v>2071</v>
      </c>
      <c r="W78" s="19" t="s">
        <v>1784</v>
      </c>
      <c r="X78">
        <v>7</v>
      </c>
      <c r="Y78">
        <v>22</v>
      </c>
      <c r="Z78">
        <v>24.1</v>
      </c>
      <c r="AA78">
        <v>19</v>
      </c>
      <c r="AB78">
        <v>63</v>
      </c>
      <c r="AC78">
        <v>7</v>
      </c>
      <c r="AD78">
        <v>40</v>
      </c>
      <c r="AE78" s="19" t="s">
        <v>60</v>
      </c>
    </row>
    <row r="79" spans="1:31" x14ac:dyDescent="0.2">
      <c r="A79">
        <v>78</v>
      </c>
      <c r="B79" s="19" t="s">
        <v>446</v>
      </c>
      <c r="C79">
        <v>28</v>
      </c>
      <c r="D79" s="19" t="s">
        <v>383</v>
      </c>
      <c r="E79" s="19" t="s">
        <v>322</v>
      </c>
      <c r="F79">
        <v>40</v>
      </c>
      <c r="G79">
        <v>10</v>
      </c>
      <c r="H79">
        <v>20</v>
      </c>
      <c r="I79">
        <v>30</v>
      </c>
      <c r="J79">
        <v>6</v>
      </c>
      <c r="K79">
        <v>39</v>
      </c>
      <c r="L79">
        <v>9</v>
      </c>
      <c r="M79">
        <v>1</v>
      </c>
      <c r="N79">
        <v>0</v>
      </c>
      <c r="O79">
        <v>1</v>
      </c>
      <c r="P79">
        <v>12</v>
      </c>
      <c r="Q79">
        <v>8</v>
      </c>
      <c r="R79">
        <v>0</v>
      </c>
      <c r="S79">
        <v>91</v>
      </c>
      <c r="T79">
        <v>11</v>
      </c>
      <c r="U79">
        <v>179</v>
      </c>
      <c r="V79" s="19" t="s">
        <v>2072</v>
      </c>
      <c r="W79" s="19" t="s">
        <v>843</v>
      </c>
      <c r="X79">
        <v>129</v>
      </c>
      <c r="Y79">
        <v>212</v>
      </c>
      <c r="Z79">
        <v>37.799999999999997</v>
      </c>
      <c r="AA79">
        <v>26</v>
      </c>
      <c r="AB79">
        <v>16</v>
      </c>
      <c r="AC79">
        <v>21</v>
      </c>
      <c r="AD79">
        <v>45</v>
      </c>
      <c r="AE79" s="19" t="s">
        <v>60</v>
      </c>
    </row>
    <row r="80" spans="1:31" x14ac:dyDescent="0.2">
      <c r="A80">
        <v>79</v>
      </c>
      <c r="B80" s="19" t="s">
        <v>409</v>
      </c>
      <c r="C80">
        <v>30</v>
      </c>
      <c r="D80" s="19" t="s">
        <v>329</v>
      </c>
      <c r="E80" s="19" t="s">
        <v>339</v>
      </c>
      <c r="F80">
        <v>37</v>
      </c>
      <c r="G80">
        <v>19</v>
      </c>
      <c r="H80">
        <v>11</v>
      </c>
      <c r="I80">
        <v>30</v>
      </c>
      <c r="J80">
        <v>-11</v>
      </c>
      <c r="K80">
        <v>22</v>
      </c>
      <c r="L80">
        <v>11</v>
      </c>
      <c r="M80">
        <v>8</v>
      </c>
      <c r="N80">
        <v>0</v>
      </c>
      <c r="O80">
        <v>1</v>
      </c>
      <c r="P80">
        <v>5</v>
      </c>
      <c r="Q80">
        <v>6</v>
      </c>
      <c r="R80">
        <v>0</v>
      </c>
      <c r="S80">
        <v>78</v>
      </c>
      <c r="T80">
        <v>24.4</v>
      </c>
      <c r="U80">
        <v>143</v>
      </c>
      <c r="V80" s="19" t="s">
        <v>2073</v>
      </c>
      <c r="W80" s="19" t="s">
        <v>2074</v>
      </c>
      <c r="X80">
        <v>35</v>
      </c>
      <c r="Y80">
        <v>33</v>
      </c>
      <c r="Z80">
        <v>51.5</v>
      </c>
      <c r="AA80">
        <v>11</v>
      </c>
      <c r="AB80">
        <v>32</v>
      </c>
      <c r="AC80">
        <v>8</v>
      </c>
      <c r="AD80">
        <v>33</v>
      </c>
      <c r="AE80" s="19" t="s">
        <v>60</v>
      </c>
    </row>
    <row r="81" spans="1:31" x14ac:dyDescent="0.2">
      <c r="A81">
        <v>80</v>
      </c>
      <c r="B81" s="19" t="s">
        <v>488</v>
      </c>
      <c r="C81">
        <v>23</v>
      </c>
      <c r="D81" s="19" t="s">
        <v>464</v>
      </c>
      <c r="E81" s="19" t="s">
        <v>334</v>
      </c>
      <c r="F81">
        <v>39</v>
      </c>
      <c r="G81">
        <v>6</v>
      </c>
      <c r="H81">
        <v>24</v>
      </c>
      <c r="I81">
        <v>30</v>
      </c>
      <c r="J81">
        <v>8</v>
      </c>
      <c r="K81">
        <v>8</v>
      </c>
      <c r="L81">
        <v>5</v>
      </c>
      <c r="M81">
        <v>1</v>
      </c>
      <c r="N81">
        <v>0</v>
      </c>
      <c r="O81">
        <v>0</v>
      </c>
      <c r="P81">
        <v>14</v>
      </c>
      <c r="Q81">
        <v>10</v>
      </c>
      <c r="R81">
        <v>0</v>
      </c>
      <c r="S81">
        <v>90</v>
      </c>
      <c r="T81">
        <v>6.7</v>
      </c>
      <c r="U81">
        <v>159</v>
      </c>
      <c r="V81" s="19" t="s">
        <v>2075</v>
      </c>
      <c r="W81" s="19" t="s">
        <v>2076</v>
      </c>
      <c r="X81">
        <v>0</v>
      </c>
      <c r="Y81">
        <v>1</v>
      </c>
      <c r="Z81">
        <v>0</v>
      </c>
      <c r="AA81">
        <v>7</v>
      </c>
      <c r="AB81">
        <v>7</v>
      </c>
      <c r="AC81">
        <v>12</v>
      </c>
      <c r="AD81">
        <v>33</v>
      </c>
      <c r="AE81" s="19" t="s">
        <v>60</v>
      </c>
    </row>
    <row r="82" spans="1:31" x14ac:dyDescent="0.2">
      <c r="A82">
        <v>81</v>
      </c>
      <c r="B82" s="19" t="s">
        <v>449</v>
      </c>
      <c r="C82">
        <v>32</v>
      </c>
      <c r="D82" s="19" t="s">
        <v>343</v>
      </c>
      <c r="E82" s="19" t="s">
        <v>322</v>
      </c>
      <c r="F82">
        <v>38</v>
      </c>
      <c r="G82">
        <v>15</v>
      </c>
      <c r="H82">
        <v>15</v>
      </c>
      <c r="I82">
        <v>30</v>
      </c>
      <c r="J82">
        <v>-5</v>
      </c>
      <c r="K82">
        <v>23</v>
      </c>
      <c r="L82">
        <v>8</v>
      </c>
      <c r="M82">
        <v>7</v>
      </c>
      <c r="N82">
        <v>0</v>
      </c>
      <c r="O82">
        <v>2</v>
      </c>
      <c r="P82">
        <v>10</v>
      </c>
      <c r="Q82">
        <v>5</v>
      </c>
      <c r="R82">
        <v>0</v>
      </c>
      <c r="S82">
        <v>103</v>
      </c>
      <c r="T82">
        <v>14.6</v>
      </c>
      <c r="U82">
        <v>206</v>
      </c>
      <c r="V82" s="19" t="s">
        <v>2077</v>
      </c>
      <c r="W82" s="19" t="s">
        <v>2078</v>
      </c>
      <c r="X82">
        <v>350</v>
      </c>
      <c r="Y82">
        <v>256</v>
      </c>
      <c r="Z82">
        <v>57.8</v>
      </c>
      <c r="AA82">
        <v>16</v>
      </c>
      <c r="AB82">
        <v>50</v>
      </c>
      <c r="AC82">
        <v>10</v>
      </c>
      <c r="AD82">
        <v>28</v>
      </c>
      <c r="AE82" s="19" t="s">
        <v>60</v>
      </c>
    </row>
    <row r="83" spans="1:31" x14ac:dyDescent="0.2">
      <c r="A83">
        <v>82</v>
      </c>
      <c r="B83" s="19" t="s">
        <v>505</v>
      </c>
      <c r="C83">
        <v>35</v>
      </c>
      <c r="D83" s="19" t="s">
        <v>375</v>
      </c>
      <c r="E83" s="19" t="s">
        <v>348</v>
      </c>
      <c r="F83">
        <v>39</v>
      </c>
      <c r="G83">
        <v>3</v>
      </c>
      <c r="H83">
        <v>27</v>
      </c>
      <c r="I83">
        <v>30</v>
      </c>
      <c r="J83">
        <v>-5</v>
      </c>
      <c r="K83">
        <v>14</v>
      </c>
      <c r="L83">
        <v>1</v>
      </c>
      <c r="M83">
        <v>2</v>
      </c>
      <c r="N83">
        <v>0</v>
      </c>
      <c r="O83">
        <v>0</v>
      </c>
      <c r="P83">
        <v>17</v>
      </c>
      <c r="Q83">
        <v>10</v>
      </c>
      <c r="R83">
        <v>0</v>
      </c>
      <c r="S83">
        <v>86</v>
      </c>
      <c r="T83">
        <v>3.5</v>
      </c>
      <c r="U83">
        <v>231</v>
      </c>
      <c r="V83" s="19" t="s">
        <v>2079</v>
      </c>
      <c r="W83" s="19" t="s">
        <v>1947</v>
      </c>
      <c r="X83">
        <v>0</v>
      </c>
      <c r="Y83">
        <v>0</v>
      </c>
      <c r="AA83">
        <v>38</v>
      </c>
      <c r="AB83">
        <v>8</v>
      </c>
      <c r="AC83">
        <v>19</v>
      </c>
      <c r="AD83">
        <v>57</v>
      </c>
      <c r="AE83" s="19" t="s">
        <v>60</v>
      </c>
    </row>
    <row r="84" spans="1:31" x14ac:dyDescent="0.2">
      <c r="A84">
        <v>83</v>
      </c>
      <c r="B84" s="19" t="s">
        <v>495</v>
      </c>
      <c r="C84">
        <v>34</v>
      </c>
      <c r="D84" s="19" t="s">
        <v>321</v>
      </c>
      <c r="E84" s="19" t="s">
        <v>322</v>
      </c>
      <c r="F84">
        <v>39</v>
      </c>
      <c r="G84">
        <v>16</v>
      </c>
      <c r="H84">
        <v>14</v>
      </c>
      <c r="I84">
        <v>30</v>
      </c>
      <c r="J84">
        <v>14</v>
      </c>
      <c r="K84">
        <v>16</v>
      </c>
      <c r="L84">
        <v>12</v>
      </c>
      <c r="M84">
        <v>4</v>
      </c>
      <c r="N84">
        <v>0</v>
      </c>
      <c r="O84">
        <v>4</v>
      </c>
      <c r="P84">
        <v>11</v>
      </c>
      <c r="Q84">
        <v>3</v>
      </c>
      <c r="R84">
        <v>0</v>
      </c>
      <c r="S84">
        <v>76</v>
      </c>
      <c r="T84">
        <v>21.1</v>
      </c>
      <c r="U84">
        <v>139</v>
      </c>
      <c r="V84" s="19" t="s">
        <v>2080</v>
      </c>
      <c r="W84" s="19" t="s">
        <v>1791</v>
      </c>
      <c r="X84">
        <v>336</v>
      </c>
      <c r="Y84">
        <v>343</v>
      </c>
      <c r="Z84">
        <v>49.5</v>
      </c>
      <c r="AA84">
        <v>32</v>
      </c>
      <c r="AB84">
        <v>20</v>
      </c>
      <c r="AC84">
        <v>11</v>
      </c>
      <c r="AD84">
        <v>29</v>
      </c>
      <c r="AE84" s="19" t="s">
        <v>60</v>
      </c>
    </row>
    <row r="85" spans="1:31" x14ac:dyDescent="0.2">
      <c r="A85">
        <v>84</v>
      </c>
      <c r="B85" s="19" t="s">
        <v>425</v>
      </c>
      <c r="C85">
        <v>20</v>
      </c>
      <c r="D85" s="19" t="s">
        <v>336</v>
      </c>
      <c r="E85" s="19" t="s">
        <v>325</v>
      </c>
      <c r="F85">
        <v>40</v>
      </c>
      <c r="G85">
        <v>12</v>
      </c>
      <c r="H85">
        <v>18</v>
      </c>
      <c r="I85">
        <v>30</v>
      </c>
      <c r="J85">
        <v>-1</v>
      </c>
      <c r="K85">
        <v>28</v>
      </c>
      <c r="L85">
        <v>10</v>
      </c>
      <c r="M85">
        <v>1</v>
      </c>
      <c r="N85">
        <v>1</v>
      </c>
      <c r="O85">
        <v>0</v>
      </c>
      <c r="P85">
        <v>14</v>
      </c>
      <c r="Q85">
        <v>4</v>
      </c>
      <c r="R85">
        <v>0</v>
      </c>
      <c r="S85">
        <v>76</v>
      </c>
      <c r="T85">
        <v>15.8</v>
      </c>
      <c r="U85">
        <v>144</v>
      </c>
      <c r="V85" s="19" t="s">
        <v>2081</v>
      </c>
      <c r="W85" s="19" t="s">
        <v>1786</v>
      </c>
      <c r="X85">
        <v>2</v>
      </c>
      <c r="Y85">
        <v>2</v>
      </c>
      <c r="Z85">
        <v>50</v>
      </c>
      <c r="AA85">
        <v>13</v>
      </c>
      <c r="AB85">
        <v>39</v>
      </c>
      <c r="AC85">
        <v>10</v>
      </c>
      <c r="AD85">
        <v>42</v>
      </c>
      <c r="AE85" s="19" t="s">
        <v>60</v>
      </c>
    </row>
    <row r="86" spans="1:31" x14ac:dyDescent="0.2">
      <c r="A86">
        <v>85</v>
      </c>
      <c r="B86" s="19" t="s">
        <v>559</v>
      </c>
      <c r="C86">
        <v>21</v>
      </c>
      <c r="D86" s="19" t="s">
        <v>363</v>
      </c>
      <c r="E86" s="19" t="s">
        <v>339</v>
      </c>
      <c r="F86">
        <v>40</v>
      </c>
      <c r="G86">
        <v>14</v>
      </c>
      <c r="H86">
        <v>16</v>
      </c>
      <c r="I86">
        <v>30</v>
      </c>
      <c r="J86">
        <v>7</v>
      </c>
      <c r="K86">
        <v>38</v>
      </c>
      <c r="L86">
        <v>7</v>
      </c>
      <c r="M86">
        <v>7</v>
      </c>
      <c r="N86">
        <v>0</v>
      </c>
      <c r="O86">
        <v>2</v>
      </c>
      <c r="P86">
        <v>10</v>
      </c>
      <c r="Q86">
        <v>6</v>
      </c>
      <c r="R86">
        <v>0</v>
      </c>
      <c r="S86">
        <v>80</v>
      </c>
      <c r="T86">
        <v>17.5</v>
      </c>
      <c r="U86">
        <v>168</v>
      </c>
      <c r="V86" s="19" t="s">
        <v>2082</v>
      </c>
      <c r="W86" s="19" t="s">
        <v>2083</v>
      </c>
      <c r="X86">
        <v>11</v>
      </c>
      <c r="Y86">
        <v>25</v>
      </c>
      <c r="Z86">
        <v>30.6</v>
      </c>
      <c r="AA86">
        <v>39</v>
      </c>
      <c r="AB86">
        <v>64</v>
      </c>
      <c r="AC86">
        <v>6</v>
      </c>
      <c r="AD86">
        <v>25</v>
      </c>
      <c r="AE86" s="19" t="s">
        <v>60</v>
      </c>
    </row>
    <row r="87" spans="1:31" x14ac:dyDescent="0.2">
      <c r="A87">
        <v>86</v>
      </c>
      <c r="B87" s="19" t="s">
        <v>581</v>
      </c>
      <c r="C87">
        <v>25</v>
      </c>
      <c r="D87" s="19" t="s">
        <v>398</v>
      </c>
      <c r="E87" s="19" t="s">
        <v>334</v>
      </c>
      <c r="F87">
        <v>40</v>
      </c>
      <c r="G87">
        <v>11</v>
      </c>
      <c r="H87">
        <v>19</v>
      </c>
      <c r="I87">
        <v>30</v>
      </c>
      <c r="J87">
        <v>-1</v>
      </c>
      <c r="K87">
        <v>28</v>
      </c>
      <c r="L87">
        <v>7</v>
      </c>
      <c r="M87">
        <v>4</v>
      </c>
      <c r="N87">
        <v>0</v>
      </c>
      <c r="O87">
        <v>1</v>
      </c>
      <c r="P87">
        <v>14</v>
      </c>
      <c r="Q87">
        <v>5</v>
      </c>
      <c r="R87">
        <v>0</v>
      </c>
      <c r="S87">
        <v>113</v>
      </c>
      <c r="T87">
        <v>9.6999999999999993</v>
      </c>
      <c r="U87">
        <v>244</v>
      </c>
      <c r="V87" s="19" t="s">
        <v>2084</v>
      </c>
      <c r="W87" s="19" t="s">
        <v>2085</v>
      </c>
      <c r="X87">
        <v>5</v>
      </c>
      <c r="Y87">
        <v>5</v>
      </c>
      <c r="Z87">
        <v>50</v>
      </c>
      <c r="AA87">
        <v>8</v>
      </c>
      <c r="AB87">
        <v>66</v>
      </c>
      <c r="AC87">
        <v>10</v>
      </c>
      <c r="AD87">
        <v>46</v>
      </c>
      <c r="AE87" s="19" t="s">
        <v>60</v>
      </c>
    </row>
    <row r="88" spans="1:31" x14ac:dyDescent="0.2">
      <c r="A88">
        <v>87</v>
      </c>
      <c r="B88" s="19" t="s">
        <v>431</v>
      </c>
      <c r="C88">
        <v>32</v>
      </c>
      <c r="D88" s="19" t="s">
        <v>361</v>
      </c>
      <c r="E88" s="19" t="s">
        <v>322</v>
      </c>
      <c r="F88">
        <v>41</v>
      </c>
      <c r="G88">
        <v>12</v>
      </c>
      <c r="H88">
        <v>18</v>
      </c>
      <c r="I88">
        <v>30</v>
      </c>
      <c r="J88">
        <v>-12</v>
      </c>
      <c r="K88">
        <v>6</v>
      </c>
      <c r="L88">
        <v>4</v>
      </c>
      <c r="M88">
        <v>7</v>
      </c>
      <c r="N88">
        <v>1</v>
      </c>
      <c r="O88">
        <v>2</v>
      </c>
      <c r="P88">
        <v>12</v>
      </c>
      <c r="Q88">
        <v>6</v>
      </c>
      <c r="R88">
        <v>0</v>
      </c>
      <c r="S88">
        <v>108</v>
      </c>
      <c r="T88">
        <v>11.1</v>
      </c>
      <c r="U88">
        <v>209</v>
      </c>
      <c r="V88" s="19" t="s">
        <v>2086</v>
      </c>
      <c r="W88" s="19" t="s">
        <v>2087</v>
      </c>
      <c r="X88">
        <v>284</v>
      </c>
      <c r="Y88">
        <v>272</v>
      </c>
      <c r="Z88">
        <v>51.1</v>
      </c>
      <c r="AA88">
        <v>30</v>
      </c>
      <c r="AB88">
        <v>63</v>
      </c>
      <c r="AC88">
        <v>15</v>
      </c>
      <c r="AD88">
        <v>55</v>
      </c>
      <c r="AE88" s="19" t="s">
        <v>60</v>
      </c>
    </row>
    <row r="89" spans="1:31" x14ac:dyDescent="0.2">
      <c r="A89">
        <v>88</v>
      </c>
      <c r="B89" s="19" t="s">
        <v>450</v>
      </c>
      <c r="C89">
        <v>26</v>
      </c>
      <c r="D89" s="19" t="s">
        <v>984</v>
      </c>
      <c r="E89" s="19" t="s">
        <v>348</v>
      </c>
      <c r="F89">
        <v>35</v>
      </c>
      <c r="G89">
        <v>3</v>
      </c>
      <c r="H89">
        <v>27</v>
      </c>
      <c r="I89">
        <v>30</v>
      </c>
      <c r="J89">
        <v>-5</v>
      </c>
      <c r="K89">
        <v>12</v>
      </c>
      <c r="L89">
        <v>1</v>
      </c>
      <c r="M89">
        <v>2</v>
      </c>
      <c r="N89">
        <v>0</v>
      </c>
      <c r="O89">
        <v>0</v>
      </c>
      <c r="P89">
        <v>14</v>
      </c>
      <c r="Q89">
        <v>13</v>
      </c>
      <c r="R89">
        <v>0</v>
      </c>
      <c r="S89">
        <v>91</v>
      </c>
      <c r="T89">
        <v>3.3</v>
      </c>
      <c r="U89">
        <v>232</v>
      </c>
      <c r="V89" s="19" t="s">
        <v>2088</v>
      </c>
      <c r="W89" s="19" t="s">
        <v>1641</v>
      </c>
      <c r="X89">
        <v>0</v>
      </c>
      <c r="Y89">
        <v>0</v>
      </c>
      <c r="AA89">
        <v>42</v>
      </c>
      <c r="AB89">
        <v>4</v>
      </c>
      <c r="AC89">
        <v>14</v>
      </c>
      <c r="AD89">
        <v>48</v>
      </c>
      <c r="AE89" s="19" t="s">
        <v>60</v>
      </c>
    </row>
    <row r="90" spans="1:31" x14ac:dyDescent="0.2">
      <c r="A90">
        <v>88</v>
      </c>
      <c r="B90" s="19" t="s">
        <v>450</v>
      </c>
      <c r="C90">
        <v>26</v>
      </c>
      <c r="D90" s="19" t="s">
        <v>451</v>
      </c>
      <c r="E90" s="19" t="s">
        <v>348</v>
      </c>
      <c r="F90">
        <v>26</v>
      </c>
      <c r="G90">
        <v>2</v>
      </c>
      <c r="H90">
        <v>21</v>
      </c>
      <c r="I90">
        <v>23</v>
      </c>
      <c r="J90">
        <v>-10</v>
      </c>
      <c r="K90">
        <v>12</v>
      </c>
      <c r="L90">
        <v>0</v>
      </c>
      <c r="M90">
        <v>2</v>
      </c>
      <c r="N90">
        <v>0</v>
      </c>
      <c r="O90">
        <v>0</v>
      </c>
      <c r="P90">
        <v>11</v>
      </c>
      <c r="Q90">
        <v>10</v>
      </c>
      <c r="R90">
        <v>0</v>
      </c>
      <c r="S90">
        <v>74</v>
      </c>
      <c r="T90">
        <v>2.7</v>
      </c>
      <c r="U90">
        <v>190</v>
      </c>
      <c r="V90" s="19" t="s">
        <v>1640</v>
      </c>
      <c r="W90" s="19" t="s">
        <v>1641</v>
      </c>
      <c r="X90">
        <v>0</v>
      </c>
      <c r="Y90">
        <v>0</v>
      </c>
      <c r="AA90">
        <v>32</v>
      </c>
      <c r="AB90">
        <v>1</v>
      </c>
      <c r="AC90">
        <v>10</v>
      </c>
      <c r="AD90">
        <v>41</v>
      </c>
      <c r="AE90" s="19" t="s">
        <v>60</v>
      </c>
    </row>
    <row r="91" spans="1:31" x14ac:dyDescent="0.2">
      <c r="A91">
        <v>88</v>
      </c>
      <c r="B91" s="19" t="s">
        <v>450</v>
      </c>
      <c r="C91">
        <v>26</v>
      </c>
      <c r="D91" s="19" t="s">
        <v>357</v>
      </c>
      <c r="E91" s="19" t="s">
        <v>348</v>
      </c>
      <c r="F91">
        <v>9</v>
      </c>
      <c r="G91">
        <v>1</v>
      </c>
      <c r="H91">
        <v>6</v>
      </c>
      <c r="I91">
        <v>7</v>
      </c>
      <c r="J91">
        <v>5</v>
      </c>
      <c r="K91">
        <v>0</v>
      </c>
      <c r="L91">
        <v>1</v>
      </c>
      <c r="M91">
        <v>0</v>
      </c>
      <c r="N91">
        <v>0</v>
      </c>
      <c r="O91">
        <v>0</v>
      </c>
      <c r="P91">
        <v>3</v>
      </c>
      <c r="Q91">
        <v>3</v>
      </c>
      <c r="R91">
        <v>0</v>
      </c>
      <c r="S91">
        <v>17</v>
      </c>
      <c r="T91">
        <v>5.9</v>
      </c>
      <c r="U91">
        <v>42</v>
      </c>
      <c r="V91" s="19" t="s">
        <v>2089</v>
      </c>
      <c r="W91" s="19" t="s">
        <v>1641</v>
      </c>
      <c r="X91">
        <v>0</v>
      </c>
      <c r="Y91">
        <v>0</v>
      </c>
      <c r="AA91">
        <v>10</v>
      </c>
      <c r="AB91">
        <v>3</v>
      </c>
      <c r="AC91">
        <v>4</v>
      </c>
      <c r="AD91">
        <v>7</v>
      </c>
      <c r="AE91" s="19" t="s">
        <v>60</v>
      </c>
    </row>
    <row r="92" spans="1:31" x14ac:dyDescent="0.2">
      <c r="A92">
        <v>89</v>
      </c>
      <c r="B92" s="19" t="s">
        <v>521</v>
      </c>
      <c r="C92">
        <v>29</v>
      </c>
      <c r="D92" s="19" t="s">
        <v>372</v>
      </c>
      <c r="E92" s="19" t="s">
        <v>322</v>
      </c>
      <c r="F92">
        <v>39</v>
      </c>
      <c r="G92">
        <v>13</v>
      </c>
      <c r="H92">
        <v>16</v>
      </c>
      <c r="I92">
        <v>29</v>
      </c>
      <c r="J92">
        <v>-1</v>
      </c>
      <c r="K92">
        <v>38</v>
      </c>
      <c r="L92">
        <v>12</v>
      </c>
      <c r="M92">
        <v>1</v>
      </c>
      <c r="N92">
        <v>0</v>
      </c>
      <c r="O92">
        <v>4</v>
      </c>
      <c r="P92">
        <v>10</v>
      </c>
      <c r="Q92">
        <v>6</v>
      </c>
      <c r="R92">
        <v>0</v>
      </c>
      <c r="S92">
        <v>97</v>
      </c>
      <c r="T92">
        <v>13.4</v>
      </c>
      <c r="U92">
        <v>205</v>
      </c>
      <c r="V92" s="19" t="s">
        <v>2090</v>
      </c>
      <c r="W92" s="19" t="s">
        <v>445</v>
      </c>
      <c r="X92">
        <v>271</v>
      </c>
      <c r="Y92">
        <v>275</v>
      </c>
      <c r="Z92">
        <v>49.6</v>
      </c>
      <c r="AA92">
        <v>16</v>
      </c>
      <c r="AB92">
        <v>81</v>
      </c>
      <c r="AC92">
        <v>13</v>
      </c>
      <c r="AD92">
        <v>37</v>
      </c>
      <c r="AE92" s="19" t="s">
        <v>60</v>
      </c>
    </row>
    <row r="93" spans="1:31" x14ac:dyDescent="0.2">
      <c r="A93">
        <v>90</v>
      </c>
      <c r="B93" s="19" t="s">
        <v>434</v>
      </c>
      <c r="C93">
        <v>36</v>
      </c>
      <c r="D93" s="19" t="s">
        <v>366</v>
      </c>
      <c r="E93" s="19" t="s">
        <v>348</v>
      </c>
      <c r="F93">
        <v>37</v>
      </c>
      <c r="G93">
        <v>8</v>
      </c>
      <c r="H93">
        <v>21</v>
      </c>
      <c r="I93">
        <v>29</v>
      </c>
      <c r="J93">
        <v>7</v>
      </c>
      <c r="K93">
        <v>12</v>
      </c>
      <c r="L93">
        <v>8</v>
      </c>
      <c r="M93">
        <v>0</v>
      </c>
      <c r="N93">
        <v>0</v>
      </c>
      <c r="O93">
        <v>0</v>
      </c>
      <c r="P93">
        <v>15</v>
      </c>
      <c r="Q93">
        <v>6</v>
      </c>
      <c r="R93">
        <v>0</v>
      </c>
      <c r="S93">
        <v>73</v>
      </c>
      <c r="T93">
        <v>11</v>
      </c>
      <c r="U93">
        <v>182</v>
      </c>
      <c r="V93" s="19" t="s">
        <v>2091</v>
      </c>
      <c r="W93" s="19" t="s">
        <v>2092</v>
      </c>
      <c r="X93">
        <v>0</v>
      </c>
      <c r="Y93">
        <v>0</v>
      </c>
      <c r="AA93">
        <v>55</v>
      </c>
      <c r="AB93">
        <v>13</v>
      </c>
      <c r="AC93">
        <v>26</v>
      </c>
      <c r="AD93">
        <v>63</v>
      </c>
      <c r="AE93" s="19" t="s">
        <v>60</v>
      </c>
    </row>
    <row r="94" spans="1:31" x14ac:dyDescent="0.2">
      <c r="A94">
        <v>91</v>
      </c>
      <c r="B94" s="19" t="s">
        <v>525</v>
      </c>
      <c r="C94">
        <v>24</v>
      </c>
      <c r="D94" s="19" t="s">
        <v>418</v>
      </c>
      <c r="E94" s="19" t="s">
        <v>322</v>
      </c>
      <c r="F94">
        <v>39</v>
      </c>
      <c r="G94">
        <v>11</v>
      </c>
      <c r="H94">
        <v>18</v>
      </c>
      <c r="I94">
        <v>29</v>
      </c>
      <c r="J94">
        <v>-12</v>
      </c>
      <c r="K94">
        <v>36</v>
      </c>
      <c r="L94">
        <v>5</v>
      </c>
      <c r="M94">
        <v>6</v>
      </c>
      <c r="N94">
        <v>0</v>
      </c>
      <c r="O94">
        <v>0</v>
      </c>
      <c r="P94">
        <v>8</v>
      </c>
      <c r="Q94">
        <v>10</v>
      </c>
      <c r="R94">
        <v>0</v>
      </c>
      <c r="S94">
        <v>90</v>
      </c>
      <c r="T94">
        <v>12.2</v>
      </c>
      <c r="U94">
        <v>165</v>
      </c>
      <c r="V94" s="19" t="s">
        <v>2093</v>
      </c>
      <c r="W94" s="19" t="s">
        <v>2094</v>
      </c>
      <c r="X94">
        <v>240</v>
      </c>
      <c r="Y94">
        <v>200</v>
      </c>
      <c r="Z94">
        <v>54.5</v>
      </c>
      <c r="AA94">
        <v>15</v>
      </c>
      <c r="AB94">
        <v>112</v>
      </c>
      <c r="AC94">
        <v>8</v>
      </c>
      <c r="AD94">
        <v>27</v>
      </c>
      <c r="AE94" s="19" t="s">
        <v>60</v>
      </c>
    </row>
    <row r="95" spans="1:31" x14ac:dyDescent="0.2">
      <c r="A95">
        <v>92</v>
      </c>
      <c r="B95" s="19" t="s">
        <v>487</v>
      </c>
      <c r="C95">
        <v>29</v>
      </c>
      <c r="D95" s="19" t="s">
        <v>398</v>
      </c>
      <c r="E95" s="19" t="s">
        <v>339</v>
      </c>
      <c r="F95">
        <v>40</v>
      </c>
      <c r="G95">
        <v>9</v>
      </c>
      <c r="H95">
        <v>20</v>
      </c>
      <c r="I95">
        <v>29</v>
      </c>
      <c r="J95">
        <v>2</v>
      </c>
      <c r="K95">
        <v>8</v>
      </c>
      <c r="L95">
        <v>6</v>
      </c>
      <c r="M95">
        <v>3</v>
      </c>
      <c r="N95">
        <v>0</v>
      </c>
      <c r="O95">
        <v>3</v>
      </c>
      <c r="P95">
        <v>12</v>
      </c>
      <c r="Q95">
        <v>8</v>
      </c>
      <c r="R95">
        <v>0</v>
      </c>
      <c r="S95">
        <v>97</v>
      </c>
      <c r="T95">
        <v>9.3000000000000007</v>
      </c>
      <c r="U95">
        <v>219</v>
      </c>
      <c r="V95" s="19" t="s">
        <v>2095</v>
      </c>
      <c r="W95" s="19" t="s">
        <v>2096</v>
      </c>
      <c r="X95">
        <v>11</v>
      </c>
      <c r="Y95">
        <v>17</v>
      </c>
      <c r="Z95">
        <v>39.299999999999997</v>
      </c>
      <c r="AA95">
        <v>8</v>
      </c>
      <c r="AB95">
        <v>6</v>
      </c>
      <c r="AC95">
        <v>14</v>
      </c>
      <c r="AD95">
        <v>44</v>
      </c>
      <c r="AE95" s="19" t="s">
        <v>60</v>
      </c>
    </row>
    <row r="96" spans="1:31" x14ac:dyDescent="0.2">
      <c r="A96">
        <v>93</v>
      </c>
      <c r="B96" s="19" t="s">
        <v>542</v>
      </c>
      <c r="C96">
        <v>29</v>
      </c>
      <c r="D96" s="19" t="s">
        <v>357</v>
      </c>
      <c r="E96" s="19" t="s">
        <v>322</v>
      </c>
      <c r="F96">
        <v>41</v>
      </c>
      <c r="G96">
        <v>10</v>
      </c>
      <c r="H96">
        <v>19</v>
      </c>
      <c r="I96">
        <v>29</v>
      </c>
      <c r="J96">
        <v>11</v>
      </c>
      <c r="K96">
        <v>18</v>
      </c>
      <c r="L96">
        <v>8</v>
      </c>
      <c r="M96">
        <v>2</v>
      </c>
      <c r="N96">
        <v>0</v>
      </c>
      <c r="O96">
        <v>2</v>
      </c>
      <c r="P96">
        <v>13</v>
      </c>
      <c r="Q96">
        <v>6</v>
      </c>
      <c r="R96">
        <v>0</v>
      </c>
      <c r="S96">
        <v>118</v>
      </c>
      <c r="T96">
        <v>8.5</v>
      </c>
      <c r="U96">
        <v>198</v>
      </c>
      <c r="V96" s="19" t="s">
        <v>2097</v>
      </c>
      <c r="W96" s="19" t="s">
        <v>1587</v>
      </c>
      <c r="X96">
        <v>428</v>
      </c>
      <c r="Y96">
        <v>438</v>
      </c>
      <c r="Z96">
        <v>49.4</v>
      </c>
      <c r="AA96">
        <v>18</v>
      </c>
      <c r="AB96">
        <v>66</v>
      </c>
      <c r="AC96">
        <v>11</v>
      </c>
      <c r="AD96">
        <v>29</v>
      </c>
      <c r="AE96" s="19" t="s">
        <v>60</v>
      </c>
    </row>
    <row r="97" spans="1:31" x14ac:dyDescent="0.2">
      <c r="A97">
        <v>94</v>
      </c>
      <c r="B97" s="19" t="s">
        <v>460</v>
      </c>
      <c r="C97">
        <v>32</v>
      </c>
      <c r="D97" s="19" t="s">
        <v>398</v>
      </c>
      <c r="E97" s="19" t="s">
        <v>348</v>
      </c>
      <c r="F97">
        <v>28</v>
      </c>
      <c r="G97">
        <v>4</v>
      </c>
      <c r="H97">
        <v>25</v>
      </c>
      <c r="I97">
        <v>29</v>
      </c>
      <c r="J97">
        <v>12</v>
      </c>
      <c r="K97">
        <v>4</v>
      </c>
      <c r="L97">
        <v>2</v>
      </c>
      <c r="M97">
        <v>2</v>
      </c>
      <c r="N97">
        <v>0</v>
      </c>
      <c r="O97">
        <v>1</v>
      </c>
      <c r="P97">
        <v>19</v>
      </c>
      <c r="Q97">
        <v>6</v>
      </c>
      <c r="R97">
        <v>0</v>
      </c>
      <c r="S97">
        <v>48</v>
      </c>
      <c r="T97">
        <v>8.3000000000000007</v>
      </c>
      <c r="U97">
        <v>129</v>
      </c>
      <c r="V97" s="19" t="s">
        <v>1911</v>
      </c>
      <c r="W97" s="19" t="s">
        <v>413</v>
      </c>
      <c r="X97">
        <v>0</v>
      </c>
      <c r="Y97">
        <v>0</v>
      </c>
      <c r="AA97">
        <v>26</v>
      </c>
      <c r="AB97">
        <v>11</v>
      </c>
      <c r="AC97">
        <v>9</v>
      </c>
      <c r="AD97">
        <v>30</v>
      </c>
      <c r="AE97" s="19" t="s">
        <v>60</v>
      </c>
    </row>
    <row r="98" spans="1:31" x14ac:dyDescent="0.2">
      <c r="A98">
        <v>95</v>
      </c>
      <c r="B98" s="19" t="s">
        <v>419</v>
      </c>
      <c r="C98">
        <v>23</v>
      </c>
      <c r="D98" s="19" t="s">
        <v>398</v>
      </c>
      <c r="E98" s="19" t="s">
        <v>322</v>
      </c>
      <c r="F98">
        <v>34</v>
      </c>
      <c r="G98">
        <v>19</v>
      </c>
      <c r="H98">
        <v>10</v>
      </c>
      <c r="I98">
        <v>29</v>
      </c>
      <c r="J98">
        <v>0</v>
      </c>
      <c r="K98">
        <v>6</v>
      </c>
      <c r="L98">
        <v>16</v>
      </c>
      <c r="M98">
        <v>1</v>
      </c>
      <c r="N98">
        <v>2</v>
      </c>
      <c r="O98">
        <v>4</v>
      </c>
      <c r="P98">
        <v>8</v>
      </c>
      <c r="Q98">
        <v>2</v>
      </c>
      <c r="R98">
        <v>0</v>
      </c>
      <c r="S98">
        <v>110</v>
      </c>
      <c r="T98">
        <v>17.3</v>
      </c>
      <c r="U98">
        <v>171</v>
      </c>
      <c r="V98" s="19" t="s">
        <v>1753</v>
      </c>
      <c r="W98" s="19" t="s">
        <v>423</v>
      </c>
      <c r="X98">
        <v>20</v>
      </c>
      <c r="Y98">
        <v>30</v>
      </c>
      <c r="Z98">
        <v>40</v>
      </c>
      <c r="AA98">
        <v>13</v>
      </c>
      <c r="AB98">
        <v>43</v>
      </c>
      <c r="AC98">
        <v>19</v>
      </c>
      <c r="AD98">
        <v>33</v>
      </c>
      <c r="AE98" s="19" t="s">
        <v>60</v>
      </c>
    </row>
    <row r="99" spans="1:31" x14ac:dyDescent="0.2">
      <c r="A99">
        <v>96</v>
      </c>
      <c r="B99" s="19" t="s">
        <v>384</v>
      </c>
      <c r="C99">
        <v>39</v>
      </c>
      <c r="D99" s="19" t="s">
        <v>375</v>
      </c>
      <c r="E99" s="19" t="s">
        <v>322</v>
      </c>
      <c r="F99">
        <v>26</v>
      </c>
      <c r="G99">
        <v>8</v>
      </c>
      <c r="H99">
        <v>21</v>
      </c>
      <c r="I99">
        <v>29</v>
      </c>
      <c r="J99">
        <v>5</v>
      </c>
      <c r="K99">
        <v>20</v>
      </c>
      <c r="L99">
        <v>6</v>
      </c>
      <c r="M99">
        <v>2</v>
      </c>
      <c r="N99">
        <v>0</v>
      </c>
      <c r="O99">
        <v>1</v>
      </c>
      <c r="P99">
        <v>10</v>
      </c>
      <c r="Q99">
        <v>11</v>
      </c>
      <c r="R99">
        <v>0</v>
      </c>
      <c r="S99">
        <v>66</v>
      </c>
      <c r="T99">
        <v>12.1</v>
      </c>
      <c r="U99">
        <v>111</v>
      </c>
      <c r="V99" s="19" t="s">
        <v>385</v>
      </c>
      <c r="W99" s="19" t="s">
        <v>386</v>
      </c>
      <c r="X99">
        <v>94</v>
      </c>
      <c r="Y99">
        <v>114</v>
      </c>
      <c r="Z99">
        <v>45.2</v>
      </c>
      <c r="AA99">
        <v>7</v>
      </c>
      <c r="AB99">
        <v>10</v>
      </c>
      <c r="AC99">
        <v>8</v>
      </c>
      <c r="AD99">
        <v>28</v>
      </c>
      <c r="AE99" s="19" t="s">
        <v>60</v>
      </c>
    </row>
    <row r="100" spans="1:31" x14ac:dyDescent="0.2">
      <c r="A100">
        <v>97</v>
      </c>
      <c r="B100" s="19" t="s">
        <v>455</v>
      </c>
      <c r="C100">
        <v>24</v>
      </c>
      <c r="D100" s="19" t="s">
        <v>406</v>
      </c>
      <c r="E100" s="19" t="s">
        <v>334</v>
      </c>
      <c r="F100">
        <v>41</v>
      </c>
      <c r="G100">
        <v>15</v>
      </c>
      <c r="H100">
        <v>14</v>
      </c>
      <c r="I100">
        <v>29</v>
      </c>
      <c r="J100">
        <v>7</v>
      </c>
      <c r="K100">
        <v>18</v>
      </c>
      <c r="L100">
        <v>13</v>
      </c>
      <c r="M100">
        <v>2</v>
      </c>
      <c r="N100">
        <v>0</v>
      </c>
      <c r="O100">
        <v>2</v>
      </c>
      <c r="P100">
        <v>14</v>
      </c>
      <c r="Q100">
        <v>0</v>
      </c>
      <c r="R100">
        <v>0</v>
      </c>
      <c r="S100">
        <v>86</v>
      </c>
      <c r="T100">
        <v>17.399999999999999</v>
      </c>
      <c r="U100">
        <v>167</v>
      </c>
      <c r="V100" s="19" t="s">
        <v>2098</v>
      </c>
      <c r="W100" s="19" t="s">
        <v>1880</v>
      </c>
      <c r="X100">
        <v>4</v>
      </c>
      <c r="Y100">
        <v>7</v>
      </c>
      <c r="Z100">
        <v>36.4</v>
      </c>
      <c r="AA100">
        <v>11</v>
      </c>
      <c r="AB100">
        <v>12</v>
      </c>
      <c r="AC100">
        <v>10</v>
      </c>
      <c r="AD100">
        <v>43</v>
      </c>
      <c r="AE100" s="19" t="s">
        <v>60</v>
      </c>
    </row>
    <row r="101" spans="1:31" x14ac:dyDescent="0.2">
      <c r="A101">
        <v>98</v>
      </c>
      <c r="B101" s="19" t="s">
        <v>496</v>
      </c>
      <c r="C101">
        <v>27</v>
      </c>
      <c r="D101" s="19" t="s">
        <v>406</v>
      </c>
      <c r="E101" s="19" t="s">
        <v>348</v>
      </c>
      <c r="F101">
        <v>41</v>
      </c>
      <c r="G101">
        <v>6</v>
      </c>
      <c r="H101">
        <v>23</v>
      </c>
      <c r="I101">
        <v>29</v>
      </c>
      <c r="J101">
        <v>-8</v>
      </c>
      <c r="K101">
        <v>24</v>
      </c>
      <c r="L101">
        <v>3</v>
      </c>
      <c r="M101">
        <v>3</v>
      </c>
      <c r="N101">
        <v>0</v>
      </c>
      <c r="O101">
        <v>0</v>
      </c>
      <c r="P101">
        <v>13</v>
      </c>
      <c r="Q101">
        <v>9</v>
      </c>
      <c r="R101">
        <v>1</v>
      </c>
      <c r="S101">
        <v>88</v>
      </c>
      <c r="T101">
        <v>6.8</v>
      </c>
      <c r="U101">
        <v>191</v>
      </c>
      <c r="V101" s="19" t="s">
        <v>2099</v>
      </c>
      <c r="W101" s="19" t="s">
        <v>1700</v>
      </c>
      <c r="X101">
        <v>0</v>
      </c>
      <c r="Y101">
        <v>0</v>
      </c>
      <c r="AA101">
        <v>72</v>
      </c>
      <c r="AB101">
        <v>21</v>
      </c>
      <c r="AC101">
        <v>15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393</v>
      </c>
      <c r="C102">
        <v>20</v>
      </c>
      <c r="D102" s="19" t="s">
        <v>324</v>
      </c>
      <c r="E102" s="19" t="s">
        <v>322</v>
      </c>
      <c r="F102">
        <v>33</v>
      </c>
      <c r="G102">
        <v>12</v>
      </c>
      <c r="H102">
        <v>17</v>
      </c>
      <c r="I102">
        <v>29</v>
      </c>
      <c r="J102">
        <v>5</v>
      </c>
      <c r="K102">
        <v>12</v>
      </c>
      <c r="L102">
        <v>9</v>
      </c>
      <c r="M102">
        <v>3</v>
      </c>
      <c r="N102">
        <v>0</v>
      </c>
      <c r="O102">
        <v>3</v>
      </c>
      <c r="P102">
        <v>12</v>
      </c>
      <c r="Q102">
        <v>5</v>
      </c>
      <c r="R102">
        <v>0</v>
      </c>
      <c r="S102">
        <v>80</v>
      </c>
      <c r="T102">
        <v>15</v>
      </c>
      <c r="U102">
        <v>162</v>
      </c>
      <c r="V102" s="19" t="s">
        <v>1678</v>
      </c>
      <c r="W102" s="19" t="s">
        <v>912</v>
      </c>
      <c r="X102">
        <v>8</v>
      </c>
      <c r="Y102">
        <v>21</v>
      </c>
      <c r="Z102">
        <v>27.6</v>
      </c>
      <c r="AA102">
        <v>7</v>
      </c>
      <c r="AB102">
        <v>7</v>
      </c>
      <c r="AC102">
        <v>8</v>
      </c>
      <c r="AD102">
        <v>29</v>
      </c>
      <c r="AE102" s="19" t="s">
        <v>60</v>
      </c>
    </row>
    <row r="103" spans="1:31" x14ac:dyDescent="0.2">
      <c r="A103">
        <v>100</v>
      </c>
      <c r="B103" s="19" t="s">
        <v>518</v>
      </c>
      <c r="C103">
        <v>26</v>
      </c>
      <c r="D103" s="19" t="s">
        <v>519</v>
      </c>
      <c r="E103" s="19" t="s">
        <v>322</v>
      </c>
      <c r="F103">
        <v>37</v>
      </c>
      <c r="G103">
        <v>9</v>
      </c>
      <c r="H103">
        <v>20</v>
      </c>
      <c r="I103">
        <v>29</v>
      </c>
      <c r="J103">
        <v>-2</v>
      </c>
      <c r="K103">
        <v>10</v>
      </c>
      <c r="L103">
        <v>5</v>
      </c>
      <c r="M103">
        <v>3</v>
      </c>
      <c r="N103">
        <v>1</v>
      </c>
      <c r="O103">
        <v>0</v>
      </c>
      <c r="P103">
        <v>15</v>
      </c>
      <c r="Q103">
        <v>5</v>
      </c>
      <c r="R103">
        <v>0</v>
      </c>
      <c r="S103">
        <v>55</v>
      </c>
      <c r="T103">
        <v>16.399999999999999</v>
      </c>
      <c r="U103">
        <v>107</v>
      </c>
      <c r="V103" s="19" t="s">
        <v>2100</v>
      </c>
      <c r="W103" s="19" t="s">
        <v>1486</v>
      </c>
      <c r="X103">
        <v>339</v>
      </c>
      <c r="Y103">
        <v>294</v>
      </c>
      <c r="Z103">
        <v>53.6</v>
      </c>
      <c r="AA103">
        <v>23</v>
      </c>
      <c r="AB103">
        <v>7</v>
      </c>
      <c r="AC103">
        <v>19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500</v>
      </c>
      <c r="C104">
        <v>25</v>
      </c>
      <c r="D104" s="19" t="s">
        <v>430</v>
      </c>
      <c r="E104" s="19" t="s">
        <v>348</v>
      </c>
      <c r="F104">
        <v>35</v>
      </c>
      <c r="G104">
        <v>4</v>
      </c>
      <c r="H104">
        <v>24</v>
      </c>
      <c r="I104">
        <v>28</v>
      </c>
      <c r="J104">
        <v>-6</v>
      </c>
      <c r="K104">
        <v>37</v>
      </c>
      <c r="L104">
        <v>2</v>
      </c>
      <c r="M104">
        <v>2</v>
      </c>
      <c r="N104">
        <v>0</v>
      </c>
      <c r="O104">
        <v>0</v>
      </c>
      <c r="P104">
        <v>15</v>
      </c>
      <c r="Q104">
        <v>9</v>
      </c>
      <c r="R104">
        <v>0</v>
      </c>
      <c r="S104">
        <v>98</v>
      </c>
      <c r="T104">
        <v>4.0999999999999996</v>
      </c>
      <c r="U104">
        <v>218</v>
      </c>
      <c r="V104" s="19" t="s">
        <v>2101</v>
      </c>
      <c r="W104" s="19" t="s">
        <v>1912</v>
      </c>
      <c r="X104">
        <v>0</v>
      </c>
      <c r="Y104">
        <v>0</v>
      </c>
      <c r="AA104">
        <v>41</v>
      </c>
      <c r="AB104">
        <v>28</v>
      </c>
      <c r="AC104">
        <v>16</v>
      </c>
      <c r="AD104">
        <v>62</v>
      </c>
      <c r="AE104" s="19" t="s">
        <v>60</v>
      </c>
    </row>
    <row r="105" spans="1:31" x14ac:dyDescent="0.2">
      <c r="A105">
        <v>102</v>
      </c>
      <c r="B105" s="19" t="s">
        <v>502</v>
      </c>
      <c r="C105">
        <v>25</v>
      </c>
      <c r="D105" s="19" t="s">
        <v>343</v>
      </c>
      <c r="E105" s="19" t="s">
        <v>339</v>
      </c>
      <c r="F105">
        <v>38</v>
      </c>
      <c r="G105">
        <v>15</v>
      </c>
      <c r="H105">
        <v>13</v>
      </c>
      <c r="I105">
        <v>28</v>
      </c>
      <c r="J105">
        <v>-7</v>
      </c>
      <c r="K105">
        <v>10</v>
      </c>
      <c r="L105">
        <v>5</v>
      </c>
      <c r="M105">
        <v>10</v>
      </c>
      <c r="N105">
        <v>0</v>
      </c>
      <c r="O105">
        <v>1</v>
      </c>
      <c r="P105">
        <v>7</v>
      </c>
      <c r="Q105">
        <v>6</v>
      </c>
      <c r="R105">
        <v>0</v>
      </c>
      <c r="S105">
        <v>107</v>
      </c>
      <c r="T105">
        <v>14</v>
      </c>
      <c r="U105">
        <v>229</v>
      </c>
      <c r="V105" s="19" t="s">
        <v>2102</v>
      </c>
      <c r="W105" s="19" t="s">
        <v>2094</v>
      </c>
      <c r="X105">
        <v>0</v>
      </c>
      <c r="Y105">
        <v>0</v>
      </c>
      <c r="AA105">
        <v>18</v>
      </c>
      <c r="AB105">
        <v>17</v>
      </c>
      <c r="AC105">
        <v>5</v>
      </c>
      <c r="AD105">
        <v>28</v>
      </c>
      <c r="AE105" s="19" t="s">
        <v>60</v>
      </c>
    </row>
    <row r="106" spans="1:31" x14ac:dyDescent="0.2">
      <c r="A106">
        <v>103</v>
      </c>
      <c r="B106" s="19" t="s">
        <v>402</v>
      </c>
      <c r="C106">
        <v>27</v>
      </c>
      <c r="D106" s="19" t="s">
        <v>361</v>
      </c>
      <c r="E106" s="19" t="s">
        <v>348</v>
      </c>
      <c r="F106">
        <v>28</v>
      </c>
      <c r="G106">
        <v>4</v>
      </c>
      <c r="H106">
        <v>24</v>
      </c>
      <c r="I106">
        <v>28</v>
      </c>
      <c r="J106">
        <v>3</v>
      </c>
      <c r="K106">
        <v>12</v>
      </c>
      <c r="L106">
        <v>2</v>
      </c>
      <c r="M106">
        <v>2</v>
      </c>
      <c r="N106">
        <v>0</v>
      </c>
      <c r="O106">
        <v>1</v>
      </c>
      <c r="P106">
        <v>16</v>
      </c>
      <c r="Q106">
        <v>7</v>
      </c>
      <c r="R106">
        <v>1</v>
      </c>
      <c r="S106">
        <v>52</v>
      </c>
      <c r="T106">
        <v>7.7</v>
      </c>
      <c r="U106">
        <v>151</v>
      </c>
      <c r="V106" s="19" t="s">
        <v>2103</v>
      </c>
      <c r="W106" s="19" t="s">
        <v>2104</v>
      </c>
      <c r="X106">
        <v>0</v>
      </c>
      <c r="Y106">
        <v>0</v>
      </c>
      <c r="AA106">
        <v>42</v>
      </c>
      <c r="AB106">
        <v>15</v>
      </c>
      <c r="AC106">
        <v>18</v>
      </c>
      <c r="AD106">
        <v>35</v>
      </c>
      <c r="AE106" s="19" t="s">
        <v>60</v>
      </c>
    </row>
    <row r="107" spans="1:31" x14ac:dyDescent="0.2">
      <c r="A107">
        <v>104</v>
      </c>
      <c r="B107" s="19" t="s">
        <v>552</v>
      </c>
      <c r="C107">
        <v>31</v>
      </c>
      <c r="D107" s="19" t="s">
        <v>375</v>
      </c>
      <c r="E107" s="19" t="s">
        <v>334</v>
      </c>
      <c r="F107">
        <v>39</v>
      </c>
      <c r="G107">
        <v>14</v>
      </c>
      <c r="H107">
        <v>14</v>
      </c>
      <c r="I107">
        <v>28</v>
      </c>
      <c r="J107">
        <v>8</v>
      </c>
      <c r="K107">
        <v>15</v>
      </c>
      <c r="L107">
        <v>10</v>
      </c>
      <c r="M107">
        <v>4</v>
      </c>
      <c r="N107">
        <v>0</v>
      </c>
      <c r="O107">
        <v>0</v>
      </c>
      <c r="P107">
        <v>10</v>
      </c>
      <c r="Q107">
        <v>4</v>
      </c>
      <c r="R107">
        <v>0</v>
      </c>
      <c r="S107">
        <v>72</v>
      </c>
      <c r="T107">
        <v>19.399999999999999</v>
      </c>
      <c r="U107">
        <v>143</v>
      </c>
      <c r="V107" s="19" t="s">
        <v>2105</v>
      </c>
      <c r="W107" s="19" t="s">
        <v>1410</v>
      </c>
      <c r="X107">
        <v>1</v>
      </c>
      <c r="Y107">
        <v>13</v>
      </c>
      <c r="Z107">
        <v>7.1</v>
      </c>
      <c r="AA107">
        <v>21</v>
      </c>
      <c r="AB107">
        <v>19</v>
      </c>
      <c r="AC107">
        <v>7</v>
      </c>
      <c r="AD107">
        <v>41</v>
      </c>
      <c r="AE107" s="19" t="s">
        <v>60</v>
      </c>
    </row>
    <row r="108" spans="1:31" x14ac:dyDescent="0.2">
      <c r="A108">
        <v>105</v>
      </c>
      <c r="B108" s="19" t="s">
        <v>443</v>
      </c>
      <c r="C108">
        <v>23</v>
      </c>
      <c r="D108" s="19" t="s">
        <v>418</v>
      </c>
      <c r="E108" s="19" t="s">
        <v>348</v>
      </c>
      <c r="F108">
        <v>39</v>
      </c>
      <c r="G108">
        <v>8</v>
      </c>
      <c r="H108">
        <v>20</v>
      </c>
      <c r="I108">
        <v>28</v>
      </c>
      <c r="J108">
        <v>6</v>
      </c>
      <c r="K108">
        <v>4</v>
      </c>
      <c r="L108">
        <v>6</v>
      </c>
      <c r="M108">
        <v>2</v>
      </c>
      <c r="N108">
        <v>0</v>
      </c>
      <c r="O108">
        <v>1</v>
      </c>
      <c r="P108">
        <v>11</v>
      </c>
      <c r="Q108">
        <v>9</v>
      </c>
      <c r="R108">
        <v>0</v>
      </c>
      <c r="S108">
        <v>82</v>
      </c>
      <c r="T108">
        <v>9.8000000000000007</v>
      </c>
      <c r="U108">
        <v>230</v>
      </c>
      <c r="V108" s="19" t="s">
        <v>2106</v>
      </c>
      <c r="W108" s="19" t="s">
        <v>1906</v>
      </c>
      <c r="X108">
        <v>0</v>
      </c>
      <c r="Y108">
        <v>0</v>
      </c>
      <c r="AA108">
        <v>69</v>
      </c>
      <c r="AB108">
        <v>14</v>
      </c>
      <c r="AC108">
        <v>23</v>
      </c>
      <c r="AD108">
        <v>45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30</v>
      </c>
      <c r="D109" s="19" t="s">
        <v>372</v>
      </c>
      <c r="E109" s="19" t="s">
        <v>322</v>
      </c>
      <c r="F109">
        <v>38</v>
      </c>
      <c r="G109">
        <v>11</v>
      </c>
      <c r="H109">
        <v>17</v>
      </c>
      <c r="I109">
        <v>28</v>
      </c>
      <c r="J109">
        <v>0</v>
      </c>
      <c r="K109">
        <v>14</v>
      </c>
      <c r="L109">
        <v>9</v>
      </c>
      <c r="M109">
        <v>2</v>
      </c>
      <c r="N109">
        <v>0</v>
      </c>
      <c r="O109">
        <v>2</v>
      </c>
      <c r="P109">
        <v>14</v>
      </c>
      <c r="Q109">
        <v>3</v>
      </c>
      <c r="R109">
        <v>0</v>
      </c>
      <c r="S109">
        <v>91</v>
      </c>
      <c r="T109">
        <v>12.1</v>
      </c>
      <c r="U109">
        <v>182</v>
      </c>
      <c r="V109" s="19" t="s">
        <v>2107</v>
      </c>
      <c r="W109" s="19" t="s">
        <v>1792</v>
      </c>
      <c r="X109">
        <v>18</v>
      </c>
      <c r="Y109">
        <v>29</v>
      </c>
      <c r="Z109">
        <v>38.299999999999997</v>
      </c>
      <c r="AA109">
        <v>12</v>
      </c>
      <c r="AB109">
        <v>41</v>
      </c>
      <c r="AC109">
        <v>10</v>
      </c>
      <c r="AD109">
        <v>28</v>
      </c>
      <c r="AE109" s="19" t="s">
        <v>60</v>
      </c>
    </row>
    <row r="110" spans="1:31" x14ac:dyDescent="0.2">
      <c r="A110">
        <v>107</v>
      </c>
      <c r="B110" s="19" t="s">
        <v>501</v>
      </c>
      <c r="C110">
        <v>26</v>
      </c>
      <c r="D110" s="19" t="s">
        <v>363</v>
      </c>
      <c r="E110" s="19" t="s">
        <v>348</v>
      </c>
      <c r="F110">
        <v>40</v>
      </c>
      <c r="G110">
        <v>7</v>
      </c>
      <c r="H110">
        <v>20</v>
      </c>
      <c r="I110">
        <v>27</v>
      </c>
      <c r="J110">
        <v>4</v>
      </c>
      <c r="K110">
        <v>20</v>
      </c>
      <c r="L110">
        <v>7</v>
      </c>
      <c r="M110">
        <v>0</v>
      </c>
      <c r="N110">
        <v>0</v>
      </c>
      <c r="O110">
        <v>1</v>
      </c>
      <c r="P110">
        <v>15</v>
      </c>
      <c r="Q110">
        <v>5</v>
      </c>
      <c r="R110">
        <v>0</v>
      </c>
      <c r="S110">
        <v>76</v>
      </c>
      <c r="T110">
        <v>9.1999999999999993</v>
      </c>
      <c r="U110">
        <v>166</v>
      </c>
      <c r="V110" s="19" t="s">
        <v>2108</v>
      </c>
      <c r="W110" s="19" t="s">
        <v>2109</v>
      </c>
      <c r="X110">
        <v>0</v>
      </c>
      <c r="Y110">
        <v>0</v>
      </c>
      <c r="AA110">
        <v>96</v>
      </c>
      <c r="AB110">
        <v>17</v>
      </c>
      <c r="AC110">
        <v>17</v>
      </c>
      <c r="AD110">
        <v>54</v>
      </c>
      <c r="AE110" s="19" t="s">
        <v>60</v>
      </c>
    </row>
    <row r="111" spans="1:31" x14ac:dyDescent="0.2">
      <c r="A111">
        <v>108</v>
      </c>
      <c r="B111" s="19" t="s">
        <v>489</v>
      </c>
      <c r="C111">
        <v>29</v>
      </c>
      <c r="D111" s="19" t="s">
        <v>421</v>
      </c>
      <c r="E111" s="19" t="s">
        <v>339</v>
      </c>
      <c r="F111">
        <v>39</v>
      </c>
      <c r="G111">
        <v>14</v>
      </c>
      <c r="H111">
        <v>13</v>
      </c>
      <c r="I111">
        <v>27</v>
      </c>
      <c r="J111">
        <v>-10</v>
      </c>
      <c r="K111">
        <v>24</v>
      </c>
      <c r="L111">
        <v>10</v>
      </c>
      <c r="M111">
        <v>4</v>
      </c>
      <c r="N111">
        <v>0</v>
      </c>
      <c r="O111">
        <v>2</v>
      </c>
      <c r="P111">
        <v>5</v>
      </c>
      <c r="Q111">
        <v>8</v>
      </c>
      <c r="R111">
        <v>0</v>
      </c>
      <c r="S111">
        <v>110</v>
      </c>
      <c r="T111">
        <v>12.7</v>
      </c>
      <c r="U111">
        <v>233</v>
      </c>
      <c r="V111" s="19" t="s">
        <v>2110</v>
      </c>
      <c r="W111" s="19" t="s">
        <v>1625</v>
      </c>
      <c r="X111">
        <v>4</v>
      </c>
      <c r="Y111">
        <v>11</v>
      </c>
      <c r="Z111">
        <v>26.7</v>
      </c>
      <c r="AA111">
        <v>15</v>
      </c>
      <c r="AB111">
        <v>20</v>
      </c>
      <c r="AC111">
        <v>12</v>
      </c>
      <c r="AD111">
        <v>52</v>
      </c>
      <c r="AE111" s="19" t="s">
        <v>60</v>
      </c>
    </row>
    <row r="112" spans="1:31" x14ac:dyDescent="0.2">
      <c r="A112">
        <v>109</v>
      </c>
      <c r="B112" s="19" t="s">
        <v>527</v>
      </c>
      <c r="C112">
        <v>38</v>
      </c>
      <c r="D112" s="19" t="s">
        <v>418</v>
      </c>
      <c r="E112" s="19" t="s">
        <v>322</v>
      </c>
      <c r="F112">
        <v>39</v>
      </c>
      <c r="G112">
        <v>7</v>
      </c>
      <c r="H112">
        <v>20</v>
      </c>
      <c r="I112">
        <v>27</v>
      </c>
      <c r="J112">
        <v>10</v>
      </c>
      <c r="K112">
        <v>10</v>
      </c>
      <c r="L112">
        <v>6</v>
      </c>
      <c r="M112">
        <v>1</v>
      </c>
      <c r="N112">
        <v>0</v>
      </c>
      <c r="O112">
        <v>1</v>
      </c>
      <c r="P112">
        <v>13</v>
      </c>
      <c r="Q112">
        <v>7</v>
      </c>
      <c r="R112">
        <v>0</v>
      </c>
      <c r="S112">
        <v>65</v>
      </c>
      <c r="T112">
        <v>10.8</v>
      </c>
      <c r="U112">
        <v>115</v>
      </c>
      <c r="V112" s="19" t="s">
        <v>2111</v>
      </c>
      <c r="W112" s="19" t="s">
        <v>908</v>
      </c>
      <c r="X112">
        <v>251</v>
      </c>
      <c r="Y112">
        <v>131</v>
      </c>
      <c r="Z112">
        <v>65.7</v>
      </c>
      <c r="AA112">
        <v>14</v>
      </c>
      <c r="AB112">
        <v>32</v>
      </c>
      <c r="AC112">
        <v>8</v>
      </c>
      <c r="AD112">
        <v>28</v>
      </c>
      <c r="AE112" s="19" t="s">
        <v>60</v>
      </c>
    </row>
    <row r="113" spans="1:31" x14ac:dyDescent="0.2">
      <c r="A113">
        <v>110</v>
      </c>
      <c r="B113" s="19" t="s">
        <v>470</v>
      </c>
      <c r="C113">
        <v>29</v>
      </c>
      <c r="D113" s="19" t="s">
        <v>439</v>
      </c>
      <c r="E113" s="19" t="s">
        <v>348</v>
      </c>
      <c r="F113">
        <v>40</v>
      </c>
      <c r="G113">
        <v>8</v>
      </c>
      <c r="H113">
        <v>18</v>
      </c>
      <c r="I113">
        <v>26</v>
      </c>
      <c r="J113">
        <v>2</v>
      </c>
      <c r="K113">
        <v>44</v>
      </c>
      <c r="L113">
        <v>5</v>
      </c>
      <c r="M113">
        <v>3</v>
      </c>
      <c r="N113">
        <v>0</v>
      </c>
      <c r="O113">
        <v>0</v>
      </c>
      <c r="P113">
        <v>12</v>
      </c>
      <c r="Q113">
        <v>6</v>
      </c>
      <c r="R113">
        <v>0</v>
      </c>
      <c r="S113">
        <v>96</v>
      </c>
      <c r="T113">
        <v>8.3000000000000007</v>
      </c>
      <c r="U113">
        <v>221</v>
      </c>
      <c r="V113" s="19" t="s">
        <v>2112</v>
      </c>
      <c r="W113" s="19" t="s">
        <v>1912</v>
      </c>
      <c r="X113">
        <v>0</v>
      </c>
      <c r="Y113">
        <v>0</v>
      </c>
      <c r="AA113">
        <v>74</v>
      </c>
      <c r="AB113">
        <v>21</v>
      </c>
      <c r="AC113">
        <v>15</v>
      </c>
      <c r="AD113">
        <v>57</v>
      </c>
      <c r="AE113" s="19" t="s">
        <v>60</v>
      </c>
    </row>
    <row r="114" spans="1:31" x14ac:dyDescent="0.2">
      <c r="A114">
        <v>111</v>
      </c>
      <c r="B114" s="19" t="s">
        <v>485</v>
      </c>
      <c r="C114">
        <v>23</v>
      </c>
      <c r="D114" s="19" t="s">
        <v>430</v>
      </c>
      <c r="E114" s="19" t="s">
        <v>334</v>
      </c>
      <c r="F114">
        <v>39</v>
      </c>
      <c r="G114">
        <v>11</v>
      </c>
      <c r="H114">
        <v>15</v>
      </c>
      <c r="I114">
        <v>26</v>
      </c>
      <c r="J114">
        <v>-5</v>
      </c>
      <c r="K114">
        <v>14</v>
      </c>
      <c r="L114">
        <v>7</v>
      </c>
      <c r="M114">
        <v>4</v>
      </c>
      <c r="N114">
        <v>0</v>
      </c>
      <c r="O114">
        <v>1</v>
      </c>
      <c r="P114">
        <v>10</v>
      </c>
      <c r="Q114">
        <v>5</v>
      </c>
      <c r="R114">
        <v>0</v>
      </c>
      <c r="S114">
        <v>98</v>
      </c>
      <c r="T114">
        <v>11.2</v>
      </c>
      <c r="U114">
        <v>170</v>
      </c>
      <c r="V114" s="19" t="s">
        <v>2113</v>
      </c>
      <c r="W114" s="19" t="s">
        <v>1879</v>
      </c>
      <c r="X114">
        <v>4</v>
      </c>
      <c r="Y114">
        <v>5</v>
      </c>
      <c r="Z114">
        <v>44.4</v>
      </c>
      <c r="AA114">
        <v>13</v>
      </c>
      <c r="AB114">
        <v>35</v>
      </c>
      <c r="AC114">
        <v>31</v>
      </c>
      <c r="AD114">
        <v>32</v>
      </c>
      <c r="AE114" s="19" t="s">
        <v>60</v>
      </c>
    </row>
    <row r="115" spans="1:31" x14ac:dyDescent="0.2">
      <c r="A115">
        <v>112</v>
      </c>
      <c r="B115" s="19" t="s">
        <v>541</v>
      </c>
      <c r="C115">
        <v>35</v>
      </c>
      <c r="D115" s="19" t="s">
        <v>536</v>
      </c>
      <c r="E115" s="19" t="s">
        <v>334</v>
      </c>
      <c r="F115">
        <v>38</v>
      </c>
      <c r="G115">
        <v>14</v>
      </c>
      <c r="H115">
        <v>12</v>
      </c>
      <c r="I115">
        <v>26</v>
      </c>
      <c r="J115">
        <v>7</v>
      </c>
      <c r="K115">
        <v>14</v>
      </c>
      <c r="L115">
        <v>11</v>
      </c>
      <c r="M115">
        <v>3</v>
      </c>
      <c r="N115">
        <v>0</v>
      </c>
      <c r="O115">
        <v>3</v>
      </c>
      <c r="P115">
        <v>5</v>
      </c>
      <c r="Q115">
        <v>7</v>
      </c>
      <c r="R115">
        <v>0</v>
      </c>
      <c r="S115">
        <v>94</v>
      </c>
      <c r="T115">
        <v>14.9</v>
      </c>
      <c r="U115">
        <v>175</v>
      </c>
      <c r="V115" s="19" t="s">
        <v>2114</v>
      </c>
      <c r="W115" s="19" t="s">
        <v>2035</v>
      </c>
      <c r="X115">
        <v>9</v>
      </c>
      <c r="Y115">
        <v>15</v>
      </c>
      <c r="Z115">
        <v>37.5</v>
      </c>
      <c r="AA115">
        <v>19</v>
      </c>
      <c r="AB115">
        <v>31</v>
      </c>
      <c r="AC115">
        <v>10</v>
      </c>
      <c r="AD115">
        <v>31</v>
      </c>
      <c r="AE115" s="19" t="s">
        <v>60</v>
      </c>
    </row>
    <row r="116" spans="1:31" x14ac:dyDescent="0.2">
      <c r="A116">
        <v>113</v>
      </c>
      <c r="B116" s="19" t="s">
        <v>503</v>
      </c>
      <c r="C116">
        <v>23</v>
      </c>
      <c r="D116" s="19" t="s">
        <v>324</v>
      </c>
      <c r="E116" s="19" t="s">
        <v>339</v>
      </c>
      <c r="F116">
        <v>36</v>
      </c>
      <c r="G116">
        <v>10</v>
      </c>
      <c r="H116">
        <v>16</v>
      </c>
      <c r="I116">
        <v>26</v>
      </c>
      <c r="J116">
        <v>-18</v>
      </c>
      <c r="K116">
        <v>18</v>
      </c>
      <c r="L116">
        <v>7</v>
      </c>
      <c r="M116">
        <v>3</v>
      </c>
      <c r="N116">
        <v>0</v>
      </c>
      <c r="O116">
        <v>0</v>
      </c>
      <c r="P116">
        <v>9</v>
      </c>
      <c r="Q116">
        <v>7</v>
      </c>
      <c r="R116">
        <v>0</v>
      </c>
      <c r="S116">
        <v>92</v>
      </c>
      <c r="T116">
        <v>10.9</v>
      </c>
      <c r="U116">
        <v>177</v>
      </c>
      <c r="V116" s="19" t="s">
        <v>2115</v>
      </c>
      <c r="W116" s="19" t="s">
        <v>892</v>
      </c>
      <c r="X116">
        <v>0</v>
      </c>
      <c r="Y116">
        <v>9</v>
      </c>
      <c r="Z116">
        <v>0</v>
      </c>
      <c r="AA116">
        <v>25</v>
      </c>
      <c r="AB116">
        <v>26</v>
      </c>
      <c r="AC116">
        <v>8</v>
      </c>
      <c r="AD116">
        <v>36</v>
      </c>
      <c r="AE116" s="19" t="s">
        <v>60</v>
      </c>
    </row>
    <row r="117" spans="1:31" x14ac:dyDescent="0.2">
      <c r="A117">
        <v>114</v>
      </c>
      <c r="B117" s="19" t="s">
        <v>605</v>
      </c>
      <c r="C117">
        <v>30</v>
      </c>
      <c r="D117" s="19" t="s">
        <v>321</v>
      </c>
      <c r="E117" s="19" t="s">
        <v>334</v>
      </c>
      <c r="F117">
        <v>31</v>
      </c>
      <c r="G117">
        <v>11</v>
      </c>
      <c r="H117">
        <v>15</v>
      </c>
      <c r="I117">
        <v>26</v>
      </c>
      <c r="J117">
        <v>9</v>
      </c>
      <c r="K117">
        <v>8</v>
      </c>
      <c r="L117">
        <v>10</v>
      </c>
      <c r="M117">
        <v>1</v>
      </c>
      <c r="N117">
        <v>0</v>
      </c>
      <c r="O117">
        <v>1</v>
      </c>
      <c r="P117">
        <v>13</v>
      </c>
      <c r="Q117">
        <v>2</v>
      </c>
      <c r="R117">
        <v>0</v>
      </c>
      <c r="S117">
        <v>84</v>
      </c>
      <c r="T117">
        <v>13.1</v>
      </c>
      <c r="U117">
        <v>155</v>
      </c>
      <c r="V117" s="19" t="s">
        <v>2116</v>
      </c>
      <c r="W117" s="19" t="s">
        <v>912</v>
      </c>
      <c r="X117">
        <v>2</v>
      </c>
      <c r="Y117">
        <v>1</v>
      </c>
      <c r="Z117">
        <v>66.7</v>
      </c>
      <c r="AA117">
        <v>8</v>
      </c>
      <c r="AB117">
        <v>26</v>
      </c>
      <c r="AC117">
        <v>11</v>
      </c>
      <c r="AD117">
        <v>28</v>
      </c>
      <c r="AE117" s="19" t="s">
        <v>60</v>
      </c>
    </row>
    <row r="118" spans="1:31" x14ac:dyDescent="0.2">
      <c r="A118">
        <v>115</v>
      </c>
      <c r="B118" s="19" t="s">
        <v>465</v>
      </c>
      <c r="C118">
        <v>31</v>
      </c>
      <c r="D118" s="19" t="s">
        <v>359</v>
      </c>
      <c r="E118" s="19" t="s">
        <v>348</v>
      </c>
      <c r="F118">
        <v>39</v>
      </c>
      <c r="G118">
        <v>5</v>
      </c>
      <c r="H118">
        <v>21</v>
      </c>
      <c r="I118">
        <v>26</v>
      </c>
      <c r="J118">
        <v>-11</v>
      </c>
      <c r="K118">
        <v>6</v>
      </c>
      <c r="L118">
        <v>5</v>
      </c>
      <c r="M118">
        <v>0</v>
      </c>
      <c r="N118">
        <v>0</v>
      </c>
      <c r="O118">
        <v>2</v>
      </c>
      <c r="P118">
        <v>16</v>
      </c>
      <c r="Q118">
        <v>5</v>
      </c>
      <c r="R118">
        <v>0</v>
      </c>
      <c r="S118">
        <v>75</v>
      </c>
      <c r="T118">
        <v>6.7</v>
      </c>
      <c r="U118">
        <v>182</v>
      </c>
      <c r="V118" s="19" t="s">
        <v>2117</v>
      </c>
      <c r="W118" s="19" t="s">
        <v>2118</v>
      </c>
      <c r="X118">
        <v>0</v>
      </c>
      <c r="Y118">
        <v>0</v>
      </c>
      <c r="AA118">
        <v>54</v>
      </c>
      <c r="AB118">
        <v>16</v>
      </c>
      <c r="AC118">
        <v>11</v>
      </c>
      <c r="AD118">
        <v>56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18</v>
      </c>
      <c r="D119" s="19" t="s">
        <v>383</v>
      </c>
      <c r="E119" s="19" t="s">
        <v>348</v>
      </c>
      <c r="F119">
        <v>41</v>
      </c>
      <c r="G119">
        <v>10</v>
      </c>
      <c r="H119">
        <v>16</v>
      </c>
      <c r="I119">
        <v>26</v>
      </c>
      <c r="J119">
        <v>7</v>
      </c>
      <c r="K119">
        <v>20</v>
      </c>
      <c r="L119">
        <v>4</v>
      </c>
      <c r="M119">
        <v>6</v>
      </c>
      <c r="N119">
        <v>0</v>
      </c>
      <c r="O119">
        <v>2</v>
      </c>
      <c r="P119">
        <v>9</v>
      </c>
      <c r="Q119">
        <v>7</v>
      </c>
      <c r="R119">
        <v>0</v>
      </c>
      <c r="S119">
        <v>111</v>
      </c>
      <c r="T119">
        <v>9</v>
      </c>
      <c r="U119">
        <v>256</v>
      </c>
      <c r="V119" s="19" t="s">
        <v>2119</v>
      </c>
      <c r="W119" s="19" t="s">
        <v>2120</v>
      </c>
      <c r="X119">
        <v>0</v>
      </c>
      <c r="Y119">
        <v>0</v>
      </c>
      <c r="AA119">
        <v>57</v>
      </c>
      <c r="AB119">
        <v>18</v>
      </c>
      <c r="AC119">
        <v>22</v>
      </c>
      <c r="AD119">
        <v>50</v>
      </c>
      <c r="AE119" s="19" t="s">
        <v>60</v>
      </c>
    </row>
    <row r="120" spans="1:31" x14ac:dyDescent="0.2">
      <c r="A120">
        <v>117</v>
      </c>
      <c r="B120" s="19" t="s">
        <v>702</v>
      </c>
      <c r="C120">
        <v>35</v>
      </c>
      <c r="D120" s="19" t="s">
        <v>464</v>
      </c>
      <c r="E120" s="19" t="s">
        <v>322</v>
      </c>
      <c r="F120">
        <v>40</v>
      </c>
      <c r="G120">
        <v>18</v>
      </c>
      <c r="H120">
        <v>8</v>
      </c>
      <c r="I120">
        <v>26</v>
      </c>
      <c r="J120">
        <v>-10</v>
      </c>
      <c r="K120">
        <v>22</v>
      </c>
      <c r="L120">
        <v>14</v>
      </c>
      <c r="M120">
        <v>4</v>
      </c>
      <c r="N120">
        <v>0</v>
      </c>
      <c r="O120">
        <v>7</v>
      </c>
      <c r="P120">
        <v>5</v>
      </c>
      <c r="Q120">
        <v>3</v>
      </c>
      <c r="R120">
        <v>0</v>
      </c>
      <c r="S120">
        <v>94</v>
      </c>
      <c r="T120">
        <v>19.100000000000001</v>
      </c>
      <c r="U120">
        <v>186</v>
      </c>
      <c r="V120" s="19" t="s">
        <v>2121</v>
      </c>
      <c r="W120" s="19" t="s">
        <v>484</v>
      </c>
      <c r="X120">
        <v>148</v>
      </c>
      <c r="Y120">
        <v>111</v>
      </c>
      <c r="Z120">
        <v>57.1</v>
      </c>
      <c r="AA120">
        <v>16</v>
      </c>
      <c r="AB120">
        <v>33</v>
      </c>
      <c r="AC120">
        <v>16</v>
      </c>
      <c r="AD120">
        <v>37</v>
      </c>
      <c r="AE120" s="19" t="s">
        <v>60</v>
      </c>
    </row>
    <row r="121" spans="1:31" x14ac:dyDescent="0.2">
      <c r="A121">
        <v>118</v>
      </c>
      <c r="B121" s="19" t="s">
        <v>520</v>
      </c>
      <c r="C121">
        <v>33</v>
      </c>
      <c r="D121" s="19" t="s">
        <v>324</v>
      </c>
      <c r="E121" s="19" t="s">
        <v>322</v>
      </c>
      <c r="F121">
        <v>40</v>
      </c>
      <c r="G121">
        <v>10</v>
      </c>
      <c r="H121">
        <v>16</v>
      </c>
      <c r="I121">
        <v>26</v>
      </c>
      <c r="J121">
        <v>-2</v>
      </c>
      <c r="K121">
        <v>2</v>
      </c>
      <c r="L121">
        <v>8</v>
      </c>
      <c r="M121">
        <v>2</v>
      </c>
      <c r="N121">
        <v>0</v>
      </c>
      <c r="O121">
        <v>0</v>
      </c>
      <c r="P121">
        <v>13</v>
      </c>
      <c r="Q121">
        <v>3</v>
      </c>
      <c r="R121">
        <v>0</v>
      </c>
      <c r="S121">
        <v>88</v>
      </c>
      <c r="T121">
        <v>11.4</v>
      </c>
      <c r="U121">
        <v>188</v>
      </c>
      <c r="V121" s="19" t="s">
        <v>2122</v>
      </c>
      <c r="W121" s="19" t="s">
        <v>1458</v>
      </c>
      <c r="X121">
        <v>3</v>
      </c>
      <c r="Y121">
        <v>8</v>
      </c>
      <c r="Z121">
        <v>27.3</v>
      </c>
      <c r="AA121">
        <v>20</v>
      </c>
      <c r="AB121">
        <v>28</v>
      </c>
      <c r="AC121">
        <v>9</v>
      </c>
      <c r="AD121">
        <v>28</v>
      </c>
      <c r="AE121" s="19" t="s">
        <v>60</v>
      </c>
    </row>
    <row r="122" spans="1:31" x14ac:dyDescent="0.2">
      <c r="A122">
        <v>119</v>
      </c>
      <c r="B122" s="19" t="s">
        <v>582</v>
      </c>
      <c r="C122">
        <v>31</v>
      </c>
      <c r="D122" s="19" t="s">
        <v>324</v>
      </c>
      <c r="E122" s="19" t="s">
        <v>322</v>
      </c>
      <c r="F122">
        <v>40</v>
      </c>
      <c r="G122">
        <v>7</v>
      </c>
      <c r="H122">
        <v>19</v>
      </c>
      <c r="I122">
        <v>26</v>
      </c>
      <c r="J122">
        <v>-12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16</v>
      </c>
      <c r="Q122">
        <v>3</v>
      </c>
      <c r="R122">
        <v>0</v>
      </c>
      <c r="S122">
        <v>47</v>
      </c>
      <c r="T122">
        <v>14.9</v>
      </c>
      <c r="U122">
        <v>82</v>
      </c>
      <c r="V122" s="19" t="s">
        <v>2123</v>
      </c>
      <c r="W122" s="19" t="s">
        <v>1766</v>
      </c>
      <c r="X122">
        <v>302</v>
      </c>
      <c r="Y122">
        <v>364</v>
      </c>
      <c r="Z122">
        <v>45.3</v>
      </c>
      <c r="AA122">
        <v>50</v>
      </c>
      <c r="AB122">
        <v>12</v>
      </c>
      <c r="AC122">
        <v>19</v>
      </c>
      <c r="AD122">
        <v>30</v>
      </c>
      <c r="AE122" s="19" t="s">
        <v>60</v>
      </c>
    </row>
    <row r="123" spans="1:31" x14ac:dyDescent="0.2">
      <c r="A123">
        <v>120</v>
      </c>
      <c r="B123" s="19" t="s">
        <v>469</v>
      </c>
      <c r="C123">
        <v>28</v>
      </c>
      <c r="D123" s="19" t="s">
        <v>354</v>
      </c>
      <c r="E123" s="19" t="s">
        <v>322</v>
      </c>
      <c r="F123">
        <v>40</v>
      </c>
      <c r="G123">
        <v>10</v>
      </c>
      <c r="H123">
        <v>16</v>
      </c>
      <c r="I123">
        <v>26</v>
      </c>
      <c r="J123">
        <v>-7</v>
      </c>
      <c r="K123">
        <v>22</v>
      </c>
      <c r="L123">
        <v>6</v>
      </c>
      <c r="M123">
        <v>4</v>
      </c>
      <c r="N123">
        <v>0</v>
      </c>
      <c r="O123">
        <v>1</v>
      </c>
      <c r="P123">
        <v>7</v>
      </c>
      <c r="Q123">
        <v>9</v>
      </c>
      <c r="R123">
        <v>0</v>
      </c>
      <c r="S123">
        <v>63</v>
      </c>
      <c r="T123">
        <v>15.9</v>
      </c>
      <c r="U123">
        <v>111</v>
      </c>
      <c r="V123" s="19" t="s">
        <v>2124</v>
      </c>
      <c r="W123" s="19" t="s">
        <v>1775</v>
      </c>
      <c r="X123">
        <v>249</v>
      </c>
      <c r="Y123">
        <v>223</v>
      </c>
      <c r="Z123">
        <v>52.8</v>
      </c>
      <c r="AA123">
        <v>14</v>
      </c>
      <c r="AB123">
        <v>38</v>
      </c>
      <c r="AC123">
        <v>11</v>
      </c>
      <c r="AD123">
        <v>28</v>
      </c>
      <c r="AE123" s="19" t="s">
        <v>60</v>
      </c>
    </row>
    <row r="124" spans="1:31" x14ac:dyDescent="0.2">
      <c r="A124">
        <v>121</v>
      </c>
      <c r="B124" s="19" t="s">
        <v>562</v>
      </c>
      <c r="C124">
        <v>36</v>
      </c>
      <c r="D124" s="19" t="s">
        <v>439</v>
      </c>
      <c r="E124" s="19" t="s">
        <v>322</v>
      </c>
      <c r="F124">
        <v>40</v>
      </c>
      <c r="G124">
        <v>10</v>
      </c>
      <c r="H124">
        <v>15</v>
      </c>
      <c r="I124">
        <v>25</v>
      </c>
      <c r="J124">
        <v>16</v>
      </c>
      <c r="K124">
        <v>8</v>
      </c>
      <c r="L124">
        <v>10</v>
      </c>
      <c r="M124">
        <v>0</v>
      </c>
      <c r="N124">
        <v>0</v>
      </c>
      <c r="O124">
        <v>1</v>
      </c>
      <c r="P124">
        <v>13</v>
      </c>
      <c r="Q124">
        <v>0</v>
      </c>
      <c r="R124">
        <v>2</v>
      </c>
      <c r="S124">
        <v>94</v>
      </c>
      <c r="T124">
        <v>10.6</v>
      </c>
      <c r="U124">
        <v>162</v>
      </c>
      <c r="V124" s="19" t="s">
        <v>2125</v>
      </c>
      <c r="W124" s="19" t="s">
        <v>2126</v>
      </c>
      <c r="X124">
        <v>367</v>
      </c>
      <c r="Y124">
        <v>348</v>
      </c>
      <c r="Z124">
        <v>51.3</v>
      </c>
      <c r="AA124">
        <v>14</v>
      </c>
      <c r="AB124">
        <v>17</v>
      </c>
      <c r="AC124">
        <v>13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499</v>
      </c>
      <c r="C125">
        <v>30</v>
      </c>
      <c r="D125" s="19" t="s">
        <v>329</v>
      </c>
      <c r="E125" s="19" t="s">
        <v>339</v>
      </c>
      <c r="F125">
        <v>35</v>
      </c>
      <c r="G125">
        <v>9</v>
      </c>
      <c r="H125">
        <v>16</v>
      </c>
      <c r="I125">
        <v>25</v>
      </c>
      <c r="J125">
        <v>-10</v>
      </c>
      <c r="K125">
        <v>10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6</v>
      </c>
      <c r="R125">
        <v>0</v>
      </c>
      <c r="S125">
        <v>44</v>
      </c>
      <c r="T125">
        <v>20.5</v>
      </c>
      <c r="U125">
        <v>102</v>
      </c>
      <c r="V125" s="19" t="s">
        <v>2127</v>
      </c>
      <c r="W125" s="19" t="s">
        <v>580</v>
      </c>
      <c r="X125">
        <v>0</v>
      </c>
      <c r="Y125">
        <v>4</v>
      </c>
      <c r="Z125">
        <v>0</v>
      </c>
      <c r="AA125">
        <v>14</v>
      </c>
      <c r="AB125">
        <v>10</v>
      </c>
      <c r="AC125">
        <v>18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483</v>
      </c>
      <c r="C126">
        <v>33</v>
      </c>
      <c r="D126" s="19" t="s">
        <v>380</v>
      </c>
      <c r="E126" s="19" t="s">
        <v>322</v>
      </c>
      <c r="F126">
        <v>39</v>
      </c>
      <c r="G126">
        <v>6</v>
      </c>
      <c r="H126">
        <v>19</v>
      </c>
      <c r="I126">
        <v>25</v>
      </c>
      <c r="J126">
        <v>-2</v>
      </c>
      <c r="K126">
        <v>6</v>
      </c>
      <c r="L126">
        <v>6</v>
      </c>
      <c r="M126">
        <v>0</v>
      </c>
      <c r="N126">
        <v>0</v>
      </c>
      <c r="O126">
        <v>0</v>
      </c>
      <c r="P126">
        <v>16</v>
      </c>
      <c r="Q126">
        <v>3</v>
      </c>
      <c r="R126">
        <v>0</v>
      </c>
      <c r="S126">
        <v>52</v>
      </c>
      <c r="T126">
        <v>11.5</v>
      </c>
      <c r="U126">
        <v>99</v>
      </c>
      <c r="V126" s="19" t="s">
        <v>2128</v>
      </c>
      <c r="W126" s="19" t="s">
        <v>386</v>
      </c>
      <c r="X126">
        <v>302</v>
      </c>
      <c r="Y126">
        <v>298</v>
      </c>
      <c r="Z126">
        <v>50.3</v>
      </c>
      <c r="AA126">
        <v>23</v>
      </c>
      <c r="AB126">
        <v>58</v>
      </c>
      <c r="AC126">
        <v>17</v>
      </c>
      <c r="AD126">
        <v>25</v>
      </c>
      <c r="AE126" s="19" t="s">
        <v>60</v>
      </c>
    </row>
    <row r="127" spans="1:31" x14ac:dyDescent="0.2">
      <c r="A127">
        <v>124</v>
      </c>
      <c r="B127" s="19" t="s">
        <v>526</v>
      </c>
      <c r="C127">
        <v>29</v>
      </c>
      <c r="D127" s="19" t="s">
        <v>408</v>
      </c>
      <c r="E127" s="19" t="s">
        <v>322</v>
      </c>
      <c r="F127">
        <v>38</v>
      </c>
      <c r="G127">
        <v>9</v>
      </c>
      <c r="H127">
        <v>16</v>
      </c>
      <c r="I127">
        <v>25</v>
      </c>
      <c r="J127">
        <v>8</v>
      </c>
      <c r="K127">
        <v>12</v>
      </c>
      <c r="L127">
        <v>9</v>
      </c>
      <c r="M127">
        <v>0</v>
      </c>
      <c r="N127">
        <v>0</v>
      </c>
      <c r="O127">
        <v>1</v>
      </c>
      <c r="P127">
        <v>16</v>
      </c>
      <c r="Q127">
        <v>0</v>
      </c>
      <c r="R127">
        <v>0</v>
      </c>
      <c r="S127">
        <v>74</v>
      </c>
      <c r="T127">
        <v>12.2</v>
      </c>
      <c r="U127">
        <v>118</v>
      </c>
      <c r="V127" s="19" t="s">
        <v>2129</v>
      </c>
      <c r="W127" s="19" t="s">
        <v>2130</v>
      </c>
      <c r="X127">
        <v>245</v>
      </c>
      <c r="Y127">
        <v>211</v>
      </c>
      <c r="Z127">
        <v>53.7</v>
      </c>
      <c r="AA127">
        <v>22</v>
      </c>
      <c r="AB127">
        <v>16</v>
      </c>
      <c r="AC127">
        <v>9</v>
      </c>
      <c r="AD127">
        <v>26</v>
      </c>
      <c r="AE127" s="19" t="s">
        <v>60</v>
      </c>
    </row>
    <row r="128" spans="1:31" x14ac:dyDescent="0.2">
      <c r="A128">
        <v>125</v>
      </c>
      <c r="B128" s="19" t="s">
        <v>471</v>
      </c>
      <c r="C128">
        <v>34</v>
      </c>
      <c r="D128" s="19" t="s">
        <v>359</v>
      </c>
      <c r="E128" s="19" t="s">
        <v>348</v>
      </c>
      <c r="F128">
        <v>40</v>
      </c>
      <c r="G128">
        <v>7</v>
      </c>
      <c r="H128">
        <v>18</v>
      </c>
      <c r="I128">
        <v>25</v>
      </c>
      <c r="J128">
        <v>-3</v>
      </c>
      <c r="K128">
        <v>30</v>
      </c>
      <c r="L128">
        <v>7</v>
      </c>
      <c r="M128">
        <v>0</v>
      </c>
      <c r="N128">
        <v>0</v>
      </c>
      <c r="O128">
        <v>0</v>
      </c>
      <c r="P128">
        <v>15</v>
      </c>
      <c r="Q128">
        <v>3</v>
      </c>
      <c r="R128">
        <v>0</v>
      </c>
      <c r="S128">
        <v>60</v>
      </c>
      <c r="T128">
        <v>11.7</v>
      </c>
      <c r="U128">
        <v>142</v>
      </c>
      <c r="V128" s="19" t="s">
        <v>2131</v>
      </c>
      <c r="W128" s="19" t="s">
        <v>1606</v>
      </c>
      <c r="X128">
        <v>0</v>
      </c>
      <c r="Y128">
        <v>0</v>
      </c>
      <c r="AA128">
        <v>34</v>
      </c>
      <c r="AB128">
        <v>55</v>
      </c>
      <c r="AC128">
        <v>9</v>
      </c>
      <c r="AD128">
        <v>59</v>
      </c>
      <c r="AE128" s="19" t="s">
        <v>60</v>
      </c>
    </row>
    <row r="129" spans="1:31" x14ac:dyDescent="0.2">
      <c r="A129">
        <v>126</v>
      </c>
      <c r="B129" s="19" t="s">
        <v>472</v>
      </c>
      <c r="C129">
        <v>21</v>
      </c>
      <c r="D129" s="19" t="s">
        <v>380</v>
      </c>
      <c r="E129" s="19" t="s">
        <v>322</v>
      </c>
      <c r="F129">
        <v>39</v>
      </c>
      <c r="G129">
        <v>12</v>
      </c>
      <c r="H129">
        <v>13</v>
      </c>
      <c r="I129">
        <v>25</v>
      </c>
      <c r="J129">
        <v>-10</v>
      </c>
      <c r="K129">
        <v>13</v>
      </c>
      <c r="L129">
        <v>9</v>
      </c>
      <c r="M129">
        <v>3</v>
      </c>
      <c r="N129">
        <v>0</v>
      </c>
      <c r="O129">
        <v>2</v>
      </c>
      <c r="P129">
        <v>12</v>
      </c>
      <c r="Q129">
        <v>1</v>
      </c>
      <c r="R129">
        <v>0</v>
      </c>
      <c r="S129">
        <v>107</v>
      </c>
      <c r="T129">
        <v>11.2</v>
      </c>
      <c r="U129">
        <v>235</v>
      </c>
      <c r="V129" s="19" t="s">
        <v>2132</v>
      </c>
      <c r="W129" s="19" t="s">
        <v>1882</v>
      </c>
      <c r="X129">
        <v>233</v>
      </c>
      <c r="Y129">
        <v>225</v>
      </c>
      <c r="Z129">
        <v>50.9</v>
      </c>
      <c r="AA129">
        <v>27</v>
      </c>
      <c r="AB129">
        <v>39</v>
      </c>
      <c r="AC129">
        <v>15</v>
      </c>
      <c r="AD129">
        <v>42</v>
      </c>
      <c r="AE129" s="19" t="s">
        <v>60</v>
      </c>
    </row>
    <row r="130" spans="1:31" x14ac:dyDescent="0.2">
      <c r="A130">
        <v>127</v>
      </c>
      <c r="B130" s="19" t="s">
        <v>551</v>
      </c>
      <c r="C130">
        <v>35</v>
      </c>
      <c r="D130" s="19" t="s">
        <v>383</v>
      </c>
      <c r="E130" s="19" t="s">
        <v>339</v>
      </c>
      <c r="F130">
        <v>41</v>
      </c>
      <c r="G130">
        <v>10</v>
      </c>
      <c r="H130">
        <v>15</v>
      </c>
      <c r="I130">
        <v>25</v>
      </c>
      <c r="J130">
        <v>1</v>
      </c>
      <c r="K130">
        <v>25</v>
      </c>
      <c r="L130">
        <v>7</v>
      </c>
      <c r="M130">
        <v>3</v>
      </c>
      <c r="N130">
        <v>0</v>
      </c>
      <c r="O130">
        <v>3</v>
      </c>
      <c r="P130">
        <v>13</v>
      </c>
      <c r="Q130">
        <v>2</v>
      </c>
      <c r="R130">
        <v>0</v>
      </c>
      <c r="S130">
        <v>100</v>
      </c>
      <c r="T130">
        <v>10</v>
      </c>
      <c r="U130">
        <v>179</v>
      </c>
      <c r="V130" s="19" t="s">
        <v>2133</v>
      </c>
      <c r="W130" s="19" t="s">
        <v>1611</v>
      </c>
      <c r="X130">
        <v>32</v>
      </c>
      <c r="Y130">
        <v>30</v>
      </c>
      <c r="Z130">
        <v>51.6</v>
      </c>
      <c r="AA130">
        <v>23</v>
      </c>
      <c r="AB130">
        <v>32</v>
      </c>
      <c r="AC130">
        <v>8</v>
      </c>
      <c r="AD130">
        <v>19</v>
      </c>
      <c r="AE130" s="19" t="s">
        <v>60</v>
      </c>
    </row>
    <row r="131" spans="1:31" x14ac:dyDescent="0.2">
      <c r="A131">
        <v>128</v>
      </c>
      <c r="B131" s="19" t="s">
        <v>530</v>
      </c>
      <c r="C131">
        <v>31</v>
      </c>
      <c r="D131" s="19" t="s">
        <v>354</v>
      </c>
      <c r="E131" s="19" t="s">
        <v>322</v>
      </c>
      <c r="F131">
        <v>31</v>
      </c>
      <c r="G131">
        <v>6</v>
      </c>
      <c r="H131">
        <v>19</v>
      </c>
      <c r="I131">
        <v>25</v>
      </c>
      <c r="J131">
        <v>-3</v>
      </c>
      <c r="K131">
        <v>30</v>
      </c>
      <c r="L131">
        <v>2</v>
      </c>
      <c r="M131">
        <v>4</v>
      </c>
      <c r="N131">
        <v>0</v>
      </c>
      <c r="O131">
        <v>1</v>
      </c>
      <c r="P131">
        <v>10</v>
      </c>
      <c r="Q131">
        <v>9</v>
      </c>
      <c r="R131">
        <v>0</v>
      </c>
      <c r="S131">
        <v>51</v>
      </c>
      <c r="T131">
        <v>11.8</v>
      </c>
      <c r="U131">
        <v>109</v>
      </c>
      <c r="V131" s="19" t="s">
        <v>2134</v>
      </c>
      <c r="W131" s="19" t="s">
        <v>1051</v>
      </c>
      <c r="X131">
        <v>275</v>
      </c>
      <c r="Y131">
        <v>228</v>
      </c>
      <c r="Z131">
        <v>54.7</v>
      </c>
      <c r="AA131">
        <v>25</v>
      </c>
      <c r="AB131">
        <v>26</v>
      </c>
      <c r="AC131">
        <v>7</v>
      </c>
      <c r="AD131">
        <v>24</v>
      </c>
      <c r="AE131" s="19" t="s">
        <v>60</v>
      </c>
    </row>
    <row r="132" spans="1:31" x14ac:dyDescent="0.2">
      <c r="A132">
        <v>129</v>
      </c>
      <c r="B132" s="19" t="s">
        <v>476</v>
      </c>
      <c r="C132">
        <v>23</v>
      </c>
      <c r="D132" s="19" t="s">
        <v>336</v>
      </c>
      <c r="E132" s="19" t="s">
        <v>322</v>
      </c>
      <c r="F132">
        <v>40</v>
      </c>
      <c r="G132">
        <v>10</v>
      </c>
      <c r="H132">
        <v>15</v>
      </c>
      <c r="I132">
        <v>25</v>
      </c>
      <c r="J132">
        <v>-3</v>
      </c>
      <c r="K132">
        <v>34</v>
      </c>
      <c r="L132">
        <v>6</v>
      </c>
      <c r="M132">
        <v>4</v>
      </c>
      <c r="N132">
        <v>0</v>
      </c>
      <c r="O132">
        <v>2</v>
      </c>
      <c r="P132">
        <v>13</v>
      </c>
      <c r="Q132">
        <v>2</v>
      </c>
      <c r="R132">
        <v>0</v>
      </c>
      <c r="S132">
        <v>82</v>
      </c>
      <c r="T132">
        <v>12.2</v>
      </c>
      <c r="U132">
        <v>183</v>
      </c>
      <c r="V132" s="19" t="s">
        <v>2135</v>
      </c>
      <c r="W132" s="19" t="s">
        <v>2136</v>
      </c>
      <c r="X132">
        <v>262</v>
      </c>
      <c r="Y132">
        <v>259</v>
      </c>
      <c r="Z132">
        <v>50.3</v>
      </c>
      <c r="AA132">
        <v>21</v>
      </c>
      <c r="AB132">
        <v>42</v>
      </c>
      <c r="AC132">
        <v>10</v>
      </c>
      <c r="AD132">
        <v>32</v>
      </c>
      <c r="AE132" s="19" t="s">
        <v>60</v>
      </c>
    </row>
    <row r="133" spans="1:31" x14ac:dyDescent="0.2">
      <c r="A133">
        <v>130</v>
      </c>
      <c r="B133" s="19" t="s">
        <v>639</v>
      </c>
      <c r="C133">
        <v>26</v>
      </c>
      <c r="D133" s="19" t="s">
        <v>536</v>
      </c>
      <c r="E133" s="19" t="s">
        <v>334</v>
      </c>
      <c r="F133">
        <v>38</v>
      </c>
      <c r="G133">
        <v>7</v>
      </c>
      <c r="H133">
        <v>18</v>
      </c>
      <c r="I133">
        <v>25</v>
      </c>
      <c r="J133">
        <v>-8</v>
      </c>
      <c r="K133">
        <v>14</v>
      </c>
      <c r="L133">
        <v>4</v>
      </c>
      <c r="M133">
        <v>3</v>
      </c>
      <c r="N133">
        <v>0</v>
      </c>
      <c r="O133">
        <v>0</v>
      </c>
      <c r="P133">
        <v>12</v>
      </c>
      <c r="Q133">
        <v>6</v>
      </c>
      <c r="R133">
        <v>0</v>
      </c>
      <c r="S133">
        <v>65</v>
      </c>
      <c r="T133">
        <v>10.8</v>
      </c>
      <c r="U133">
        <v>150</v>
      </c>
      <c r="V133" s="19" t="s">
        <v>2137</v>
      </c>
      <c r="W133" s="19" t="s">
        <v>1780</v>
      </c>
      <c r="X133">
        <v>0</v>
      </c>
      <c r="Y133">
        <v>0</v>
      </c>
      <c r="AA133">
        <v>41</v>
      </c>
      <c r="AB133">
        <v>102</v>
      </c>
      <c r="AC133">
        <v>10</v>
      </c>
      <c r="AD133">
        <v>28</v>
      </c>
      <c r="AE133" s="19" t="s">
        <v>60</v>
      </c>
    </row>
    <row r="134" spans="1:31" x14ac:dyDescent="0.2">
      <c r="A134">
        <v>131</v>
      </c>
      <c r="B134" s="19" t="s">
        <v>481</v>
      </c>
      <c r="C134">
        <v>25</v>
      </c>
      <c r="D134" s="19" t="s">
        <v>380</v>
      </c>
      <c r="E134" s="19" t="s">
        <v>339</v>
      </c>
      <c r="F134">
        <v>39</v>
      </c>
      <c r="G134">
        <v>13</v>
      </c>
      <c r="H134">
        <v>12</v>
      </c>
      <c r="I134">
        <v>25</v>
      </c>
      <c r="J134">
        <v>0</v>
      </c>
      <c r="K134">
        <v>47</v>
      </c>
      <c r="L134">
        <v>7</v>
      </c>
      <c r="M134">
        <v>6</v>
      </c>
      <c r="N134">
        <v>0</v>
      </c>
      <c r="O134">
        <v>0</v>
      </c>
      <c r="P134">
        <v>11</v>
      </c>
      <c r="Q134">
        <v>1</v>
      </c>
      <c r="R134">
        <v>0</v>
      </c>
      <c r="S134">
        <v>77</v>
      </c>
      <c r="T134">
        <v>16.899999999999999</v>
      </c>
      <c r="U134">
        <v>135</v>
      </c>
      <c r="V134" s="19" t="s">
        <v>2138</v>
      </c>
      <c r="W134" s="19" t="s">
        <v>1879</v>
      </c>
      <c r="X134">
        <v>4</v>
      </c>
      <c r="Y134">
        <v>17</v>
      </c>
      <c r="Z134">
        <v>19</v>
      </c>
      <c r="AA134">
        <v>12</v>
      </c>
      <c r="AB134">
        <v>60</v>
      </c>
      <c r="AC134">
        <v>6</v>
      </c>
      <c r="AD134">
        <v>32</v>
      </c>
      <c r="AE134" s="19" t="s">
        <v>60</v>
      </c>
    </row>
    <row r="135" spans="1:31" x14ac:dyDescent="0.2">
      <c r="A135">
        <v>132</v>
      </c>
      <c r="B135" s="19" t="s">
        <v>498</v>
      </c>
      <c r="C135">
        <v>22</v>
      </c>
      <c r="D135" s="19" t="s">
        <v>398</v>
      </c>
      <c r="E135" s="19" t="s">
        <v>334</v>
      </c>
      <c r="F135">
        <v>40</v>
      </c>
      <c r="G135">
        <v>12</v>
      </c>
      <c r="H135">
        <v>12</v>
      </c>
      <c r="I135">
        <v>24</v>
      </c>
      <c r="J135">
        <v>-4</v>
      </c>
      <c r="K135">
        <v>26</v>
      </c>
      <c r="L135">
        <v>10</v>
      </c>
      <c r="M135">
        <v>2</v>
      </c>
      <c r="N135">
        <v>0</v>
      </c>
      <c r="O135">
        <v>2</v>
      </c>
      <c r="P135">
        <v>7</v>
      </c>
      <c r="Q135">
        <v>5</v>
      </c>
      <c r="R135">
        <v>0</v>
      </c>
      <c r="S135">
        <v>84</v>
      </c>
      <c r="T135">
        <v>14.3</v>
      </c>
      <c r="U135">
        <v>162</v>
      </c>
      <c r="V135" s="19" t="s">
        <v>2139</v>
      </c>
      <c r="W135" s="19" t="s">
        <v>2140</v>
      </c>
      <c r="X135">
        <v>0</v>
      </c>
      <c r="Y135">
        <v>7</v>
      </c>
      <c r="Z135">
        <v>0</v>
      </c>
      <c r="AA135">
        <v>13</v>
      </c>
      <c r="AB135">
        <v>9</v>
      </c>
      <c r="AC135">
        <v>17</v>
      </c>
      <c r="AD135">
        <v>45</v>
      </c>
      <c r="AE135" s="19" t="s">
        <v>60</v>
      </c>
    </row>
    <row r="136" spans="1:31" x14ac:dyDescent="0.2">
      <c r="A136">
        <v>133</v>
      </c>
      <c r="B136" s="19" t="s">
        <v>523</v>
      </c>
      <c r="C136">
        <v>28</v>
      </c>
      <c r="D136" s="19" t="s">
        <v>351</v>
      </c>
      <c r="E136" s="19" t="s">
        <v>322</v>
      </c>
      <c r="F136">
        <v>36</v>
      </c>
      <c r="G136">
        <v>11</v>
      </c>
      <c r="H136">
        <v>13</v>
      </c>
      <c r="I136">
        <v>24</v>
      </c>
      <c r="J136">
        <v>21</v>
      </c>
      <c r="K136">
        <v>10</v>
      </c>
      <c r="L136">
        <v>9</v>
      </c>
      <c r="M136">
        <v>2</v>
      </c>
      <c r="N136">
        <v>0</v>
      </c>
      <c r="O136">
        <v>2</v>
      </c>
      <c r="P136">
        <v>10</v>
      </c>
      <c r="Q136">
        <v>1</v>
      </c>
      <c r="R136">
        <v>2</v>
      </c>
      <c r="S136">
        <v>71</v>
      </c>
      <c r="T136">
        <v>15.5</v>
      </c>
      <c r="U136">
        <v>133</v>
      </c>
      <c r="V136" s="19" t="s">
        <v>2141</v>
      </c>
      <c r="W136" s="19" t="s">
        <v>1643</v>
      </c>
      <c r="X136">
        <v>274</v>
      </c>
      <c r="Y136">
        <v>287</v>
      </c>
      <c r="Z136">
        <v>48.8</v>
      </c>
      <c r="AA136">
        <v>23</v>
      </c>
      <c r="AB136">
        <v>26</v>
      </c>
      <c r="AC136">
        <v>17</v>
      </c>
      <c r="AD136">
        <v>23</v>
      </c>
      <c r="AE136" s="19" t="s">
        <v>60</v>
      </c>
    </row>
    <row r="137" spans="1:31" x14ac:dyDescent="0.2">
      <c r="A137">
        <v>134</v>
      </c>
      <c r="B137" s="19" t="s">
        <v>548</v>
      </c>
      <c r="C137">
        <v>31</v>
      </c>
      <c r="D137" s="19" t="s">
        <v>372</v>
      </c>
      <c r="E137" s="19" t="s">
        <v>348</v>
      </c>
      <c r="F137">
        <v>39</v>
      </c>
      <c r="G137">
        <v>6</v>
      </c>
      <c r="H137">
        <v>18</v>
      </c>
      <c r="I137">
        <v>24</v>
      </c>
      <c r="J137">
        <v>-2</v>
      </c>
      <c r="K137">
        <v>16</v>
      </c>
      <c r="L137">
        <v>1</v>
      </c>
      <c r="M137">
        <v>5</v>
      </c>
      <c r="N137">
        <v>0</v>
      </c>
      <c r="O137">
        <v>0</v>
      </c>
      <c r="P137">
        <v>10</v>
      </c>
      <c r="Q137">
        <v>8</v>
      </c>
      <c r="R137">
        <v>0</v>
      </c>
      <c r="S137">
        <v>78</v>
      </c>
      <c r="T137">
        <v>7.7</v>
      </c>
      <c r="U137">
        <v>193</v>
      </c>
      <c r="V137" s="19" t="s">
        <v>2142</v>
      </c>
      <c r="W137" s="19" t="s">
        <v>1681</v>
      </c>
      <c r="X137">
        <v>0</v>
      </c>
      <c r="Y137">
        <v>0</v>
      </c>
      <c r="AA137">
        <v>47</v>
      </c>
      <c r="AB137">
        <v>38</v>
      </c>
      <c r="AC137">
        <v>10</v>
      </c>
      <c r="AD137">
        <v>52</v>
      </c>
      <c r="AE137" s="19" t="s">
        <v>60</v>
      </c>
    </row>
    <row r="138" spans="1:31" x14ac:dyDescent="0.2">
      <c r="A138">
        <v>135</v>
      </c>
      <c r="B138" s="19" t="s">
        <v>492</v>
      </c>
      <c r="C138">
        <v>37</v>
      </c>
      <c r="D138" s="19" t="s">
        <v>370</v>
      </c>
      <c r="E138" s="19" t="s">
        <v>334</v>
      </c>
      <c r="F138">
        <v>27</v>
      </c>
      <c r="G138">
        <v>6</v>
      </c>
      <c r="H138">
        <v>18</v>
      </c>
      <c r="I138">
        <v>24</v>
      </c>
      <c r="J138">
        <v>0</v>
      </c>
      <c r="K138">
        <v>10</v>
      </c>
      <c r="L138">
        <v>5</v>
      </c>
      <c r="M138">
        <v>1</v>
      </c>
      <c r="N138">
        <v>0</v>
      </c>
      <c r="O138">
        <v>2</v>
      </c>
      <c r="P138">
        <v>10</v>
      </c>
      <c r="Q138">
        <v>8</v>
      </c>
      <c r="R138">
        <v>0</v>
      </c>
      <c r="S138">
        <v>78</v>
      </c>
      <c r="T138">
        <v>7.7</v>
      </c>
      <c r="U138">
        <v>132</v>
      </c>
      <c r="V138" s="19" t="s">
        <v>2143</v>
      </c>
      <c r="W138" s="19" t="s">
        <v>1263</v>
      </c>
      <c r="X138">
        <v>0</v>
      </c>
      <c r="Y138">
        <v>1</v>
      </c>
      <c r="Z138">
        <v>0</v>
      </c>
      <c r="AA138">
        <v>11</v>
      </c>
      <c r="AB138">
        <v>7</v>
      </c>
      <c r="AC138">
        <v>1</v>
      </c>
      <c r="AD138">
        <v>30</v>
      </c>
      <c r="AE138" s="19" t="s">
        <v>60</v>
      </c>
    </row>
    <row r="139" spans="1:31" x14ac:dyDescent="0.2">
      <c r="A139">
        <v>136</v>
      </c>
      <c r="B139" s="19" t="s">
        <v>442</v>
      </c>
      <c r="C139">
        <v>29</v>
      </c>
      <c r="D139" s="19" t="s">
        <v>400</v>
      </c>
      <c r="E139" s="19" t="s">
        <v>334</v>
      </c>
      <c r="F139">
        <v>35</v>
      </c>
      <c r="G139">
        <v>11</v>
      </c>
      <c r="H139">
        <v>13</v>
      </c>
      <c r="I139">
        <v>24</v>
      </c>
      <c r="J139">
        <v>-7</v>
      </c>
      <c r="K139">
        <v>10</v>
      </c>
      <c r="L139">
        <v>6</v>
      </c>
      <c r="M139">
        <v>5</v>
      </c>
      <c r="N139">
        <v>0</v>
      </c>
      <c r="O139">
        <v>1</v>
      </c>
      <c r="P139">
        <v>9</v>
      </c>
      <c r="Q139">
        <v>4</v>
      </c>
      <c r="R139">
        <v>0</v>
      </c>
      <c r="S139">
        <v>114</v>
      </c>
      <c r="T139">
        <v>9.6</v>
      </c>
      <c r="U139">
        <v>240</v>
      </c>
      <c r="V139" s="19" t="s">
        <v>2144</v>
      </c>
      <c r="W139" s="19" t="s">
        <v>416</v>
      </c>
      <c r="X139">
        <v>23</v>
      </c>
      <c r="Y139">
        <v>26</v>
      </c>
      <c r="Z139">
        <v>46.9</v>
      </c>
      <c r="AA139">
        <v>22</v>
      </c>
      <c r="AB139">
        <v>67</v>
      </c>
      <c r="AC139">
        <v>11</v>
      </c>
      <c r="AD139">
        <v>39</v>
      </c>
      <c r="AE139" s="19" t="s">
        <v>60</v>
      </c>
    </row>
    <row r="140" spans="1:31" x14ac:dyDescent="0.2">
      <c r="A140">
        <v>137</v>
      </c>
      <c r="B140" s="19" t="s">
        <v>462</v>
      </c>
      <c r="C140">
        <v>24</v>
      </c>
      <c r="D140" s="19" t="s">
        <v>400</v>
      </c>
      <c r="E140" s="19" t="s">
        <v>322</v>
      </c>
      <c r="F140">
        <v>40</v>
      </c>
      <c r="G140">
        <v>10</v>
      </c>
      <c r="H140">
        <v>14</v>
      </c>
      <c r="I140">
        <v>24</v>
      </c>
      <c r="J140">
        <v>8</v>
      </c>
      <c r="K140">
        <v>12</v>
      </c>
      <c r="L140">
        <v>5</v>
      </c>
      <c r="M140">
        <v>3</v>
      </c>
      <c r="N140">
        <v>2</v>
      </c>
      <c r="O140">
        <v>1</v>
      </c>
      <c r="P140">
        <v>11</v>
      </c>
      <c r="Q140">
        <v>3</v>
      </c>
      <c r="R140">
        <v>0</v>
      </c>
      <c r="S140">
        <v>83</v>
      </c>
      <c r="T140">
        <v>12</v>
      </c>
      <c r="U140">
        <v>167</v>
      </c>
      <c r="V140" s="19" t="s">
        <v>2145</v>
      </c>
      <c r="W140" s="19" t="s">
        <v>416</v>
      </c>
      <c r="X140">
        <v>82</v>
      </c>
      <c r="Y140">
        <v>117</v>
      </c>
      <c r="Z140">
        <v>41.2</v>
      </c>
      <c r="AA140">
        <v>29</v>
      </c>
      <c r="AB140">
        <v>20</v>
      </c>
      <c r="AC140">
        <v>14</v>
      </c>
      <c r="AD140">
        <v>35</v>
      </c>
      <c r="AE140" s="19" t="s">
        <v>60</v>
      </c>
    </row>
    <row r="141" spans="1:31" x14ac:dyDescent="0.2">
      <c r="A141">
        <v>138</v>
      </c>
      <c r="B141" s="19" t="s">
        <v>695</v>
      </c>
      <c r="C141">
        <v>29</v>
      </c>
      <c r="D141" s="19" t="s">
        <v>351</v>
      </c>
      <c r="E141" s="19" t="s">
        <v>322</v>
      </c>
      <c r="F141">
        <v>33</v>
      </c>
      <c r="G141">
        <v>9</v>
      </c>
      <c r="H141">
        <v>15</v>
      </c>
      <c r="I141">
        <v>24</v>
      </c>
      <c r="J141">
        <v>-3</v>
      </c>
      <c r="K141">
        <v>8</v>
      </c>
      <c r="L141">
        <v>7</v>
      </c>
      <c r="M141">
        <v>2</v>
      </c>
      <c r="N141">
        <v>0</v>
      </c>
      <c r="O141">
        <v>0</v>
      </c>
      <c r="P141">
        <v>12</v>
      </c>
      <c r="Q141">
        <v>3</v>
      </c>
      <c r="R141">
        <v>0</v>
      </c>
      <c r="S141">
        <v>74</v>
      </c>
      <c r="T141">
        <v>12.2</v>
      </c>
      <c r="U141">
        <v>129</v>
      </c>
      <c r="V141" s="19" t="s">
        <v>2146</v>
      </c>
      <c r="W141" s="19" t="s">
        <v>1791</v>
      </c>
      <c r="X141">
        <v>151</v>
      </c>
      <c r="Y141">
        <v>185</v>
      </c>
      <c r="Z141">
        <v>44.9</v>
      </c>
      <c r="AA141">
        <v>13</v>
      </c>
      <c r="AB141">
        <v>4</v>
      </c>
      <c r="AC141">
        <v>3</v>
      </c>
      <c r="AD141">
        <v>20</v>
      </c>
      <c r="AE141" s="19" t="s">
        <v>60</v>
      </c>
    </row>
    <row r="142" spans="1:31" x14ac:dyDescent="0.2">
      <c r="A142">
        <v>139</v>
      </c>
      <c r="B142" s="19" t="s">
        <v>637</v>
      </c>
      <c r="C142">
        <v>31</v>
      </c>
      <c r="D142" s="19" t="s">
        <v>536</v>
      </c>
      <c r="E142" s="19" t="s">
        <v>322</v>
      </c>
      <c r="F142">
        <v>38</v>
      </c>
      <c r="G142">
        <v>10</v>
      </c>
      <c r="H142">
        <v>14</v>
      </c>
      <c r="I142">
        <v>24</v>
      </c>
      <c r="J142">
        <v>-6</v>
      </c>
      <c r="K142">
        <v>6</v>
      </c>
      <c r="L142">
        <v>6</v>
      </c>
      <c r="M142">
        <v>4</v>
      </c>
      <c r="N142">
        <v>0</v>
      </c>
      <c r="O142">
        <v>1</v>
      </c>
      <c r="P142">
        <v>8</v>
      </c>
      <c r="Q142">
        <v>5</v>
      </c>
      <c r="R142">
        <v>1</v>
      </c>
      <c r="S142">
        <v>59</v>
      </c>
      <c r="T142">
        <v>16.899999999999999</v>
      </c>
      <c r="U142">
        <v>94</v>
      </c>
      <c r="V142" s="19" t="s">
        <v>2147</v>
      </c>
      <c r="W142" s="19" t="s">
        <v>1987</v>
      </c>
      <c r="X142">
        <v>383</v>
      </c>
      <c r="Y142">
        <v>360</v>
      </c>
      <c r="Z142">
        <v>51.5</v>
      </c>
      <c r="AA142">
        <v>29</v>
      </c>
      <c r="AB142">
        <v>11</v>
      </c>
      <c r="AC142">
        <v>15</v>
      </c>
      <c r="AD142">
        <v>31</v>
      </c>
      <c r="AE142" s="19" t="s">
        <v>60</v>
      </c>
    </row>
    <row r="143" spans="1:31" x14ac:dyDescent="0.2">
      <c r="A143">
        <v>140</v>
      </c>
      <c r="B143" s="19" t="s">
        <v>535</v>
      </c>
      <c r="C143">
        <v>23</v>
      </c>
      <c r="D143" s="19" t="s">
        <v>536</v>
      </c>
      <c r="E143" s="19" t="s">
        <v>322</v>
      </c>
      <c r="F143">
        <v>38</v>
      </c>
      <c r="G143">
        <v>6</v>
      </c>
      <c r="H143">
        <v>17</v>
      </c>
      <c r="I143">
        <v>23</v>
      </c>
      <c r="J143">
        <v>0</v>
      </c>
      <c r="K143">
        <v>10</v>
      </c>
      <c r="L143">
        <v>3</v>
      </c>
      <c r="M143">
        <v>3</v>
      </c>
      <c r="N143">
        <v>0</v>
      </c>
      <c r="O143">
        <v>1</v>
      </c>
      <c r="P143">
        <v>14</v>
      </c>
      <c r="Q143">
        <v>3</v>
      </c>
      <c r="R143">
        <v>0</v>
      </c>
      <c r="S143">
        <v>67</v>
      </c>
      <c r="T143">
        <v>9</v>
      </c>
      <c r="U143">
        <v>155</v>
      </c>
      <c r="V143" s="19" t="s">
        <v>2148</v>
      </c>
      <c r="W143" s="19" t="s">
        <v>337</v>
      </c>
      <c r="X143">
        <v>245</v>
      </c>
      <c r="Y143">
        <v>261</v>
      </c>
      <c r="Z143">
        <v>48.4</v>
      </c>
      <c r="AA143">
        <v>31</v>
      </c>
      <c r="AB143">
        <v>14</v>
      </c>
      <c r="AC143">
        <v>5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435</v>
      </c>
      <c r="C144">
        <v>21</v>
      </c>
      <c r="D144" s="19" t="s">
        <v>406</v>
      </c>
      <c r="E144" s="19" t="s">
        <v>322</v>
      </c>
      <c r="F144">
        <v>29</v>
      </c>
      <c r="G144">
        <v>14</v>
      </c>
      <c r="H144">
        <v>9</v>
      </c>
      <c r="I144">
        <v>23</v>
      </c>
      <c r="J144">
        <v>6</v>
      </c>
      <c r="K144">
        <v>22</v>
      </c>
      <c r="L144">
        <v>10</v>
      </c>
      <c r="M144">
        <v>3</v>
      </c>
      <c r="N144">
        <v>1</v>
      </c>
      <c r="O144">
        <v>1</v>
      </c>
      <c r="P144">
        <v>8</v>
      </c>
      <c r="Q144">
        <v>1</v>
      </c>
      <c r="R144">
        <v>0</v>
      </c>
      <c r="S144">
        <v>59</v>
      </c>
      <c r="T144">
        <v>23.7</v>
      </c>
      <c r="U144">
        <v>101</v>
      </c>
      <c r="V144" s="19" t="s">
        <v>436</v>
      </c>
      <c r="W144" s="19" t="s">
        <v>437</v>
      </c>
      <c r="X144">
        <v>133</v>
      </c>
      <c r="Y144">
        <v>189</v>
      </c>
      <c r="Z144">
        <v>41.3</v>
      </c>
      <c r="AA144">
        <v>13</v>
      </c>
      <c r="AB144">
        <v>34</v>
      </c>
      <c r="AC144">
        <v>11</v>
      </c>
      <c r="AD144">
        <v>37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23</v>
      </c>
      <c r="D145" s="19" t="s">
        <v>361</v>
      </c>
      <c r="E145" s="19" t="s">
        <v>339</v>
      </c>
      <c r="F145">
        <v>42</v>
      </c>
      <c r="G145">
        <v>10</v>
      </c>
      <c r="H145">
        <v>13</v>
      </c>
      <c r="I145">
        <v>23</v>
      </c>
      <c r="J145">
        <v>-12</v>
      </c>
      <c r="K145">
        <v>24</v>
      </c>
      <c r="L145">
        <v>6</v>
      </c>
      <c r="M145">
        <v>4</v>
      </c>
      <c r="N145">
        <v>0</v>
      </c>
      <c r="O145">
        <v>1</v>
      </c>
      <c r="P145">
        <v>9</v>
      </c>
      <c r="Q145">
        <v>4</v>
      </c>
      <c r="R145">
        <v>0</v>
      </c>
      <c r="S145">
        <v>82</v>
      </c>
      <c r="T145">
        <v>12.2</v>
      </c>
      <c r="U145">
        <v>175</v>
      </c>
      <c r="V145" s="19" t="s">
        <v>2149</v>
      </c>
      <c r="W145" s="19" t="s">
        <v>1775</v>
      </c>
      <c r="X145">
        <v>23</v>
      </c>
      <c r="Y145">
        <v>24</v>
      </c>
      <c r="Z145">
        <v>48.9</v>
      </c>
      <c r="AA145">
        <v>50</v>
      </c>
      <c r="AB145">
        <v>141</v>
      </c>
      <c r="AC145">
        <v>7</v>
      </c>
      <c r="AD145">
        <v>24</v>
      </c>
      <c r="AE145" s="19" t="s">
        <v>60</v>
      </c>
    </row>
    <row r="146" spans="1:31" x14ac:dyDescent="0.2">
      <c r="A146">
        <v>143</v>
      </c>
      <c r="B146" s="19" t="s">
        <v>550</v>
      </c>
      <c r="C146">
        <v>25</v>
      </c>
      <c r="D146" s="19" t="s">
        <v>336</v>
      </c>
      <c r="E146" s="19" t="s">
        <v>348</v>
      </c>
      <c r="F146">
        <v>40</v>
      </c>
      <c r="G146">
        <v>6</v>
      </c>
      <c r="H146">
        <v>17</v>
      </c>
      <c r="I146">
        <v>23</v>
      </c>
      <c r="J146">
        <v>-1</v>
      </c>
      <c r="K146">
        <v>8</v>
      </c>
      <c r="L146">
        <v>4</v>
      </c>
      <c r="M146">
        <v>1</v>
      </c>
      <c r="N146">
        <v>1</v>
      </c>
      <c r="O146">
        <v>0</v>
      </c>
      <c r="P146">
        <v>11</v>
      </c>
      <c r="Q146">
        <v>5</v>
      </c>
      <c r="R146">
        <v>1</v>
      </c>
      <c r="S146">
        <v>88</v>
      </c>
      <c r="T146">
        <v>6.8</v>
      </c>
      <c r="U146">
        <v>201</v>
      </c>
      <c r="V146" s="19" t="s">
        <v>2150</v>
      </c>
      <c r="W146" s="19" t="s">
        <v>1913</v>
      </c>
      <c r="X146">
        <v>0</v>
      </c>
      <c r="Y146">
        <v>0</v>
      </c>
      <c r="AA146">
        <v>69</v>
      </c>
      <c r="AB146">
        <v>35</v>
      </c>
      <c r="AC146">
        <v>28</v>
      </c>
      <c r="AD146">
        <v>59</v>
      </c>
      <c r="AE146" s="19" t="s">
        <v>60</v>
      </c>
    </row>
    <row r="147" spans="1:31" x14ac:dyDescent="0.2">
      <c r="A147">
        <v>144</v>
      </c>
      <c r="B147" s="19" t="s">
        <v>456</v>
      </c>
      <c r="C147">
        <v>27</v>
      </c>
      <c r="D147" s="19" t="s">
        <v>451</v>
      </c>
      <c r="E147" s="19" t="s">
        <v>322</v>
      </c>
      <c r="F147">
        <v>31</v>
      </c>
      <c r="G147">
        <v>9</v>
      </c>
      <c r="H147">
        <v>14</v>
      </c>
      <c r="I147">
        <v>23</v>
      </c>
      <c r="J147">
        <v>-11</v>
      </c>
      <c r="K147">
        <v>12</v>
      </c>
      <c r="L147">
        <v>6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61</v>
      </c>
      <c r="T147">
        <v>14.8</v>
      </c>
      <c r="U147">
        <v>136</v>
      </c>
      <c r="V147" s="19" t="s">
        <v>2151</v>
      </c>
      <c r="W147" s="19" t="s">
        <v>1766</v>
      </c>
      <c r="X147">
        <v>322</v>
      </c>
      <c r="Y147">
        <v>357</v>
      </c>
      <c r="Z147">
        <v>47.4</v>
      </c>
      <c r="AA147">
        <v>54</v>
      </c>
      <c r="AB147">
        <v>29</v>
      </c>
      <c r="AC147">
        <v>18</v>
      </c>
      <c r="AD147">
        <v>32</v>
      </c>
      <c r="AE147" s="19" t="s">
        <v>60</v>
      </c>
    </row>
    <row r="148" spans="1:31" x14ac:dyDescent="0.2">
      <c r="A148">
        <v>145</v>
      </c>
      <c r="B148" s="19" t="s">
        <v>497</v>
      </c>
      <c r="C148">
        <v>26</v>
      </c>
      <c r="D148" s="19" t="s">
        <v>408</v>
      </c>
      <c r="E148" s="19" t="s">
        <v>334</v>
      </c>
      <c r="F148">
        <v>39</v>
      </c>
      <c r="G148">
        <v>12</v>
      </c>
      <c r="H148">
        <v>11</v>
      </c>
      <c r="I148">
        <v>23</v>
      </c>
      <c r="J148">
        <v>-3</v>
      </c>
      <c r="K148">
        <v>20</v>
      </c>
      <c r="L148">
        <v>10</v>
      </c>
      <c r="M148">
        <v>1</v>
      </c>
      <c r="N148">
        <v>1</v>
      </c>
      <c r="O148">
        <v>0</v>
      </c>
      <c r="P148">
        <v>11</v>
      </c>
      <c r="Q148">
        <v>0</v>
      </c>
      <c r="R148">
        <v>0</v>
      </c>
      <c r="S148">
        <v>94</v>
      </c>
      <c r="T148">
        <v>12.8</v>
      </c>
      <c r="U148">
        <v>186</v>
      </c>
      <c r="V148" s="19" t="s">
        <v>2152</v>
      </c>
      <c r="W148" s="19" t="s">
        <v>1631</v>
      </c>
      <c r="X148">
        <v>4</v>
      </c>
      <c r="Y148">
        <v>8</v>
      </c>
      <c r="Z148">
        <v>33.299999999999997</v>
      </c>
      <c r="AA148">
        <v>20</v>
      </c>
      <c r="AB148">
        <v>73</v>
      </c>
      <c r="AC148">
        <v>6</v>
      </c>
      <c r="AD148">
        <v>41</v>
      </c>
      <c r="AE148" s="19" t="s">
        <v>60</v>
      </c>
    </row>
    <row r="149" spans="1:31" x14ac:dyDescent="0.2">
      <c r="A149">
        <v>146</v>
      </c>
      <c r="B149" s="19" t="s">
        <v>563</v>
      </c>
      <c r="C149">
        <v>26</v>
      </c>
      <c r="D149" s="19" t="s">
        <v>408</v>
      </c>
      <c r="E149" s="19" t="s">
        <v>339</v>
      </c>
      <c r="F149">
        <v>39</v>
      </c>
      <c r="G149">
        <v>10</v>
      </c>
      <c r="H149">
        <v>12</v>
      </c>
      <c r="I149">
        <v>22</v>
      </c>
      <c r="J149">
        <v>13</v>
      </c>
      <c r="K149">
        <v>10</v>
      </c>
      <c r="L149">
        <v>8</v>
      </c>
      <c r="M149">
        <v>2</v>
      </c>
      <c r="N149">
        <v>0</v>
      </c>
      <c r="O149">
        <v>3</v>
      </c>
      <c r="P149">
        <v>8</v>
      </c>
      <c r="Q149">
        <v>4</v>
      </c>
      <c r="R149">
        <v>0</v>
      </c>
      <c r="S149">
        <v>70</v>
      </c>
      <c r="T149">
        <v>14.3</v>
      </c>
      <c r="U149">
        <v>113</v>
      </c>
      <c r="V149" s="19" t="s">
        <v>2153</v>
      </c>
      <c r="W149" s="19" t="s">
        <v>1617</v>
      </c>
      <c r="X149">
        <v>220</v>
      </c>
      <c r="Y149">
        <v>290</v>
      </c>
      <c r="Z149">
        <v>43.1</v>
      </c>
      <c r="AA149">
        <v>33</v>
      </c>
      <c r="AB149">
        <v>41</v>
      </c>
      <c r="AC149">
        <v>13</v>
      </c>
      <c r="AD149">
        <v>16</v>
      </c>
      <c r="AE149" s="19" t="s">
        <v>60</v>
      </c>
    </row>
    <row r="150" spans="1:31" x14ac:dyDescent="0.2">
      <c r="A150">
        <v>147</v>
      </c>
      <c r="B150" s="19" t="s">
        <v>645</v>
      </c>
      <c r="C150">
        <v>31</v>
      </c>
      <c r="D150" s="19" t="s">
        <v>370</v>
      </c>
      <c r="E150" s="19" t="s">
        <v>322</v>
      </c>
      <c r="F150">
        <v>42</v>
      </c>
      <c r="G150">
        <v>5</v>
      </c>
      <c r="H150">
        <v>17</v>
      </c>
      <c r="I150">
        <v>22</v>
      </c>
      <c r="J150">
        <v>-3</v>
      </c>
      <c r="K150">
        <v>14</v>
      </c>
      <c r="L150">
        <v>4</v>
      </c>
      <c r="M150">
        <v>1</v>
      </c>
      <c r="N150">
        <v>0</v>
      </c>
      <c r="O150">
        <v>0</v>
      </c>
      <c r="P150">
        <v>12</v>
      </c>
      <c r="Q150">
        <v>5</v>
      </c>
      <c r="R150">
        <v>0</v>
      </c>
      <c r="S150">
        <v>60</v>
      </c>
      <c r="T150">
        <v>8.3000000000000007</v>
      </c>
      <c r="U150">
        <v>106</v>
      </c>
      <c r="V150" s="19" t="s">
        <v>2154</v>
      </c>
      <c r="W150" s="19" t="s">
        <v>1192</v>
      </c>
      <c r="X150">
        <v>224</v>
      </c>
      <c r="Y150">
        <v>189</v>
      </c>
      <c r="Z150">
        <v>54.2</v>
      </c>
      <c r="AA150">
        <v>30</v>
      </c>
      <c r="AB150">
        <v>25</v>
      </c>
      <c r="AC150">
        <v>9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538</v>
      </c>
      <c r="C151">
        <v>23</v>
      </c>
      <c r="D151" s="19" t="s">
        <v>439</v>
      </c>
      <c r="E151" s="19" t="s">
        <v>334</v>
      </c>
      <c r="F151">
        <v>39</v>
      </c>
      <c r="G151">
        <v>11</v>
      </c>
      <c r="H151">
        <v>11</v>
      </c>
      <c r="I151">
        <v>22</v>
      </c>
      <c r="J151">
        <v>-16</v>
      </c>
      <c r="K151">
        <v>16</v>
      </c>
      <c r="L151">
        <v>6</v>
      </c>
      <c r="M151">
        <v>5</v>
      </c>
      <c r="N151">
        <v>0</v>
      </c>
      <c r="O151">
        <v>2</v>
      </c>
      <c r="P151">
        <v>8</v>
      </c>
      <c r="Q151">
        <v>3</v>
      </c>
      <c r="R151">
        <v>0</v>
      </c>
      <c r="S151">
        <v>97</v>
      </c>
      <c r="T151">
        <v>11.3</v>
      </c>
      <c r="U151">
        <v>194</v>
      </c>
      <c r="V151" s="19" t="s">
        <v>2155</v>
      </c>
      <c r="W151" s="19" t="s">
        <v>636</v>
      </c>
      <c r="X151">
        <v>35</v>
      </c>
      <c r="Y151">
        <v>58</v>
      </c>
      <c r="Z151">
        <v>37.6</v>
      </c>
      <c r="AA151">
        <v>13</v>
      </c>
      <c r="AB151">
        <v>8</v>
      </c>
      <c r="AC151">
        <v>10</v>
      </c>
      <c r="AD151">
        <v>27</v>
      </c>
      <c r="AE151" s="19" t="s">
        <v>60</v>
      </c>
    </row>
    <row r="152" spans="1:31" x14ac:dyDescent="0.2">
      <c r="A152">
        <v>149</v>
      </c>
      <c r="B152" s="19" t="s">
        <v>566</v>
      </c>
      <c r="C152">
        <v>29</v>
      </c>
      <c r="D152" s="19" t="s">
        <v>451</v>
      </c>
      <c r="E152" s="19" t="s">
        <v>334</v>
      </c>
      <c r="F152">
        <v>33</v>
      </c>
      <c r="G152">
        <v>7</v>
      </c>
      <c r="H152">
        <v>15</v>
      </c>
      <c r="I152">
        <v>22</v>
      </c>
      <c r="J152">
        <v>-10</v>
      </c>
      <c r="K152">
        <v>18</v>
      </c>
      <c r="L152">
        <v>5</v>
      </c>
      <c r="M152">
        <v>1</v>
      </c>
      <c r="N152">
        <v>1</v>
      </c>
      <c r="O152">
        <v>1</v>
      </c>
      <c r="P152">
        <v>7</v>
      </c>
      <c r="Q152">
        <v>8</v>
      </c>
      <c r="R152">
        <v>0</v>
      </c>
      <c r="S152">
        <v>78</v>
      </c>
      <c r="T152">
        <v>9</v>
      </c>
      <c r="U152">
        <v>147</v>
      </c>
      <c r="V152" s="19" t="s">
        <v>2156</v>
      </c>
      <c r="W152" s="19" t="s">
        <v>1818</v>
      </c>
      <c r="X152">
        <v>6</v>
      </c>
      <c r="Y152">
        <v>15</v>
      </c>
      <c r="Z152">
        <v>28.6</v>
      </c>
      <c r="AA152">
        <v>17</v>
      </c>
      <c r="AB152">
        <v>24</v>
      </c>
      <c r="AC152">
        <v>13</v>
      </c>
      <c r="AD152">
        <v>42</v>
      </c>
      <c r="AE152" s="19" t="s">
        <v>60</v>
      </c>
    </row>
    <row r="153" spans="1:31" x14ac:dyDescent="0.2">
      <c r="A153">
        <v>150</v>
      </c>
      <c r="B153" s="19" t="s">
        <v>547</v>
      </c>
      <c r="C153">
        <v>28</v>
      </c>
      <c r="D153" s="19" t="s">
        <v>451</v>
      </c>
      <c r="E153" s="19" t="s">
        <v>348</v>
      </c>
      <c r="F153">
        <v>39</v>
      </c>
      <c r="G153">
        <v>2</v>
      </c>
      <c r="H153">
        <v>20</v>
      </c>
      <c r="I153">
        <v>22</v>
      </c>
      <c r="J153">
        <v>1</v>
      </c>
      <c r="K153">
        <v>12</v>
      </c>
      <c r="L153">
        <v>1</v>
      </c>
      <c r="M153">
        <v>1</v>
      </c>
      <c r="N153">
        <v>0</v>
      </c>
      <c r="O153">
        <v>0</v>
      </c>
      <c r="P153">
        <v>12</v>
      </c>
      <c r="Q153">
        <v>7</v>
      </c>
      <c r="R153">
        <v>1</v>
      </c>
      <c r="S153">
        <v>55</v>
      </c>
      <c r="T153">
        <v>3.6</v>
      </c>
      <c r="U153">
        <v>129</v>
      </c>
      <c r="V153" s="19" t="s">
        <v>2157</v>
      </c>
      <c r="W153" s="19" t="s">
        <v>2158</v>
      </c>
      <c r="X153">
        <v>0</v>
      </c>
      <c r="Y153">
        <v>0</v>
      </c>
      <c r="AA153">
        <v>55</v>
      </c>
      <c r="AB153">
        <v>67</v>
      </c>
      <c r="AC153">
        <v>14</v>
      </c>
      <c r="AD153">
        <v>43</v>
      </c>
      <c r="AE153" s="19" t="s">
        <v>60</v>
      </c>
    </row>
    <row r="154" spans="1:31" x14ac:dyDescent="0.2">
      <c r="A154">
        <v>151</v>
      </c>
      <c r="B154" s="19" t="s">
        <v>473</v>
      </c>
      <c r="C154">
        <v>24</v>
      </c>
      <c r="D154" s="19" t="s">
        <v>400</v>
      </c>
      <c r="E154" s="19" t="s">
        <v>322</v>
      </c>
      <c r="F154">
        <v>22</v>
      </c>
      <c r="G154">
        <v>11</v>
      </c>
      <c r="H154">
        <v>11</v>
      </c>
      <c r="I154">
        <v>22</v>
      </c>
      <c r="J154">
        <v>-3</v>
      </c>
      <c r="K154">
        <v>0</v>
      </c>
      <c r="L154">
        <v>10</v>
      </c>
      <c r="M154">
        <v>1</v>
      </c>
      <c r="N154">
        <v>0</v>
      </c>
      <c r="O154">
        <v>2</v>
      </c>
      <c r="P154">
        <v>6</v>
      </c>
      <c r="Q154">
        <v>5</v>
      </c>
      <c r="R154">
        <v>0</v>
      </c>
      <c r="S154">
        <v>83</v>
      </c>
      <c r="T154">
        <v>13.3</v>
      </c>
      <c r="U154">
        <v>158</v>
      </c>
      <c r="V154" s="19" t="s">
        <v>2159</v>
      </c>
      <c r="W154" s="19" t="s">
        <v>1905</v>
      </c>
      <c r="X154">
        <v>52</v>
      </c>
      <c r="Y154">
        <v>101</v>
      </c>
      <c r="Z154">
        <v>34</v>
      </c>
      <c r="AA154">
        <v>11</v>
      </c>
      <c r="AB154">
        <v>2</v>
      </c>
      <c r="AC154">
        <v>15</v>
      </c>
      <c r="AD154">
        <v>42</v>
      </c>
      <c r="AE154" s="19" t="s">
        <v>60</v>
      </c>
    </row>
    <row r="155" spans="1:31" x14ac:dyDescent="0.2">
      <c r="A155">
        <v>152</v>
      </c>
      <c r="B155" s="19" t="s">
        <v>902</v>
      </c>
      <c r="C155">
        <v>33</v>
      </c>
      <c r="D155" s="19" t="s">
        <v>327</v>
      </c>
      <c r="E155" s="19" t="s">
        <v>339</v>
      </c>
      <c r="F155">
        <v>22</v>
      </c>
      <c r="G155">
        <v>12</v>
      </c>
      <c r="H155">
        <v>10</v>
      </c>
      <c r="I155">
        <v>22</v>
      </c>
      <c r="J155">
        <v>4</v>
      </c>
      <c r="K155">
        <v>12</v>
      </c>
      <c r="L155">
        <v>8</v>
      </c>
      <c r="M155">
        <v>4</v>
      </c>
      <c r="N155">
        <v>0</v>
      </c>
      <c r="O155">
        <v>1</v>
      </c>
      <c r="P155">
        <v>6</v>
      </c>
      <c r="Q155">
        <v>4</v>
      </c>
      <c r="R155">
        <v>0</v>
      </c>
      <c r="S155">
        <v>64</v>
      </c>
      <c r="T155">
        <v>18.8</v>
      </c>
      <c r="U155">
        <v>111</v>
      </c>
      <c r="V155" s="19" t="s">
        <v>2160</v>
      </c>
      <c r="W155" s="19" t="s">
        <v>1685</v>
      </c>
      <c r="X155">
        <v>0</v>
      </c>
      <c r="Y155">
        <v>1</v>
      </c>
      <c r="Z155">
        <v>0</v>
      </c>
      <c r="AA155">
        <v>5</v>
      </c>
      <c r="AB155">
        <v>32</v>
      </c>
      <c r="AC155">
        <v>3</v>
      </c>
      <c r="AD155">
        <v>10</v>
      </c>
      <c r="AE155" s="19" t="s">
        <v>60</v>
      </c>
    </row>
    <row r="156" spans="1:31" x14ac:dyDescent="0.2">
      <c r="A156">
        <v>153</v>
      </c>
      <c r="B156" s="19" t="s">
        <v>461</v>
      </c>
      <c r="C156">
        <v>34</v>
      </c>
      <c r="D156" s="19" t="s">
        <v>336</v>
      </c>
      <c r="E156" s="19" t="s">
        <v>339</v>
      </c>
      <c r="F156">
        <v>36</v>
      </c>
      <c r="G156">
        <v>13</v>
      </c>
      <c r="H156">
        <v>9</v>
      </c>
      <c r="I156">
        <v>22</v>
      </c>
      <c r="J156">
        <v>-4</v>
      </c>
      <c r="K156">
        <v>18</v>
      </c>
      <c r="L156">
        <v>7</v>
      </c>
      <c r="M156">
        <v>6</v>
      </c>
      <c r="N156">
        <v>0</v>
      </c>
      <c r="O156">
        <v>1</v>
      </c>
      <c r="P156">
        <v>6</v>
      </c>
      <c r="Q156">
        <v>3</v>
      </c>
      <c r="R156">
        <v>0</v>
      </c>
      <c r="S156">
        <v>74</v>
      </c>
      <c r="T156">
        <v>17.600000000000001</v>
      </c>
      <c r="U156">
        <v>149</v>
      </c>
      <c r="V156" s="19" t="s">
        <v>2161</v>
      </c>
      <c r="W156" s="19" t="s">
        <v>540</v>
      </c>
      <c r="X156">
        <v>10</v>
      </c>
      <c r="Y156">
        <v>18</v>
      </c>
      <c r="Z156">
        <v>35.700000000000003</v>
      </c>
      <c r="AA156">
        <v>14</v>
      </c>
      <c r="AB156">
        <v>31</v>
      </c>
      <c r="AC156">
        <v>6</v>
      </c>
      <c r="AD156">
        <v>29</v>
      </c>
      <c r="AE156" s="19" t="s">
        <v>60</v>
      </c>
    </row>
    <row r="157" spans="1:31" x14ac:dyDescent="0.2">
      <c r="A157">
        <v>154</v>
      </c>
      <c r="B157" s="19" t="s">
        <v>506</v>
      </c>
      <c r="C157">
        <v>21</v>
      </c>
      <c r="D157" s="19" t="s">
        <v>366</v>
      </c>
      <c r="E157" s="19" t="s">
        <v>334</v>
      </c>
      <c r="F157">
        <v>34</v>
      </c>
      <c r="G157">
        <v>7</v>
      </c>
      <c r="H157">
        <v>15</v>
      </c>
      <c r="I157">
        <v>22</v>
      </c>
      <c r="J157">
        <v>7</v>
      </c>
      <c r="K157">
        <v>20</v>
      </c>
      <c r="L157">
        <v>6</v>
      </c>
      <c r="M157">
        <v>1</v>
      </c>
      <c r="N157">
        <v>0</v>
      </c>
      <c r="O157">
        <v>2</v>
      </c>
      <c r="P157">
        <v>9</v>
      </c>
      <c r="Q157">
        <v>6</v>
      </c>
      <c r="R157">
        <v>0</v>
      </c>
      <c r="S157">
        <v>69</v>
      </c>
      <c r="T157">
        <v>10.1</v>
      </c>
      <c r="U157">
        <v>149</v>
      </c>
      <c r="V157" s="19" t="s">
        <v>2162</v>
      </c>
      <c r="W157" s="19" t="s">
        <v>1803</v>
      </c>
      <c r="X157">
        <v>5</v>
      </c>
      <c r="Y157">
        <v>4</v>
      </c>
      <c r="Z157">
        <v>55.6</v>
      </c>
      <c r="AA157">
        <v>13</v>
      </c>
      <c r="AB157">
        <v>46</v>
      </c>
      <c r="AC157">
        <v>8</v>
      </c>
      <c r="AD157">
        <v>33</v>
      </c>
      <c r="AE157" s="19" t="s">
        <v>60</v>
      </c>
    </row>
    <row r="158" spans="1:31" x14ac:dyDescent="0.2">
      <c r="A158">
        <v>155</v>
      </c>
      <c r="B158" s="19" t="s">
        <v>571</v>
      </c>
      <c r="C158">
        <v>27</v>
      </c>
      <c r="D158" s="19" t="s">
        <v>321</v>
      </c>
      <c r="E158" s="19" t="s">
        <v>348</v>
      </c>
      <c r="F158">
        <v>39</v>
      </c>
      <c r="G158">
        <v>3</v>
      </c>
      <c r="H158">
        <v>19</v>
      </c>
      <c r="I158">
        <v>22</v>
      </c>
      <c r="J158">
        <v>22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18</v>
      </c>
      <c r="Q158">
        <v>1</v>
      </c>
      <c r="R158">
        <v>0</v>
      </c>
      <c r="S158">
        <v>67</v>
      </c>
      <c r="T158">
        <v>4.5</v>
      </c>
      <c r="U158">
        <v>171</v>
      </c>
      <c r="V158" s="19" t="s">
        <v>2163</v>
      </c>
      <c r="W158" s="19" t="s">
        <v>1137</v>
      </c>
      <c r="X158">
        <v>0</v>
      </c>
      <c r="Y158">
        <v>0</v>
      </c>
      <c r="AA158">
        <v>40</v>
      </c>
      <c r="AB158">
        <v>21</v>
      </c>
      <c r="AC158">
        <v>12</v>
      </c>
      <c r="AD158">
        <v>31</v>
      </c>
      <c r="AE158" s="19" t="s">
        <v>60</v>
      </c>
    </row>
    <row r="159" spans="1:31" x14ac:dyDescent="0.2">
      <c r="A159">
        <v>156</v>
      </c>
      <c r="B159" s="19" t="s">
        <v>603</v>
      </c>
      <c r="C159">
        <v>26</v>
      </c>
      <c r="D159" s="19" t="s">
        <v>430</v>
      </c>
      <c r="E159" s="19" t="s">
        <v>322</v>
      </c>
      <c r="F159">
        <v>39</v>
      </c>
      <c r="G159">
        <v>7</v>
      </c>
      <c r="H159">
        <v>15</v>
      </c>
      <c r="I159">
        <v>22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12</v>
      </c>
      <c r="Q159">
        <v>3</v>
      </c>
      <c r="R159">
        <v>0</v>
      </c>
      <c r="S159">
        <v>49</v>
      </c>
      <c r="T159">
        <v>14.3</v>
      </c>
      <c r="U159">
        <v>94</v>
      </c>
      <c r="V159" s="19" t="s">
        <v>2164</v>
      </c>
      <c r="W159" s="19" t="s">
        <v>1581</v>
      </c>
      <c r="X159">
        <v>271</v>
      </c>
      <c r="Y159">
        <v>338</v>
      </c>
      <c r="Z159">
        <v>44.5</v>
      </c>
      <c r="AA159">
        <v>15</v>
      </c>
      <c r="AB159">
        <v>10</v>
      </c>
      <c r="AC159">
        <v>16</v>
      </c>
      <c r="AD159">
        <v>39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21</v>
      </c>
      <c r="D160" s="19" t="s">
        <v>408</v>
      </c>
      <c r="E160" s="19" t="s">
        <v>334</v>
      </c>
      <c r="F160">
        <v>39</v>
      </c>
      <c r="G160">
        <v>9</v>
      </c>
      <c r="H160">
        <v>13</v>
      </c>
      <c r="I160">
        <v>22</v>
      </c>
      <c r="J160">
        <v>-1</v>
      </c>
      <c r="K160">
        <v>36</v>
      </c>
      <c r="L160">
        <v>8</v>
      </c>
      <c r="M160">
        <v>1</v>
      </c>
      <c r="N160">
        <v>0</v>
      </c>
      <c r="O160">
        <v>0</v>
      </c>
      <c r="P160">
        <v>9</v>
      </c>
      <c r="Q160">
        <v>4</v>
      </c>
      <c r="R160">
        <v>0</v>
      </c>
      <c r="S160">
        <v>77</v>
      </c>
      <c r="T160">
        <v>11.7</v>
      </c>
      <c r="U160">
        <v>147</v>
      </c>
      <c r="V160" s="19" t="s">
        <v>2165</v>
      </c>
      <c r="W160" s="19" t="s">
        <v>1654</v>
      </c>
      <c r="X160">
        <v>0</v>
      </c>
      <c r="Y160">
        <v>5</v>
      </c>
      <c r="Z160">
        <v>0</v>
      </c>
      <c r="AA160">
        <v>10</v>
      </c>
      <c r="AB160">
        <v>17</v>
      </c>
      <c r="AC160">
        <v>11</v>
      </c>
      <c r="AD160">
        <v>43</v>
      </c>
      <c r="AE160" s="19" t="s">
        <v>60</v>
      </c>
    </row>
    <row r="161" spans="1:31" x14ac:dyDescent="0.2">
      <c r="A161">
        <v>158</v>
      </c>
      <c r="B161" s="19" t="s">
        <v>507</v>
      </c>
      <c r="C161">
        <v>32</v>
      </c>
      <c r="D161" s="19" t="s">
        <v>361</v>
      </c>
      <c r="E161" s="19" t="s">
        <v>322</v>
      </c>
      <c r="F161">
        <v>35</v>
      </c>
      <c r="G161">
        <v>10</v>
      </c>
      <c r="H161">
        <v>12</v>
      </c>
      <c r="I161">
        <v>22</v>
      </c>
      <c r="J161">
        <v>-11</v>
      </c>
      <c r="K161">
        <v>10</v>
      </c>
      <c r="L161">
        <v>7</v>
      </c>
      <c r="M161">
        <v>3</v>
      </c>
      <c r="N161">
        <v>0</v>
      </c>
      <c r="O161">
        <v>3</v>
      </c>
      <c r="P161">
        <v>10</v>
      </c>
      <c r="Q161">
        <v>2</v>
      </c>
      <c r="R161">
        <v>0</v>
      </c>
      <c r="S161">
        <v>77</v>
      </c>
      <c r="T161">
        <v>13</v>
      </c>
      <c r="U161">
        <v>153</v>
      </c>
      <c r="V161" s="19" t="s">
        <v>1781</v>
      </c>
      <c r="W161" s="19" t="s">
        <v>1677</v>
      </c>
      <c r="X161">
        <v>294</v>
      </c>
      <c r="Y161">
        <v>197</v>
      </c>
      <c r="Z161">
        <v>59.9</v>
      </c>
      <c r="AA161">
        <v>12</v>
      </c>
      <c r="AB161">
        <v>74</v>
      </c>
      <c r="AC161">
        <v>5</v>
      </c>
      <c r="AD161">
        <v>35</v>
      </c>
      <c r="AE161" s="19" t="s">
        <v>60</v>
      </c>
    </row>
    <row r="162" spans="1:31" x14ac:dyDescent="0.2">
      <c r="A162">
        <v>159</v>
      </c>
      <c r="B162" s="19" t="s">
        <v>577</v>
      </c>
      <c r="C162">
        <v>24</v>
      </c>
      <c r="D162" s="19" t="s">
        <v>430</v>
      </c>
      <c r="E162" s="19" t="s">
        <v>334</v>
      </c>
      <c r="F162">
        <v>39</v>
      </c>
      <c r="G162">
        <v>7</v>
      </c>
      <c r="H162">
        <v>15</v>
      </c>
      <c r="I162">
        <v>22</v>
      </c>
      <c r="J162">
        <v>-3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15</v>
      </c>
      <c r="Q162">
        <v>0</v>
      </c>
      <c r="R162">
        <v>0</v>
      </c>
      <c r="S162">
        <v>71</v>
      </c>
      <c r="T162">
        <v>9.9</v>
      </c>
      <c r="U162">
        <v>152</v>
      </c>
      <c r="V162" s="19" t="s">
        <v>2166</v>
      </c>
      <c r="W162" s="19" t="s">
        <v>1778</v>
      </c>
      <c r="X162">
        <v>3</v>
      </c>
      <c r="Y162">
        <v>9</v>
      </c>
      <c r="Z162">
        <v>25</v>
      </c>
      <c r="AA162">
        <v>18</v>
      </c>
      <c r="AB162">
        <v>22</v>
      </c>
      <c r="AC162">
        <v>8</v>
      </c>
      <c r="AD162">
        <v>33</v>
      </c>
      <c r="AE162" s="19" t="s">
        <v>60</v>
      </c>
    </row>
    <row r="163" spans="1:31" x14ac:dyDescent="0.2">
      <c r="A163">
        <v>160</v>
      </c>
      <c r="B163" s="19" t="s">
        <v>612</v>
      </c>
      <c r="C163">
        <v>32</v>
      </c>
      <c r="D163" s="19" t="s">
        <v>361</v>
      </c>
      <c r="E163" s="19" t="s">
        <v>322</v>
      </c>
      <c r="F163">
        <v>28</v>
      </c>
      <c r="G163">
        <v>9</v>
      </c>
      <c r="H163">
        <v>13</v>
      </c>
      <c r="I163">
        <v>22</v>
      </c>
      <c r="J163">
        <v>-8</v>
      </c>
      <c r="K163">
        <v>16</v>
      </c>
      <c r="L163">
        <v>9</v>
      </c>
      <c r="M163">
        <v>0</v>
      </c>
      <c r="N163">
        <v>0</v>
      </c>
      <c r="O163">
        <v>1</v>
      </c>
      <c r="P163">
        <v>9</v>
      </c>
      <c r="Q163">
        <v>4</v>
      </c>
      <c r="R163">
        <v>0</v>
      </c>
      <c r="S163">
        <v>48</v>
      </c>
      <c r="T163">
        <v>18.8</v>
      </c>
      <c r="U163">
        <v>114</v>
      </c>
      <c r="V163" s="19" t="s">
        <v>2167</v>
      </c>
      <c r="W163" s="19" t="s">
        <v>1601</v>
      </c>
      <c r="X163">
        <v>259</v>
      </c>
      <c r="Y163">
        <v>210</v>
      </c>
      <c r="Z163">
        <v>55.2</v>
      </c>
      <c r="AA163">
        <v>22</v>
      </c>
      <c r="AB163">
        <v>96</v>
      </c>
      <c r="AC163">
        <v>11</v>
      </c>
      <c r="AD163">
        <v>31</v>
      </c>
      <c r="AE163" s="19" t="s">
        <v>60</v>
      </c>
    </row>
    <row r="164" spans="1:31" x14ac:dyDescent="0.2">
      <c r="A164">
        <v>161</v>
      </c>
      <c r="B164" s="19" t="s">
        <v>583</v>
      </c>
      <c r="C164">
        <v>30</v>
      </c>
      <c r="D164" s="19" t="s">
        <v>519</v>
      </c>
      <c r="E164" s="19" t="s">
        <v>339</v>
      </c>
      <c r="F164">
        <v>41</v>
      </c>
      <c r="G164">
        <v>7</v>
      </c>
      <c r="H164">
        <v>14</v>
      </c>
      <c r="I164">
        <v>21</v>
      </c>
      <c r="J164">
        <v>-11</v>
      </c>
      <c r="K164">
        <v>12</v>
      </c>
      <c r="L164">
        <v>5</v>
      </c>
      <c r="M164">
        <v>2</v>
      </c>
      <c r="N164">
        <v>0</v>
      </c>
      <c r="O164">
        <v>1</v>
      </c>
      <c r="P164">
        <v>8</v>
      </c>
      <c r="Q164">
        <v>6</v>
      </c>
      <c r="R164">
        <v>0</v>
      </c>
      <c r="S164">
        <v>68</v>
      </c>
      <c r="T164">
        <v>10.3</v>
      </c>
      <c r="U164">
        <v>141</v>
      </c>
      <c r="V164" s="19" t="s">
        <v>2168</v>
      </c>
      <c r="W164" s="19" t="s">
        <v>2020</v>
      </c>
      <c r="X164">
        <v>6</v>
      </c>
      <c r="Y164">
        <v>13</v>
      </c>
      <c r="Z164">
        <v>31.6</v>
      </c>
      <c r="AA164">
        <v>16</v>
      </c>
      <c r="AB164">
        <v>21</v>
      </c>
      <c r="AC164">
        <v>13</v>
      </c>
      <c r="AD164">
        <v>33</v>
      </c>
      <c r="AE164" s="19" t="s">
        <v>60</v>
      </c>
    </row>
    <row r="165" spans="1:31" x14ac:dyDescent="0.2">
      <c r="A165">
        <v>162</v>
      </c>
      <c r="B165" s="19" t="s">
        <v>482</v>
      </c>
      <c r="C165">
        <v>23</v>
      </c>
      <c r="D165" s="19" t="s">
        <v>421</v>
      </c>
      <c r="E165" s="19" t="s">
        <v>322</v>
      </c>
      <c r="F165">
        <v>38</v>
      </c>
      <c r="G165">
        <v>5</v>
      </c>
      <c r="H165">
        <v>16</v>
      </c>
      <c r="I165">
        <v>21</v>
      </c>
      <c r="J165">
        <v>-2</v>
      </c>
      <c r="K165">
        <v>14</v>
      </c>
      <c r="L165">
        <v>3</v>
      </c>
      <c r="M165">
        <v>2</v>
      </c>
      <c r="N165">
        <v>0</v>
      </c>
      <c r="O165">
        <v>2</v>
      </c>
      <c r="P165">
        <v>11</v>
      </c>
      <c r="Q165">
        <v>4</v>
      </c>
      <c r="R165">
        <v>1</v>
      </c>
      <c r="S165">
        <v>83</v>
      </c>
      <c r="T165">
        <v>6</v>
      </c>
      <c r="U165">
        <v>162</v>
      </c>
      <c r="V165" s="19" t="s">
        <v>2169</v>
      </c>
      <c r="W165" s="19" t="s">
        <v>337</v>
      </c>
      <c r="X165">
        <v>211</v>
      </c>
      <c r="Y165">
        <v>327</v>
      </c>
      <c r="Z165">
        <v>39.200000000000003</v>
      </c>
      <c r="AA165">
        <v>18</v>
      </c>
      <c r="AB165">
        <v>29</v>
      </c>
      <c r="AC165">
        <v>17</v>
      </c>
      <c r="AD165">
        <v>41</v>
      </c>
      <c r="AE165" s="19" t="s">
        <v>60</v>
      </c>
    </row>
    <row r="166" spans="1:31" x14ac:dyDescent="0.2">
      <c r="A166">
        <v>163</v>
      </c>
      <c r="B166" s="19" t="s">
        <v>524</v>
      </c>
      <c r="C166">
        <v>33</v>
      </c>
      <c r="D166" s="19" t="s">
        <v>408</v>
      </c>
      <c r="E166" s="19" t="s">
        <v>322</v>
      </c>
      <c r="F166">
        <v>38</v>
      </c>
      <c r="G166">
        <v>5</v>
      </c>
      <c r="H166">
        <v>16</v>
      </c>
      <c r="I166">
        <v>21</v>
      </c>
      <c r="J166">
        <v>0</v>
      </c>
      <c r="K166">
        <v>16</v>
      </c>
      <c r="L166">
        <v>5</v>
      </c>
      <c r="M166">
        <v>0</v>
      </c>
      <c r="N166">
        <v>0</v>
      </c>
      <c r="O166">
        <v>1</v>
      </c>
      <c r="P166">
        <v>16</v>
      </c>
      <c r="Q166">
        <v>0</v>
      </c>
      <c r="R166">
        <v>0</v>
      </c>
      <c r="S166">
        <v>59</v>
      </c>
      <c r="T166">
        <v>8.5</v>
      </c>
      <c r="U166">
        <v>112</v>
      </c>
      <c r="V166" s="19" t="s">
        <v>2170</v>
      </c>
      <c r="W166" s="19" t="s">
        <v>1792</v>
      </c>
      <c r="X166">
        <v>350</v>
      </c>
      <c r="Y166">
        <v>284</v>
      </c>
      <c r="Z166">
        <v>55.2</v>
      </c>
      <c r="AA166">
        <v>26</v>
      </c>
      <c r="AB166">
        <v>39</v>
      </c>
      <c r="AC166">
        <v>14</v>
      </c>
      <c r="AD166">
        <v>36</v>
      </c>
      <c r="AE166" s="19" t="s">
        <v>60</v>
      </c>
    </row>
    <row r="167" spans="1:31" x14ac:dyDescent="0.2">
      <c r="A167">
        <v>164</v>
      </c>
      <c r="B167" s="19" t="s">
        <v>565</v>
      </c>
      <c r="C167">
        <v>23</v>
      </c>
      <c r="D167" s="19" t="s">
        <v>357</v>
      </c>
      <c r="E167" s="19" t="s">
        <v>348</v>
      </c>
      <c r="F167">
        <v>41</v>
      </c>
      <c r="G167">
        <v>8</v>
      </c>
      <c r="H167">
        <v>13</v>
      </c>
      <c r="I167">
        <v>21</v>
      </c>
      <c r="J167">
        <v>9</v>
      </c>
      <c r="K167">
        <v>6</v>
      </c>
      <c r="L167">
        <v>7</v>
      </c>
      <c r="M167">
        <v>0</v>
      </c>
      <c r="N167">
        <v>1</v>
      </c>
      <c r="O167">
        <v>1</v>
      </c>
      <c r="P167">
        <v>6</v>
      </c>
      <c r="Q167">
        <v>7</v>
      </c>
      <c r="R167">
        <v>0</v>
      </c>
      <c r="S167">
        <v>85</v>
      </c>
      <c r="T167">
        <v>9.4</v>
      </c>
      <c r="U167">
        <v>177</v>
      </c>
      <c r="V167" s="19" t="s">
        <v>2171</v>
      </c>
      <c r="W167" s="19" t="s">
        <v>2158</v>
      </c>
      <c r="X167">
        <v>0</v>
      </c>
      <c r="Y167">
        <v>0</v>
      </c>
      <c r="AA167">
        <v>88</v>
      </c>
      <c r="AB167">
        <v>15</v>
      </c>
      <c r="AC167">
        <v>23</v>
      </c>
      <c r="AD167">
        <v>57</v>
      </c>
      <c r="AE167" s="19" t="s">
        <v>60</v>
      </c>
    </row>
    <row r="168" spans="1:31" x14ac:dyDescent="0.2">
      <c r="A168">
        <v>165</v>
      </c>
      <c r="B168" s="19" t="s">
        <v>650</v>
      </c>
      <c r="C168">
        <v>23</v>
      </c>
      <c r="D168" s="19" t="s">
        <v>324</v>
      </c>
      <c r="E168" s="19" t="s">
        <v>325</v>
      </c>
      <c r="F168">
        <v>39</v>
      </c>
      <c r="G168">
        <v>11</v>
      </c>
      <c r="H168">
        <v>10</v>
      </c>
      <c r="I168">
        <v>21</v>
      </c>
      <c r="J168">
        <v>3</v>
      </c>
      <c r="K168">
        <v>2</v>
      </c>
      <c r="L168">
        <v>10</v>
      </c>
      <c r="M168">
        <v>0</v>
      </c>
      <c r="N168">
        <v>1</v>
      </c>
      <c r="O168">
        <v>1</v>
      </c>
      <c r="P168">
        <v>9</v>
      </c>
      <c r="Q168">
        <v>0</v>
      </c>
      <c r="R168">
        <v>1</v>
      </c>
      <c r="S168">
        <v>45</v>
      </c>
      <c r="T168">
        <v>24.4</v>
      </c>
      <c r="U168">
        <v>93</v>
      </c>
      <c r="V168" s="19" t="s">
        <v>2172</v>
      </c>
      <c r="W168" s="19" t="s">
        <v>1701</v>
      </c>
      <c r="X168">
        <v>3</v>
      </c>
      <c r="Y168">
        <v>7</v>
      </c>
      <c r="Z168">
        <v>30</v>
      </c>
      <c r="AA168">
        <v>32</v>
      </c>
      <c r="AB168">
        <v>39</v>
      </c>
      <c r="AC168">
        <v>14</v>
      </c>
      <c r="AD168">
        <v>22</v>
      </c>
      <c r="AE168" s="19" t="s">
        <v>60</v>
      </c>
    </row>
    <row r="169" spans="1:31" x14ac:dyDescent="0.2">
      <c r="A169">
        <v>166</v>
      </c>
      <c r="B169" s="19" t="s">
        <v>544</v>
      </c>
      <c r="C169">
        <v>34</v>
      </c>
      <c r="D169" s="19" t="s">
        <v>464</v>
      </c>
      <c r="E169" s="19" t="s">
        <v>339</v>
      </c>
      <c r="F169">
        <v>40</v>
      </c>
      <c r="G169">
        <v>5</v>
      </c>
      <c r="H169">
        <v>16</v>
      </c>
      <c r="I169">
        <v>21</v>
      </c>
      <c r="J169">
        <v>-10</v>
      </c>
      <c r="K169">
        <v>24</v>
      </c>
      <c r="L169">
        <v>3</v>
      </c>
      <c r="M169">
        <v>2</v>
      </c>
      <c r="N169">
        <v>0</v>
      </c>
      <c r="O169">
        <v>0</v>
      </c>
      <c r="P169">
        <v>8</v>
      </c>
      <c r="Q169">
        <v>7</v>
      </c>
      <c r="R169">
        <v>1</v>
      </c>
      <c r="S169">
        <v>61</v>
      </c>
      <c r="T169">
        <v>8.1999999999999993</v>
      </c>
      <c r="U169">
        <v>124</v>
      </c>
      <c r="V169" s="19" t="s">
        <v>2173</v>
      </c>
      <c r="W169" s="19" t="s">
        <v>2174</v>
      </c>
      <c r="X169">
        <v>245</v>
      </c>
      <c r="Y169">
        <v>224</v>
      </c>
      <c r="Z169">
        <v>52.2</v>
      </c>
      <c r="AA169">
        <v>24</v>
      </c>
      <c r="AB169">
        <v>52</v>
      </c>
      <c r="AC169">
        <v>12</v>
      </c>
      <c r="AD169">
        <v>27</v>
      </c>
      <c r="AE169" s="19" t="s">
        <v>60</v>
      </c>
    </row>
    <row r="170" spans="1:31" x14ac:dyDescent="0.2">
      <c r="A170">
        <v>167</v>
      </c>
      <c r="B170" s="19" t="s">
        <v>567</v>
      </c>
      <c r="C170">
        <v>22</v>
      </c>
      <c r="D170" s="19" t="s">
        <v>400</v>
      </c>
      <c r="E170" s="19" t="s">
        <v>348</v>
      </c>
      <c r="F170">
        <v>40</v>
      </c>
      <c r="G170">
        <v>4</v>
      </c>
      <c r="H170">
        <v>17</v>
      </c>
      <c r="I170">
        <v>21</v>
      </c>
      <c r="J170">
        <v>-4</v>
      </c>
      <c r="K170">
        <v>22</v>
      </c>
      <c r="L170">
        <v>4</v>
      </c>
      <c r="M170">
        <v>0</v>
      </c>
      <c r="N170">
        <v>0</v>
      </c>
      <c r="O170">
        <v>1</v>
      </c>
      <c r="P170">
        <v>11</v>
      </c>
      <c r="Q170">
        <v>6</v>
      </c>
      <c r="R170">
        <v>0</v>
      </c>
      <c r="S170">
        <v>90</v>
      </c>
      <c r="T170">
        <v>4.4000000000000004</v>
      </c>
      <c r="U170">
        <v>239</v>
      </c>
      <c r="V170" s="19" t="s">
        <v>2175</v>
      </c>
      <c r="W170" s="19" t="s">
        <v>2176</v>
      </c>
      <c r="X170">
        <v>0</v>
      </c>
      <c r="Y170">
        <v>0</v>
      </c>
      <c r="AA170">
        <v>36</v>
      </c>
      <c r="AB170">
        <v>10</v>
      </c>
      <c r="AC170">
        <v>15</v>
      </c>
      <c r="AD170">
        <v>63</v>
      </c>
      <c r="AE170" s="19" t="s">
        <v>60</v>
      </c>
    </row>
    <row r="171" spans="1:31" x14ac:dyDescent="0.2">
      <c r="A171">
        <v>168</v>
      </c>
      <c r="B171" s="19" t="s">
        <v>596</v>
      </c>
      <c r="C171">
        <v>22</v>
      </c>
      <c r="D171" s="19" t="s">
        <v>363</v>
      </c>
      <c r="E171" s="19" t="s">
        <v>322</v>
      </c>
      <c r="F171">
        <v>40</v>
      </c>
      <c r="G171">
        <v>12</v>
      </c>
      <c r="H171">
        <v>9</v>
      </c>
      <c r="I171">
        <v>21</v>
      </c>
      <c r="J171">
        <v>2</v>
      </c>
      <c r="K171">
        <v>10</v>
      </c>
      <c r="L171">
        <v>10</v>
      </c>
      <c r="M171">
        <v>1</v>
      </c>
      <c r="N171">
        <v>1</v>
      </c>
      <c r="O171">
        <v>1</v>
      </c>
      <c r="P171">
        <v>8</v>
      </c>
      <c r="Q171">
        <v>0</v>
      </c>
      <c r="R171">
        <v>1</v>
      </c>
      <c r="S171">
        <v>71</v>
      </c>
      <c r="T171">
        <v>16.899999999999999</v>
      </c>
      <c r="U171">
        <v>118</v>
      </c>
      <c r="V171" s="19" t="s">
        <v>2177</v>
      </c>
      <c r="W171" s="19" t="s">
        <v>615</v>
      </c>
      <c r="X171">
        <v>175</v>
      </c>
      <c r="Y171">
        <v>189</v>
      </c>
      <c r="Z171">
        <v>48.1</v>
      </c>
      <c r="AA171">
        <v>38</v>
      </c>
      <c r="AB171">
        <v>16</v>
      </c>
      <c r="AC171">
        <v>7</v>
      </c>
      <c r="AD171">
        <v>15</v>
      </c>
      <c r="AE171" s="19" t="s">
        <v>60</v>
      </c>
    </row>
    <row r="172" spans="1:31" x14ac:dyDescent="0.2">
      <c r="A172">
        <v>169</v>
      </c>
      <c r="B172" s="19" t="s">
        <v>598</v>
      </c>
      <c r="C172">
        <v>33</v>
      </c>
      <c r="D172" s="19" t="s">
        <v>321</v>
      </c>
      <c r="E172" s="19" t="s">
        <v>339</v>
      </c>
      <c r="F172">
        <v>39</v>
      </c>
      <c r="G172">
        <v>6</v>
      </c>
      <c r="H172">
        <v>15</v>
      </c>
      <c r="I172">
        <v>21</v>
      </c>
      <c r="J172">
        <v>18</v>
      </c>
      <c r="K172">
        <v>25</v>
      </c>
      <c r="L172">
        <v>5</v>
      </c>
      <c r="M172">
        <v>1</v>
      </c>
      <c r="N172">
        <v>0</v>
      </c>
      <c r="O172">
        <v>1</v>
      </c>
      <c r="P172">
        <v>13</v>
      </c>
      <c r="Q172">
        <v>2</v>
      </c>
      <c r="R172">
        <v>0</v>
      </c>
      <c r="S172">
        <v>84</v>
      </c>
      <c r="T172">
        <v>7.1</v>
      </c>
      <c r="U172">
        <v>163</v>
      </c>
      <c r="V172" s="19" t="s">
        <v>2178</v>
      </c>
      <c r="W172" s="19" t="s">
        <v>1584</v>
      </c>
      <c r="X172">
        <v>85</v>
      </c>
      <c r="Y172">
        <v>50</v>
      </c>
      <c r="Z172">
        <v>63</v>
      </c>
      <c r="AA172">
        <v>18</v>
      </c>
      <c r="AB172">
        <v>58</v>
      </c>
      <c r="AC172">
        <v>11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604</v>
      </c>
      <c r="C173">
        <v>29</v>
      </c>
      <c r="D173" s="19" t="s">
        <v>359</v>
      </c>
      <c r="E173" s="19" t="s">
        <v>325</v>
      </c>
      <c r="F173">
        <v>39</v>
      </c>
      <c r="G173">
        <v>12</v>
      </c>
      <c r="H173">
        <v>9</v>
      </c>
      <c r="I173">
        <v>21</v>
      </c>
      <c r="J173">
        <v>5</v>
      </c>
      <c r="K173">
        <v>38</v>
      </c>
      <c r="L173">
        <v>10</v>
      </c>
      <c r="M173">
        <v>2</v>
      </c>
      <c r="N173">
        <v>0</v>
      </c>
      <c r="O173">
        <v>3</v>
      </c>
      <c r="P173">
        <v>8</v>
      </c>
      <c r="Q173">
        <v>1</v>
      </c>
      <c r="R173">
        <v>0</v>
      </c>
      <c r="S173">
        <v>78</v>
      </c>
      <c r="T173">
        <v>15.4</v>
      </c>
      <c r="U173">
        <v>143</v>
      </c>
      <c r="V173" s="19" t="s">
        <v>2179</v>
      </c>
      <c r="W173" s="19" t="s">
        <v>615</v>
      </c>
      <c r="X173">
        <v>5</v>
      </c>
      <c r="Y173">
        <v>3</v>
      </c>
      <c r="Z173">
        <v>62.5</v>
      </c>
      <c r="AA173">
        <v>14</v>
      </c>
      <c r="AB173">
        <v>83</v>
      </c>
      <c r="AC173">
        <v>7</v>
      </c>
      <c r="AD173">
        <v>13</v>
      </c>
      <c r="AE173" s="19" t="s">
        <v>60</v>
      </c>
    </row>
    <row r="174" spans="1:31" x14ac:dyDescent="0.2">
      <c r="A174">
        <v>171</v>
      </c>
      <c r="B174" s="19" t="s">
        <v>572</v>
      </c>
      <c r="C174">
        <v>25</v>
      </c>
      <c r="D174" s="19" t="s">
        <v>366</v>
      </c>
      <c r="E174" s="19" t="s">
        <v>322</v>
      </c>
      <c r="F174">
        <v>41</v>
      </c>
      <c r="G174">
        <v>5</v>
      </c>
      <c r="H174">
        <v>16</v>
      </c>
      <c r="I174">
        <v>21</v>
      </c>
      <c r="J174">
        <v>3</v>
      </c>
      <c r="K174">
        <v>12</v>
      </c>
      <c r="L174">
        <v>4</v>
      </c>
      <c r="M174">
        <v>1</v>
      </c>
      <c r="N174">
        <v>0</v>
      </c>
      <c r="O174">
        <v>1</v>
      </c>
      <c r="P174">
        <v>15</v>
      </c>
      <c r="Q174">
        <v>1</v>
      </c>
      <c r="R174">
        <v>0</v>
      </c>
      <c r="S174">
        <v>77</v>
      </c>
      <c r="T174">
        <v>6.5</v>
      </c>
      <c r="U174">
        <v>140</v>
      </c>
      <c r="V174" s="19" t="s">
        <v>2180</v>
      </c>
      <c r="W174" s="19" t="s">
        <v>2085</v>
      </c>
      <c r="X174">
        <v>162</v>
      </c>
      <c r="Y174">
        <v>234</v>
      </c>
      <c r="Z174">
        <v>40.9</v>
      </c>
      <c r="AA174">
        <v>20</v>
      </c>
      <c r="AB174">
        <v>18</v>
      </c>
      <c r="AC174">
        <v>17</v>
      </c>
      <c r="AD174">
        <v>24</v>
      </c>
      <c r="AE174" s="19" t="s">
        <v>60</v>
      </c>
    </row>
    <row r="175" spans="1:31" x14ac:dyDescent="0.2">
      <c r="A175">
        <v>172</v>
      </c>
      <c r="B175" s="19" t="s">
        <v>478</v>
      </c>
      <c r="C175">
        <v>22</v>
      </c>
      <c r="D175" s="19" t="s">
        <v>329</v>
      </c>
      <c r="E175" s="19" t="s">
        <v>322</v>
      </c>
      <c r="F175">
        <v>33</v>
      </c>
      <c r="G175">
        <v>6</v>
      </c>
      <c r="H175">
        <v>15</v>
      </c>
      <c r="I175">
        <v>21</v>
      </c>
      <c r="J175">
        <v>-7</v>
      </c>
      <c r="K175">
        <v>20</v>
      </c>
      <c r="L175">
        <v>4</v>
      </c>
      <c r="M175">
        <v>1</v>
      </c>
      <c r="N175">
        <v>1</v>
      </c>
      <c r="O175">
        <v>1</v>
      </c>
      <c r="P175">
        <v>10</v>
      </c>
      <c r="Q175">
        <v>5</v>
      </c>
      <c r="R175">
        <v>0</v>
      </c>
      <c r="S175">
        <v>66</v>
      </c>
      <c r="T175">
        <v>9.1</v>
      </c>
      <c r="U175">
        <v>135</v>
      </c>
      <c r="V175" s="19" t="s">
        <v>1783</v>
      </c>
      <c r="W175" s="19" t="s">
        <v>1772</v>
      </c>
      <c r="X175">
        <v>178</v>
      </c>
      <c r="Y175">
        <v>235</v>
      </c>
      <c r="Z175">
        <v>43.1</v>
      </c>
      <c r="AA175">
        <v>25</v>
      </c>
      <c r="AB175">
        <v>20</v>
      </c>
      <c r="AC175">
        <v>11</v>
      </c>
      <c r="AD175">
        <v>36</v>
      </c>
      <c r="AE175" s="19" t="s">
        <v>60</v>
      </c>
    </row>
    <row r="176" spans="1:31" x14ac:dyDescent="0.2">
      <c r="A176">
        <v>173</v>
      </c>
      <c r="B176" s="19" t="s">
        <v>629</v>
      </c>
      <c r="C176">
        <v>37</v>
      </c>
      <c r="D176" s="19" t="s">
        <v>418</v>
      </c>
      <c r="E176" s="19" t="s">
        <v>339</v>
      </c>
      <c r="F176">
        <v>39</v>
      </c>
      <c r="G176">
        <v>8</v>
      </c>
      <c r="H176">
        <v>13</v>
      </c>
      <c r="I176">
        <v>21</v>
      </c>
      <c r="J176">
        <v>0</v>
      </c>
      <c r="K176">
        <v>14</v>
      </c>
      <c r="L176">
        <v>5</v>
      </c>
      <c r="M176">
        <v>3</v>
      </c>
      <c r="N176">
        <v>0</v>
      </c>
      <c r="O176">
        <v>1</v>
      </c>
      <c r="P176">
        <v>9</v>
      </c>
      <c r="Q176">
        <v>4</v>
      </c>
      <c r="R176">
        <v>0</v>
      </c>
      <c r="S176">
        <v>58</v>
      </c>
      <c r="T176">
        <v>13.8</v>
      </c>
      <c r="U176">
        <v>98</v>
      </c>
      <c r="V176" s="19" t="s">
        <v>2181</v>
      </c>
      <c r="W176" s="19" t="s">
        <v>1407</v>
      </c>
      <c r="X176">
        <v>2</v>
      </c>
      <c r="Y176">
        <v>5</v>
      </c>
      <c r="Z176">
        <v>28.6</v>
      </c>
      <c r="AA176">
        <v>16</v>
      </c>
      <c r="AB176">
        <v>52</v>
      </c>
      <c r="AC176">
        <v>9</v>
      </c>
      <c r="AD176">
        <v>22</v>
      </c>
      <c r="AE176" s="19" t="s">
        <v>60</v>
      </c>
    </row>
    <row r="177" spans="1:31" x14ac:dyDescent="0.2">
      <c r="A177">
        <v>174</v>
      </c>
      <c r="B177" s="19" t="s">
        <v>641</v>
      </c>
      <c r="C177">
        <v>27</v>
      </c>
      <c r="D177" s="19" t="s">
        <v>375</v>
      </c>
      <c r="E177" s="19" t="s">
        <v>325</v>
      </c>
      <c r="F177">
        <v>25</v>
      </c>
      <c r="G177">
        <v>12</v>
      </c>
      <c r="H177">
        <v>8</v>
      </c>
      <c r="I177">
        <v>20</v>
      </c>
      <c r="J177">
        <v>4</v>
      </c>
      <c r="K177">
        <v>4</v>
      </c>
      <c r="L177">
        <v>10</v>
      </c>
      <c r="M177">
        <v>2</v>
      </c>
      <c r="N177">
        <v>0</v>
      </c>
      <c r="O177">
        <v>3</v>
      </c>
      <c r="P177">
        <v>7</v>
      </c>
      <c r="Q177">
        <v>1</v>
      </c>
      <c r="R177">
        <v>0</v>
      </c>
      <c r="S177">
        <v>45</v>
      </c>
      <c r="T177">
        <v>26.7</v>
      </c>
      <c r="U177">
        <v>75</v>
      </c>
      <c r="V177" s="19" t="s">
        <v>2182</v>
      </c>
      <c r="W177" s="19" t="s">
        <v>751</v>
      </c>
      <c r="X177">
        <v>0</v>
      </c>
      <c r="Y177">
        <v>1</v>
      </c>
      <c r="Z177">
        <v>0</v>
      </c>
      <c r="AA177">
        <v>18</v>
      </c>
      <c r="AB177">
        <v>40</v>
      </c>
      <c r="AC177">
        <v>7</v>
      </c>
      <c r="AD177">
        <v>17</v>
      </c>
      <c r="AE177" s="19" t="s">
        <v>60</v>
      </c>
    </row>
    <row r="178" spans="1:31" x14ac:dyDescent="0.2">
      <c r="A178">
        <v>175</v>
      </c>
      <c r="B178" s="19" t="s">
        <v>522</v>
      </c>
      <c r="C178">
        <v>30</v>
      </c>
      <c r="D178" s="19" t="s">
        <v>464</v>
      </c>
      <c r="E178" s="19" t="s">
        <v>339</v>
      </c>
      <c r="F178">
        <v>40</v>
      </c>
      <c r="G178">
        <v>10</v>
      </c>
      <c r="H178">
        <v>10</v>
      </c>
      <c r="I178">
        <v>20</v>
      </c>
      <c r="J178">
        <v>-9</v>
      </c>
      <c r="K178">
        <v>6</v>
      </c>
      <c r="L178">
        <v>6</v>
      </c>
      <c r="M178">
        <v>4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67</v>
      </c>
      <c r="T178">
        <v>14.9</v>
      </c>
      <c r="U178">
        <v>158</v>
      </c>
      <c r="V178" s="19" t="s">
        <v>1924</v>
      </c>
      <c r="W178" s="19" t="s">
        <v>1251</v>
      </c>
      <c r="X178">
        <v>3</v>
      </c>
      <c r="Y178">
        <v>14</v>
      </c>
      <c r="Z178">
        <v>17.600000000000001</v>
      </c>
      <c r="AA178">
        <v>14</v>
      </c>
      <c r="AB178">
        <v>24</v>
      </c>
      <c r="AC178">
        <v>3</v>
      </c>
      <c r="AD178">
        <v>25</v>
      </c>
      <c r="AE178" s="19" t="s">
        <v>60</v>
      </c>
    </row>
    <row r="179" spans="1:31" x14ac:dyDescent="0.2">
      <c r="A179">
        <v>176</v>
      </c>
      <c r="B179" s="19" t="s">
        <v>584</v>
      </c>
      <c r="C179">
        <v>40</v>
      </c>
      <c r="D179" s="19" t="s">
        <v>321</v>
      </c>
      <c r="E179" s="19" t="s">
        <v>348</v>
      </c>
      <c r="F179">
        <v>39</v>
      </c>
      <c r="G179">
        <v>5</v>
      </c>
      <c r="H179">
        <v>15</v>
      </c>
      <c r="I179">
        <v>20</v>
      </c>
      <c r="J179">
        <v>20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14</v>
      </c>
      <c r="Q179">
        <v>1</v>
      </c>
      <c r="R179">
        <v>0</v>
      </c>
      <c r="S179">
        <v>80</v>
      </c>
      <c r="T179">
        <v>6.3</v>
      </c>
      <c r="U179">
        <v>197</v>
      </c>
      <c r="V179" s="19" t="s">
        <v>2183</v>
      </c>
      <c r="W179" s="19" t="s">
        <v>1887</v>
      </c>
      <c r="X179">
        <v>0</v>
      </c>
      <c r="Y179">
        <v>0</v>
      </c>
      <c r="AA179">
        <v>49</v>
      </c>
      <c r="AB179">
        <v>8</v>
      </c>
      <c r="AC179">
        <v>10</v>
      </c>
      <c r="AD179">
        <v>43</v>
      </c>
      <c r="AE179" s="19" t="s">
        <v>60</v>
      </c>
    </row>
    <row r="180" spans="1:31" x14ac:dyDescent="0.2">
      <c r="A180">
        <v>177</v>
      </c>
      <c r="B180" s="19" t="s">
        <v>619</v>
      </c>
      <c r="C180">
        <v>24</v>
      </c>
      <c r="D180" s="19" t="s">
        <v>430</v>
      </c>
      <c r="E180" s="19" t="s">
        <v>348</v>
      </c>
      <c r="F180">
        <v>39</v>
      </c>
      <c r="G180">
        <v>9</v>
      </c>
      <c r="H180">
        <v>11</v>
      </c>
      <c r="I180">
        <v>20</v>
      </c>
      <c r="J180">
        <v>1</v>
      </c>
      <c r="K180">
        <v>12</v>
      </c>
      <c r="L180">
        <v>8</v>
      </c>
      <c r="M180">
        <v>1</v>
      </c>
      <c r="N180">
        <v>0</v>
      </c>
      <c r="O180">
        <v>4</v>
      </c>
      <c r="P180">
        <v>9</v>
      </c>
      <c r="Q180">
        <v>2</v>
      </c>
      <c r="R180">
        <v>0</v>
      </c>
      <c r="S180">
        <v>51</v>
      </c>
      <c r="T180">
        <v>17.600000000000001</v>
      </c>
      <c r="U180">
        <v>109</v>
      </c>
      <c r="V180" s="19" t="s">
        <v>2184</v>
      </c>
      <c r="W180" s="19" t="s">
        <v>1886</v>
      </c>
      <c r="X180">
        <v>0</v>
      </c>
      <c r="Y180">
        <v>0</v>
      </c>
      <c r="AA180">
        <v>48</v>
      </c>
      <c r="AB180">
        <v>26</v>
      </c>
      <c r="AC180">
        <v>9</v>
      </c>
      <c r="AD180">
        <v>44</v>
      </c>
      <c r="AE180" s="19" t="s">
        <v>60</v>
      </c>
    </row>
    <row r="181" spans="1:31" x14ac:dyDescent="0.2">
      <c r="A181">
        <v>178</v>
      </c>
      <c r="B181" s="19" t="s">
        <v>644</v>
      </c>
      <c r="C181">
        <v>34</v>
      </c>
      <c r="D181" s="19" t="s">
        <v>439</v>
      </c>
      <c r="E181" s="19" t="s">
        <v>322</v>
      </c>
      <c r="F181">
        <v>40</v>
      </c>
      <c r="G181">
        <v>12</v>
      </c>
      <c r="H181">
        <v>8</v>
      </c>
      <c r="I181">
        <v>20</v>
      </c>
      <c r="J181">
        <v>13</v>
      </c>
      <c r="K181">
        <v>25</v>
      </c>
      <c r="L181">
        <v>9</v>
      </c>
      <c r="M181">
        <v>0</v>
      </c>
      <c r="N181">
        <v>3</v>
      </c>
      <c r="O181">
        <v>3</v>
      </c>
      <c r="P181">
        <v>8</v>
      </c>
      <c r="Q181">
        <v>0</v>
      </c>
      <c r="R181">
        <v>0</v>
      </c>
      <c r="S181">
        <v>94</v>
      </c>
      <c r="T181">
        <v>12.8</v>
      </c>
      <c r="U181">
        <v>166</v>
      </c>
      <c r="V181" s="19" t="s">
        <v>2185</v>
      </c>
      <c r="W181" s="19" t="s">
        <v>1794</v>
      </c>
      <c r="X181">
        <v>12</v>
      </c>
      <c r="Y181">
        <v>14</v>
      </c>
      <c r="Z181">
        <v>46.2</v>
      </c>
      <c r="AA181">
        <v>28</v>
      </c>
      <c r="AB181">
        <v>99</v>
      </c>
      <c r="AC181">
        <v>13</v>
      </c>
      <c r="AD181">
        <v>38</v>
      </c>
      <c r="AE181" s="19" t="s">
        <v>60</v>
      </c>
    </row>
    <row r="182" spans="1:31" x14ac:dyDescent="0.2">
      <c r="A182">
        <v>179</v>
      </c>
      <c r="B182" s="19" t="s">
        <v>588</v>
      </c>
      <c r="C182">
        <v>29</v>
      </c>
      <c r="D182" s="19" t="s">
        <v>536</v>
      </c>
      <c r="E182" s="19" t="s">
        <v>348</v>
      </c>
      <c r="F182">
        <v>37</v>
      </c>
      <c r="G182">
        <v>5</v>
      </c>
      <c r="H182">
        <v>15</v>
      </c>
      <c r="I182">
        <v>20</v>
      </c>
      <c r="J182">
        <v>-13</v>
      </c>
      <c r="K182">
        <v>32</v>
      </c>
      <c r="L182">
        <v>4</v>
      </c>
      <c r="M182">
        <v>1</v>
      </c>
      <c r="N182">
        <v>0</v>
      </c>
      <c r="O182">
        <v>1</v>
      </c>
      <c r="P182">
        <v>5</v>
      </c>
      <c r="Q182">
        <v>10</v>
      </c>
      <c r="R182">
        <v>0</v>
      </c>
      <c r="S182">
        <v>84</v>
      </c>
      <c r="T182">
        <v>6</v>
      </c>
      <c r="U182">
        <v>181</v>
      </c>
      <c r="V182" s="19" t="s">
        <v>2186</v>
      </c>
      <c r="W182" s="19" t="s">
        <v>841</v>
      </c>
      <c r="X182">
        <v>0</v>
      </c>
      <c r="Y182">
        <v>0</v>
      </c>
      <c r="AA182">
        <v>39</v>
      </c>
      <c r="AB182">
        <v>10</v>
      </c>
      <c r="AC182">
        <v>11</v>
      </c>
      <c r="AD182">
        <v>50</v>
      </c>
      <c r="AE182" s="19" t="s">
        <v>60</v>
      </c>
    </row>
    <row r="183" spans="1:31" x14ac:dyDescent="0.2">
      <c r="A183">
        <v>180</v>
      </c>
      <c r="B183" s="19" t="s">
        <v>591</v>
      </c>
      <c r="C183">
        <v>33</v>
      </c>
      <c r="D183" s="19" t="s">
        <v>519</v>
      </c>
      <c r="E183" s="19" t="s">
        <v>348</v>
      </c>
      <c r="F183">
        <v>41</v>
      </c>
      <c r="G183">
        <v>10</v>
      </c>
      <c r="H183">
        <v>10</v>
      </c>
      <c r="I183">
        <v>20</v>
      </c>
      <c r="J183">
        <v>-3</v>
      </c>
      <c r="K183">
        <v>26</v>
      </c>
      <c r="L183">
        <v>8</v>
      </c>
      <c r="M183">
        <v>2</v>
      </c>
      <c r="N183">
        <v>0</v>
      </c>
      <c r="O183">
        <v>3</v>
      </c>
      <c r="P183">
        <v>5</v>
      </c>
      <c r="Q183">
        <v>5</v>
      </c>
      <c r="R183">
        <v>0</v>
      </c>
      <c r="S183">
        <v>78</v>
      </c>
      <c r="T183">
        <v>12.8</v>
      </c>
      <c r="U183">
        <v>156</v>
      </c>
      <c r="V183" s="19" t="s">
        <v>2187</v>
      </c>
      <c r="W183" s="19" t="s">
        <v>1732</v>
      </c>
      <c r="X183">
        <v>0</v>
      </c>
      <c r="Y183">
        <v>0</v>
      </c>
      <c r="AA183">
        <v>80</v>
      </c>
      <c r="AB183">
        <v>34</v>
      </c>
      <c r="AC183">
        <v>12</v>
      </c>
      <c r="AD183">
        <v>31</v>
      </c>
      <c r="AE183" s="19" t="s">
        <v>60</v>
      </c>
    </row>
    <row r="184" spans="1:31" x14ac:dyDescent="0.2">
      <c r="A184">
        <v>181</v>
      </c>
      <c r="B184" s="19" t="s">
        <v>595</v>
      </c>
      <c r="C184">
        <v>32</v>
      </c>
      <c r="D184" s="19" t="s">
        <v>439</v>
      </c>
      <c r="E184" s="19" t="s">
        <v>339</v>
      </c>
      <c r="F184">
        <v>35</v>
      </c>
      <c r="G184">
        <v>8</v>
      </c>
      <c r="H184">
        <v>12</v>
      </c>
      <c r="I184">
        <v>20</v>
      </c>
      <c r="J184">
        <v>-1</v>
      </c>
      <c r="K184">
        <v>35</v>
      </c>
      <c r="L184">
        <v>6</v>
      </c>
      <c r="M184">
        <v>2</v>
      </c>
      <c r="N184">
        <v>0</v>
      </c>
      <c r="O184">
        <v>2</v>
      </c>
      <c r="P184">
        <v>9</v>
      </c>
      <c r="Q184">
        <v>3</v>
      </c>
      <c r="R184">
        <v>0</v>
      </c>
      <c r="S184">
        <v>54</v>
      </c>
      <c r="T184">
        <v>14.8</v>
      </c>
      <c r="U184">
        <v>111</v>
      </c>
      <c r="V184" s="19" t="s">
        <v>2188</v>
      </c>
      <c r="W184" s="19" t="s">
        <v>1583</v>
      </c>
      <c r="X184">
        <v>3</v>
      </c>
      <c r="Y184">
        <v>5</v>
      </c>
      <c r="Z184">
        <v>37.5</v>
      </c>
      <c r="AA184">
        <v>24</v>
      </c>
      <c r="AB184">
        <v>22</v>
      </c>
      <c r="AC184">
        <v>8</v>
      </c>
      <c r="AD184">
        <v>40</v>
      </c>
      <c r="AE184" s="19" t="s">
        <v>60</v>
      </c>
    </row>
    <row r="185" spans="1:31" x14ac:dyDescent="0.2">
      <c r="A185">
        <v>182</v>
      </c>
      <c r="B185" s="19" t="s">
        <v>597</v>
      </c>
      <c r="C185">
        <v>38</v>
      </c>
      <c r="D185" s="19" t="s">
        <v>421</v>
      </c>
      <c r="E185" s="19" t="s">
        <v>322</v>
      </c>
      <c r="F185">
        <v>35</v>
      </c>
      <c r="G185">
        <v>6</v>
      </c>
      <c r="H185">
        <v>14</v>
      </c>
      <c r="I185">
        <v>20</v>
      </c>
      <c r="J185">
        <v>12</v>
      </c>
      <c r="K185">
        <v>8</v>
      </c>
      <c r="L185">
        <v>3</v>
      </c>
      <c r="M185">
        <v>3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49</v>
      </c>
      <c r="T185">
        <v>12.2</v>
      </c>
      <c r="U185">
        <v>104</v>
      </c>
      <c r="V185" s="19" t="s">
        <v>2189</v>
      </c>
      <c r="W185" s="19" t="s">
        <v>2190</v>
      </c>
      <c r="X185">
        <v>389</v>
      </c>
      <c r="Y185">
        <v>284</v>
      </c>
      <c r="Z185">
        <v>57.8</v>
      </c>
      <c r="AA185">
        <v>30</v>
      </c>
      <c r="AB185">
        <v>19</v>
      </c>
      <c r="AC185">
        <v>11</v>
      </c>
      <c r="AD185">
        <v>35</v>
      </c>
      <c r="AE185" s="19" t="s">
        <v>60</v>
      </c>
    </row>
    <row r="186" spans="1:31" x14ac:dyDescent="0.2">
      <c r="A186">
        <v>183</v>
      </c>
      <c r="B186" s="19" t="s">
        <v>529</v>
      </c>
      <c r="C186">
        <v>24</v>
      </c>
      <c r="D186" s="19" t="s">
        <v>361</v>
      </c>
      <c r="E186" s="19" t="s">
        <v>339</v>
      </c>
      <c r="F186">
        <v>42</v>
      </c>
      <c r="G186">
        <v>8</v>
      </c>
      <c r="H186">
        <v>12</v>
      </c>
      <c r="I186">
        <v>20</v>
      </c>
      <c r="J186">
        <v>-9</v>
      </c>
      <c r="K186">
        <v>10</v>
      </c>
      <c r="L186">
        <v>7</v>
      </c>
      <c r="M186">
        <v>1</v>
      </c>
      <c r="N186">
        <v>0</v>
      </c>
      <c r="O186">
        <v>2</v>
      </c>
      <c r="P186">
        <v>11</v>
      </c>
      <c r="Q186">
        <v>1</v>
      </c>
      <c r="R186">
        <v>0</v>
      </c>
      <c r="S186">
        <v>81</v>
      </c>
      <c r="T186">
        <v>9.9</v>
      </c>
      <c r="U186">
        <v>167</v>
      </c>
      <c r="V186" s="19" t="s">
        <v>2191</v>
      </c>
      <c r="W186" s="19" t="s">
        <v>493</v>
      </c>
      <c r="X186">
        <v>5</v>
      </c>
      <c r="Y186">
        <v>20</v>
      </c>
      <c r="Z186">
        <v>20</v>
      </c>
      <c r="AA186">
        <v>29</v>
      </c>
      <c r="AB186">
        <v>61</v>
      </c>
      <c r="AC186">
        <v>14</v>
      </c>
      <c r="AD186">
        <v>25</v>
      </c>
      <c r="AE186" s="19" t="s">
        <v>60</v>
      </c>
    </row>
    <row r="187" spans="1:31" x14ac:dyDescent="0.2">
      <c r="A187">
        <v>184</v>
      </c>
      <c r="B187" s="19" t="s">
        <v>627</v>
      </c>
      <c r="C187">
        <v>38</v>
      </c>
      <c r="D187" s="19" t="s">
        <v>375</v>
      </c>
      <c r="E187" s="19" t="s">
        <v>348</v>
      </c>
      <c r="F187">
        <v>39</v>
      </c>
      <c r="G187">
        <v>3</v>
      </c>
      <c r="H187">
        <v>17</v>
      </c>
      <c r="I187">
        <v>20</v>
      </c>
      <c r="J187">
        <v>1</v>
      </c>
      <c r="K187">
        <v>20</v>
      </c>
      <c r="L187">
        <v>2</v>
      </c>
      <c r="M187">
        <v>1</v>
      </c>
      <c r="N187">
        <v>0</v>
      </c>
      <c r="O187">
        <v>2</v>
      </c>
      <c r="P187">
        <v>11</v>
      </c>
      <c r="Q187">
        <v>6</v>
      </c>
      <c r="R187">
        <v>0</v>
      </c>
      <c r="S187">
        <v>66</v>
      </c>
      <c r="T187">
        <v>4.5</v>
      </c>
      <c r="U187">
        <v>149</v>
      </c>
      <c r="V187" s="19" t="s">
        <v>2192</v>
      </c>
      <c r="W187" s="19" t="s">
        <v>2193</v>
      </c>
      <c r="X187">
        <v>0</v>
      </c>
      <c r="Y187">
        <v>0</v>
      </c>
      <c r="AA187">
        <v>49</v>
      </c>
      <c r="AB187">
        <v>48</v>
      </c>
      <c r="AC187">
        <v>11</v>
      </c>
      <c r="AD187">
        <v>52</v>
      </c>
      <c r="AE187" s="19" t="s">
        <v>60</v>
      </c>
    </row>
    <row r="188" spans="1:31" x14ac:dyDescent="0.2">
      <c r="A188">
        <v>185</v>
      </c>
      <c r="B188" s="19" t="s">
        <v>602</v>
      </c>
      <c r="C188">
        <v>28</v>
      </c>
      <c r="D188" s="19" t="s">
        <v>354</v>
      </c>
      <c r="E188" s="19" t="s">
        <v>348</v>
      </c>
      <c r="F188">
        <v>29</v>
      </c>
      <c r="G188">
        <v>1</v>
      </c>
      <c r="H188">
        <v>19</v>
      </c>
      <c r="I188">
        <v>20</v>
      </c>
      <c r="J188">
        <v>-5</v>
      </c>
      <c r="K188">
        <v>32</v>
      </c>
      <c r="L188">
        <v>1</v>
      </c>
      <c r="M188">
        <v>0</v>
      </c>
      <c r="N188">
        <v>0</v>
      </c>
      <c r="O188">
        <v>0</v>
      </c>
      <c r="P188">
        <v>9</v>
      </c>
      <c r="Q188">
        <v>10</v>
      </c>
      <c r="R188">
        <v>0</v>
      </c>
      <c r="S188">
        <v>46</v>
      </c>
      <c r="T188">
        <v>2.2000000000000002</v>
      </c>
      <c r="U188">
        <v>121</v>
      </c>
      <c r="V188" s="19" t="s">
        <v>2194</v>
      </c>
      <c r="W188" s="19" t="s">
        <v>2195</v>
      </c>
      <c r="X188">
        <v>0</v>
      </c>
      <c r="Y188">
        <v>0</v>
      </c>
      <c r="AA188">
        <v>56</v>
      </c>
      <c r="AB188">
        <v>38</v>
      </c>
      <c r="AC188">
        <v>16</v>
      </c>
      <c r="AD188">
        <v>30</v>
      </c>
      <c r="AE188" s="19" t="s">
        <v>60</v>
      </c>
    </row>
    <row r="189" spans="1:31" x14ac:dyDescent="0.2">
      <c r="A189">
        <v>186</v>
      </c>
      <c r="B189" s="19" t="s">
        <v>628</v>
      </c>
      <c r="C189">
        <v>28</v>
      </c>
      <c r="D189" s="19" t="s">
        <v>375</v>
      </c>
      <c r="E189" s="19" t="s">
        <v>322</v>
      </c>
      <c r="F189">
        <v>39</v>
      </c>
      <c r="G189">
        <v>7</v>
      </c>
      <c r="H189">
        <v>13</v>
      </c>
      <c r="I189">
        <v>20</v>
      </c>
      <c r="J189">
        <v>1</v>
      </c>
      <c r="K189">
        <v>12</v>
      </c>
      <c r="L189">
        <v>5</v>
      </c>
      <c r="M189">
        <v>2</v>
      </c>
      <c r="N189">
        <v>0</v>
      </c>
      <c r="O189">
        <v>1</v>
      </c>
      <c r="P189">
        <v>11</v>
      </c>
      <c r="Q189">
        <v>2</v>
      </c>
      <c r="R189">
        <v>0</v>
      </c>
      <c r="S189">
        <v>59</v>
      </c>
      <c r="T189">
        <v>11.9</v>
      </c>
      <c r="U189">
        <v>112</v>
      </c>
      <c r="V189" s="19" t="s">
        <v>2196</v>
      </c>
      <c r="W189" s="19" t="s">
        <v>642</v>
      </c>
      <c r="X189">
        <v>47</v>
      </c>
      <c r="Y189">
        <v>69</v>
      </c>
      <c r="Z189">
        <v>40.5</v>
      </c>
      <c r="AA189">
        <v>17</v>
      </c>
      <c r="AB189">
        <v>9</v>
      </c>
      <c r="AC189">
        <v>15</v>
      </c>
      <c r="AD189">
        <v>23</v>
      </c>
      <c r="AE189" s="19" t="s">
        <v>60</v>
      </c>
    </row>
    <row r="190" spans="1:31" x14ac:dyDescent="0.2">
      <c r="A190">
        <v>187</v>
      </c>
      <c r="B190" s="19" t="s">
        <v>557</v>
      </c>
      <c r="C190">
        <v>34</v>
      </c>
      <c r="D190" s="19" t="s">
        <v>324</v>
      </c>
      <c r="E190" s="19" t="s">
        <v>348</v>
      </c>
      <c r="F190">
        <v>40</v>
      </c>
      <c r="G190">
        <v>1</v>
      </c>
      <c r="H190">
        <v>19</v>
      </c>
      <c r="I190">
        <v>20</v>
      </c>
      <c r="J190">
        <v>-1</v>
      </c>
      <c r="K190">
        <v>22</v>
      </c>
      <c r="L190">
        <v>1</v>
      </c>
      <c r="M190">
        <v>0</v>
      </c>
      <c r="N190">
        <v>0</v>
      </c>
      <c r="O190">
        <v>0</v>
      </c>
      <c r="P190">
        <v>10</v>
      </c>
      <c r="Q190">
        <v>9</v>
      </c>
      <c r="R190">
        <v>0</v>
      </c>
      <c r="S190">
        <v>44</v>
      </c>
      <c r="T190">
        <v>2.2999999999999998</v>
      </c>
      <c r="U190">
        <v>107</v>
      </c>
      <c r="V190" s="19" t="s">
        <v>2197</v>
      </c>
      <c r="W190" s="19" t="s">
        <v>1790</v>
      </c>
      <c r="X190">
        <v>0</v>
      </c>
      <c r="Y190">
        <v>0</v>
      </c>
      <c r="AA190">
        <v>44</v>
      </c>
      <c r="AB190">
        <v>58</v>
      </c>
      <c r="AC190">
        <v>9</v>
      </c>
      <c r="AD190">
        <v>48</v>
      </c>
      <c r="AE190" s="19" t="s">
        <v>60</v>
      </c>
    </row>
    <row r="191" spans="1:31" x14ac:dyDescent="0.2">
      <c r="A191">
        <v>188</v>
      </c>
      <c r="B191" s="19" t="s">
        <v>606</v>
      </c>
      <c r="C191">
        <v>40</v>
      </c>
      <c r="D191" s="19" t="s">
        <v>421</v>
      </c>
      <c r="E191" s="19" t="s">
        <v>334</v>
      </c>
      <c r="F191">
        <v>33</v>
      </c>
      <c r="G191">
        <v>8</v>
      </c>
      <c r="H191">
        <v>12</v>
      </c>
      <c r="I191">
        <v>20</v>
      </c>
      <c r="J191">
        <v>3</v>
      </c>
      <c r="K191">
        <v>36</v>
      </c>
      <c r="L191">
        <v>6</v>
      </c>
      <c r="M191">
        <v>2</v>
      </c>
      <c r="N191">
        <v>0</v>
      </c>
      <c r="O191">
        <v>0</v>
      </c>
      <c r="P191">
        <v>6</v>
      </c>
      <c r="Q191">
        <v>6</v>
      </c>
      <c r="R191">
        <v>0</v>
      </c>
      <c r="S191">
        <v>61</v>
      </c>
      <c r="T191">
        <v>13.1</v>
      </c>
      <c r="U191">
        <v>117</v>
      </c>
      <c r="V191" s="19" t="s">
        <v>2198</v>
      </c>
      <c r="W191" s="19" t="s">
        <v>1789</v>
      </c>
      <c r="X191">
        <v>5</v>
      </c>
      <c r="Y191">
        <v>10</v>
      </c>
      <c r="Z191">
        <v>33.299999999999997</v>
      </c>
      <c r="AA191">
        <v>7</v>
      </c>
      <c r="AB191">
        <v>14</v>
      </c>
      <c r="AC191">
        <v>3</v>
      </c>
      <c r="AD191">
        <v>25</v>
      </c>
      <c r="AE191" s="19" t="s">
        <v>60</v>
      </c>
    </row>
    <row r="192" spans="1:31" x14ac:dyDescent="0.2">
      <c r="A192">
        <v>189</v>
      </c>
      <c r="B192" s="19" t="s">
        <v>513</v>
      </c>
      <c r="C192">
        <v>25</v>
      </c>
      <c r="D192" s="19" t="s">
        <v>418</v>
      </c>
      <c r="E192" s="19" t="s">
        <v>322</v>
      </c>
      <c r="F192">
        <v>29</v>
      </c>
      <c r="G192">
        <v>12</v>
      </c>
      <c r="H192">
        <v>8</v>
      </c>
      <c r="I192">
        <v>20</v>
      </c>
      <c r="J192">
        <v>5</v>
      </c>
      <c r="K192">
        <v>16</v>
      </c>
      <c r="L192">
        <v>11</v>
      </c>
      <c r="M192">
        <v>1</v>
      </c>
      <c r="N192">
        <v>0</v>
      </c>
      <c r="O192">
        <v>1</v>
      </c>
      <c r="P192">
        <v>7</v>
      </c>
      <c r="Q192">
        <v>0</v>
      </c>
      <c r="R192">
        <v>1</v>
      </c>
      <c r="S192">
        <v>68</v>
      </c>
      <c r="T192">
        <v>17.600000000000001</v>
      </c>
      <c r="U192">
        <v>139</v>
      </c>
      <c r="V192" s="19" t="s">
        <v>2199</v>
      </c>
      <c r="W192" s="19" t="s">
        <v>716</v>
      </c>
      <c r="X192">
        <v>168</v>
      </c>
      <c r="Y192">
        <v>150</v>
      </c>
      <c r="Z192">
        <v>52.8</v>
      </c>
      <c r="AA192">
        <v>18</v>
      </c>
      <c r="AB192">
        <v>36</v>
      </c>
      <c r="AC192">
        <v>7</v>
      </c>
      <c r="AD192">
        <v>23</v>
      </c>
      <c r="AE192" s="19" t="s">
        <v>60</v>
      </c>
    </row>
    <row r="193" spans="1:31" x14ac:dyDescent="0.2">
      <c r="A193">
        <v>190</v>
      </c>
      <c r="B193" s="19" t="s">
        <v>516</v>
      </c>
      <c r="C193">
        <v>29</v>
      </c>
      <c r="D193" s="19" t="s">
        <v>327</v>
      </c>
      <c r="E193" s="19" t="s">
        <v>322</v>
      </c>
      <c r="F193">
        <v>28</v>
      </c>
      <c r="G193">
        <v>12</v>
      </c>
      <c r="H193">
        <v>8</v>
      </c>
      <c r="I193">
        <v>20</v>
      </c>
      <c r="J193">
        <v>-1</v>
      </c>
      <c r="K193">
        <v>8</v>
      </c>
      <c r="L193">
        <v>9</v>
      </c>
      <c r="M193">
        <v>3</v>
      </c>
      <c r="N193">
        <v>0</v>
      </c>
      <c r="O193">
        <v>3</v>
      </c>
      <c r="P193">
        <v>6</v>
      </c>
      <c r="Q193">
        <v>2</v>
      </c>
      <c r="R193">
        <v>0</v>
      </c>
      <c r="S193">
        <v>65</v>
      </c>
      <c r="T193">
        <v>18.5</v>
      </c>
      <c r="U193">
        <v>108</v>
      </c>
      <c r="V193" s="19" t="s">
        <v>2200</v>
      </c>
      <c r="W193" s="19" t="s">
        <v>2085</v>
      </c>
      <c r="X193">
        <v>34</v>
      </c>
      <c r="Y193">
        <v>27</v>
      </c>
      <c r="Z193">
        <v>55.7</v>
      </c>
      <c r="AA193">
        <v>8</v>
      </c>
      <c r="AB193">
        <v>12</v>
      </c>
      <c r="AC193">
        <v>7</v>
      </c>
      <c r="AD193">
        <v>30</v>
      </c>
      <c r="AE193" s="19" t="s">
        <v>60</v>
      </c>
    </row>
    <row r="194" spans="1:31" x14ac:dyDescent="0.2">
      <c r="A194">
        <v>191</v>
      </c>
      <c r="B194" s="19" t="s">
        <v>558</v>
      </c>
      <c r="C194">
        <v>30</v>
      </c>
      <c r="D194" s="19" t="s">
        <v>451</v>
      </c>
      <c r="E194" s="19" t="s">
        <v>334</v>
      </c>
      <c r="F194">
        <v>39</v>
      </c>
      <c r="G194">
        <v>16</v>
      </c>
      <c r="H194">
        <v>4</v>
      </c>
      <c r="I194">
        <v>20</v>
      </c>
      <c r="J194">
        <v>-5</v>
      </c>
      <c r="K194">
        <v>20</v>
      </c>
      <c r="L194">
        <v>10</v>
      </c>
      <c r="M194">
        <v>5</v>
      </c>
      <c r="N194">
        <v>1</v>
      </c>
      <c r="O194">
        <v>2</v>
      </c>
      <c r="P194">
        <v>2</v>
      </c>
      <c r="Q194">
        <v>2</v>
      </c>
      <c r="R194">
        <v>0</v>
      </c>
      <c r="S194">
        <v>94</v>
      </c>
      <c r="T194">
        <v>17</v>
      </c>
      <c r="U194">
        <v>192</v>
      </c>
      <c r="V194" s="19" t="s">
        <v>2201</v>
      </c>
      <c r="W194" s="19" t="s">
        <v>493</v>
      </c>
      <c r="X194">
        <v>11</v>
      </c>
      <c r="Y194">
        <v>18</v>
      </c>
      <c r="Z194">
        <v>37.9</v>
      </c>
      <c r="AA194">
        <v>19</v>
      </c>
      <c r="AB194">
        <v>184</v>
      </c>
      <c r="AC194">
        <v>17</v>
      </c>
      <c r="AD194">
        <v>41</v>
      </c>
      <c r="AE194" s="19" t="s">
        <v>60</v>
      </c>
    </row>
    <row r="195" spans="1:31" x14ac:dyDescent="0.2">
      <c r="A195">
        <v>192</v>
      </c>
      <c r="B195" s="19" t="s">
        <v>742</v>
      </c>
      <c r="C195">
        <v>34</v>
      </c>
      <c r="D195" s="19" t="s">
        <v>357</v>
      </c>
      <c r="E195" s="19" t="s">
        <v>334</v>
      </c>
      <c r="F195">
        <v>34</v>
      </c>
      <c r="G195">
        <v>8</v>
      </c>
      <c r="H195">
        <v>12</v>
      </c>
      <c r="I195">
        <v>20</v>
      </c>
      <c r="J195">
        <v>-2</v>
      </c>
      <c r="K195">
        <v>6</v>
      </c>
      <c r="L195">
        <v>7</v>
      </c>
      <c r="M195">
        <v>1</v>
      </c>
      <c r="N195">
        <v>0</v>
      </c>
      <c r="O195">
        <v>1</v>
      </c>
      <c r="P195">
        <v>6</v>
      </c>
      <c r="Q195">
        <v>6</v>
      </c>
      <c r="R195">
        <v>0</v>
      </c>
      <c r="S195">
        <v>62</v>
      </c>
      <c r="T195">
        <v>12.9</v>
      </c>
      <c r="U195">
        <v>124</v>
      </c>
      <c r="V195" s="19" t="s">
        <v>2202</v>
      </c>
      <c r="W195" s="19" t="s">
        <v>2203</v>
      </c>
      <c r="X195">
        <v>5</v>
      </c>
      <c r="Y195">
        <v>4</v>
      </c>
      <c r="Z195">
        <v>55.6</v>
      </c>
      <c r="AA195">
        <v>15</v>
      </c>
      <c r="AB195">
        <v>29</v>
      </c>
      <c r="AC195">
        <v>8</v>
      </c>
      <c r="AD195">
        <v>26</v>
      </c>
      <c r="AE195" s="19" t="s">
        <v>60</v>
      </c>
    </row>
    <row r="196" spans="1:31" x14ac:dyDescent="0.2">
      <c r="A196">
        <v>193</v>
      </c>
      <c r="B196" s="19" t="s">
        <v>517</v>
      </c>
      <c r="C196">
        <v>30</v>
      </c>
      <c r="D196" s="19" t="s">
        <v>343</v>
      </c>
      <c r="E196" s="19" t="s">
        <v>348</v>
      </c>
      <c r="F196">
        <v>31</v>
      </c>
      <c r="G196">
        <v>4</v>
      </c>
      <c r="H196">
        <v>16</v>
      </c>
      <c r="I196">
        <v>20</v>
      </c>
      <c r="J196">
        <v>5</v>
      </c>
      <c r="K196">
        <v>6</v>
      </c>
      <c r="L196">
        <v>3</v>
      </c>
      <c r="M196">
        <v>1</v>
      </c>
      <c r="N196">
        <v>0</v>
      </c>
      <c r="O196">
        <v>2</v>
      </c>
      <c r="P196">
        <v>13</v>
      </c>
      <c r="Q196">
        <v>3</v>
      </c>
      <c r="R196">
        <v>0</v>
      </c>
      <c r="S196">
        <v>74</v>
      </c>
      <c r="T196">
        <v>5.4</v>
      </c>
      <c r="U196">
        <v>165</v>
      </c>
      <c r="V196" s="19" t="s">
        <v>1680</v>
      </c>
      <c r="W196" s="19" t="s">
        <v>1681</v>
      </c>
      <c r="X196">
        <v>0</v>
      </c>
      <c r="Y196">
        <v>0</v>
      </c>
      <c r="AA196">
        <v>48</v>
      </c>
      <c r="AB196">
        <v>1</v>
      </c>
      <c r="AC196">
        <v>12</v>
      </c>
      <c r="AD196">
        <v>39</v>
      </c>
      <c r="AE196" s="19" t="s">
        <v>60</v>
      </c>
    </row>
    <row r="197" spans="1:31" x14ac:dyDescent="0.2">
      <c r="A197">
        <v>194</v>
      </c>
      <c r="B197" s="19" t="s">
        <v>643</v>
      </c>
      <c r="C197">
        <v>24</v>
      </c>
      <c r="D197" s="19" t="s">
        <v>408</v>
      </c>
      <c r="E197" s="19" t="s">
        <v>334</v>
      </c>
      <c r="F197">
        <v>39</v>
      </c>
      <c r="G197">
        <v>10</v>
      </c>
      <c r="H197">
        <v>9</v>
      </c>
      <c r="I197">
        <v>19</v>
      </c>
      <c r="J197">
        <v>-2</v>
      </c>
      <c r="K197">
        <v>20</v>
      </c>
      <c r="L197">
        <v>8</v>
      </c>
      <c r="M197">
        <v>2</v>
      </c>
      <c r="N197">
        <v>0</v>
      </c>
      <c r="O197">
        <v>2</v>
      </c>
      <c r="P197">
        <v>7</v>
      </c>
      <c r="Q197">
        <v>2</v>
      </c>
      <c r="R197">
        <v>0</v>
      </c>
      <c r="S197">
        <v>69</v>
      </c>
      <c r="T197">
        <v>14.5</v>
      </c>
      <c r="U197">
        <v>118</v>
      </c>
      <c r="V197" s="19" t="s">
        <v>2204</v>
      </c>
      <c r="W197" s="19" t="s">
        <v>2205</v>
      </c>
      <c r="X197">
        <v>11</v>
      </c>
      <c r="Y197">
        <v>26</v>
      </c>
      <c r="Z197">
        <v>29.7</v>
      </c>
      <c r="AA197">
        <v>21</v>
      </c>
      <c r="AB197">
        <v>52</v>
      </c>
      <c r="AC197">
        <v>5</v>
      </c>
      <c r="AD197">
        <v>19</v>
      </c>
      <c r="AE197" s="19" t="s">
        <v>60</v>
      </c>
    </row>
    <row r="198" spans="1:31" x14ac:dyDescent="0.2">
      <c r="A198">
        <v>195</v>
      </c>
      <c r="B198" s="19" t="s">
        <v>592</v>
      </c>
      <c r="C198">
        <v>20</v>
      </c>
      <c r="D198" s="19" t="s">
        <v>370</v>
      </c>
      <c r="E198" s="19" t="s">
        <v>322</v>
      </c>
      <c r="F198">
        <v>42</v>
      </c>
      <c r="G198">
        <v>9</v>
      </c>
      <c r="H198">
        <v>10</v>
      </c>
      <c r="I198">
        <v>19</v>
      </c>
      <c r="J198">
        <v>-1</v>
      </c>
      <c r="K198">
        <v>4</v>
      </c>
      <c r="L198">
        <v>5</v>
      </c>
      <c r="M198">
        <v>4</v>
      </c>
      <c r="N198">
        <v>0</v>
      </c>
      <c r="O198">
        <v>1</v>
      </c>
      <c r="P198">
        <v>6</v>
      </c>
      <c r="Q198">
        <v>4</v>
      </c>
      <c r="R198">
        <v>0</v>
      </c>
      <c r="S198">
        <v>78</v>
      </c>
      <c r="T198">
        <v>11.5</v>
      </c>
      <c r="U198">
        <v>122</v>
      </c>
      <c r="V198" s="19" t="s">
        <v>2206</v>
      </c>
      <c r="W198" s="19" t="s">
        <v>1948</v>
      </c>
      <c r="X198">
        <v>10</v>
      </c>
      <c r="Y198">
        <v>21</v>
      </c>
      <c r="Z198">
        <v>32.299999999999997</v>
      </c>
      <c r="AA198">
        <v>28</v>
      </c>
      <c r="AB198">
        <v>66</v>
      </c>
      <c r="AC198">
        <v>15</v>
      </c>
      <c r="AD198">
        <v>44</v>
      </c>
      <c r="AE198" s="19" t="s">
        <v>60</v>
      </c>
    </row>
    <row r="199" spans="1:31" x14ac:dyDescent="0.2">
      <c r="A199">
        <v>196</v>
      </c>
      <c r="B199" s="19" t="s">
        <v>543</v>
      </c>
      <c r="C199">
        <v>26</v>
      </c>
      <c r="D199" s="19" t="s">
        <v>439</v>
      </c>
      <c r="E199" s="19" t="s">
        <v>322</v>
      </c>
      <c r="F199">
        <v>40</v>
      </c>
      <c r="G199">
        <v>8</v>
      </c>
      <c r="H199">
        <v>11</v>
      </c>
      <c r="I199">
        <v>19</v>
      </c>
      <c r="J199">
        <v>-6</v>
      </c>
      <c r="K199">
        <v>18</v>
      </c>
      <c r="L199">
        <v>6</v>
      </c>
      <c r="M199">
        <v>2</v>
      </c>
      <c r="N199">
        <v>0</v>
      </c>
      <c r="O199">
        <v>2</v>
      </c>
      <c r="P199">
        <v>6</v>
      </c>
      <c r="Q199">
        <v>5</v>
      </c>
      <c r="R199">
        <v>0</v>
      </c>
      <c r="S199">
        <v>74</v>
      </c>
      <c r="T199">
        <v>10.8</v>
      </c>
      <c r="U199">
        <v>128</v>
      </c>
      <c r="V199" s="19" t="s">
        <v>2207</v>
      </c>
      <c r="W199" s="19" t="s">
        <v>1635</v>
      </c>
      <c r="X199">
        <v>291</v>
      </c>
      <c r="Y199">
        <v>233</v>
      </c>
      <c r="Z199">
        <v>55.5</v>
      </c>
      <c r="AA199">
        <v>20</v>
      </c>
      <c r="AB199">
        <v>24</v>
      </c>
      <c r="AC199">
        <v>9</v>
      </c>
      <c r="AD199">
        <v>24</v>
      </c>
      <c r="AE199" s="19" t="s">
        <v>60</v>
      </c>
    </row>
    <row r="200" spans="1:31" x14ac:dyDescent="0.2">
      <c r="A200">
        <v>197</v>
      </c>
      <c r="B200" s="19" t="s">
        <v>568</v>
      </c>
      <c r="C200">
        <v>34</v>
      </c>
      <c r="D200" s="19" t="s">
        <v>451</v>
      </c>
      <c r="E200" s="19" t="s">
        <v>339</v>
      </c>
      <c r="F200">
        <v>38</v>
      </c>
      <c r="G200">
        <v>6</v>
      </c>
      <c r="H200">
        <v>13</v>
      </c>
      <c r="I200">
        <v>19</v>
      </c>
      <c r="J200">
        <v>-9</v>
      </c>
      <c r="K200">
        <v>55</v>
      </c>
      <c r="L200">
        <v>4</v>
      </c>
      <c r="M200">
        <v>2</v>
      </c>
      <c r="N200">
        <v>0</v>
      </c>
      <c r="O200">
        <v>1</v>
      </c>
      <c r="P200">
        <v>10</v>
      </c>
      <c r="Q200">
        <v>3</v>
      </c>
      <c r="R200">
        <v>0</v>
      </c>
      <c r="S200">
        <v>98</v>
      </c>
      <c r="T200">
        <v>6.1</v>
      </c>
      <c r="U200">
        <v>220</v>
      </c>
      <c r="V200" s="19" t="s">
        <v>2208</v>
      </c>
      <c r="W200" s="19" t="s">
        <v>2126</v>
      </c>
      <c r="X200">
        <v>10</v>
      </c>
      <c r="Y200">
        <v>21</v>
      </c>
      <c r="Z200">
        <v>32.299999999999997</v>
      </c>
      <c r="AA200">
        <v>15</v>
      </c>
      <c r="AB200">
        <v>66</v>
      </c>
      <c r="AC200">
        <v>9</v>
      </c>
      <c r="AD200">
        <v>35</v>
      </c>
      <c r="AE200" s="19" t="s">
        <v>60</v>
      </c>
    </row>
    <row r="201" spans="1:31" x14ac:dyDescent="0.2">
      <c r="A201">
        <v>198</v>
      </c>
      <c r="B201" s="19" t="s">
        <v>599</v>
      </c>
      <c r="C201">
        <v>20</v>
      </c>
      <c r="D201" s="19" t="s">
        <v>329</v>
      </c>
      <c r="E201" s="19" t="s">
        <v>348</v>
      </c>
      <c r="F201">
        <v>38</v>
      </c>
      <c r="G201">
        <v>2</v>
      </c>
      <c r="H201">
        <v>17</v>
      </c>
      <c r="I201">
        <v>19</v>
      </c>
      <c r="J201">
        <v>-13</v>
      </c>
      <c r="K201">
        <v>24</v>
      </c>
      <c r="L201">
        <v>1</v>
      </c>
      <c r="M201">
        <v>1</v>
      </c>
      <c r="N201">
        <v>0</v>
      </c>
      <c r="O201">
        <v>0</v>
      </c>
      <c r="P201">
        <v>8</v>
      </c>
      <c r="Q201">
        <v>9</v>
      </c>
      <c r="R201">
        <v>0</v>
      </c>
      <c r="S201">
        <v>47</v>
      </c>
      <c r="T201">
        <v>4.3</v>
      </c>
      <c r="U201">
        <v>111</v>
      </c>
      <c r="V201" s="19" t="s">
        <v>2209</v>
      </c>
      <c r="W201" s="19" t="s">
        <v>2210</v>
      </c>
      <c r="X201">
        <v>0</v>
      </c>
      <c r="Y201">
        <v>0</v>
      </c>
      <c r="AA201">
        <v>39</v>
      </c>
      <c r="AB201">
        <v>38</v>
      </c>
      <c r="AC201">
        <v>6</v>
      </c>
      <c r="AD201">
        <v>47</v>
      </c>
      <c r="AE201" s="19" t="s">
        <v>60</v>
      </c>
    </row>
    <row r="202" spans="1:31" x14ac:dyDescent="0.2">
      <c r="A202">
        <v>199</v>
      </c>
      <c r="B202" s="19" t="s">
        <v>556</v>
      </c>
      <c r="C202">
        <v>31</v>
      </c>
      <c r="D202" s="19" t="s">
        <v>380</v>
      </c>
      <c r="E202" s="19" t="s">
        <v>322</v>
      </c>
      <c r="F202">
        <v>37</v>
      </c>
      <c r="G202">
        <v>5</v>
      </c>
      <c r="H202">
        <v>14</v>
      </c>
      <c r="I202">
        <v>19</v>
      </c>
      <c r="J202">
        <v>-3</v>
      </c>
      <c r="K202">
        <v>8</v>
      </c>
      <c r="L202">
        <v>4</v>
      </c>
      <c r="M202">
        <v>1</v>
      </c>
      <c r="N202">
        <v>0</v>
      </c>
      <c r="O202">
        <v>2</v>
      </c>
      <c r="P202">
        <v>7</v>
      </c>
      <c r="Q202">
        <v>7</v>
      </c>
      <c r="R202">
        <v>0</v>
      </c>
      <c r="S202">
        <v>65</v>
      </c>
      <c r="T202">
        <v>7.7</v>
      </c>
      <c r="U202">
        <v>109</v>
      </c>
      <c r="V202" s="19" t="s">
        <v>1949</v>
      </c>
      <c r="W202" s="19" t="s">
        <v>1782</v>
      </c>
      <c r="X202">
        <v>358</v>
      </c>
      <c r="Y202">
        <v>311</v>
      </c>
      <c r="Z202">
        <v>53.5</v>
      </c>
      <c r="AA202">
        <v>16</v>
      </c>
      <c r="AB202">
        <v>24</v>
      </c>
      <c r="AC202">
        <v>10</v>
      </c>
      <c r="AD202">
        <v>29</v>
      </c>
      <c r="AE202" s="19" t="s">
        <v>60</v>
      </c>
    </row>
    <row r="203" spans="1:31" x14ac:dyDescent="0.2">
      <c r="A203">
        <v>200</v>
      </c>
      <c r="B203" s="19" t="s">
        <v>508</v>
      </c>
      <c r="C203">
        <v>30</v>
      </c>
      <c r="D203" s="19" t="s">
        <v>321</v>
      </c>
      <c r="E203" s="19" t="s">
        <v>334</v>
      </c>
      <c r="F203">
        <v>39</v>
      </c>
      <c r="G203">
        <v>7</v>
      </c>
      <c r="H203">
        <v>12</v>
      </c>
      <c r="I203">
        <v>19</v>
      </c>
      <c r="J203">
        <v>0</v>
      </c>
      <c r="K203">
        <v>4</v>
      </c>
      <c r="L203">
        <v>5</v>
      </c>
      <c r="M203">
        <v>2</v>
      </c>
      <c r="N203">
        <v>0</v>
      </c>
      <c r="O203">
        <v>2</v>
      </c>
      <c r="P203">
        <v>8</v>
      </c>
      <c r="Q203">
        <v>4</v>
      </c>
      <c r="R203">
        <v>0</v>
      </c>
      <c r="S203">
        <v>76</v>
      </c>
      <c r="T203">
        <v>9.1999999999999993</v>
      </c>
      <c r="U203">
        <v>134</v>
      </c>
      <c r="V203" s="19" t="s">
        <v>2211</v>
      </c>
      <c r="W203" s="19" t="s">
        <v>2212</v>
      </c>
      <c r="X203">
        <v>3</v>
      </c>
      <c r="Y203">
        <v>5</v>
      </c>
      <c r="Z203">
        <v>37.5</v>
      </c>
      <c r="AA203">
        <v>9</v>
      </c>
      <c r="AB203">
        <v>7</v>
      </c>
      <c r="AC203">
        <v>8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673</v>
      </c>
      <c r="C204">
        <v>24</v>
      </c>
      <c r="D204" s="19" t="s">
        <v>359</v>
      </c>
      <c r="E204" s="19" t="s">
        <v>339</v>
      </c>
      <c r="F204">
        <v>38</v>
      </c>
      <c r="G204">
        <v>8</v>
      </c>
      <c r="H204">
        <v>11</v>
      </c>
      <c r="I204">
        <v>19</v>
      </c>
      <c r="J204">
        <v>-2</v>
      </c>
      <c r="K204">
        <v>0</v>
      </c>
      <c r="L204">
        <v>7</v>
      </c>
      <c r="M204">
        <v>1</v>
      </c>
      <c r="N204">
        <v>0</v>
      </c>
      <c r="O204">
        <v>1</v>
      </c>
      <c r="P204">
        <v>9</v>
      </c>
      <c r="Q204">
        <v>2</v>
      </c>
      <c r="R204">
        <v>0</v>
      </c>
      <c r="S204">
        <v>66</v>
      </c>
      <c r="T204">
        <v>12.1</v>
      </c>
      <c r="U204">
        <v>111</v>
      </c>
      <c r="V204" s="19" t="s">
        <v>2213</v>
      </c>
      <c r="W204" s="19" t="s">
        <v>1757</v>
      </c>
      <c r="X204">
        <v>6</v>
      </c>
      <c r="Y204">
        <v>5</v>
      </c>
      <c r="Z204">
        <v>54.5</v>
      </c>
      <c r="AA204">
        <v>20</v>
      </c>
      <c r="AB204">
        <v>42</v>
      </c>
      <c r="AC204">
        <v>13</v>
      </c>
      <c r="AD204">
        <v>34</v>
      </c>
      <c r="AE204" s="19" t="s">
        <v>60</v>
      </c>
    </row>
    <row r="205" spans="1:31" x14ac:dyDescent="0.2">
      <c r="A205">
        <v>202</v>
      </c>
      <c r="B205" s="19" t="s">
        <v>609</v>
      </c>
      <c r="C205">
        <v>32</v>
      </c>
      <c r="D205" s="19" t="s">
        <v>372</v>
      </c>
      <c r="E205" s="19" t="s">
        <v>322</v>
      </c>
      <c r="F205">
        <v>39</v>
      </c>
      <c r="G205">
        <v>8</v>
      </c>
      <c r="H205">
        <v>11</v>
      </c>
      <c r="I205">
        <v>19</v>
      </c>
      <c r="J205">
        <v>0</v>
      </c>
      <c r="K205">
        <v>18</v>
      </c>
      <c r="L205">
        <v>8</v>
      </c>
      <c r="M205">
        <v>0</v>
      </c>
      <c r="N205">
        <v>0</v>
      </c>
      <c r="O205">
        <v>0</v>
      </c>
      <c r="P205">
        <v>9</v>
      </c>
      <c r="Q205">
        <v>2</v>
      </c>
      <c r="R205">
        <v>0</v>
      </c>
      <c r="S205">
        <v>86</v>
      </c>
      <c r="T205">
        <v>9.3000000000000007</v>
      </c>
      <c r="U205">
        <v>174</v>
      </c>
      <c r="V205" s="19" t="s">
        <v>2214</v>
      </c>
      <c r="W205" s="19" t="s">
        <v>2215</v>
      </c>
      <c r="X205">
        <v>214</v>
      </c>
      <c r="Y205">
        <v>244</v>
      </c>
      <c r="Z205">
        <v>46.7</v>
      </c>
      <c r="AA205">
        <v>15</v>
      </c>
      <c r="AB205">
        <v>39</v>
      </c>
      <c r="AC205">
        <v>14</v>
      </c>
      <c r="AD205">
        <v>28</v>
      </c>
      <c r="AE205" s="19" t="s">
        <v>60</v>
      </c>
    </row>
    <row r="206" spans="1:31" x14ac:dyDescent="0.2">
      <c r="A206">
        <v>203</v>
      </c>
      <c r="B206" s="19" t="s">
        <v>674</v>
      </c>
      <c r="C206">
        <v>25</v>
      </c>
      <c r="D206" s="19" t="s">
        <v>430</v>
      </c>
      <c r="E206" s="19" t="s">
        <v>348</v>
      </c>
      <c r="F206">
        <v>37</v>
      </c>
      <c r="G206">
        <v>6</v>
      </c>
      <c r="H206">
        <v>13</v>
      </c>
      <c r="I206">
        <v>19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13</v>
      </c>
      <c r="Q206">
        <v>0</v>
      </c>
      <c r="R206">
        <v>0</v>
      </c>
      <c r="S206">
        <v>53</v>
      </c>
      <c r="T206">
        <v>11.3</v>
      </c>
      <c r="U206">
        <v>106</v>
      </c>
      <c r="V206" s="19" t="s">
        <v>2216</v>
      </c>
      <c r="W206" s="19" t="s">
        <v>1910</v>
      </c>
      <c r="X206">
        <v>0</v>
      </c>
      <c r="Y206">
        <v>0</v>
      </c>
      <c r="AA206">
        <v>78</v>
      </c>
      <c r="AB206">
        <v>54</v>
      </c>
      <c r="AC206">
        <v>5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635</v>
      </c>
      <c r="C207">
        <v>22</v>
      </c>
      <c r="D207" s="19" t="s">
        <v>380</v>
      </c>
      <c r="E207" s="19" t="s">
        <v>322</v>
      </c>
      <c r="F207">
        <v>38</v>
      </c>
      <c r="G207">
        <v>4</v>
      </c>
      <c r="H207">
        <v>15</v>
      </c>
      <c r="I207">
        <v>19</v>
      </c>
      <c r="J207">
        <v>2</v>
      </c>
      <c r="K207">
        <v>18</v>
      </c>
      <c r="L207">
        <v>4</v>
      </c>
      <c r="M207">
        <v>0</v>
      </c>
      <c r="N207">
        <v>0</v>
      </c>
      <c r="O207">
        <v>1</v>
      </c>
      <c r="P207">
        <v>14</v>
      </c>
      <c r="Q207">
        <v>1</v>
      </c>
      <c r="R207">
        <v>0</v>
      </c>
      <c r="S207">
        <v>74</v>
      </c>
      <c r="T207">
        <v>5.4</v>
      </c>
      <c r="U207">
        <v>128</v>
      </c>
      <c r="V207" s="19" t="s">
        <v>2032</v>
      </c>
      <c r="W207" s="19" t="s">
        <v>1458</v>
      </c>
      <c r="X207">
        <v>23</v>
      </c>
      <c r="Y207">
        <v>41</v>
      </c>
      <c r="Z207">
        <v>35.9</v>
      </c>
      <c r="AA207">
        <v>16</v>
      </c>
      <c r="AB207">
        <v>45</v>
      </c>
      <c r="AC207">
        <v>16</v>
      </c>
      <c r="AD207">
        <v>38</v>
      </c>
      <c r="AE207" s="19" t="s">
        <v>60</v>
      </c>
    </row>
    <row r="208" spans="1:31" x14ac:dyDescent="0.2">
      <c r="A208">
        <v>205</v>
      </c>
      <c r="B208" s="19" t="s">
        <v>534</v>
      </c>
      <c r="C208">
        <v>31</v>
      </c>
      <c r="D208" s="19" t="s">
        <v>329</v>
      </c>
      <c r="E208" s="19" t="s">
        <v>325</v>
      </c>
      <c r="F208">
        <v>39</v>
      </c>
      <c r="G208">
        <v>8</v>
      </c>
      <c r="H208">
        <v>11</v>
      </c>
      <c r="I208">
        <v>19</v>
      </c>
      <c r="J208">
        <v>-10</v>
      </c>
      <c r="K208">
        <v>4</v>
      </c>
      <c r="L208">
        <v>5</v>
      </c>
      <c r="M208">
        <v>3</v>
      </c>
      <c r="N208">
        <v>0</v>
      </c>
      <c r="O208">
        <v>1</v>
      </c>
      <c r="P208">
        <v>5</v>
      </c>
      <c r="Q208">
        <v>6</v>
      </c>
      <c r="R208">
        <v>0</v>
      </c>
      <c r="S208">
        <v>47</v>
      </c>
      <c r="T208">
        <v>17</v>
      </c>
      <c r="U208">
        <v>100</v>
      </c>
      <c r="V208" s="19" t="s">
        <v>2217</v>
      </c>
      <c r="W208" s="19" t="s">
        <v>1990</v>
      </c>
      <c r="X208">
        <v>33</v>
      </c>
      <c r="Y208">
        <v>35</v>
      </c>
      <c r="Z208">
        <v>48.5</v>
      </c>
      <c r="AA208">
        <v>26</v>
      </c>
      <c r="AB208">
        <v>16</v>
      </c>
      <c r="AC208">
        <v>14</v>
      </c>
      <c r="AD208">
        <v>37</v>
      </c>
      <c r="AE208" s="19" t="s">
        <v>60</v>
      </c>
    </row>
    <row r="209" spans="1:31" x14ac:dyDescent="0.2">
      <c r="A209">
        <v>206</v>
      </c>
      <c r="B209" s="19" t="s">
        <v>693</v>
      </c>
      <c r="C209">
        <v>30</v>
      </c>
      <c r="D209" s="19" t="s">
        <v>984</v>
      </c>
      <c r="E209" s="19" t="s">
        <v>325</v>
      </c>
      <c r="F209">
        <v>34</v>
      </c>
      <c r="G209">
        <v>8</v>
      </c>
      <c r="H209">
        <v>11</v>
      </c>
      <c r="I209">
        <v>19</v>
      </c>
      <c r="J209">
        <v>-1</v>
      </c>
      <c r="K209">
        <v>36</v>
      </c>
      <c r="L209">
        <v>6</v>
      </c>
      <c r="M209">
        <v>2</v>
      </c>
      <c r="N209">
        <v>0</v>
      </c>
      <c r="O209">
        <v>2</v>
      </c>
      <c r="P209">
        <v>8</v>
      </c>
      <c r="Q209">
        <v>3</v>
      </c>
      <c r="R209">
        <v>0</v>
      </c>
      <c r="S209">
        <v>57</v>
      </c>
      <c r="T209">
        <v>14</v>
      </c>
      <c r="U209">
        <v>133</v>
      </c>
      <c r="V209" s="19" t="s">
        <v>2218</v>
      </c>
      <c r="W209" s="19" t="s">
        <v>1546</v>
      </c>
      <c r="X209">
        <v>12</v>
      </c>
      <c r="Y209">
        <v>22</v>
      </c>
      <c r="Z209">
        <v>35.299999999999997</v>
      </c>
      <c r="AA209">
        <v>10</v>
      </c>
      <c r="AB209">
        <v>40</v>
      </c>
      <c r="AC209">
        <v>10</v>
      </c>
      <c r="AD209">
        <v>45</v>
      </c>
      <c r="AE209" s="19" t="s">
        <v>60</v>
      </c>
    </row>
    <row r="210" spans="1:31" x14ac:dyDescent="0.2">
      <c r="A210">
        <v>206</v>
      </c>
      <c r="B210" s="19" t="s">
        <v>693</v>
      </c>
      <c r="C210">
        <v>30</v>
      </c>
      <c r="D210" s="19" t="s">
        <v>536</v>
      </c>
      <c r="E210" s="19" t="s">
        <v>325</v>
      </c>
      <c r="F210">
        <v>29</v>
      </c>
      <c r="G210">
        <v>4</v>
      </c>
      <c r="H210">
        <v>9</v>
      </c>
      <c r="I210">
        <v>13</v>
      </c>
      <c r="J210">
        <v>-4</v>
      </c>
      <c r="K210">
        <v>26</v>
      </c>
      <c r="L210">
        <v>4</v>
      </c>
      <c r="M210">
        <v>0</v>
      </c>
      <c r="N210">
        <v>0</v>
      </c>
      <c r="O210">
        <v>1</v>
      </c>
      <c r="P210">
        <v>6</v>
      </c>
      <c r="Q210">
        <v>3</v>
      </c>
      <c r="R210">
        <v>0</v>
      </c>
      <c r="S210">
        <v>46</v>
      </c>
      <c r="T210">
        <v>8.6999999999999993</v>
      </c>
      <c r="U210">
        <v>109</v>
      </c>
      <c r="V210" s="19" t="s">
        <v>1731</v>
      </c>
      <c r="W210" s="19" t="s">
        <v>960</v>
      </c>
      <c r="X210">
        <v>10</v>
      </c>
      <c r="Y210">
        <v>21</v>
      </c>
      <c r="Z210">
        <v>32.299999999999997</v>
      </c>
      <c r="AA210">
        <v>10</v>
      </c>
      <c r="AB210">
        <v>38</v>
      </c>
      <c r="AC210">
        <v>9</v>
      </c>
      <c r="AD210">
        <v>39</v>
      </c>
      <c r="AE210" s="19" t="s">
        <v>60</v>
      </c>
    </row>
    <row r="211" spans="1:31" x14ac:dyDescent="0.2">
      <c r="A211">
        <v>206</v>
      </c>
      <c r="B211" s="19" t="s">
        <v>693</v>
      </c>
      <c r="C211">
        <v>30</v>
      </c>
      <c r="D211" s="19" t="s">
        <v>380</v>
      </c>
      <c r="E211" s="19" t="s">
        <v>325</v>
      </c>
      <c r="F211">
        <v>5</v>
      </c>
      <c r="G211">
        <v>4</v>
      </c>
      <c r="H211">
        <v>2</v>
      </c>
      <c r="I211">
        <v>6</v>
      </c>
      <c r="J211">
        <v>3</v>
      </c>
      <c r="K211">
        <v>10</v>
      </c>
      <c r="L211">
        <v>2</v>
      </c>
      <c r="M211">
        <v>2</v>
      </c>
      <c r="N211">
        <v>0</v>
      </c>
      <c r="O211">
        <v>1</v>
      </c>
      <c r="P211">
        <v>2</v>
      </c>
      <c r="Q211">
        <v>0</v>
      </c>
      <c r="R211">
        <v>0</v>
      </c>
      <c r="S211">
        <v>11</v>
      </c>
      <c r="T211">
        <v>36.4</v>
      </c>
      <c r="U211">
        <v>24</v>
      </c>
      <c r="V211" s="19" t="s">
        <v>2219</v>
      </c>
      <c r="W211" s="19" t="s">
        <v>1675</v>
      </c>
      <c r="X211">
        <v>2</v>
      </c>
      <c r="Y211">
        <v>1</v>
      </c>
      <c r="Z211">
        <v>66.7</v>
      </c>
      <c r="AA211">
        <v>0</v>
      </c>
      <c r="AB211">
        <v>2</v>
      </c>
      <c r="AC211">
        <v>1</v>
      </c>
      <c r="AD211">
        <v>6</v>
      </c>
      <c r="AE211" s="19" t="s">
        <v>60</v>
      </c>
    </row>
    <row r="212" spans="1:31" x14ac:dyDescent="0.2">
      <c r="A212">
        <v>207</v>
      </c>
      <c r="B212" s="19" t="s">
        <v>752</v>
      </c>
      <c r="C212">
        <v>30</v>
      </c>
      <c r="D212" s="19" t="s">
        <v>351</v>
      </c>
      <c r="E212" s="19" t="s">
        <v>334</v>
      </c>
      <c r="F212">
        <v>40</v>
      </c>
      <c r="G212">
        <v>6</v>
      </c>
      <c r="H212">
        <v>12</v>
      </c>
      <c r="I212">
        <v>18</v>
      </c>
      <c r="J212">
        <v>-6</v>
      </c>
      <c r="K212">
        <v>8</v>
      </c>
      <c r="L212">
        <v>1</v>
      </c>
      <c r="M212">
        <v>5</v>
      </c>
      <c r="N212">
        <v>0</v>
      </c>
      <c r="O212">
        <v>1</v>
      </c>
      <c r="P212">
        <v>9</v>
      </c>
      <c r="Q212">
        <v>3</v>
      </c>
      <c r="R212">
        <v>0</v>
      </c>
      <c r="S212">
        <v>63</v>
      </c>
      <c r="T212">
        <v>9.5</v>
      </c>
      <c r="U212">
        <v>145</v>
      </c>
      <c r="V212" s="19" t="s">
        <v>2220</v>
      </c>
      <c r="W212" s="19" t="s">
        <v>910</v>
      </c>
      <c r="X212">
        <v>5</v>
      </c>
      <c r="Y212">
        <v>7</v>
      </c>
      <c r="Z212">
        <v>41.7</v>
      </c>
      <c r="AA212">
        <v>18</v>
      </c>
      <c r="AB212">
        <v>36</v>
      </c>
      <c r="AC212">
        <v>8</v>
      </c>
      <c r="AD212">
        <v>22</v>
      </c>
      <c r="AE212" s="19" t="s">
        <v>60</v>
      </c>
    </row>
    <row r="213" spans="1:31" x14ac:dyDescent="0.2">
      <c r="A213">
        <v>208</v>
      </c>
      <c r="B213" s="19" t="s">
        <v>585</v>
      </c>
      <c r="C213">
        <v>22</v>
      </c>
      <c r="D213" s="19" t="s">
        <v>421</v>
      </c>
      <c r="E213" s="19" t="s">
        <v>348</v>
      </c>
      <c r="F213">
        <v>39</v>
      </c>
      <c r="G213">
        <v>5</v>
      </c>
      <c r="H213">
        <v>13</v>
      </c>
      <c r="I213">
        <v>18</v>
      </c>
      <c r="J213">
        <v>4</v>
      </c>
      <c r="K213">
        <v>24</v>
      </c>
      <c r="L213">
        <v>4</v>
      </c>
      <c r="M213">
        <v>1</v>
      </c>
      <c r="N213">
        <v>0</v>
      </c>
      <c r="O213">
        <v>2</v>
      </c>
      <c r="P213">
        <v>11</v>
      </c>
      <c r="Q213">
        <v>2</v>
      </c>
      <c r="R213">
        <v>0</v>
      </c>
      <c r="S213">
        <v>76</v>
      </c>
      <c r="T213">
        <v>6.6</v>
      </c>
      <c r="U213">
        <v>146</v>
      </c>
      <c r="V213" s="19" t="s">
        <v>2221</v>
      </c>
      <c r="W213" s="19" t="s">
        <v>2222</v>
      </c>
      <c r="X213">
        <v>0</v>
      </c>
      <c r="Y213">
        <v>0</v>
      </c>
      <c r="AA213">
        <v>65</v>
      </c>
      <c r="AB213">
        <v>21</v>
      </c>
      <c r="AC213">
        <v>14</v>
      </c>
      <c r="AD213">
        <v>46</v>
      </c>
      <c r="AE213" s="19" t="s">
        <v>60</v>
      </c>
    </row>
    <row r="214" spans="1:31" x14ac:dyDescent="0.2">
      <c r="A214">
        <v>209</v>
      </c>
      <c r="B214" s="19" t="s">
        <v>646</v>
      </c>
      <c r="C214">
        <v>28</v>
      </c>
      <c r="D214" s="19" t="s">
        <v>406</v>
      </c>
      <c r="E214" s="19" t="s">
        <v>339</v>
      </c>
      <c r="F214">
        <v>41</v>
      </c>
      <c r="G214">
        <v>9</v>
      </c>
      <c r="H214">
        <v>9</v>
      </c>
      <c r="I214">
        <v>18</v>
      </c>
      <c r="J214">
        <v>5</v>
      </c>
      <c r="K214">
        <v>12</v>
      </c>
      <c r="L214">
        <v>8</v>
      </c>
      <c r="M214">
        <v>0</v>
      </c>
      <c r="N214">
        <v>1</v>
      </c>
      <c r="O214">
        <v>2</v>
      </c>
      <c r="P214">
        <v>9</v>
      </c>
      <c r="Q214">
        <v>0</v>
      </c>
      <c r="R214">
        <v>0</v>
      </c>
      <c r="S214">
        <v>66</v>
      </c>
      <c r="T214">
        <v>13.6</v>
      </c>
      <c r="U214">
        <v>142</v>
      </c>
      <c r="V214" s="19" t="s">
        <v>2223</v>
      </c>
      <c r="W214" s="19" t="s">
        <v>1635</v>
      </c>
      <c r="X214">
        <v>21</v>
      </c>
      <c r="Y214">
        <v>31</v>
      </c>
      <c r="Z214">
        <v>40.4</v>
      </c>
      <c r="AA214">
        <v>30</v>
      </c>
      <c r="AB214">
        <v>106</v>
      </c>
      <c r="AC214">
        <v>6</v>
      </c>
      <c r="AD214">
        <v>24</v>
      </c>
      <c r="AE214" s="19" t="s">
        <v>60</v>
      </c>
    </row>
    <row r="215" spans="1:31" x14ac:dyDescent="0.2">
      <c r="A215">
        <v>210</v>
      </c>
      <c r="B215" s="19" t="s">
        <v>689</v>
      </c>
      <c r="C215">
        <v>30</v>
      </c>
      <c r="D215" s="19" t="s">
        <v>359</v>
      </c>
      <c r="E215" s="19" t="s">
        <v>339</v>
      </c>
      <c r="F215">
        <v>38</v>
      </c>
      <c r="G215">
        <v>4</v>
      </c>
      <c r="H215">
        <v>14</v>
      </c>
      <c r="I215">
        <v>18</v>
      </c>
      <c r="J215">
        <v>-11</v>
      </c>
      <c r="K215">
        <v>20</v>
      </c>
      <c r="L215">
        <v>4</v>
      </c>
      <c r="M215">
        <v>0</v>
      </c>
      <c r="N215">
        <v>0</v>
      </c>
      <c r="O215">
        <v>2</v>
      </c>
      <c r="P215">
        <v>10</v>
      </c>
      <c r="Q215">
        <v>4</v>
      </c>
      <c r="R215">
        <v>0</v>
      </c>
      <c r="S215">
        <v>60</v>
      </c>
      <c r="T215">
        <v>6.7</v>
      </c>
      <c r="U215">
        <v>110</v>
      </c>
      <c r="V215" s="19" t="s">
        <v>2224</v>
      </c>
      <c r="W215" s="19" t="s">
        <v>2225</v>
      </c>
      <c r="X215">
        <v>101</v>
      </c>
      <c r="Y215">
        <v>92</v>
      </c>
      <c r="Z215">
        <v>52.3</v>
      </c>
      <c r="AA215">
        <v>16</v>
      </c>
      <c r="AB215">
        <v>20</v>
      </c>
      <c r="AC215">
        <v>10</v>
      </c>
      <c r="AD215">
        <v>47</v>
      </c>
      <c r="AE215" s="19" t="s">
        <v>60</v>
      </c>
    </row>
    <row r="216" spans="1:31" x14ac:dyDescent="0.2">
      <c r="A216">
        <v>211</v>
      </c>
      <c r="B216" s="19" t="s">
        <v>690</v>
      </c>
      <c r="C216">
        <v>23</v>
      </c>
      <c r="D216" s="19" t="s">
        <v>408</v>
      </c>
      <c r="E216" s="19" t="s">
        <v>348</v>
      </c>
      <c r="F216">
        <v>39</v>
      </c>
      <c r="G216">
        <v>3</v>
      </c>
      <c r="H216">
        <v>15</v>
      </c>
      <c r="I216">
        <v>18</v>
      </c>
      <c r="J216">
        <v>1</v>
      </c>
      <c r="K216">
        <v>22</v>
      </c>
      <c r="L216">
        <v>3</v>
      </c>
      <c r="M216">
        <v>0</v>
      </c>
      <c r="N216">
        <v>0</v>
      </c>
      <c r="O216">
        <v>1</v>
      </c>
      <c r="P216">
        <v>13</v>
      </c>
      <c r="Q216">
        <v>2</v>
      </c>
      <c r="R216">
        <v>0</v>
      </c>
      <c r="S216">
        <v>43</v>
      </c>
      <c r="T216">
        <v>7</v>
      </c>
      <c r="U216">
        <v>129</v>
      </c>
      <c r="V216" s="19" t="s">
        <v>2226</v>
      </c>
      <c r="W216" s="19" t="s">
        <v>2227</v>
      </c>
      <c r="X216">
        <v>0</v>
      </c>
      <c r="Y216">
        <v>0</v>
      </c>
      <c r="AA216">
        <v>40</v>
      </c>
      <c r="AB216">
        <v>10</v>
      </c>
      <c r="AC216">
        <v>7</v>
      </c>
      <c r="AD216">
        <v>25</v>
      </c>
      <c r="AE216" s="19" t="s">
        <v>60</v>
      </c>
    </row>
    <row r="217" spans="1:31" x14ac:dyDescent="0.2">
      <c r="A217">
        <v>212</v>
      </c>
      <c r="B217" s="19" t="s">
        <v>590</v>
      </c>
      <c r="C217">
        <v>25</v>
      </c>
      <c r="D217" s="19" t="s">
        <v>439</v>
      </c>
      <c r="E217" s="19" t="s">
        <v>339</v>
      </c>
      <c r="F217">
        <v>40</v>
      </c>
      <c r="G217">
        <v>9</v>
      </c>
      <c r="H217">
        <v>9</v>
      </c>
      <c r="I217">
        <v>18</v>
      </c>
      <c r="J217">
        <v>-6</v>
      </c>
      <c r="K217">
        <v>9</v>
      </c>
      <c r="L217">
        <v>5</v>
      </c>
      <c r="M217">
        <v>1</v>
      </c>
      <c r="N217">
        <v>3</v>
      </c>
      <c r="O217">
        <v>0</v>
      </c>
      <c r="P217">
        <v>7</v>
      </c>
      <c r="Q217">
        <v>2</v>
      </c>
      <c r="R217">
        <v>0</v>
      </c>
      <c r="S217">
        <v>76</v>
      </c>
      <c r="T217">
        <v>11.8</v>
      </c>
      <c r="U217">
        <v>135</v>
      </c>
      <c r="V217" s="19" t="s">
        <v>2228</v>
      </c>
      <c r="W217" s="19" t="s">
        <v>2215</v>
      </c>
      <c r="X217">
        <v>13</v>
      </c>
      <c r="Y217">
        <v>17</v>
      </c>
      <c r="Z217">
        <v>43.3</v>
      </c>
      <c r="AA217">
        <v>31</v>
      </c>
      <c r="AB217">
        <v>31</v>
      </c>
      <c r="AC217">
        <v>9</v>
      </c>
      <c r="AD217">
        <v>33</v>
      </c>
      <c r="AE217" s="19" t="s">
        <v>60</v>
      </c>
    </row>
    <row r="218" spans="1:31" x14ac:dyDescent="0.2">
      <c r="A218">
        <v>213</v>
      </c>
      <c r="B218" s="19" t="s">
        <v>545</v>
      </c>
      <c r="C218">
        <v>24</v>
      </c>
      <c r="D218" s="19" t="s">
        <v>383</v>
      </c>
      <c r="E218" s="19" t="s">
        <v>339</v>
      </c>
      <c r="F218">
        <v>41</v>
      </c>
      <c r="G218">
        <v>12</v>
      </c>
      <c r="H218">
        <v>6</v>
      </c>
      <c r="I218">
        <v>18</v>
      </c>
      <c r="J218">
        <v>0</v>
      </c>
      <c r="K218">
        <v>12</v>
      </c>
      <c r="L218">
        <v>10</v>
      </c>
      <c r="M218">
        <v>2</v>
      </c>
      <c r="N218">
        <v>0</v>
      </c>
      <c r="O218">
        <v>0</v>
      </c>
      <c r="P218">
        <v>6</v>
      </c>
      <c r="Q218">
        <v>0</v>
      </c>
      <c r="R218">
        <v>0</v>
      </c>
      <c r="S218">
        <v>82</v>
      </c>
      <c r="T218">
        <v>14.6</v>
      </c>
      <c r="U218">
        <v>163</v>
      </c>
      <c r="V218" s="19" t="s">
        <v>2229</v>
      </c>
      <c r="W218" s="19" t="s">
        <v>475</v>
      </c>
      <c r="X218">
        <v>4</v>
      </c>
      <c r="Y218">
        <v>3</v>
      </c>
      <c r="Z218">
        <v>57.1</v>
      </c>
      <c r="AA218">
        <v>29</v>
      </c>
      <c r="AB218">
        <v>140</v>
      </c>
      <c r="AC218">
        <v>6</v>
      </c>
      <c r="AD218">
        <v>22</v>
      </c>
      <c r="AE218" s="19" t="s">
        <v>60</v>
      </c>
    </row>
    <row r="219" spans="1:31" x14ac:dyDescent="0.2">
      <c r="A219">
        <v>214</v>
      </c>
      <c r="B219" s="19" t="s">
        <v>770</v>
      </c>
      <c r="C219">
        <v>24</v>
      </c>
      <c r="D219" s="19" t="s">
        <v>383</v>
      </c>
      <c r="E219" s="19" t="s">
        <v>334</v>
      </c>
      <c r="F219">
        <v>40</v>
      </c>
      <c r="G219">
        <v>8</v>
      </c>
      <c r="H219">
        <v>10</v>
      </c>
      <c r="I219">
        <v>18</v>
      </c>
      <c r="J219">
        <v>1</v>
      </c>
      <c r="K219">
        <v>10</v>
      </c>
      <c r="L219">
        <v>7</v>
      </c>
      <c r="M219">
        <v>0</v>
      </c>
      <c r="N219">
        <v>1</v>
      </c>
      <c r="O219">
        <v>1</v>
      </c>
      <c r="P219">
        <v>8</v>
      </c>
      <c r="Q219">
        <v>1</v>
      </c>
      <c r="R219">
        <v>1</v>
      </c>
      <c r="S219">
        <v>39</v>
      </c>
      <c r="T219">
        <v>20.5</v>
      </c>
      <c r="U219">
        <v>90</v>
      </c>
      <c r="V219" s="19" t="s">
        <v>2230</v>
      </c>
      <c r="W219" s="19" t="s">
        <v>1584</v>
      </c>
      <c r="X219">
        <v>2</v>
      </c>
      <c r="Y219">
        <v>9</v>
      </c>
      <c r="Z219">
        <v>18.2</v>
      </c>
      <c r="AA219">
        <v>30</v>
      </c>
      <c r="AB219">
        <v>9</v>
      </c>
      <c r="AC219">
        <v>14</v>
      </c>
      <c r="AD219">
        <v>29</v>
      </c>
      <c r="AE219" s="19" t="s">
        <v>60</v>
      </c>
    </row>
    <row r="220" spans="1:31" x14ac:dyDescent="0.2">
      <c r="A220">
        <v>215</v>
      </c>
      <c r="B220" s="19" t="s">
        <v>725</v>
      </c>
      <c r="C220">
        <v>35</v>
      </c>
      <c r="D220" s="19" t="s">
        <v>464</v>
      </c>
      <c r="E220" s="19" t="s">
        <v>348</v>
      </c>
      <c r="F220">
        <v>28</v>
      </c>
      <c r="G220">
        <v>5</v>
      </c>
      <c r="H220">
        <v>13</v>
      </c>
      <c r="I220">
        <v>18</v>
      </c>
      <c r="J220">
        <v>-10</v>
      </c>
      <c r="K220">
        <v>16</v>
      </c>
      <c r="L220">
        <v>3</v>
      </c>
      <c r="M220">
        <v>2</v>
      </c>
      <c r="N220">
        <v>0</v>
      </c>
      <c r="O220">
        <v>0</v>
      </c>
      <c r="P220">
        <v>9</v>
      </c>
      <c r="Q220">
        <v>4</v>
      </c>
      <c r="R220">
        <v>0</v>
      </c>
      <c r="S220">
        <v>73</v>
      </c>
      <c r="T220">
        <v>6.8</v>
      </c>
      <c r="U220">
        <v>162</v>
      </c>
      <c r="V220" s="19" t="s">
        <v>2231</v>
      </c>
      <c r="W220" s="19" t="s">
        <v>1917</v>
      </c>
      <c r="X220">
        <v>0</v>
      </c>
      <c r="Y220">
        <v>0</v>
      </c>
      <c r="AA220">
        <v>44</v>
      </c>
      <c r="AB220">
        <v>8</v>
      </c>
      <c r="AC220">
        <v>12</v>
      </c>
      <c r="AD220">
        <v>37</v>
      </c>
      <c r="AE220" s="19" t="s">
        <v>60</v>
      </c>
    </row>
    <row r="221" spans="1:31" x14ac:dyDescent="0.2">
      <c r="A221">
        <v>216</v>
      </c>
      <c r="B221" s="19" t="s">
        <v>657</v>
      </c>
      <c r="C221">
        <v>24</v>
      </c>
      <c r="D221" s="19" t="s">
        <v>421</v>
      </c>
      <c r="E221" s="19" t="s">
        <v>334</v>
      </c>
      <c r="F221">
        <v>39</v>
      </c>
      <c r="G221">
        <v>10</v>
      </c>
      <c r="H221">
        <v>8</v>
      </c>
      <c r="I221">
        <v>18</v>
      </c>
      <c r="J221">
        <v>5</v>
      </c>
      <c r="K221">
        <v>8</v>
      </c>
      <c r="L221">
        <v>8</v>
      </c>
      <c r="M221">
        <v>0</v>
      </c>
      <c r="N221">
        <v>2</v>
      </c>
      <c r="O221">
        <v>1</v>
      </c>
      <c r="P221">
        <v>7</v>
      </c>
      <c r="Q221">
        <v>1</v>
      </c>
      <c r="R221">
        <v>0</v>
      </c>
      <c r="S221">
        <v>92</v>
      </c>
      <c r="T221">
        <v>10.9</v>
      </c>
      <c r="U221">
        <v>189</v>
      </c>
      <c r="V221" s="19" t="s">
        <v>2232</v>
      </c>
      <c r="W221" s="19" t="s">
        <v>2233</v>
      </c>
      <c r="X221">
        <v>64</v>
      </c>
      <c r="Y221">
        <v>85</v>
      </c>
      <c r="Z221">
        <v>43</v>
      </c>
      <c r="AA221">
        <v>22</v>
      </c>
      <c r="AB221">
        <v>109</v>
      </c>
      <c r="AC221">
        <v>7</v>
      </c>
      <c r="AD221">
        <v>38</v>
      </c>
      <c r="AE221" s="19" t="s">
        <v>60</v>
      </c>
    </row>
    <row r="222" spans="1:31" x14ac:dyDescent="0.2">
      <c r="A222">
        <v>217</v>
      </c>
      <c r="B222" s="19" t="s">
        <v>692</v>
      </c>
      <c r="C222">
        <v>27</v>
      </c>
      <c r="D222" s="19" t="s">
        <v>372</v>
      </c>
      <c r="E222" s="19" t="s">
        <v>322</v>
      </c>
      <c r="F222">
        <v>31</v>
      </c>
      <c r="G222">
        <v>4</v>
      </c>
      <c r="H222">
        <v>14</v>
      </c>
      <c r="I222">
        <v>18</v>
      </c>
      <c r="J222">
        <v>2</v>
      </c>
      <c r="K222">
        <v>12</v>
      </c>
      <c r="L222">
        <v>3</v>
      </c>
      <c r="M222">
        <v>1</v>
      </c>
      <c r="N222">
        <v>0</v>
      </c>
      <c r="O222">
        <v>0</v>
      </c>
      <c r="P222">
        <v>13</v>
      </c>
      <c r="Q222">
        <v>0</v>
      </c>
      <c r="R222">
        <v>1</v>
      </c>
      <c r="S222">
        <v>51</v>
      </c>
      <c r="T222">
        <v>7.8</v>
      </c>
      <c r="U222">
        <v>95</v>
      </c>
      <c r="V222" s="19" t="s">
        <v>2234</v>
      </c>
      <c r="W222" s="19" t="s">
        <v>2235</v>
      </c>
      <c r="X222">
        <v>11</v>
      </c>
      <c r="Y222">
        <v>12</v>
      </c>
      <c r="Z222">
        <v>47.8</v>
      </c>
      <c r="AA222">
        <v>24</v>
      </c>
      <c r="AB222">
        <v>70</v>
      </c>
      <c r="AC222">
        <v>10</v>
      </c>
      <c r="AD222">
        <v>20</v>
      </c>
      <c r="AE222" s="19" t="s">
        <v>60</v>
      </c>
    </row>
    <row r="223" spans="1:31" x14ac:dyDescent="0.2">
      <c r="A223">
        <v>218</v>
      </c>
      <c r="B223" s="19" t="s">
        <v>554</v>
      </c>
      <c r="C223">
        <v>31</v>
      </c>
      <c r="D223" s="19" t="s">
        <v>363</v>
      </c>
      <c r="E223" s="19" t="s">
        <v>348</v>
      </c>
      <c r="F223">
        <v>37</v>
      </c>
      <c r="G223">
        <v>4</v>
      </c>
      <c r="H223">
        <v>14</v>
      </c>
      <c r="I223">
        <v>18</v>
      </c>
      <c r="J223">
        <v>9</v>
      </c>
      <c r="K223">
        <v>18</v>
      </c>
      <c r="L223">
        <v>4</v>
      </c>
      <c r="M223">
        <v>0</v>
      </c>
      <c r="N223">
        <v>0</v>
      </c>
      <c r="O223">
        <v>1</v>
      </c>
      <c r="P223">
        <v>14</v>
      </c>
      <c r="Q223">
        <v>0</v>
      </c>
      <c r="R223">
        <v>0</v>
      </c>
      <c r="S223">
        <v>49</v>
      </c>
      <c r="T223">
        <v>8.1999999999999993</v>
      </c>
      <c r="U223">
        <v>128</v>
      </c>
      <c r="V223" s="19" t="s">
        <v>2236</v>
      </c>
      <c r="W223" s="19" t="s">
        <v>2237</v>
      </c>
      <c r="X223">
        <v>0</v>
      </c>
      <c r="Y223">
        <v>0</v>
      </c>
      <c r="AA223">
        <v>83</v>
      </c>
      <c r="AB223">
        <v>23</v>
      </c>
      <c r="AC223">
        <v>16</v>
      </c>
      <c r="AD223">
        <v>42</v>
      </c>
      <c r="AE223" s="19" t="s">
        <v>60</v>
      </c>
    </row>
    <row r="224" spans="1:31" x14ac:dyDescent="0.2">
      <c r="A224">
        <v>219</v>
      </c>
      <c r="B224" s="19" t="s">
        <v>575</v>
      </c>
      <c r="C224">
        <v>21</v>
      </c>
      <c r="D224" s="19" t="s">
        <v>400</v>
      </c>
      <c r="E224" s="19" t="s">
        <v>348</v>
      </c>
      <c r="F224">
        <v>31</v>
      </c>
      <c r="G224">
        <v>7</v>
      </c>
      <c r="H224">
        <v>11</v>
      </c>
      <c r="I224">
        <v>18</v>
      </c>
      <c r="J224">
        <v>4</v>
      </c>
      <c r="K224">
        <v>16</v>
      </c>
      <c r="L224">
        <v>7</v>
      </c>
      <c r="M224">
        <v>0</v>
      </c>
      <c r="N224">
        <v>0</v>
      </c>
      <c r="O224">
        <v>2</v>
      </c>
      <c r="P224">
        <v>10</v>
      </c>
      <c r="Q224">
        <v>1</v>
      </c>
      <c r="R224">
        <v>0</v>
      </c>
      <c r="S224">
        <v>50</v>
      </c>
      <c r="T224">
        <v>14</v>
      </c>
      <c r="U224">
        <v>127</v>
      </c>
      <c r="V224" s="19" t="s">
        <v>1642</v>
      </c>
      <c r="W224" s="19" t="s">
        <v>638</v>
      </c>
      <c r="X224">
        <v>0</v>
      </c>
      <c r="Y224">
        <v>0</v>
      </c>
      <c r="AA224">
        <v>46</v>
      </c>
      <c r="AB224">
        <v>9</v>
      </c>
      <c r="AC224">
        <v>9</v>
      </c>
      <c r="AD224">
        <v>31</v>
      </c>
      <c r="AE224" s="19" t="s">
        <v>60</v>
      </c>
    </row>
    <row r="225" spans="1:31" x14ac:dyDescent="0.2">
      <c r="A225">
        <v>220</v>
      </c>
      <c r="B225" s="19" t="s">
        <v>510</v>
      </c>
      <c r="C225">
        <v>34</v>
      </c>
      <c r="D225" s="19" t="s">
        <v>383</v>
      </c>
      <c r="E225" s="19" t="s">
        <v>334</v>
      </c>
      <c r="F225">
        <v>25</v>
      </c>
      <c r="G225">
        <v>6</v>
      </c>
      <c r="H225">
        <v>12</v>
      </c>
      <c r="I225">
        <v>18</v>
      </c>
      <c r="J225">
        <v>-2</v>
      </c>
      <c r="K225">
        <v>8</v>
      </c>
      <c r="L225">
        <v>4</v>
      </c>
      <c r="M225">
        <v>1</v>
      </c>
      <c r="N225">
        <v>1</v>
      </c>
      <c r="O225">
        <v>1</v>
      </c>
      <c r="P225">
        <v>8</v>
      </c>
      <c r="Q225">
        <v>4</v>
      </c>
      <c r="R225">
        <v>0</v>
      </c>
      <c r="S225">
        <v>71</v>
      </c>
      <c r="T225">
        <v>8.5</v>
      </c>
      <c r="U225">
        <v>126</v>
      </c>
      <c r="V225" s="19" t="s">
        <v>511</v>
      </c>
      <c r="W225" s="19" t="s">
        <v>512</v>
      </c>
      <c r="X225">
        <v>2</v>
      </c>
      <c r="Y225">
        <v>2</v>
      </c>
      <c r="Z225">
        <v>50</v>
      </c>
      <c r="AA225">
        <v>9</v>
      </c>
      <c r="AB225">
        <v>19</v>
      </c>
      <c r="AC225">
        <v>8</v>
      </c>
      <c r="AD225">
        <v>18</v>
      </c>
      <c r="AE225" s="19" t="s">
        <v>60</v>
      </c>
    </row>
    <row r="226" spans="1:31" x14ac:dyDescent="0.2">
      <c r="A226">
        <v>221</v>
      </c>
      <c r="B226" s="19" t="s">
        <v>610</v>
      </c>
      <c r="C226">
        <v>23</v>
      </c>
      <c r="D226" s="19" t="s">
        <v>372</v>
      </c>
      <c r="E226" s="19" t="s">
        <v>334</v>
      </c>
      <c r="F226">
        <v>37</v>
      </c>
      <c r="G226">
        <v>4</v>
      </c>
      <c r="H226">
        <v>14</v>
      </c>
      <c r="I226">
        <v>18</v>
      </c>
      <c r="J226">
        <v>-4</v>
      </c>
      <c r="K226">
        <v>12</v>
      </c>
      <c r="L226">
        <v>2</v>
      </c>
      <c r="M226">
        <v>2</v>
      </c>
      <c r="N226">
        <v>0</v>
      </c>
      <c r="O226">
        <v>0</v>
      </c>
      <c r="P226">
        <v>9</v>
      </c>
      <c r="Q226">
        <v>5</v>
      </c>
      <c r="R226">
        <v>0</v>
      </c>
      <c r="S226">
        <v>81</v>
      </c>
      <c r="T226">
        <v>4.9000000000000004</v>
      </c>
      <c r="U226">
        <v>161</v>
      </c>
      <c r="V226" s="19" t="s">
        <v>2238</v>
      </c>
      <c r="W226" s="19" t="s">
        <v>2239</v>
      </c>
      <c r="X226">
        <v>0</v>
      </c>
      <c r="Y226">
        <v>0</v>
      </c>
      <c r="AA226">
        <v>16</v>
      </c>
      <c r="AB226">
        <v>71</v>
      </c>
      <c r="AC226">
        <v>5</v>
      </c>
      <c r="AD226">
        <v>25</v>
      </c>
      <c r="AE226" s="19" t="s">
        <v>60</v>
      </c>
    </row>
    <row r="227" spans="1:31" x14ac:dyDescent="0.2">
      <c r="A227">
        <v>222</v>
      </c>
      <c r="B227" s="19" t="s">
        <v>874</v>
      </c>
      <c r="C227">
        <v>26</v>
      </c>
      <c r="D227" s="19" t="s">
        <v>418</v>
      </c>
      <c r="E227" s="19" t="s">
        <v>339</v>
      </c>
      <c r="F227">
        <v>19</v>
      </c>
      <c r="G227">
        <v>6</v>
      </c>
      <c r="H227">
        <v>12</v>
      </c>
      <c r="I227">
        <v>18</v>
      </c>
      <c r="J227">
        <v>-1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7</v>
      </c>
      <c r="Q227">
        <v>5</v>
      </c>
      <c r="R227">
        <v>0</v>
      </c>
      <c r="S227">
        <v>81</v>
      </c>
      <c r="T227">
        <v>7.4</v>
      </c>
      <c r="U227">
        <v>135</v>
      </c>
      <c r="V227" s="19" t="s">
        <v>2240</v>
      </c>
      <c r="W227" s="19" t="s">
        <v>1770</v>
      </c>
      <c r="X227">
        <v>48</v>
      </c>
      <c r="Y227">
        <v>40</v>
      </c>
      <c r="Z227">
        <v>54.5</v>
      </c>
      <c r="AA227">
        <v>5</v>
      </c>
      <c r="AB227">
        <v>56</v>
      </c>
      <c r="AC227">
        <v>5</v>
      </c>
      <c r="AD227">
        <v>15</v>
      </c>
      <c r="AE227" s="19" t="s">
        <v>60</v>
      </c>
    </row>
    <row r="228" spans="1:31" x14ac:dyDescent="0.2">
      <c r="A228">
        <v>223</v>
      </c>
      <c r="B228" s="19" t="s">
        <v>748</v>
      </c>
      <c r="C228">
        <v>26</v>
      </c>
      <c r="D228" s="19" t="s">
        <v>418</v>
      </c>
      <c r="E228" s="19" t="s">
        <v>58</v>
      </c>
      <c r="F228">
        <v>39</v>
      </c>
      <c r="G228">
        <v>10</v>
      </c>
      <c r="H228">
        <v>8</v>
      </c>
      <c r="I228">
        <v>18</v>
      </c>
      <c r="J228">
        <v>-3</v>
      </c>
      <c r="K228">
        <v>10</v>
      </c>
      <c r="L228">
        <v>6</v>
      </c>
      <c r="M228">
        <v>4</v>
      </c>
      <c r="N228">
        <v>0</v>
      </c>
      <c r="O228">
        <v>2</v>
      </c>
      <c r="P228">
        <v>7</v>
      </c>
      <c r="Q228">
        <v>1</v>
      </c>
      <c r="R228">
        <v>0</v>
      </c>
      <c r="S228">
        <v>72</v>
      </c>
      <c r="T228">
        <v>13.9</v>
      </c>
      <c r="U228">
        <v>143</v>
      </c>
      <c r="V228" s="19" t="s">
        <v>2241</v>
      </c>
      <c r="W228" s="19" t="s">
        <v>1251</v>
      </c>
      <c r="X228">
        <v>2</v>
      </c>
      <c r="Y228">
        <v>5</v>
      </c>
      <c r="Z228">
        <v>28.6</v>
      </c>
      <c r="AA228">
        <v>15</v>
      </c>
      <c r="AB228">
        <v>73</v>
      </c>
      <c r="AC228">
        <v>9</v>
      </c>
      <c r="AD228">
        <v>18</v>
      </c>
      <c r="AE228" s="19" t="s">
        <v>60</v>
      </c>
    </row>
    <row r="229" spans="1:31" x14ac:dyDescent="0.2">
      <c r="A229">
        <v>224</v>
      </c>
      <c r="B229" s="19" t="s">
        <v>561</v>
      </c>
      <c r="C229">
        <v>34</v>
      </c>
      <c r="D229" s="19" t="s">
        <v>430</v>
      </c>
      <c r="E229" s="19" t="s">
        <v>339</v>
      </c>
      <c r="F229">
        <v>21</v>
      </c>
      <c r="G229">
        <v>9</v>
      </c>
      <c r="H229">
        <v>9</v>
      </c>
      <c r="I229">
        <v>18</v>
      </c>
      <c r="J229">
        <v>-10</v>
      </c>
      <c r="K229">
        <v>10</v>
      </c>
      <c r="L229">
        <v>4</v>
      </c>
      <c r="M229">
        <v>5</v>
      </c>
      <c r="N229">
        <v>0</v>
      </c>
      <c r="O229">
        <v>1</v>
      </c>
      <c r="P229">
        <v>5</v>
      </c>
      <c r="Q229">
        <v>4</v>
      </c>
      <c r="R229">
        <v>0</v>
      </c>
      <c r="S229">
        <v>49</v>
      </c>
      <c r="T229">
        <v>18.399999999999999</v>
      </c>
      <c r="U229">
        <v>82</v>
      </c>
      <c r="V229" s="19" t="s">
        <v>1588</v>
      </c>
      <c r="W229" s="19" t="s">
        <v>1042</v>
      </c>
      <c r="X229">
        <v>17</v>
      </c>
      <c r="Y229">
        <v>37</v>
      </c>
      <c r="Z229">
        <v>31.5</v>
      </c>
      <c r="AA229">
        <v>4</v>
      </c>
      <c r="AB229">
        <v>22</v>
      </c>
      <c r="AC229">
        <v>3</v>
      </c>
      <c r="AD229">
        <v>19</v>
      </c>
      <c r="AE229" s="19" t="s">
        <v>60</v>
      </c>
    </row>
    <row r="230" spans="1:31" x14ac:dyDescent="0.2">
      <c r="A230">
        <v>225</v>
      </c>
      <c r="B230" s="19" t="s">
        <v>614</v>
      </c>
      <c r="C230">
        <v>32</v>
      </c>
      <c r="D230" s="19" t="s">
        <v>354</v>
      </c>
      <c r="E230" s="19" t="s">
        <v>339</v>
      </c>
      <c r="F230">
        <v>29</v>
      </c>
      <c r="G230">
        <v>7</v>
      </c>
      <c r="H230">
        <v>10</v>
      </c>
      <c r="I230">
        <v>17</v>
      </c>
      <c r="J230">
        <v>2</v>
      </c>
      <c r="K230">
        <v>14</v>
      </c>
      <c r="L230">
        <v>6</v>
      </c>
      <c r="M230">
        <v>1</v>
      </c>
      <c r="N230">
        <v>0</v>
      </c>
      <c r="O230">
        <v>3</v>
      </c>
      <c r="P230">
        <v>7</v>
      </c>
      <c r="Q230">
        <v>3</v>
      </c>
      <c r="R230">
        <v>0</v>
      </c>
      <c r="S230">
        <v>72</v>
      </c>
      <c r="T230">
        <v>9.6999999999999993</v>
      </c>
      <c r="U230">
        <v>144</v>
      </c>
      <c r="V230" s="19" t="s">
        <v>2242</v>
      </c>
      <c r="W230" s="19" t="s">
        <v>2225</v>
      </c>
      <c r="X230">
        <v>6</v>
      </c>
      <c r="Y230">
        <v>4</v>
      </c>
      <c r="Z230">
        <v>60</v>
      </c>
      <c r="AA230">
        <v>14</v>
      </c>
      <c r="AB230">
        <v>10</v>
      </c>
      <c r="AC230">
        <v>6</v>
      </c>
      <c r="AD230">
        <v>24</v>
      </c>
      <c r="AE230" s="19" t="s">
        <v>60</v>
      </c>
    </row>
    <row r="231" spans="1:31" x14ac:dyDescent="0.2">
      <c r="A231">
        <v>226</v>
      </c>
      <c r="B231" s="19" t="s">
        <v>686</v>
      </c>
      <c r="C231">
        <v>20</v>
      </c>
      <c r="D231" s="19" t="s">
        <v>430</v>
      </c>
      <c r="E231" s="19" t="s">
        <v>339</v>
      </c>
      <c r="F231">
        <v>26</v>
      </c>
      <c r="G231">
        <v>4</v>
      </c>
      <c r="H231">
        <v>13</v>
      </c>
      <c r="I231">
        <v>17</v>
      </c>
      <c r="J231">
        <v>7</v>
      </c>
      <c r="K231">
        <v>12</v>
      </c>
      <c r="L231">
        <v>3</v>
      </c>
      <c r="M231">
        <v>1</v>
      </c>
      <c r="N231">
        <v>0</v>
      </c>
      <c r="O231">
        <v>3</v>
      </c>
      <c r="P231">
        <v>8</v>
      </c>
      <c r="Q231">
        <v>4</v>
      </c>
      <c r="R231">
        <v>1</v>
      </c>
      <c r="S231">
        <v>49</v>
      </c>
      <c r="T231">
        <v>8.1999999999999993</v>
      </c>
      <c r="U231">
        <v>83</v>
      </c>
      <c r="V231" s="19" t="s">
        <v>2243</v>
      </c>
      <c r="W231" s="19" t="s">
        <v>426</v>
      </c>
      <c r="X231">
        <v>3</v>
      </c>
      <c r="Y231">
        <v>5</v>
      </c>
      <c r="Z231">
        <v>37.5</v>
      </c>
      <c r="AA231">
        <v>10</v>
      </c>
      <c r="AB231">
        <v>11</v>
      </c>
      <c r="AC231">
        <v>9</v>
      </c>
      <c r="AD231">
        <v>22</v>
      </c>
      <c r="AE231" s="19" t="s">
        <v>60</v>
      </c>
    </row>
    <row r="232" spans="1:31" x14ac:dyDescent="0.2">
      <c r="A232">
        <v>227</v>
      </c>
      <c r="B232" s="19" t="s">
        <v>640</v>
      </c>
      <c r="C232">
        <v>27</v>
      </c>
      <c r="D232" s="19" t="s">
        <v>464</v>
      </c>
      <c r="E232" s="19" t="s">
        <v>348</v>
      </c>
      <c r="F232">
        <v>30</v>
      </c>
      <c r="G232">
        <v>4</v>
      </c>
      <c r="H232">
        <v>13</v>
      </c>
      <c r="I232">
        <v>17</v>
      </c>
      <c r="J232">
        <v>-4</v>
      </c>
      <c r="K232">
        <v>8</v>
      </c>
      <c r="L232">
        <v>1</v>
      </c>
      <c r="M232">
        <v>3</v>
      </c>
      <c r="N232">
        <v>0</v>
      </c>
      <c r="O232">
        <v>0</v>
      </c>
      <c r="P232">
        <v>9</v>
      </c>
      <c r="Q232">
        <v>4</v>
      </c>
      <c r="R232">
        <v>0</v>
      </c>
      <c r="S232">
        <v>41</v>
      </c>
      <c r="T232">
        <v>9.8000000000000007</v>
      </c>
      <c r="U232">
        <v>112</v>
      </c>
      <c r="V232" s="19" t="s">
        <v>2244</v>
      </c>
      <c r="W232" s="19" t="s">
        <v>1583</v>
      </c>
      <c r="X232">
        <v>0</v>
      </c>
      <c r="Y232">
        <v>2</v>
      </c>
      <c r="Z232">
        <v>0</v>
      </c>
      <c r="AA232">
        <v>32</v>
      </c>
      <c r="AB232">
        <v>25</v>
      </c>
      <c r="AC232">
        <v>9</v>
      </c>
      <c r="AD232">
        <v>32</v>
      </c>
      <c r="AE232" s="19" t="s">
        <v>60</v>
      </c>
    </row>
    <row r="233" spans="1:31" x14ac:dyDescent="0.2">
      <c r="A233">
        <v>228</v>
      </c>
      <c r="B233" s="19" t="s">
        <v>537</v>
      </c>
      <c r="C233">
        <v>28</v>
      </c>
      <c r="D233" s="19" t="s">
        <v>451</v>
      </c>
      <c r="E233" s="19" t="s">
        <v>334</v>
      </c>
      <c r="F233">
        <v>37</v>
      </c>
      <c r="G233">
        <v>9</v>
      </c>
      <c r="H233">
        <v>8</v>
      </c>
      <c r="I233">
        <v>17</v>
      </c>
      <c r="J233">
        <v>-16</v>
      </c>
      <c r="K233">
        <v>2</v>
      </c>
      <c r="L233">
        <v>8</v>
      </c>
      <c r="M233">
        <v>1</v>
      </c>
      <c r="N233">
        <v>0</v>
      </c>
      <c r="O233">
        <v>2</v>
      </c>
      <c r="P233">
        <v>4</v>
      </c>
      <c r="Q233">
        <v>4</v>
      </c>
      <c r="R233">
        <v>0</v>
      </c>
      <c r="S233">
        <v>80</v>
      </c>
      <c r="T233">
        <v>11.3</v>
      </c>
      <c r="U233">
        <v>165</v>
      </c>
      <c r="V233" s="19" t="s">
        <v>2245</v>
      </c>
      <c r="W233" s="19" t="s">
        <v>423</v>
      </c>
      <c r="X233">
        <v>34</v>
      </c>
      <c r="Y233">
        <v>46</v>
      </c>
      <c r="Z233">
        <v>42.5</v>
      </c>
      <c r="AA233">
        <v>17</v>
      </c>
      <c r="AB233">
        <v>19</v>
      </c>
      <c r="AC233">
        <v>6</v>
      </c>
      <c r="AD233">
        <v>24</v>
      </c>
      <c r="AE233" s="19" t="s">
        <v>60</v>
      </c>
    </row>
    <row r="234" spans="1:31" x14ac:dyDescent="0.2">
      <c r="A234">
        <v>229</v>
      </c>
      <c r="B234" s="19" t="s">
        <v>616</v>
      </c>
      <c r="C234">
        <v>22</v>
      </c>
      <c r="D234" s="19" t="s">
        <v>363</v>
      </c>
      <c r="E234" s="19" t="s">
        <v>322</v>
      </c>
      <c r="F234">
        <v>40</v>
      </c>
      <c r="G234">
        <v>10</v>
      </c>
      <c r="H234">
        <v>7</v>
      </c>
      <c r="I234">
        <v>17</v>
      </c>
      <c r="J234">
        <v>-5</v>
      </c>
      <c r="K234">
        <v>14</v>
      </c>
      <c r="L234">
        <v>7</v>
      </c>
      <c r="M234">
        <v>3</v>
      </c>
      <c r="N234">
        <v>0</v>
      </c>
      <c r="O234">
        <v>2</v>
      </c>
      <c r="P234">
        <v>5</v>
      </c>
      <c r="Q234">
        <v>2</v>
      </c>
      <c r="R234">
        <v>0</v>
      </c>
      <c r="S234">
        <v>57</v>
      </c>
      <c r="T234">
        <v>17.5</v>
      </c>
      <c r="U234">
        <v>119</v>
      </c>
      <c r="V234" s="19" t="s">
        <v>2246</v>
      </c>
      <c r="W234" s="19" t="s">
        <v>1018</v>
      </c>
      <c r="X234">
        <v>14</v>
      </c>
      <c r="Y234">
        <v>14</v>
      </c>
      <c r="Z234">
        <v>50</v>
      </c>
      <c r="AA234">
        <v>19</v>
      </c>
      <c r="AB234">
        <v>73</v>
      </c>
      <c r="AC234">
        <v>10</v>
      </c>
      <c r="AD234">
        <v>30</v>
      </c>
      <c r="AE234" s="19" t="s">
        <v>60</v>
      </c>
    </row>
    <row r="235" spans="1:31" x14ac:dyDescent="0.2">
      <c r="A235">
        <v>230</v>
      </c>
      <c r="B235" s="19" t="s">
        <v>757</v>
      </c>
      <c r="C235">
        <v>32</v>
      </c>
      <c r="D235" s="19" t="s">
        <v>400</v>
      </c>
      <c r="E235" s="19" t="s">
        <v>334</v>
      </c>
      <c r="F235">
        <v>33</v>
      </c>
      <c r="G235">
        <v>9</v>
      </c>
      <c r="H235">
        <v>8</v>
      </c>
      <c r="I235">
        <v>17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8</v>
      </c>
      <c r="Q235">
        <v>0</v>
      </c>
      <c r="R235">
        <v>0</v>
      </c>
      <c r="S235">
        <v>47</v>
      </c>
      <c r="T235">
        <v>19.100000000000001</v>
      </c>
      <c r="U235">
        <v>77</v>
      </c>
      <c r="V235" s="19" t="s">
        <v>2247</v>
      </c>
      <c r="W235" s="19" t="s">
        <v>1786</v>
      </c>
      <c r="X235">
        <v>4</v>
      </c>
      <c r="Y235">
        <v>9</v>
      </c>
      <c r="Z235">
        <v>30.8</v>
      </c>
      <c r="AA235">
        <v>24</v>
      </c>
      <c r="AB235">
        <v>14</v>
      </c>
      <c r="AC235">
        <v>8</v>
      </c>
      <c r="AD235">
        <v>20</v>
      </c>
      <c r="AE235" s="19" t="s">
        <v>60</v>
      </c>
    </row>
    <row r="236" spans="1:31" x14ac:dyDescent="0.2">
      <c r="A236">
        <v>231</v>
      </c>
      <c r="B236" s="19" t="s">
        <v>620</v>
      </c>
      <c r="C236">
        <v>29</v>
      </c>
      <c r="D236" s="19" t="s">
        <v>451</v>
      </c>
      <c r="E236" s="19" t="s">
        <v>339</v>
      </c>
      <c r="F236">
        <v>38</v>
      </c>
      <c r="G236">
        <v>9</v>
      </c>
      <c r="H236">
        <v>8</v>
      </c>
      <c r="I236">
        <v>17</v>
      </c>
      <c r="J236">
        <v>-11</v>
      </c>
      <c r="K236">
        <v>4</v>
      </c>
      <c r="L236">
        <v>1</v>
      </c>
      <c r="M236">
        <v>8</v>
      </c>
      <c r="N236">
        <v>0</v>
      </c>
      <c r="O236">
        <v>0</v>
      </c>
      <c r="P236">
        <v>7</v>
      </c>
      <c r="Q236">
        <v>1</v>
      </c>
      <c r="R236">
        <v>0</v>
      </c>
      <c r="S236">
        <v>104</v>
      </c>
      <c r="T236">
        <v>8.6999999999999993</v>
      </c>
      <c r="U236">
        <v>178</v>
      </c>
      <c r="V236" s="19" t="s">
        <v>2248</v>
      </c>
      <c r="W236" s="19" t="s">
        <v>1656</v>
      </c>
      <c r="X236">
        <v>11</v>
      </c>
      <c r="Y236">
        <v>14</v>
      </c>
      <c r="Z236">
        <v>44</v>
      </c>
      <c r="AA236">
        <v>13</v>
      </c>
      <c r="AB236">
        <v>34</v>
      </c>
      <c r="AC236">
        <v>4</v>
      </c>
      <c r="AD236">
        <v>22</v>
      </c>
      <c r="AE236" s="19" t="s">
        <v>60</v>
      </c>
    </row>
    <row r="237" spans="1:31" x14ac:dyDescent="0.2">
      <c r="A237">
        <v>232</v>
      </c>
      <c r="B237" s="19" t="s">
        <v>621</v>
      </c>
      <c r="C237">
        <v>29</v>
      </c>
      <c r="D237" s="19" t="s">
        <v>329</v>
      </c>
      <c r="E237" s="19" t="s">
        <v>322</v>
      </c>
      <c r="F237">
        <v>40</v>
      </c>
      <c r="G237">
        <v>9</v>
      </c>
      <c r="H237">
        <v>8</v>
      </c>
      <c r="I237">
        <v>17</v>
      </c>
      <c r="J237">
        <v>-10</v>
      </c>
      <c r="K237">
        <v>24</v>
      </c>
      <c r="L237">
        <v>8</v>
      </c>
      <c r="M237">
        <v>1</v>
      </c>
      <c r="N237">
        <v>0</v>
      </c>
      <c r="O237">
        <v>2</v>
      </c>
      <c r="P237">
        <v>7</v>
      </c>
      <c r="Q237">
        <v>1</v>
      </c>
      <c r="R237">
        <v>0</v>
      </c>
      <c r="S237">
        <v>69</v>
      </c>
      <c r="T237">
        <v>13</v>
      </c>
      <c r="U237">
        <v>156</v>
      </c>
      <c r="V237" s="19" t="s">
        <v>2249</v>
      </c>
      <c r="W237" s="19" t="s">
        <v>1410</v>
      </c>
      <c r="X237">
        <v>102</v>
      </c>
      <c r="Y237">
        <v>95</v>
      </c>
      <c r="Z237">
        <v>51.8</v>
      </c>
      <c r="AA237">
        <v>9</v>
      </c>
      <c r="AB237">
        <v>50</v>
      </c>
      <c r="AC237">
        <v>11</v>
      </c>
      <c r="AD237">
        <v>29</v>
      </c>
      <c r="AE237" s="19" t="s">
        <v>60</v>
      </c>
    </row>
    <row r="238" spans="1:31" x14ac:dyDescent="0.2">
      <c r="A238">
        <v>233</v>
      </c>
      <c r="B238" s="19" t="s">
        <v>564</v>
      </c>
      <c r="C238">
        <v>30</v>
      </c>
      <c r="D238" s="19" t="s">
        <v>383</v>
      </c>
      <c r="E238" s="19" t="s">
        <v>339</v>
      </c>
      <c r="F238">
        <v>35</v>
      </c>
      <c r="G238">
        <v>3</v>
      </c>
      <c r="H238">
        <v>14</v>
      </c>
      <c r="I238">
        <v>17</v>
      </c>
      <c r="J238">
        <v>1</v>
      </c>
      <c r="K238">
        <v>17</v>
      </c>
      <c r="L238">
        <v>3</v>
      </c>
      <c r="M238">
        <v>0</v>
      </c>
      <c r="N238">
        <v>0</v>
      </c>
      <c r="O238">
        <v>0</v>
      </c>
      <c r="P238">
        <v>10</v>
      </c>
      <c r="Q238">
        <v>4</v>
      </c>
      <c r="R238">
        <v>0</v>
      </c>
      <c r="S238">
        <v>50</v>
      </c>
      <c r="T238">
        <v>6</v>
      </c>
      <c r="U238">
        <v>102</v>
      </c>
      <c r="V238" s="19" t="s">
        <v>2250</v>
      </c>
      <c r="W238" s="19" t="s">
        <v>1877</v>
      </c>
      <c r="X238">
        <v>64</v>
      </c>
      <c r="Y238">
        <v>59</v>
      </c>
      <c r="Z238">
        <v>52</v>
      </c>
      <c r="AA238">
        <v>13</v>
      </c>
      <c r="AB238">
        <v>7</v>
      </c>
      <c r="AC238">
        <v>7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589</v>
      </c>
      <c r="C239">
        <v>35</v>
      </c>
      <c r="D239" s="19" t="s">
        <v>327</v>
      </c>
      <c r="E239" s="19" t="s">
        <v>348</v>
      </c>
      <c r="F239">
        <v>41</v>
      </c>
      <c r="G239">
        <v>3</v>
      </c>
      <c r="H239">
        <v>14</v>
      </c>
      <c r="I239">
        <v>17</v>
      </c>
      <c r="J239">
        <v>2</v>
      </c>
      <c r="K239">
        <v>14</v>
      </c>
      <c r="L239">
        <v>3</v>
      </c>
      <c r="M239">
        <v>0</v>
      </c>
      <c r="N239">
        <v>0</v>
      </c>
      <c r="O239">
        <v>1</v>
      </c>
      <c r="P239">
        <v>12</v>
      </c>
      <c r="Q239">
        <v>2</v>
      </c>
      <c r="R239">
        <v>0</v>
      </c>
      <c r="S239">
        <v>75</v>
      </c>
      <c r="T239">
        <v>4</v>
      </c>
      <c r="U239">
        <v>170</v>
      </c>
      <c r="V239" s="19" t="s">
        <v>2251</v>
      </c>
      <c r="W239" s="19" t="s">
        <v>2252</v>
      </c>
      <c r="X239">
        <v>0</v>
      </c>
      <c r="Y239">
        <v>0</v>
      </c>
      <c r="AA239">
        <v>65</v>
      </c>
      <c r="AB239">
        <v>39</v>
      </c>
      <c r="AC239">
        <v>16</v>
      </c>
      <c r="AD239">
        <v>58</v>
      </c>
      <c r="AE239" s="19" t="s">
        <v>60</v>
      </c>
    </row>
    <row r="240" spans="1:31" x14ac:dyDescent="0.2">
      <c r="A240">
        <v>235</v>
      </c>
      <c r="B240" s="19" t="s">
        <v>626</v>
      </c>
      <c r="C240">
        <v>24</v>
      </c>
      <c r="D240" s="19" t="s">
        <v>400</v>
      </c>
      <c r="E240" s="19" t="s">
        <v>334</v>
      </c>
      <c r="F240">
        <v>36</v>
      </c>
      <c r="G240">
        <v>8</v>
      </c>
      <c r="H240">
        <v>9</v>
      </c>
      <c r="I240">
        <v>17</v>
      </c>
      <c r="J240">
        <v>-5</v>
      </c>
      <c r="K240">
        <v>14</v>
      </c>
      <c r="L240">
        <v>6</v>
      </c>
      <c r="M240">
        <v>2</v>
      </c>
      <c r="N240">
        <v>0</v>
      </c>
      <c r="O240">
        <v>0</v>
      </c>
      <c r="P240">
        <v>8</v>
      </c>
      <c r="Q240">
        <v>1</v>
      </c>
      <c r="R240">
        <v>0</v>
      </c>
      <c r="S240">
        <v>80</v>
      </c>
      <c r="T240">
        <v>10</v>
      </c>
      <c r="U240">
        <v>150</v>
      </c>
      <c r="V240" s="19" t="s">
        <v>2253</v>
      </c>
      <c r="W240" s="19" t="s">
        <v>1810</v>
      </c>
      <c r="X240">
        <v>4</v>
      </c>
      <c r="Y240">
        <v>5</v>
      </c>
      <c r="Z240">
        <v>44.4</v>
      </c>
      <c r="AA240">
        <v>10</v>
      </c>
      <c r="AB240">
        <v>37</v>
      </c>
      <c r="AC240">
        <v>12</v>
      </c>
      <c r="AD240">
        <v>21</v>
      </c>
      <c r="AE240" s="19" t="s">
        <v>60</v>
      </c>
    </row>
    <row r="241" spans="1:31" x14ac:dyDescent="0.2">
      <c r="A241">
        <v>236</v>
      </c>
      <c r="B241" s="19" t="s">
        <v>594</v>
      </c>
      <c r="C241">
        <v>34</v>
      </c>
      <c r="D241" s="19" t="s">
        <v>398</v>
      </c>
      <c r="E241" s="19" t="s">
        <v>339</v>
      </c>
      <c r="F241">
        <v>40</v>
      </c>
      <c r="G241">
        <v>7</v>
      </c>
      <c r="H241">
        <v>10</v>
      </c>
      <c r="I241">
        <v>17</v>
      </c>
      <c r="J241">
        <v>3</v>
      </c>
      <c r="K241">
        <v>14</v>
      </c>
      <c r="L241">
        <v>5</v>
      </c>
      <c r="M241">
        <v>2</v>
      </c>
      <c r="N241">
        <v>0</v>
      </c>
      <c r="O241">
        <v>0</v>
      </c>
      <c r="P241">
        <v>10</v>
      </c>
      <c r="Q241">
        <v>0</v>
      </c>
      <c r="R241">
        <v>0</v>
      </c>
      <c r="S241">
        <v>63</v>
      </c>
      <c r="T241">
        <v>11.1</v>
      </c>
      <c r="U241">
        <v>132</v>
      </c>
      <c r="V241" s="19" t="s">
        <v>2254</v>
      </c>
      <c r="W241" s="19" t="s">
        <v>2255</v>
      </c>
      <c r="X241">
        <v>13</v>
      </c>
      <c r="Y241">
        <v>22</v>
      </c>
      <c r="Z241">
        <v>37.1</v>
      </c>
      <c r="AA241">
        <v>18</v>
      </c>
      <c r="AB241">
        <v>22</v>
      </c>
      <c r="AC241">
        <v>11</v>
      </c>
      <c r="AD241">
        <v>31</v>
      </c>
      <c r="AE241" s="19" t="s">
        <v>60</v>
      </c>
    </row>
    <row r="242" spans="1:31" x14ac:dyDescent="0.2">
      <c r="A242">
        <v>237</v>
      </c>
      <c r="B242" s="19" t="s">
        <v>528</v>
      </c>
      <c r="C242">
        <v>24</v>
      </c>
      <c r="D242" s="19" t="s">
        <v>519</v>
      </c>
      <c r="E242" s="19" t="s">
        <v>322</v>
      </c>
      <c r="F242">
        <v>33</v>
      </c>
      <c r="G242">
        <v>8</v>
      </c>
      <c r="H242">
        <v>9</v>
      </c>
      <c r="I242">
        <v>17</v>
      </c>
      <c r="J242">
        <v>-11</v>
      </c>
      <c r="K242">
        <v>11</v>
      </c>
      <c r="L242">
        <v>7</v>
      </c>
      <c r="M242">
        <v>1</v>
      </c>
      <c r="N242">
        <v>0</v>
      </c>
      <c r="O242">
        <v>1</v>
      </c>
      <c r="P242">
        <v>7</v>
      </c>
      <c r="Q242">
        <v>2</v>
      </c>
      <c r="R242">
        <v>0</v>
      </c>
      <c r="S242">
        <v>76</v>
      </c>
      <c r="T242">
        <v>10.5</v>
      </c>
      <c r="U242">
        <v>147</v>
      </c>
      <c r="V242" s="19" t="s">
        <v>1674</v>
      </c>
      <c r="W242" s="19" t="s">
        <v>1637</v>
      </c>
      <c r="X242">
        <v>11</v>
      </c>
      <c r="Y242">
        <v>10</v>
      </c>
      <c r="Z242">
        <v>52.4</v>
      </c>
      <c r="AA242">
        <v>26</v>
      </c>
      <c r="AB242">
        <v>91</v>
      </c>
      <c r="AC242">
        <v>4</v>
      </c>
      <c r="AD242">
        <v>20</v>
      </c>
      <c r="AE242" s="19" t="s">
        <v>60</v>
      </c>
    </row>
    <row r="243" spans="1:31" x14ac:dyDescent="0.2">
      <c r="A243">
        <v>238</v>
      </c>
      <c r="B243" s="19" t="s">
        <v>724</v>
      </c>
      <c r="C243">
        <v>32</v>
      </c>
      <c r="D243" s="19" t="s">
        <v>380</v>
      </c>
      <c r="E243" s="19" t="s">
        <v>322</v>
      </c>
      <c r="F243">
        <v>25</v>
      </c>
      <c r="G243">
        <v>6</v>
      </c>
      <c r="H243">
        <v>11</v>
      </c>
      <c r="I243">
        <v>17</v>
      </c>
      <c r="J243">
        <v>-2</v>
      </c>
      <c r="K243">
        <v>15</v>
      </c>
      <c r="L243">
        <v>5</v>
      </c>
      <c r="M243">
        <v>1</v>
      </c>
      <c r="N243">
        <v>0</v>
      </c>
      <c r="O243">
        <v>1</v>
      </c>
      <c r="P243">
        <v>8</v>
      </c>
      <c r="Q243">
        <v>2</v>
      </c>
      <c r="R243">
        <v>1</v>
      </c>
      <c r="S243">
        <v>58</v>
      </c>
      <c r="T243">
        <v>10.3</v>
      </c>
      <c r="U243">
        <v>112</v>
      </c>
      <c r="V243" s="19" t="s">
        <v>2256</v>
      </c>
      <c r="W243" s="19" t="s">
        <v>975</v>
      </c>
      <c r="X243">
        <v>70</v>
      </c>
      <c r="Y243">
        <v>55</v>
      </c>
      <c r="Z243">
        <v>56</v>
      </c>
      <c r="AA243">
        <v>27</v>
      </c>
      <c r="AB243">
        <v>56</v>
      </c>
      <c r="AC243">
        <v>4</v>
      </c>
      <c r="AD243">
        <v>19</v>
      </c>
      <c r="AE243" s="19" t="s">
        <v>60</v>
      </c>
    </row>
    <row r="244" spans="1:31" x14ac:dyDescent="0.2">
      <c r="A244">
        <v>239</v>
      </c>
      <c r="B244" s="19" t="s">
        <v>549</v>
      </c>
      <c r="C244">
        <v>27</v>
      </c>
      <c r="D244" s="19" t="s">
        <v>519</v>
      </c>
      <c r="E244" s="19" t="s">
        <v>322</v>
      </c>
      <c r="F244">
        <v>31</v>
      </c>
      <c r="G244">
        <v>8</v>
      </c>
      <c r="H244">
        <v>9</v>
      </c>
      <c r="I244">
        <v>17</v>
      </c>
      <c r="J244">
        <v>-10</v>
      </c>
      <c r="K244">
        <v>0</v>
      </c>
      <c r="L244">
        <v>7</v>
      </c>
      <c r="M244">
        <v>1</v>
      </c>
      <c r="N244">
        <v>0</v>
      </c>
      <c r="O244">
        <v>0</v>
      </c>
      <c r="P244">
        <v>6</v>
      </c>
      <c r="Q244">
        <v>3</v>
      </c>
      <c r="R244">
        <v>0</v>
      </c>
      <c r="S244">
        <v>75</v>
      </c>
      <c r="T244">
        <v>10.7</v>
      </c>
      <c r="U244">
        <v>160</v>
      </c>
      <c r="V244" s="19" t="s">
        <v>2257</v>
      </c>
      <c r="W244" s="19" t="s">
        <v>1784</v>
      </c>
      <c r="X244">
        <v>2</v>
      </c>
      <c r="Y244">
        <v>2</v>
      </c>
      <c r="Z244">
        <v>50</v>
      </c>
      <c r="AA244">
        <v>14</v>
      </c>
      <c r="AB244">
        <v>6</v>
      </c>
      <c r="AC244">
        <v>10</v>
      </c>
      <c r="AD244">
        <v>15</v>
      </c>
      <c r="AE244" s="19" t="s">
        <v>60</v>
      </c>
    </row>
    <row r="245" spans="1:31" x14ac:dyDescent="0.2">
      <c r="A245">
        <v>240</v>
      </c>
      <c r="B245" s="19" t="s">
        <v>728</v>
      </c>
      <c r="C245">
        <v>31</v>
      </c>
      <c r="D245" s="19" t="s">
        <v>333</v>
      </c>
      <c r="E245" s="19" t="s">
        <v>348</v>
      </c>
      <c r="F245">
        <v>41</v>
      </c>
      <c r="G245">
        <v>4</v>
      </c>
      <c r="H245">
        <v>13</v>
      </c>
      <c r="I245">
        <v>17</v>
      </c>
      <c r="J245">
        <v>18</v>
      </c>
      <c r="K245">
        <v>8</v>
      </c>
      <c r="L245">
        <v>4</v>
      </c>
      <c r="M245">
        <v>0</v>
      </c>
      <c r="N245">
        <v>0</v>
      </c>
      <c r="O245">
        <v>0</v>
      </c>
      <c r="P245">
        <v>12</v>
      </c>
      <c r="Q245">
        <v>0</v>
      </c>
      <c r="R245">
        <v>1</v>
      </c>
      <c r="S245">
        <v>40</v>
      </c>
      <c r="T245">
        <v>10</v>
      </c>
      <c r="U245">
        <v>94</v>
      </c>
      <c r="V245" s="19" t="s">
        <v>2258</v>
      </c>
      <c r="W245" s="19" t="s">
        <v>2259</v>
      </c>
      <c r="X245">
        <v>0</v>
      </c>
      <c r="Y245">
        <v>0</v>
      </c>
      <c r="AA245">
        <v>89</v>
      </c>
      <c r="AB245">
        <v>19</v>
      </c>
      <c r="AC245">
        <v>19</v>
      </c>
      <c r="AD245">
        <v>67</v>
      </c>
      <c r="AE245" s="19" t="s">
        <v>60</v>
      </c>
    </row>
    <row r="246" spans="1:31" x14ac:dyDescent="0.2">
      <c r="A246">
        <v>241</v>
      </c>
      <c r="B246" s="19" t="s">
        <v>601</v>
      </c>
      <c r="C246">
        <v>28</v>
      </c>
      <c r="D246" s="19" t="s">
        <v>406</v>
      </c>
      <c r="E246" s="19" t="s">
        <v>348</v>
      </c>
      <c r="F246">
        <v>41</v>
      </c>
      <c r="G246">
        <v>2</v>
      </c>
      <c r="H246">
        <v>15</v>
      </c>
      <c r="I246">
        <v>17</v>
      </c>
      <c r="J246">
        <v>19</v>
      </c>
      <c r="K246">
        <v>8</v>
      </c>
      <c r="L246">
        <v>1</v>
      </c>
      <c r="M246">
        <v>0</v>
      </c>
      <c r="N246">
        <v>1</v>
      </c>
      <c r="O246">
        <v>0</v>
      </c>
      <c r="P246">
        <v>15</v>
      </c>
      <c r="Q246">
        <v>0</v>
      </c>
      <c r="R246">
        <v>0</v>
      </c>
      <c r="S246">
        <v>33</v>
      </c>
      <c r="T246">
        <v>6.1</v>
      </c>
      <c r="U246">
        <v>100</v>
      </c>
      <c r="V246" s="19" t="s">
        <v>2260</v>
      </c>
      <c r="W246" s="19" t="s">
        <v>428</v>
      </c>
      <c r="X246">
        <v>0</v>
      </c>
      <c r="Y246">
        <v>0</v>
      </c>
      <c r="AA246">
        <v>39</v>
      </c>
      <c r="AB246">
        <v>11</v>
      </c>
      <c r="AC246">
        <v>9</v>
      </c>
      <c r="AD246">
        <v>55</v>
      </c>
      <c r="AE246" s="19" t="s">
        <v>60</v>
      </c>
    </row>
    <row r="247" spans="1:31" x14ac:dyDescent="0.2">
      <c r="A247">
        <v>242</v>
      </c>
      <c r="B247" s="19" t="s">
        <v>659</v>
      </c>
      <c r="C247">
        <v>21</v>
      </c>
      <c r="D247" s="19" t="s">
        <v>380</v>
      </c>
      <c r="E247" s="19" t="s">
        <v>348</v>
      </c>
      <c r="F247">
        <v>38</v>
      </c>
      <c r="G247">
        <v>7</v>
      </c>
      <c r="H247">
        <v>10</v>
      </c>
      <c r="I247">
        <v>17</v>
      </c>
      <c r="J247">
        <v>0</v>
      </c>
      <c r="K247">
        <v>2</v>
      </c>
      <c r="L247">
        <v>6</v>
      </c>
      <c r="M247">
        <v>1</v>
      </c>
      <c r="N247">
        <v>0</v>
      </c>
      <c r="O247">
        <v>0</v>
      </c>
      <c r="P247">
        <v>9</v>
      </c>
      <c r="Q247">
        <v>1</v>
      </c>
      <c r="R247">
        <v>0</v>
      </c>
      <c r="S247">
        <v>45</v>
      </c>
      <c r="T247">
        <v>15.6</v>
      </c>
      <c r="U247">
        <v>109</v>
      </c>
      <c r="V247" s="19" t="s">
        <v>2261</v>
      </c>
      <c r="W247" s="19" t="s">
        <v>1582</v>
      </c>
      <c r="X247">
        <v>0</v>
      </c>
      <c r="Y247">
        <v>0</v>
      </c>
      <c r="AA247">
        <v>57</v>
      </c>
      <c r="AB247">
        <v>19</v>
      </c>
      <c r="AC247">
        <v>11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664</v>
      </c>
      <c r="C248">
        <v>23</v>
      </c>
      <c r="D248" s="19" t="s">
        <v>519</v>
      </c>
      <c r="E248" s="19" t="s">
        <v>339</v>
      </c>
      <c r="F248">
        <v>29</v>
      </c>
      <c r="G248">
        <v>10</v>
      </c>
      <c r="H248">
        <v>7</v>
      </c>
      <c r="I248">
        <v>17</v>
      </c>
      <c r="J248">
        <v>-11</v>
      </c>
      <c r="K248">
        <v>18</v>
      </c>
      <c r="L248">
        <v>10</v>
      </c>
      <c r="M248">
        <v>0</v>
      </c>
      <c r="N248">
        <v>0</v>
      </c>
      <c r="O248">
        <v>2</v>
      </c>
      <c r="P248">
        <v>5</v>
      </c>
      <c r="Q248">
        <v>2</v>
      </c>
      <c r="R248">
        <v>0</v>
      </c>
      <c r="S248">
        <v>38</v>
      </c>
      <c r="T248">
        <v>26.3</v>
      </c>
      <c r="U248">
        <v>76</v>
      </c>
      <c r="V248" s="19" t="s">
        <v>2262</v>
      </c>
      <c r="W248" s="19" t="s">
        <v>2263</v>
      </c>
      <c r="X248">
        <v>2</v>
      </c>
      <c r="Y248">
        <v>4</v>
      </c>
      <c r="Z248">
        <v>33.299999999999997</v>
      </c>
      <c r="AA248">
        <v>14</v>
      </c>
      <c r="AB248">
        <v>79</v>
      </c>
      <c r="AC248">
        <v>4</v>
      </c>
      <c r="AD248">
        <v>19</v>
      </c>
      <c r="AE248" s="19" t="s">
        <v>60</v>
      </c>
    </row>
    <row r="249" spans="1:31" x14ac:dyDescent="0.2">
      <c r="A249">
        <v>244</v>
      </c>
      <c r="B249" s="19" t="s">
        <v>608</v>
      </c>
      <c r="C249">
        <v>31</v>
      </c>
      <c r="D249" s="19" t="s">
        <v>383</v>
      </c>
      <c r="E249" s="19" t="s">
        <v>348</v>
      </c>
      <c r="F249">
        <v>41</v>
      </c>
      <c r="G249">
        <v>1</v>
      </c>
      <c r="H249">
        <v>16</v>
      </c>
      <c r="I249">
        <v>17</v>
      </c>
      <c r="J249">
        <v>8</v>
      </c>
      <c r="K249">
        <v>2</v>
      </c>
      <c r="L249">
        <v>1</v>
      </c>
      <c r="M249">
        <v>0</v>
      </c>
      <c r="N249">
        <v>0</v>
      </c>
      <c r="O249">
        <v>0</v>
      </c>
      <c r="P249">
        <v>14</v>
      </c>
      <c r="Q249">
        <v>1</v>
      </c>
      <c r="R249">
        <v>1</v>
      </c>
      <c r="S249">
        <v>52</v>
      </c>
      <c r="T249">
        <v>1.9</v>
      </c>
      <c r="U249">
        <v>121</v>
      </c>
      <c r="V249" s="19" t="s">
        <v>2264</v>
      </c>
      <c r="W249" s="19" t="s">
        <v>1876</v>
      </c>
      <c r="X249">
        <v>0</v>
      </c>
      <c r="Y249">
        <v>0</v>
      </c>
      <c r="AA249">
        <v>76</v>
      </c>
      <c r="AB249">
        <v>31</v>
      </c>
      <c r="AC249">
        <v>16</v>
      </c>
      <c r="AD249">
        <v>51</v>
      </c>
      <c r="AE249" s="19" t="s">
        <v>60</v>
      </c>
    </row>
    <row r="250" spans="1:31" x14ac:dyDescent="0.2">
      <c r="A250">
        <v>245</v>
      </c>
      <c r="B250" s="19" t="s">
        <v>698</v>
      </c>
      <c r="C250">
        <v>29</v>
      </c>
      <c r="D250" s="19" t="s">
        <v>408</v>
      </c>
      <c r="E250" s="19" t="s">
        <v>348</v>
      </c>
      <c r="F250">
        <v>39</v>
      </c>
      <c r="G250">
        <v>3</v>
      </c>
      <c r="H250">
        <v>14</v>
      </c>
      <c r="I250">
        <v>17</v>
      </c>
      <c r="J250">
        <v>3</v>
      </c>
      <c r="K250">
        <v>12</v>
      </c>
      <c r="L250">
        <v>2</v>
      </c>
      <c r="M250">
        <v>1</v>
      </c>
      <c r="N250">
        <v>0</v>
      </c>
      <c r="O250">
        <v>1</v>
      </c>
      <c r="P250">
        <v>11</v>
      </c>
      <c r="Q250">
        <v>2</v>
      </c>
      <c r="R250">
        <v>1</v>
      </c>
      <c r="S250">
        <v>50</v>
      </c>
      <c r="T250">
        <v>6</v>
      </c>
      <c r="U250">
        <v>135</v>
      </c>
      <c r="V250" s="19" t="s">
        <v>2265</v>
      </c>
      <c r="W250" s="19" t="s">
        <v>2266</v>
      </c>
      <c r="X250">
        <v>0</v>
      </c>
      <c r="Y250">
        <v>0</v>
      </c>
      <c r="AA250">
        <v>72</v>
      </c>
      <c r="AB250">
        <v>25</v>
      </c>
      <c r="AC250">
        <v>17</v>
      </c>
      <c r="AD250">
        <v>53</v>
      </c>
      <c r="AE250" s="19" t="s">
        <v>60</v>
      </c>
    </row>
    <row r="251" spans="1:31" x14ac:dyDescent="0.2">
      <c r="A251">
        <v>246</v>
      </c>
      <c r="B251" s="19" t="s">
        <v>531</v>
      </c>
      <c r="C251">
        <v>34</v>
      </c>
      <c r="D251" s="19" t="s">
        <v>333</v>
      </c>
      <c r="E251" s="19" t="s">
        <v>322</v>
      </c>
      <c r="F251">
        <v>27</v>
      </c>
      <c r="G251">
        <v>7</v>
      </c>
      <c r="H251">
        <v>10</v>
      </c>
      <c r="I251">
        <v>17</v>
      </c>
      <c r="J251">
        <v>10</v>
      </c>
      <c r="K251">
        <v>2</v>
      </c>
      <c r="L251">
        <v>6</v>
      </c>
      <c r="M251">
        <v>1</v>
      </c>
      <c r="N251">
        <v>0</v>
      </c>
      <c r="O251">
        <v>2</v>
      </c>
      <c r="P251">
        <v>7</v>
      </c>
      <c r="Q251">
        <v>3</v>
      </c>
      <c r="R251">
        <v>0</v>
      </c>
      <c r="S251">
        <v>31</v>
      </c>
      <c r="T251">
        <v>22.6</v>
      </c>
      <c r="U251">
        <v>69</v>
      </c>
      <c r="V251" s="19" t="s">
        <v>532</v>
      </c>
      <c r="W251" s="19" t="s">
        <v>533</v>
      </c>
      <c r="X251">
        <v>126</v>
      </c>
      <c r="Y251">
        <v>109</v>
      </c>
      <c r="Z251">
        <v>53.6</v>
      </c>
      <c r="AA251">
        <v>6</v>
      </c>
      <c r="AB251">
        <v>18</v>
      </c>
      <c r="AC251">
        <v>3</v>
      </c>
      <c r="AD251">
        <v>21</v>
      </c>
      <c r="AE251" s="19" t="s">
        <v>60</v>
      </c>
    </row>
    <row r="252" spans="1:31" x14ac:dyDescent="0.2">
      <c r="A252">
        <v>247</v>
      </c>
      <c r="B252" s="19" t="s">
        <v>613</v>
      </c>
      <c r="C252">
        <v>31</v>
      </c>
      <c r="D252" s="19" t="s">
        <v>336</v>
      </c>
      <c r="E252" s="19" t="s">
        <v>348</v>
      </c>
      <c r="F252">
        <v>40</v>
      </c>
      <c r="G252">
        <v>6</v>
      </c>
      <c r="H252">
        <v>11</v>
      </c>
      <c r="I252">
        <v>17</v>
      </c>
      <c r="J252">
        <v>9</v>
      </c>
      <c r="K252">
        <v>8</v>
      </c>
      <c r="L252">
        <v>6</v>
      </c>
      <c r="M252">
        <v>0</v>
      </c>
      <c r="N252">
        <v>0</v>
      </c>
      <c r="O252">
        <v>1</v>
      </c>
      <c r="P252">
        <v>10</v>
      </c>
      <c r="Q252">
        <v>0</v>
      </c>
      <c r="R252">
        <v>1</v>
      </c>
      <c r="S252">
        <v>74</v>
      </c>
      <c r="T252">
        <v>8.1</v>
      </c>
      <c r="U252">
        <v>158</v>
      </c>
      <c r="V252" s="19" t="s">
        <v>2267</v>
      </c>
      <c r="W252" s="19" t="s">
        <v>2268</v>
      </c>
      <c r="X252">
        <v>0</v>
      </c>
      <c r="Y252">
        <v>0</v>
      </c>
      <c r="AA252">
        <v>70</v>
      </c>
      <c r="AB252">
        <v>81</v>
      </c>
      <c r="AC252">
        <v>12</v>
      </c>
      <c r="AD252">
        <v>45</v>
      </c>
      <c r="AE252" s="19" t="s">
        <v>60</v>
      </c>
    </row>
    <row r="253" spans="1:31" x14ac:dyDescent="0.2">
      <c r="A253">
        <v>248</v>
      </c>
      <c r="B253" s="19" t="s">
        <v>681</v>
      </c>
      <c r="C253">
        <v>38</v>
      </c>
      <c r="D253" s="19" t="s">
        <v>357</v>
      </c>
      <c r="E253" s="19" t="s">
        <v>339</v>
      </c>
      <c r="F253">
        <v>21</v>
      </c>
      <c r="G253">
        <v>4</v>
      </c>
      <c r="H253">
        <v>13</v>
      </c>
      <c r="I253">
        <v>17</v>
      </c>
      <c r="J253">
        <v>-3</v>
      </c>
      <c r="K253">
        <v>6</v>
      </c>
      <c r="L253">
        <v>2</v>
      </c>
      <c r="M253">
        <v>2</v>
      </c>
      <c r="N253">
        <v>0</v>
      </c>
      <c r="O253">
        <v>0</v>
      </c>
      <c r="P253">
        <v>10</v>
      </c>
      <c r="Q253">
        <v>3</v>
      </c>
      <c r="R253">
        <v>0</v>
      </c>
      <c r="S253">
        <v>39</v>
      </c>
      <c r="T253">
        <v>10.3</v>
      </c>
      <c r="U253">
        <v>80</v>
      </c>
      <c r="V253" s="19" t="s">
        <v>2269</v>
      </c>
      <c r="W253" s="19" t="s">
        <v>1839</v>
      </c>
      <c r="X253">
        <v>8</v>
      </c>
      <c r="Y253">
        <v>8</v>
      </c>
      <c r="Z253">
        <v>50</v>
      </c>
      <c r="AA253">
        <v>8</v>
      </c>
      <c r="AB253">
        <v>9</v>
      </c>
      <c r="AC253">
        <v>4</v>
      </c>
      <c r="AD253">
        <v>23</v>
      </c>
      <c r="AE253" s="19" t="s">
        <v>60</v>
      </c>
    </row>
    <row r="254" spans="1:31" x14ac:dyDescent="0.2">
      <c r="A254">
        <v>249</v>
      </c>
      <c r="B254" s="19" t="s">
        <v>618</v>
      </c>
      <c r="C254">
        <v>20</v>
      </c>
      <c r="D254" s="19" t="s">
        <v>984</v>
      </c>
      <c r="E254" s="19" t="s">
        <v>348</v>
      </c>
      <c r="F254">
        <v>39</v>
      </c>
      <c r="G254">
        <v>4</v>
      </c>
      <c r="H254">
        <v>13</v>
      </c>
      <c r="I254">
        <v>17</v>
      </c>
      <c r="J254">
        <v>-12</v>
      </c>
      <c r="K254">
        <v>12</v>
      </c>
      <c r="L254">
        <v>1</v>
      </c>
      <c r="M254">
        <v>3</v>
      </c>
      <c r="N254">
        <v>0</v>
      </c>
      <c r="O254">
        <v>1</v>
      </c>
      <c r="P254">
        <v>6</v>
      </c>
      <c r="Q254">
        <v>7</v>
      </c>
      <c r="R254">
        <v>0</v>
      </c>
      <c r="S254">
        <v>36</v>
      </c>
      <c r="T254">
        <v>11.1</v>
      </c>
      <c r="U254">
        <v>105</v>
      </c>
      <c r="V254" s="19" t="s">
        <v>2270</v>
      </c>
      <c r="W254" s="19" t="s">
        <v>716</v>
      </c>
      <c r="X254">
        <v>0</v>
      </c>
      <c r="Y254">
        <v>0</v>
      </c>
      <c r="AA254">
        <v>22</v>
      </c>
      <c r="AB254">
        <v>12</v>
      </c>
      <c r="AC254">
        <v>8</v>
      </c>
      <c r="AD254">
        <v>36</v>
      </c>
      <c r="AE254" s="19" t="s">
        <v>60</v>
      </c>
    </row>
    <row r="255" spans="1:31" x14ac:dyDescent="0.2">
      <c r="A255">
        <v>249</v>
      </c>
      <c r="B255" s="19" t="s">
        <v>618</v>
      </c>
      <c r="C255">
        <v>20</v>
      </c>
      <c r="D255" s="19" t="s">
        <v>357</v>
      </c>
      <c r="E255" s="19" t="s">
        <v>348</v>
      </c>
      <c r="F255">
        <v>31</v>
      </c>
      <c r="G255">
        <v>3</v>
      </c>
      <c r="H255">
        <v>11</v>
      </c>
      <c r="I255">
        <v>14</v>
      </c>
      <c r="J255">
        <v>-9</v>
      </c>
      <c r="K255">
        <v>8</v>
      </c>
      <c r="L255">
        <v>1</v>
      </c>
      <c r="M255">
        <v>2</v>
      </c>
      <c r="N255">
        <v>0</v>
      </c>
      <c r="O255">
        <v>0</v>
      </c>
      <c r="P255">
        <v>5</v>
      </c>
      <c r="Q255">
        <v>6</v>
      </c>
      <c r="R255">
        <v>0</v>
      </c>
      <c r="S255">
        <v>31</v>
      </c>
      <c r="T255">
        <v>9.6999999999999993</v>
      </c>
      <c r="U255">
        <v>84</v>
      </c>
      <c r="V255" s="19" t="s">
        <v>1644</v>
      </c>
      <c r="W255" s="19" t="s">
        <v>1639</v>
      </c>
      <c r="X255">
        <v>0</v>
      </c>
      <c r="Y255">
        <v>0</v>
      </c>
      <c r="AA255">
        <v>15</v>
      </c>
      <c r="AB255">
        <v>9</v>
      </c>
      <c r="AC255">
        <v>5</v>
      </c>
      <c r="AD255">
        <v>32</v>
      </c>
      <c r="AE255" s="19" t="s">
        <v>60</v>
      </c>
    </row>
    <row r="256" spans="1:31" x14ac:dyDescent="0.2">
      <c r="A256">
        <v>249</v>
      </c>
      <c r="B256" s="19" t="s">
        <v>618</v>
      </c>
      <c r="C256">
        <v>20</v>
      </c>
      <c r="D256" s="19" t="s">
        <v>451</v>
      </c>
      <c r="E256" s="19" t="s">
        <v>348</v>
      </c>
      <c r="F256">
        <v>8</v>
      </c>
      <c r="G256">
        <v>1</v>
      </c>
      <c r="H256">
        <v>2</v>
      </c>
      <c r="I256">
        <v>3</v>
      </c>
      <c r="J256">
        <v>-3</v>
      </c>
      <c r="K256">
        <v>4</v>
      </c>
      <c r="L256">
        <v>0</v>
      </c>
      <c r="M256">
        <v>1</v>
      </c>
      <c r="N256">
        <v>0</v>
      </c>
      <c r="O256">
        <v>1</v>
      </c>
      <c r="P256">
        <v>1</v>
      </c>
      <c r="Q256">
        <v>1</v>
      </c>
      <c r="R256">
        <v>0</v>
      </c>
      <c r="S256">
        <v>5</v>
      </c>
      <c r="T256">
        <v>20</v>
      </c>
      <c r="U256">
        <v>21</v>
      </c>
      <c r="V256" s="19" t="s">
        <v>2271</v>
      </c>
      <c r="W256" s="19" t="s">
        <v>1981</v>
      </c>
      <c r="X256">
        <v>0</v>
      </c>
      <c r="Y256">
        <v>0</v>
      </c>
      <c r="AA256">
        <v>7</v>
      </c>
      <c r="AB256">
        <v>3</v>
      </c>
      <c r="AC256">
        <v>3</v>
      </c>
      <c r="AD256">
        <v>4</v>
      </c>
      <c r="AE256" s="19" t="s">
        <v>60</v>
      </c>
    </row>
    <row r="257" spans="1:31" x14ac:dyDescent="0.2">
      <c r="A257">
        <v>250</v>
      </c>
      <c r="B257" s="19" t="s">
        <v>682</v>
      </c>
      <c r="C257">
        <v>29</v>
      </c>
      <c r="D257" s="19" t="s">
        <v>418</v>
      </c>
      <c r="E257" s="19" t="s">
        <v>322</v>
      </c>
      <c r="F257">
        <v>39</v>
      </c>
      <c r="G257">
        <v>7</v>
      </c>
      <c r="H257">
        <v>9</v>
      </c>
      <c r="I257">
        <v>16</v>
      </c>
      <c r="J257">
        <v>5</v>
      </c>
      <c r="K257">
        <v>10</v>
      </c>
      <c r="L257">
        <v>7</v>
      </c>
      <c r="M257">
        <v>0</v>
      </c>
      <c r="N257">
        <v>0</v>
      </c>
      <c r="O257">
        <v>1</v>
      </c>
      <c r="P257">
        <v>9</v>
      </c>
      <c r="Q257">
        <v>0</v>
      </c>
      <c r="R257">
        <v>0</v>
      </c>
      <c r="S257">
        <v>55</v>
      </c>
      <c r="T257">
        <v>12.7</v>
      </c>
      <c r="U257">
        <v>100</v>
      </c>
      <c r="V257" s="19" t="s">
        <v>2272</v>
      </c>
      <c r="W257" s="19" t="s">
        <v>1219</v>
      </c>
      <c r="X257">
        <v>3</v>
      </c>
      <c r="Y257">
        <v>6</v>
      </c>
      <c r="Z257">
        <v>33.299999999999997</v>
      </c>
      <c r="AA257">
        <v>23</v>
      </c>
      <c r="AB257">
        <v>57</v>
      </c>
      <c r="AC257">
        <v>14</v>
      </c>
      <c r="AD257">
        <v>29</v>
      </c>
      <c r="AE257" s="19" t="s">
        <v>60</v>
      </c>
    </row>
    <row r="258" spans="1:31" x14ac:dyDescent="0.2">
      <c r="A258">
        <v>251</v>
      </c>
      <c r="B258" s="19" t="s">
        <v>684</v>
      </c>
      <c r="C258">
        <v>32</v>
      </c>
      <c r="D258" s="19" t="s">
        <v>421</v>
      </c>
      <c r="E258" s="19" t="s">
        <v>334</v>
      </c>
      <c r="F258">
        <v>39</v>
      </c>
      <c r="G258">
        <v>9</v>
      </c>
      <c r="H258">
        <v>7</v>
      </c>
      <c r="I258">
        <v>16</v>
      </c>
      <c r="J258">
        <v>5</v>
      </c>
      <c r="K258">
        <v>20</v>
      </c>
      <c r="L258">
        <v>4</v>
      </c>
      <c r="M258">
        <v>1</v>
      </c>
      <c r="N258">
        <v>4</v>
      </c>
      <c r="O258">
        <v>0</v>
      </c>
      <c r="P258">
        <v>6</v>
      </c>
      <c r="Q258">
        <v>0</v>
      </c>
      <c r="R258">
        <v>1</v>
      </c>
      <c r="S258">
        <v>50</v>
      </c>
      <c r="T258">
        <v>18</v>
      </c>
      <c r="U258">
        <v>107</v>
      </c>
      <c r="V258" s="19" t="s">
        <v>2273</v>
      </c>
      <c r="W258" s="19" t="s">
        <v>1842</v>
      </c>
      <c r="X258">
        <v>10</v>
      </c>
      <c r="Y258">
        <v>18</v>
      </c>
      <c r="Z258">
        <v>35.700000000000003</v>
      </c>
      <c r="AA258">
        <v>22</v>
      </c>
      <c r="AB258">
        <v>35</v>
      </c>
      <c r="AC258">
        <v>22</v>
      </c>
      <c r="AD258">
        <v>28</v>
      </c>
      <c r="AE258" s="19" t="s">
        <v>60</v>
      </c>
    </row>
    <row r="259" spans="1:31" x14ac:dyDescent="0.2">
      <c r="A259">
        <v>252</v>
      </c>
      <c r="B259" s="19" t="s">
        <v>803</v>
      </c>
      <c r="C259">
        <v>31</v>
      </c>
      <c r="D259" s="19" t="s">
        <v>357</v>
      </c>
      <c r="E259" s="19" t="s">
        <v>334</v>
      </c>
      <c r="F259">
        <v>37</v>
      </c>
      <c r="G259">
        <v>9</v>
      </c>
      <c r="H259">
        <v>7</v>
      </c>
      <c r="I259">
        <v>16</v>
      </c>
      <c r="J259">
        <v>-1</v>
      </c>
      <c r="K259">
        <v>17</v>
      </c>
      <c r="L259">
        <v>5</v>
      </c>
      <c r="M259">
        <v>4</v>
      </c>
      <c r="N259">
        <v>0</v>
      </c>
      <c r="O259">
        <v>3</v>
      </c>
      <c r="P259">
        <v>7</v>
      </c>
      <c r="Q259">
        <v>0</v>
      </c>
      <c r="R259">
        <v>0</v>
      </c>
      <c r="S259">
        <v>74</v>
      </c>
      <c r="T259">
        <v>12.2</v>
      </c>
      <c r="U259">
        <v>162</v>
      </c>
      <c r="V259" s="19" t="s">
        <v>2274</v>
      </c>
      <c r="W259" s="19" t="s">
        <v>1823</v>
      </c>
      <c r="X259">
        <v>194</v>
      </c>
      <c r="Y259">
        <v>261</v>
      </c>
      <c r="Z259">
        <v>42.6</v>
      </c>
      <c r="AA259">
        <v>43</v>
      </c>
      <c r="AB259">
        <v>38</v>
      </c>
      <c r="AC259">
        <v>13</v>
      </c>
      <c r="AD259">
        <v>26</v>
      </c>
      <c r="AE259" s="19" t="s">
        <v>60</v>
      </c>
    </row>
    <row r="260" spans="1:31" x14ac:dyDescent="0.2">
      <c r="A260">
        <v>253</v>
      </c>
      <c r="B260" s="19" t="s">
        <v>726</v>
      </c>
      <c r="C260">
        <v>26</v>
      </c>
      <c r="D260" s="19" t="s">
        <v>451</v>
      </c>
      <c r="E260" s="19" t="s">
        <v>322</v>
      </c>
      <c r="F260">
        <v>36</v>
      </c>
      <c r="G260">
        <v>9</v>
      </c>
      <c r="H260">
        <v>7</v>
      </c>
      <c r="I260">
        <v>16</v>
      </c>
      <c r="J260">
        <v>-6</v>
      </c>
      <c r="K260">
        <v>24</v>
      </c>
      <c r="L260">
        <v>7</v>
      </c>
      <c r="M260">
        <v>2</v>
      </c>
      <c r="N260">
        <v>0</v>
      </c>
      <c r="O260">
        <v>1</v>
      </c>
      <c r="P260">
        <v>7</v>
      </c>
      <c r="Q260">
        <v>0</v>
      </c>
      <c r="R260">
        <v>0</v>
      </c>
      <c r="S260">
        <v>51</v>
      </c>
      <c r="T260">
        <v>17.600000000000001</v>
      </c>
      <c r="U260">
        <v>94</v>
      </c>
      <c r="V260" s="19" t="s">
        <v>2275</v>
      </c>
      <c r="W260" s="19" t="s">
        <v>1492</v>
      </c>
      <c r="X260">
        <v>10</v>
      </c>
      <c r="Y260">
        <v>20</v>
      </c>
      <c r="Z260">
        <v>33.299999999999997</v>
      </c>
      <c r="AA260">
        <v>7</v>
      </c>
      <c r="AB260">
        <v>50</v>
      </c>
      <c r="AC260">
        <v>9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775</v>
      </c>
      <c r="C261">
        <v>33</v>
      </c>
      <c r="D261" s="19" t="s">
        <v>324</v>
      </c>
      <c r="E261" s="19" t="s">
        <v>348</v>
      </c>
      <c r="F261">
        <v>31</v>
      </c>
      <c r="G261">
        <v>9</v>
      </c>
      <c r="H261">
        <v>7</v>
      </c>
      <c r="I261">
        <v>16</v>
      </c>
      <c r="J261">
        <v>1</v>
      </c>
      <c r="K261">
        <v>16</v>
      </c>
      <c r="L261">
        <v>5</v>
      </c>
      <c r="M261">
        <v>4</v>
      </c>
      <c r="N261">
        <v>0</v>
      </c>
      <c r="O261">
        <v>2</v>
      </c>
      <c r="P261">
        <v>4</v>
      </c>
      <c r="Q261">
        <v>3</v>
      </c>
      <c r="R261">
        <v>0</v>
      </c>
      <c r="S261">
        <v>48</v>
      </c>
      <c r="T261">
        <v>18.8</v>
      </c>
      <c r="U261">
        <v>129</v>
      </c>
      <c r="V261" s="19" t="s">
        <v>2276</v>
      </c>
      <c r="W261" s="19" t="s">
        <v>2277</v>
      </c>
      <c r="X261">
        <v>0</v>
      </c>
      <c r="Y261">
        <v>0</v>
      </c>
      <c r="AA261">
        <v>41</v>
      </c>
      <c r="AB261">
        <v>23</v>
      </c>
      <c r="AC261">
        <v>7</v>
      </c>
      <c r="AD261">
        <v>42</v>
      </c>
      <c r="AE261" s="19" t="s">
        <v>60</v>
      </c>
    </row>
    <row r="262" spans="1:31" x14ac:dyDescent="0.2">
      <c r="A262">
        <v>255</v>
      </c>
      <c r="B262" s="19" t="s">
        <v>694</v>
      </c>
      <c r="C262">
        <v>32</v>
      </c>
      <c r="D262" s="19" t="s">
        <v>359</v>
      </c>
      <c r="E262" s="19" t="s">
        <v>348</v>
      </c>
      <c r="F262">
        <v>40</v>
      </c>
      <c r="G262">
        <v>3</v>
      </c>
      <c r="H262">
        <v>13</v>
      </c>
      <c r="I262">
        <v>16</v>
      </c>
      <c r="J262">
        <v>24</v>
      </c>
      <c r="K262">
        <v>25</v>
      </c>
      <c r="L262">
        <v>3</v>
      </c>
      <c r="M262">
        <v>0</v>
      </c>
      <c r="N262">
        <v>0</v>
      </c>
      <c r="O262">
        <v>0</v>
      </c>
      <c r="P262">
        <v>13</v>
      </c>
      <c r="Q262">
        <v>0</v>
      </c>
      <c r="R262">
        <v>0</v>
      </c>
      <c r="S262">
        <v>27</v>
      </c>
      <c r="T262">
        <v>11.1</v>
      </c>
      <c r="U262">
        <v>78</v>
      </c>
      <c r="V262" s="19" t="s">
        <v>2278</v>
      </c>
      <c r="W262" s="19" t="s">
        <v>2279</v>
      </c>
      <c r="X262">
        <v>0</v>
      </c>
      <c r="Y262">
        <v>0</v>
      </c>
      <c r="AA262">
        <v>103</v>
      </c>
      <c r="AB262">
        <v>57</v>
      </c>
      <c r="AC262">
        <v>12</v>
      </c>
      <c r="AD262">
        <v>52</v>
      </c>
      <c r="AE262" s="19" t="s">
        <v>60</v>
      </c>
    </row>
    <row r="263" spans="1:31" x14ac:dyDescent="0.2">
      <c r="A263">
        <v>256</v>
      </c>
      <c r="B263" s="19" t="s">
        <v>661</v>
      </c>
      <c r="C263">
        <v>27</v>
      </c>
      <c r="D263" s="19" t="s">
        <v>354</v>
      </c>
      <c r="E263" s="19" t="s">
        <v>322</v>
      </c>
      <c r="F263">
        <v>31</v>
      </c>
      <c r="G263">
        <v>9</v>
      </c>
      <c r="H263">
        <v>7</v>
      </c>
      <c r="I263">
        <v>16</v>
      </c>
      <c r="J263">
        <v>-4</v>
      </c>
      <c r="K263">
        <v>2</v>
      </c>
      <c r="L263">
        <v>8</v>
      </c>
      <c r="M263">
        <v>1</v>
      </c>
      <c r="N263">
        <v>0</v>
      </c>
      <c r="O263">
        <v>0</v>
      </c>
      <c r="P263">
        <v>6</v>
      </c>
      <c r="Q263">
        <v>1</v>
      </c>
      <c r="R263">
        <v>0</v>
      </c>
      <c r="S263">
        <v>35</v>
      </c>
      <c r="T263">
        <v>25.7</v>
      </c>
      <c r="U263">
        <v>70</v>
      </c>
      <c r="V263" s="19" t="s">
        <v>2280</v>
      </c>
      <c r="W263" s="19" t="s">
        <v>662</v>
      </c>
      <c r="X263">
        <v>68</v>
      </c>
      <c r="Y263">
        <v>55</v>
      </c>
      <c r="Z263">
        <v>55.3</v>
      </c>
      <c r="AA263">
        <v>12</v>
      </c>
      <c r="AB263">
        <v>6</v>
      </c>
      <c r="AC263">
        <v>4</v>
      </c>
      <c r="AD263">
        <v>35</v>
      </c>
      <c r="AE263" s="19" t="s">
        <v>60</v>
      </c>
    </row>
    <row r="264" spans="1:31" x14ac:dyDescent="0.2">
      <c r="A264">
        <v>257</v>
      </c>
      <c r="B264" s="19" t="s">
        <v>574</v>
      </c>
      <c r="C264">
        <v>31</v>
      </c>
      <c r="D264" s="19" t="s">
        <v>536</v>
      </c>
      <c r="E264" s="19" t="s">
        <v>348</v>
      </c>
      <c r="F264">
        <v>27</v>
      </c>
      <c r="G264">
        <v>6</v>
      </c>
      <c r="H264">
        <v>10</v>
      </c>
      <c r="I264">
        <v>16</v>
      </c>
      <c r="J264">
        <v>-4</v>
      </c>
      <c r="K264">
        <v>21</v>
      </c>
      <c r="L264">
        <v>5</v>
      </c>
      <c r="M264">
        <v>1</v>
      </c>
      <c r="N264">
        <v>0</v>
      </c>
      <c r="O264">
        <v>1</v>
      </c>
      <c r="P264">
        <v>7</v>
      </c>
      <c r="Q264">
        <v>3</v>
      </c>
      <c r="R264">
        <v>0</v>
      </c>
      <c r="S264">
        <v>68</v>
      </c>
      <c r="T264">
        <v>8.8000000000000007</v>
      </c>
      <c r="U264">
        <v>164</v>
      </c>
      <c r="V264" s="19" t="s">
        <v>1710</v>
      </c>
      <c r="W264" s="19" t="s">
        <v>793</v>
      </c>
      <c r="X264">
        <v>0</v>
      </c>
      <c r="Y264">
        <v>0</v>
      </c>
      <c r="AA264">
        <v>35</v>
      </c>
      <c r="AB264">
        <v>34</v>
      </c>
      <c r="AC264">
        <v>14</v>
      </c>
      <c r="AD264">
        <v>37</v>
      </c>
      <c r="AE264" s="19" t="s">
        <v>60</v>
      </c>
    </row>
    <row r="265" spans="1:31" x14ac:dyDescent="0.2">
      <c r="A265">
        <v>258</v>
      </c>
      <c r="B265" s="19" t="s">
        <v>779</v>
      </c>
      <c r="C265">
        <v>24</v>
      </c>
      <c r="D265" s="19" t="s">
        <v>398</v>
      </c>
      <c r="E265" s="19" t="s">
        <v>348</v>
      </c>
      <c r="F265">
        <v>39</v>
      </c>
      <c r="G265">
        <v>5</v>
      </c>
      <c r="H265">
        <v>11</v>
      </c>
      <c r="I265">
        <v>16</v>
      </c>
      <c r="J265">
        <v>11</v>
      </c>
      <c r="K265">
        <v>14</v>
      </c>
      <c r="L265">
        <v>4</v>
      </c>
      <c r="M265">
        <v>1</v>
      </c>
      <c r="N265">
        <v>0</v>
      </c>
      <c r="O265">
        <v>0</v>
      </c>
      <c r="P265">
        <v>8</v>
      </c>
      <c r="Q265">
        <v>3</v>
      </c>
      <c r="R265">
        <v>0</v>
      </c>
      <c r="S265">
        <v>64</v>
      </c>
      <c r="T265">
        <v>7.8</v>
      </c>
      <c r="U265">
        <v>163</v>
      </c>
      <c r="V265" s="19" t="s">
        <v>2281</v>
      </c>
      <c r="W265" s="19" t="s">
        <v>928</v>
      </c>
      <c r="X265">
        <v>0</v>
      </c>
      <c r="Y265">
        <v>0</v>
      </c>
      <c r="AA265">
        <v>50</v>
      </c>
      <c r="AB265">
        <v>77</v>
      </c>
      <c r="AC265">
        <v>13</v>
      </c>
      <c r="AD265">
        <v>48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27</v>
      </c>
      <c r="D266" s="19" t="s">
        <v>451</v>
      </c>
      <c r="E266" s="19" t="s">
        <v>325</v>
      </c>
      <c r="F266">
        <v>39</v>
      </c>
      <c r="G266">
        <v>10</v>
      </c>
      <c r="H266">
        <v>6</v>
      </c>
      <c r="I266">
        <v>16</v>
      </c>
      <c r="J266">
        <v>2</v>
      </c>
      <c r="K266">
        <v>18</v>
      </c>
      <c r="L266">
        <v>8</v>
      </c>
      <c r="M266">
        <v>0</v>
      </c>
      <c r="N266">
        <v>2</v>
      </c>
      <c r="O266">
        <v>1</v>
      </c>
      <c r="P266">
        <v>6</v>
      </c>
      <c r="Q266">
        <v>0</v>
      </c>
      <c r="R266">
        <v>0</v>
      </c>
      <c r="S266">
        <v>48</v>
      </c>
      <c r="T266">
        <v>20.8</v>
      </c>
      <c r="U266">
        <v>104</v>
      </c>
      <c r="V266" s="19" t="s">
        <v>2282</v>
      </c>
      <c r="W266" s="19" t="s">
        <v>1605</v>
      </c>
      <c r="X266">
        <v>42</v>
      </c>
      <c r="Y266">
        <v>36</v>
      </c>
      <c r="Z266">
        <v>53.8</v>
      </c>
      <c r="AA266">
        <v>17</v>
      </c>
      <c r="AB266">
        <v>31</v>
      </c>
      <c r="AC266">
        <v>4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671</v>
      </c>
      <c r="C267">
        <v>24</v>
      </c>
      <c r="D267" s="19" t="s">
        <v>327</v>
      </c>
      <c r="E267" s="19" t="s">
        <v>334</v>
      </c>
      <c r="F267">
        <v>41</v>
      </c>
      <c r="G267">
        <v>9</v>
      </c>
      <c r="H267">
        <v>7</v>
      </c>
      <c r="I267">
        <v>16</v>
      </c>
      <c r="J267">
        <v>8</v>
      </c>
      <c r="K267">
        <v>25</v>
      </c>
      <c r="L267">
        <v>9</v>
      </c>
      <c r="M267">
        <v>0</v>
      </c>
      <c r="N267">
        <v>0</v>
      </c>
      <c r="O267">
        <v>4</v>
      </c>
      <c r="P267">
        <v>7</v>
      </c>
      <c r="Q267">
        <v>0</v>
      </c>
      <c r="R267">
        <v>0</v>
      </c>
      <c r="S267">
        <v>62</v>
      </c>
      <c r="T267">
        <v>14.5</v>
      </c>
      <c r="U267">
        <v>102</v>
      </c>
      <c r="V267" s="19" t="s">
        <v>2283</v>
      </c>
      <c r="W267" s="19" t="s">
        <v>546</v>
      </c>
      <c r="X267">
        <v>12</v>
      </c>
      <c r="Y267">
        <v>24</v>
      </c>
      <c r="Z267">
        <v>33.299999999999997</v>
      </c>
      <c r="AA267">
        <v>23</v>
      </c>
      <c r="AB267">
        <v>126</v>
      </c>
      <c r="AC267">
        <v>6</v>
      </c>
      <c r="AD267">
        <v>26</v>
      </c>
      <c r="AE267" s="19" t="s">
        <v>60</v>
      </c>
    </row>
    <row r="268" spans="1:31" x14ac:dyDescent="0.2">
      <c r="A268">
        <v>261</v>
      </c>
      <c r="B268" s="19" t="s">
        <v>634</v>
      </c>
      <c r="C268">
        <v>34</v>
      </c>
      <c r="D268" s="19" t="s">
        <v>519</v>
      </c>
      <c r="E268" s="19" t="s">
        <v>322</v>
      </c>
      <c r="F268">
        <v>41</v>
      </c>
      <c r="G268">
        <v>8</v>
      </c>
      <c r="H268">
        <v>8</v>
      </c>
      <c r="I268">
        <v>16</v>
      </c>
      <c r="J268">
        <v>-20</v>
      </c>
      <c r="K268">
        <v>25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1</v>
      </c>
      <c r="R268">
        <v>0</v>
      </c>
      <c r="S268">
        <v>56</v>
      </c>
      <c r="T268">
        <v>14.3</v>
      </c>
      <c r="U268">
        <v>117</v>
      </c>
      <c r="V268" s="19" t="s">
        <v>2284</v>
      </c>
      <c r="W268" s="19" t="s">
        <v>2285</v>
      </c>
      <c r="X268">
        <v>233</v>
      </c>
      <c r="Y268">
        <v>194</v>
      </c>
      <c r="Z268">
        <v>54.6</v>
      </c>
      <c r="AA268">
        <v>16</v>
      </c>
      <c r="AB268">
        <v>94</v>
      </c>
      <c r="AC268">
        <v>10</v>
      </c>
      <c r="AD268">
        <v>33</v>
      </c>
      <c r="AE268" s="19" t="s">
        <v>60</v>
      </c>
    </row>
    <row r="269" spans="1:31" x14ac:dyDescent="0.2">
      <c r="A269">
        <v>262</v>
      </c>
      <c r="B269" s="19" t="s">
        <v>738</v>
      </c>
      <c r="C269">
        <v>28</v>
      </c>
      <c r="D269" s="19" t="s">
        <v>375</v>
      </c>
      <c r="E269" s="19" t="s">
        <v>348</v>
      </c>
      <c r="F269">
        <v>39</v>
      </c>
      <c r="G269">
        <v>2</v>
      </c>
      <c r="H269">
        <v>14</v>
      </c>
      <c r="I269">
        <v>16</v>
      </c>
      <c r="J269">
        <v>15</v>
      </c>
      <c r="K269">
        <v>18</v>
      </c>
      <c r="L269">
        <v>2</v>
      </c>
      <c r="M269">
        <v>0</v>
      </c>
      <c r="N269">
        <v>0</v>
      </c>
      <c r="O269">
        <v>0</v>
      </c>
      <c r="P269">
        <v>14</v>
      </c>
      <c r="Q269">
        <v>0</v>
      </c>
      <c r="R269">
        <v>0</v>
      </c>
      <c r="S269">
        <v>33</v>
      </c>
      <c r="T269">
        <v>6.1</v>
      </c>
      <c r="U269">
        <v>91</v>
      </c>
      <c r="V269" s="19" t="s">
        <v>2286</v>
      </c>
      <c r="W269" s="19" t="s">
        <v>2287</v>
      </c>
      <c r="X269">
        <v>0</v>
      </c>
      <c r="Y269">
        <v>0</v>
      </c>
      <c r="AA269">
        <v>50</v>
      </c>
      <c r="AB269">
        <v>22</v>
      </c>
      <c r="AC269">
        <v>11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701</v>
      </c>
      <c r="C270">
        <v>37</v>
      </c>
      <c r="D270" s="19" t="s">
        <v>398</v>
      </c>
      <c r="E270" s="19" t="s">
        <v>322</v>
      </c>
      <c r="F270">
        <v>37</v>
      </c>
      <c r="G270">
        <v>10</v>
      </c>
      <c r="H270">
        <v>6</v>
      </c>
      <c r="I270">
        <v>16</v>
      </c>
      <c r="J270">
        <v>0</v>
      </c>
      <c r="K270">
        <v>23</v>
      </c>
      <c r="L270">
        <v>8</v>
      </c>
      <c r="M270">
        <v>2</v>
      </c>
      <c r="N270">
        <v>0</v>
      </c>
      <c r="O270">
        <v>0</v>
      </c>
      <c r="P270">
        <v>6</v>
      </c>
      <c r="Q270">
        <v>0</v>
      </c>
      <c r="R270">
        <v>0</v>
      </c>
      <c r="S270">
        <v>49</v>
      </c>
      <c r="T270">
        <v>20.399999999999999</v>
      </c>
      <c r="U270">
        <v>104</v>
      </c>
      <c r="V270" s="19" t="s">
        <v>2288</v>
      </c>
      <c r="W270" s="19" t="s">
        <v>1611</v>
      </c>
      <c r="X270">
        <v>412</v>
      </c>
      <c r="Y270">
        <v>322</v>
      </c>
      <c r="Z270">
        <v>56.1</v>
      </c>
      <c r="AA270">
        <v>19</v>
      </c>
      <c r="AB270">
        <v>67</v>
      </c>
      <c r="AC270">
        <v>6</v>
      </c>
      <c r="AD270">
        <v>26</v>
      </c>
      <c r="AE270" s="19" t="s">
        <v>60</v>
      </c>
    </row>
    <row r="271" spans="1:31" x14ac:dyDescent="0.2">
      <c r="A271">
        <v>264</v>
      </c>
      <c r="B271" s="19" t="s">
        <v>675</v>
      </c>
      <c r="C271">
        <v>22</v>
      </c>
      <c r="D271" s="19" t="s">
        <v>398</v>
      </c>
      <c r="E271" s="19" t="s">
        <v>322</v>
      </c>
      <c r="F271">
        <v>40</v>
      </c>
      <c r="G271">
        <v>6</v>
      </c>
      <c r="H271">
        <v>10</v>
      </c>
      <c r="I271">
        <v>16</v>
      </c>
      <c r="J271">
        <v>4</v>
      </c>
      <c r="K271">
        <v>19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2</v>
      </c>
      <c r="R271">
        <v>0</v>
      </c>
      <c r="S271">
        <v>85</v>
      </c>
      <c r="T271">
        <v>7.1</v>
      </c>
      <c r="U271">
        <v>154</v>
      </c>
      <c r="V271" s="19" t="s">
        <v>2289</v>
      </c>
      <c r="W271" s="19" t="s">
        <v>2290</v>
      </c>
      <c r="X271">
        <v>206</v>
      </c>
      <c r="Y271">
        <v>269</v>
      </c>
      <c r="Z271">
        <v>43.4</v>
      </c>
      <c r="AA271">
        <v>10</v>
      </c>
      <c r="AB271">
        <v>18</v>
      </c>
      <c r="AC271">
        <v>15</v>
      </c>
      <c r="AD271">
        <v>23</v>
      </c>
      <c r="AE271" s="19" t="s">
        <v>60</v>
      </c>
    </row>
    <row r="272" spans="1:31" x14ac:dyDescent="0.2">
      <c r="A272">
        <v>265</v>
      </c>
      <c r="B272" s="19" t="s">
        <v>586</v>
      </c>
      <c r="C272">
        <v>29</v>
      </c>
      <c r="D272" s="19" t="s">
        <v>321</v>
      </c>
      <c r="E272" s="19" t="s">
        <v>322</v>
      </c>
      <c r="F272">
        <v>39</v>
      </c>
      <c r="G272">
        <v>5</v>
      </c>
      <c r="H272">
        <v>10</v>
      </c>
      <c r="I272">
        <v>15</v>
      </c>
      <c r="J272">
        <v>8</v>
      </c>
      <c r="K272">
        <v>9</v>
      </c>
      <c r="L272">
        <v>5</v>
      </c>
      <c r="M272">
        <v>0</v>
      </c>
      <c r="N272">
        <v>0</v>
      </c>
      <c r="O272">
        <v>2</v>
      </c>
      <c r="P272">
        <v>10</v>
      </c>
      <c r="Q272">
        <v>0</v>
      </c>
      <c r="R272">
        <v>0</v>
      </c>
      <c r="S272">
        <v>82</v>
      </c>
      <c r="T272">
        <v>6.1</v>
      </c>
      <c r="U272">
        <v>156</v>
      </c>
      <c r="V272" s="19" t="s">
        <v>2291</v>
      </c>
      <c r="W272" s="19" t="s">
        <v>763</v>
      </c>
      <c r="X272">
        <v>32</v>
      </c>
      <c r="Y272">
        <v>37</v>
      </c>
      <c r="Z272">
        <v>46.4</v>
      </c>
      <c r="AA272">
        <v>17</v>
      </c>
      <c r="AB272">
        <v>89</v>
      </c>
      <c r="AC272">
        <v>8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764</v>
      </c>
      <c r="C273">
        <v>22</v>
      </c>
      <c r="D273" s="19" t="s">
        <v>370</v>
      </c>
      <c r="E273" s="19" t="s">
        <v>348</v>
      </c>
      <c r="F273">
        <v>39</v>
      </c>
      <c r="G273">
        <v>5</v>
      </c>
      <c r="H273">
        <v>10</v>
      </c>
      <c r="I273">
        <v>15</v>
      </c>
      <c r="J273">
        <v>6</v>
      </c>
      <c r="K273">
        <v>48</v>
      </c>
      <c r="L273">
        <v>5</v>
      </c>
      <c r="M273">
        <v>0</v>
      </c>
      <c r="N273">
        <v>0</v>
      </c>
      <c r="O273">
        <v>2</v>
      </c>
      <c r="P273">
        <v>9</v>
      </c>
      <c r="Q273">
        <v>1</v>
      </c>
      <c r="R273">
        <v>0</v>
      </c>
      <c r="S273">
        <v>52</v>
      </c>
      <c r="T273">
        <v>9.6</v>
      </c>
      <c r="U273">
        <v>120</v>
      </c>
      <c r="V273" s="19" t="s">
        <v>2292</v>
      </c>
      <c r="W273" s="19" t="s">
        <v>2268</v>
      </c>
      <c r="X273">
        <v>0</v>
      </c>
      <c r="Y273">
        <v>0</v>
      </c>
      <c r="AA273">
        <v>76</v>
      </c>
      <c r="AB273">
        <v>51</v>
      </c>
      <c r="AC273">
        <v>13</v>
      </c>
      <c r="AD273">
        <v>49</v>
      </c>
      <c r="AE273" s="19" t="s">
        <v>60</v>
      </c>
    </row>
    <row r="274" spans="1:31" x14ac:dyDescent="0.2">
      <c r="A274">
        <v>267</v>
      </c>
      <c r="B274" s="19" t="s">
        <v>840</v>
      </c>
      <c r="C274">
        <v>29</v>
      </c>
      <c r="D274" s="19" t="s">
        <v>372</v>
      </c>
      <c r="E274" s="19" t="s">
        <v>348</v>
      </c>
      <c r="F274">
        <v>38</v>
      </c>
      <c r="G274">
        <v>2</v>
      </c>
      <c r="H274">
        <v>13</v>
      </c>
      <c r="I274">
        <v>15</v>
      </c>
      <c r="J274">
        <v>-8</v>
      </c>
      <c r="K274">
        <v>26</v>
      </c>
      <c r="L274">
        <v>1</v>
      </c>
      <c r="M274">
        <v>1</v>
      </c>
      <c r="N274">
        <v>0</v>
      </c>
      <c r="O274">
        <v>2</v>
      </c>
      <c r="P274">
        <v>11</v>
      </c>
      <c r="Q274">
        <v>1</v>
      </c>
      <c r="R274">
        <v>1</v>
      </c>
      <c r="S274">
        <v>53</v>
      </c>
      <c r="T274">
        <v>3.8</v>
      </c>
      <c r="U274">
        <v>135</v>
      </c>
      <c r="V274" s="19" t="s">
        <v>2293</v>
      </c>
      <c r="W274" s="19" t="s">
        <v>2294</v>
      </c>
      <c r="X274">
        <v>0</v>
      </c>
      <c r="Y274">
        <v>0</v>
      </c>
      <c r="AA274">
        <v>64</v>
      </c>
      <c r="AB274">
        <v>43</v>
      </c>
      <c r="AC274">
        <v>9</v>
      </c>
      <c r="AD274">
        <v>29</v>
      </c>
      <c r="AE274" s="19" t="s">
        <v>60</v>
      </c>
    </row>
    <row r="275" spans="1:31" x14ac:dyDescent="0.2">
      <c r="A275">
        <v>268</v>
      </c>
      <c r="B275" s="19" t="s">
        <v>713</v>
      </c>
      <c r="C275">
        <v>32</v>
      </c>
      <c r="D275" s="19" t="s">
        <v>333</v>
      </c>
      <c r="E275" s="19" t="s">
        <v>322</v>
      </c>
      <c r="F275">
        <v>40</v>
      </c>
      <c r="G275">
        <v>1</v>
      </c>
      <c r="H275">
        <v>14</v>
      </c>
      <c r="I275">
        <v>15</v>
      </c>
      <c r="J275">
        <v>8</v>
      </c>
      <c r="K275">
        <v>14</v>
      </c>
      <c r="L275">
        <v>1</v>
      </c>
      <c r="M275">
        <v>0</v>
      </c>
      <c r="N275">
        <v>0</v>
      </c>
      <c r="O275">
        <v>0</v>
      </c>
      <c r="P275">
        <v>12</v>
      </c>
      <c r="Q275">
        <v>0</v>
      </c>
      <c r="R275">
        <v>2</v>
      </c>
      <c r="S275">
        <v>22</v>
      </c>
      <c r="T275">
        <v>4.5</v>
      </c>
      <c r="U275">
        <v>52</v>
      </c>
      <c r="V275" s="19" t="s">
        <v>2295</v>
      </c>
      <c r="W275" s="19" t="s">
        <v>2296</v>
      </c>
      <c r="X275">
        <v>171</v>
      </c>
      <c r="Y275">
        <v>129</v>
      </c>
      <c r="Z275">
        <v>57</v>
      </c>
      <c r="AA275">
        <v>31</v>
      </c>
      <c r="AB275">
        <v>52</v>
      </c>
      <c r="AC275">
        <v>10</v>
      </c>
      <c r="AD275">
        <v>16</v>
      </c>
      <c r="AE275" s="19" t="s">
        <v>60</v>
      </c>
    </row>
    <row r="276" spans="1:31" x14ac:dyDescent="0.2">
      <c r="A276">
        <v>269</v>
      </c>
      <c r="B276" s="19" t="s">
        <v>625</v>
      </c>
      <c r="C276">
        <v>30</v>
      </c>
      <c r="D276" s="19" t="s">
        <v>361</v>
      </c>
      <c r="E276" s="19" t="s">
        <v>348</v>
      </c>
      <c r="F276">
        <v>42</v>
      </c>
      <c r="G276">
        <v>7</v>
      </c>
      <c r="H276">
        <v>8</v>
      </c>
      <c r="I276">
        <v>15</v>
      </c>
      <c r="J276">
        <v>1</v>
      </c>
      <c r="K276">
        <v>20</v>
      </c>
      <c r="L276">
        <v>6</v>
      </c>
      <c r="M276">
        <v>1</v>
      </c>
      <c r="N276">
        <v>0</v>
      </c>
      <c r="O276">
        <v>1</v>
      </c>
      <c r="P276">
        <v>8</v>
      </c>
      <c r="Q276">
        <v>0</v>
      </c>
      <c r="R276">
        <v>0</v>
      </c>
      <c r="S276">
        <v>57</v>
      </c>
      <c r="T276">
        <v>12.3</v>
      </c>
      <c r="U276">
        <v>165</v>
      </c>
      <c r="V276" s="19" t="s">
        <v>2297</v>
      </c>
      <c r="W276" s="19" t="s">
        <v>2120</v>
      </c>
      <c r="X276">
        <v>0</v>
      </c>
      <c r="Y276">
        <v>0</v>
      </c>
      <c r="AA276">
        <v>66</v>
      </c>
      <c r="AB276">
        <v>20</v>
      </c>
      <c r="AC276">
        <v>12</v>
      </c>
      <c r="AD276">
        <v>48</v>
      </c>
      <c r="AE276" s="19" t="s">
        <v>60</v>
      </c>
    </row>
    <row r="277" spans="1:31" x14ac:dyDescent="0.2">
      <c r="A277">
        <v>270</v>
      </c>
      <c r="B277" s="19" t="s">
        <v>765</v>
      </c>
      <c r="C277">
        <v>33</v>
      </c>
      <c r="D277" s="19" t="s">
        <v>336</v>
      </c>
      <c r="E277" s="19" t="s">
        <v>322</v>
      </c>
      <c r="F277">
        <v>22</v>
      </c>
      <c r="G277">
        <v>7</v>
      </c>
      <c r="H277">
        <v>8</v>
      </c>
      <c r="I277">
        <v>15</v>
      </c>
      <c r="J277">
        <v>-4</v>
      </c>
      <c r="K277">
        <v>10</v>
      </c>
      <c r="L277">
        <v>6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47</v>
      </c>
      <c r="T277">
        <v>14.9</v>
      </c>
      <c r="U277">
        <v>88</v>
      </c>
      <c r="V277" s="19" t="s">
        <v>2298</v>
      </c>
      <c r="W277" s="19" t="s">
        <v>2299</v>
      </c>
      <c r="X277">
        <v>142</v>
      </c>
      <c r="Y277">
        <v>132</v>
      </c>
      <c r="Z277">
        <v>51.8</v>
      </c>
      <c r="AA277">
        <v>12</v>
      </c>
      <c r="AB277">
        <v>16</v>
      </c>
      <c r="AC277">
        <v>4</v>
      </c>
      <c r="AD277">
        <v>20</v>
      </c>
      <c r="AE277" s="19" t="s">
        <v>60</v>
      </c>
    </row>
    <row r="278" spans="1:31" x14ac:dyDescent="0.2">
      <c r="A278">
        <v>271</v>
      </c>
      <c r="B278" s="19" t="s">
        <v>651</v>
      </c>
      <c r="C278">
        <v>29</v>
      </c>
      <c r="D278" s="19" t="s">
        <v>372</v>
      </c>
      <c r="E278" s="19" t="s">
        <v>339</v>
      </c>
      <c r="F278">
        <v>39</v>
      </c>
      <c r="G278">
        <v>7</v>
      </c>
      <c r="H278">
        <v>8</v>
      </c>
      <c r="I278">
        <v>15</v>
      </c>
      <c r="J278">
        <v>5</v>
      </c>
      <c r="K278">
        <v>59</v>
      </c>
      <c r="L278">
        <v>7</v>
      </c>
      <c r="M278">
        <v>0</v>
      </c>
      <c r="N278">
        <v>0</v>
      </c>
      <c r="O278">
        <v>0</v>
      </c>
      <c r="P278">
        <v>8</v>
      </c>
      <c r="Q278">
        <v>0</v>
      </c>
      <c r="R278">
        <v>0</v>
      </c>
      <c r="S278">
        <v>48</v>
      </c>
      <c r="T278">
        <v>14.6</v>
      </c>
      <c r="U278">
        <v>82</v>
      </c>
      <c r="V278" s="19" t="s">
        <v>2300</v>
      </c>
      <c r="W278" s="19" t="s">
        <v>1286</v>
      </c>
      <c r="X278">
        <v>3</v>
      </c>
      <c r="Y278">
        <v>7</v>
      </c>
      <c r="Z278">
        <v>30</v>
      </c>
      <c r="AA278">
        <v>13</v>
      </c>
      <c r="AB278">
        <v>101</v>
      </c>
      <c r="AC278">
        <v>3</v>
      </c>
      <c r="AD278">
        <v>25</v>
      </c>
      <c r="AE278" s="19" t="s">
        <v>60</v>
      </c>
    </row>
    <row r="279" spans="1:31" x14ac:dyDescent="0.2">
      <c r="A279">
        <v>272</v>
      </c>
      <c r="B279" s="19" t="s">
        <v>654</v>
      </c>
      <c r="C279">
        <v>28</v>
      </c>
      <c r="D279" s="19" t="s">
        <v>354</v>
      </c>
      <c r="E279" s="19" t="s">
        <v>325</v>
      </c>
      <c r="F279">
        <v>38</v>
      </c>
      <c r="G279">
        <v>4</v>
      </c>
      <c r="H279">
        <v>11</v>
      </c>
      <c r="I279">
        <v>15</v>
      </c>
      <c r="J279">
        <v>-1</v>
      </c>
      <c r="K279">
        <v>39</v>
      </c>
      <c r="L279">
        <v>4</v>
      </c>
      <c r="M279">
        <v>0</v>
      </c>
      <c r="N279">
        <v>0</v>
      </c>
      <c r="O279">
        <v>1</v>
      </c>
      <c r="P279">
        <v>10</v>
      </c>
      <c r="Q279">
        <v>1</v>
      </c>
      <c r="R279">
        <v>0</v>
      </c>
      <c r="S279">
        <v>43</v>
      </c>
      <c r="T279">
        <v>9.3000000000000007</v>
      </c>
      <c r="U279">
        <v>98</v>
      </c>
      <c r="V279" s="19" t="s">
        <v>1884</v>
      </c>
      <c r="W279" s="19" t="s">
        <v>1861</v>
      </c>
      <c r="X279">
        <v>7</v>
      </c>
      <c r="Y279">
        <v>6</v>
      </c>
      <c r="Z279">
        <v>53.8</v>
      </c>
      <c r="AA279">
        <v>31</v>
      </c>
      <c r="AB279">
        <v>113</v>
      </c>
      <c r="AC279">
        <v>3</v>
      </c>
      <c r="AD279">
        <v>28</v>
      </c>
      <c r="AE279" s="19" t="s">
        <v>60</v>
      </c>
    </row>
    <row r="280" spans="1:31" x14ac:dyDescent="0.2">
      <c r="A280">
        <v>273</v>
      </c>
      <c r="B280" s="19" t="s">
        <v>727</v>
      </c>
      <c r="C280">
        <v>18</v>
      </c>
      <c r="D280" s="19" t="s">
        <v>375</v>
      </c>
      <c r="E280" s="19" t="s">
        <v>322</v>
      </c>
      <c r="F280">
        <v>36</v>
      </c>
      <c r="G280">
        <v>8</v>
      </c>
      <c r="H280">
        <v>7</v>
      </c>
      <c r="I280">
        <v>15</v>
      </c>
      <c r="J280">
        <v>-11</v>
      </c>
      <c r="K280">
        <v>10</v>
      </c>
      <c r="L280">
        <v>4</v>
      </c>
      <c r="M280">
        <v>4</v>
      </c>
      <c r="N280">
        <v>0</v>
      </c>
      <c r="O280">
        <v>0</v>
      </c>
      <c r="P280">
        <v>3</v>
      </c>
      <c r="Q280">
        <v>4</v>
      </c>
      <c r="R280">
        <v>0</v>
      </c>
      <c r="S280">
        <v>77</v>
      </c>
      <c r="T280">
        <v>10.4</v>
      </c>
      <c r="U280">
        <v>132</v>
      </c>
      <c r="V280" s="19" t="s">
        <v>2301</v>
      </c>
      <c r="W280" s="19" t="s">
        <v>1777</v>
      </c>
      <c r="X280">
        <v>119</v>
      </c>
      <c r="Y280">
        <v>140</v>
      </c>
      <c r="Z280">
        <v>45.9</v>
      </c>
      <c r="AA280">
        <v>36</v>
      </c>
      <c r="AB280">
        <v>15</v>
      </c>
      <c r="AC280">
        <v>7</v>
      </c>
      <c r="AD280">
        <v>34</v>
      </c>
      <c r="AE280" s="19" t="s">
        <v>60</v>
      </c>
    </row>
    <row r="281" spans="1:31" x14ac:dyDescent="0.2">
      <c r="A281">
        <v>274</v>
      </c>
      <c r="B281" s="19" t="s">
        <v>569</v>
      </c>
      <c r="C281">
        <v>26</v>
      </c>
      <c r="D281" s="19" t="s">
        <v>324</v>
      </c>
      <c r="E281" s="19" t="s">
        <v>322</v>
      </c>
      <c r="F281">
        <v>31</v>
      </c>
      <c r="G281">
        <v>6</v>
      </c>
      <c r="H281">
        <v>9</v>
      </c>
      <c r="I281">
        <v>15</v>
      </c>
      <c r="J281">
        <v>0</v>
      </c>
      <c r="K281">
        <v>8</v>
      </c>
      <c r="L281">
        <v>6</v>
      </c>
      <c r="M281">
        <v>0</v>
      </c>
      <c r="N281">
        <v>0</v>
      </c>
      <c r="O281">
        <v>1</v>
      </c>
      <c r="P281">
        <v>8</v>
      </c>
      <c r="Q281">
        <v>1</v>
      </c>
      <c r="R281">
        <v>0</v>
      </c>
      <c r="S281">
        <v>49</v>
      </c>
      <c r="T281">
        <v>12.2</v>
      </c>
      <c r="U281">
        <v>92</v>
      </c>
      <c r="V281" s="19" t="s">
        <v>1682</v>
      </c>
      <c r="W281" s="19" t="s">
        <v>1652</v>
      </c>
      <c r="X281">
        <v>24</v>
      </c>
      <c r="Y281">
        <v>27</v>
      </c>
      <c r="Z281">
        <v>47.1</v>
      </c>
      <c r="AA281">
        <v>8</v>
      </c>
      <c r="AB281">
        <v>30</v>
      </c>
      <c r="AC281">
        <v>5</v>
      </c>
      <c r="AD281">
        <v>27</v>
      </c>
      <c r="AE281" s="19" t="s">
        <v>60</v>
      </c>
    </row>
    <row r="282" spans="1:31" x14ac:dyDescent="0.2">
      <c r="A282">
        <v>275</v>
      </c>
      <c r="B282" s="19" t="s">
        <v>658</v>
      </c>
      <c r="C282">
        <v>25</v>
      </c>
      <c r="D282" s="19" t="s">
        <v>354</v>
      </c>
      <c r="E282" s="19" t="s">
        <v>348</v>
      </c>
      <c r="F282">
        <v>36</v>
      </c>
      <c r="G282">
        <v>2</v>
      </c>
      <c r="H282">
        <v>13</v>
      </c>
      <c r="I282">
        <v>15</v>
      </c>
      <c r="J282">
        <v>4</v>
      </c>
      <c r="K282">
        <v>8</v>
      </c>
      <c r="L282">
        <v>1</v>
      </c>
      <c r="M282">
        <v>1</v>
      </c>
      <c r="N282">
        <v>0</v>
      </c>
      <c r="O282">
        <v>0</v>
      </c>
      <c r="P282">
        <v>10</v>
      </c>
      <c r="Q282">
        <v>3</v>
      </c>
      <c r="R282">
        <v>0</v>
      </c>
      <c r="S282">
        <v>31</v>
      </c>
      <c r="T282">
        <v>6.5</v>
      </c>
      <c r="U282">
        <v>99</v>
      </c>
      <c r="V282" s="19" t="s">
        <v>2302</v>
      </c>
      <c r="W282" s="19" t="s">
        <v>600</v>
      </c>
      <c r="X282">
        <v>0</v>
      </c>
      <c r="Y282">
        <v>0</v>
      </c>
      <c r="AA282">
        <v>48</v>
      </c>
      <c r="AB282">
        <v>18</v>
      </c>
      <c r="AC282">
        <v>11</v>
      </c>
      <c r="AD282">
        <v>48</v>
      </c>
      <c r="AE282" s="19" t="s">
        <v>60</v>
      </c>
    </row>
    <row r="283" spans="1:31" x14ac:dyDescent="0.2">
      <c r="A283">
        <v>276</v>
      </c>
      <c r="B283" s="19" t="s">
        <v>777</v>
      </c>
      <c r="C283">
        <v>25</v>
      </c>
      <c r="D283" s="19" t="s">
        <v>359</v>
      </c>
      <c r="E283" s="19" t="s">
        <v>339</v>
      </c>
      <c r="F283">
        <v>29</v>
      </c>
      <c r="G283">
        <v>6</v>
      </c>
      <c r="H283">
        <v>9</v>
      </c>
      <c r="I283">
        <v>15</v>
      </c>
      <c r="J283">
        <v>-5</v>
      </c>
      <c r="K283">
        <v>8</v>
      </c>
      <c r="L283">
        <v>6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25</v>
      </c>
      <c r="T283">
        <v>24</v>
      </c>
      <c r="U283">
        <v>61</v>
      </c>
      <c r="V283" s="19" t="s">
        <v>2303</v>
      </c>
      <c r="W283" s="19" t="s">
        <v>2304</v>
      </c>
      <c r="X283">
        <v>3</v>
      </c>
      <c r="Y283">
        <v>3</v>
      </c>
      <c r="Z283">
        <v>50</v>
      </c>
      <c r="AA283">
        <v>10</v>
      </c>
      <c r="AB283">
        <v>6</v>
      </c>
      <c r="AC283">
        <v>5</v>
      </c>
      <c r="AD283">
        <v>24</v>
      </c>
      <c r="AE283" s="19" t="s">
        <v>60</v>
      </c>
    </row>
    <row r="284" spans="1:31" x14ac:dyDescent="0.2">
      <c r="A284">
        <v>277</v>
      </c>
      <c r="B284" s="19" t="s">
        <v>660</v>
      </c>
      <c r="C284">
        <v>26</v>
      </c>
      <c r="D284" s="19" t="s">
        <v>398</v>
      </c>
      <c r="E284" s="19" t="s">
        <v>348</v>
      </c>
      <c r="F284">
        <v>32</v>
      </c>
      <c r="G284">
        <v>2</v>
      </c>
      <c r="H284">
        <v>13</v>
      </c>
      <c r="I284">
        <v>15</v>
      </c>
      <c r="J284">
        <v>-4</v>
      </c>
      <c r="K284">
        <v>32</v>
      </c>
      <c r="L284">
        <v>1</v>
      </c>
      <c r="M284">
        <v>1</v>
      </c>
      <c r="N284">
        <v>0</v>
      </c>
      <c r="O284">
        <v>0</v>
      </c>
      <c r="P284">
        <v>9</v>
      </c>
      <c r="Q284">
        <v>2</v>
      </c>
      <c r="R284">
        <v>2</v>
      </c>
      <c r="S284">
        <v>56</v>
      </c>
      <c r="T284">
        <v>3.6</v>
      </c>
      <c r="U284">
        <v>158</v>
      </c>
      <c r="V284" s="19" t="s">
        <v>2305</v>
      </c>
      <c r="W284" s="19" t="s">
        <v>1920</v>
      </c>
      <c r="X284">
        <v>0</v>
      </c>
      <c r="Y284">
        <v>1</v>
      </c>
      <c r="Z284">
        <v>0</v>
      </c>
      <c r="AA284">
        <v>35</v>
      </c>
      <c r="AB284">
        <v>45</v>
      </c>
      <c r="AC284">
        <v>25</v>
      </c>
      <c r="AD284">
        <v>46</v>
      </c>
      <c r="AE284" s="19" t="s">
        <v>60</v>
      </c>
    </row>
    <row r="285" spans="1:31" x14ac:dyDescent="0.2">
      <c r="A285">
        <v>278</v>
      </c>
      <c r="B285" s="19" t="s">
        <v>778</v>
      </c>
      <c r="C285">
        <v>21</v>
      </c>
      <c r="D285" s="19" t="s">
        <v>354</v>
      </c>
      <c r="E285" s="19" t="s">
        <v>322</v>
      </c>
      <c r="F285">
        <v>41</v>
      </c>
      <c r="G285">
        <v>6</v>
      </c>
      <c r="H285">
        <v>9</v>
      </c>
      <c r="I285">
        <v>15</v>
      </c>
      <c r="J285">
        <v>8</v>
      </c>
      <c r="K285">
        <v>14</v>
      </c>
      <c r="L285">
        <v>6</v>
      </c>
      <c r="M285">
        <v>0</v>
      </c>
      <c r="N285">
        <v>0</v>
      </c>
      <c r="O285">
        <v>1</v>
      </c>
      <c r="P285">
        <v>8</v>
      </c>
      <c r="Q285">
        <v>0</v>
      </c>
      <c r="R285">
        <v>1</v>
      </c>
      <c r="S285">
        <v>47</v>
      </c>
      <c r="T285">
        <v>12.8</v>
      </c>
      <c r="U285">
        <v>100</v>
      </c>
      <c r="V285" s="19" t="s">
        <v>2306</v>
      </c>
      <c r="W285" s="19" t="s">
        <v>615</v>
      </c>
      <c r="X285">
        <v>181</v>
      </c>
      <c r="Y285">
        <v>188</v>
      </c>
      <c r="Z285">
        <v>49.1</v>
      </c>
      <c r="AA285">
        <v>29</v>
      </c>
      <c r="AB285">
        <v>85</v>
      </c>
      <c r="AC285">
        <v>13</v>
      </c>
      <c r="AD285">
        <v>16</v>
      </c>
      <c r="AE285" s="19" t="s">
        <v>60</v>
      </c>
    </row>
    <row r="286" spans="1:31" x14ac:dyDescent="0.2">
      <c r="A286">
        <v>279</v>
      </c>
      <c r="B286" s="19" t="s">
        <v>576</v>
      </c>
      <c r="C286">
        <v>33</v>
      </c>
      <c r="D286" s="19" t="s">
        <v>345</v>
      </c>
      <c r="E286" s="19" t="s">
        <v>334</v>
      </c>
      <c r="F286">
        <v>38</v>
      </c>
      <c r="G286">
        <v>6</v>
      </c>
      <c r="H286">
        <v>9</v>
      </c>
      <c r="I286">
        <v>15</v>
      </c>
      <c r="J286">
        <v>-4</v>
      </c>
      <c r="K286">
        <v>8</v>
      </c>
      <c r="L286">
        <v>5</v>
      </c>
      <c r="M286">
        <v>1</v>
      </c>
      <c r="N286">
        <v>0</v>
      </c>
      <c r="O286">
        <v>1</v>
      </c>
      <c r="P286">
        <v>5</v>
      </c>
      <c r="Q286">
        <v>4</v>
      </c>
      <c r="R286">
        <v>0</v>
      </c>
      <c r="S286">
        <v>52</v>
      </c>
      <c r="T286">
        <v>11.5</v>
      </c>
      <c r="U286">
        <v>101</v>
      </c>
      <c r="V286" s="19" t="s">
        <v>2307</v>
      </c>
      <c r="W286" s="19" t="s">
        <v>1804</v>
      </c>
      <c r="X286">
        <v>3</v>
      </c>
      <c r="Y286">
        <v>2</v>
      </c>
      <c r="Z286">
        <v>60</v>
      </c>
      <c r="AA286">
        <v>12</v>
      </c>
      <c r="AB286">
        <v>51</v>
      </c>
      <c r="AC286">
        <v>6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734</v>
      </c>
      <c r="C287">
        <v>30</v>
      </c>
      <c r="D287" s="19" t="s">
        <v>327</v>
      </c>
      <c r="E287" s="19" t="s">
        <v>348</v>
      </c>
      <c r="F287">
        <v>41</v>
      </c>
      <c r="G287">
        <v>6</v>
      </c>
      <c r="H287">
        <v>9</v>
      </c>
      <c r="I287">
        <v>15</v>
      </c>
      <c r="J287">
        <v>-6</v>
      </c>
      <c r="K287">
        <v>69</v>
      </c>
      <c r="L287">
        <v>6</v>
      </c>
      <c r="M287">
        <v>0</v>
      </c>
      <c r="N287">
        <v>0</v>
      </c>
      <c r="O287">
        <v>0</v>
      </c>
      <c r="P287">
        <v>7</v>
      </c>
      <c r="Q287">
        <v>0</v>
      </c>
      <c r="R287">
        <v>2</v>
      </c>
      <c r="S287">
        <v>84</v>
      </c>
      <c r="T287">
        <v>7.1</v>
      </c>
      <c r="U287">
        <v>190</v>
      </c>
      <c r="V287" s="19" t="s">
        <v>2308</v>
      </c>
      <c r="W287" s="19" t="s">
        <v>1981</v>
      </c>
      <c r="X287">
        <v>0</v>
      </c>
      <c r="Y287">
        <v>0</v>
      </c>
      <c r="AA287">
        <v>89</v>
      </c>
      <c r="AB287">
        <v>55</v>
      </c>
      <c r="AC287">
        <v>11</v>
      </c>
      <c r="AD287">
        <v>40</v>
      </c>
      <c r="AE287" s="19" t="s">
        <v>60</v>
      </c>
    </row>
    <row r="288" spans="1:31" x14ac:dyDescent="0.2">
      <c r="A288">
        <v>281</v>
      </c>
      <c r="B288" s="19" t="s">
        <v>669</v>
      </c>
      <c r="C288">
        <v>33</v>
      </c>
      <c r="D288" s="19" t="s">
        <v>383</v>
      </c>
      <c r="E288" s="19" t="s">
        <v>322</v>
      </c>
      <c r="F288">
        <v>33</v>
      </c>
      <c r="G288">
        <v>6</v>
      </c>
      <c r="H288">
        <v>9</v>
      </c>
      <c r="I288">
        <v>15</v>
      </c>
      <c r="J288">
        <v>-3</v>
      </c>
      <c r="K288">
        <v>2</v>
      </c>
      <c r="L288">
        <v>4</v>
      </c>
      <c r="M288">
        <v>0</v>
      </c>
      <c r="N288">
        <v>2</v>
      </c>
      <c r="O288">
        <v>2</v>
      </c>
      <c r="P288">
        <v>7</v>
      </c>
      <c r="Q288">
        <v>0</v>
      </c>
      <c r="R288">
        <v>2</v>
      </c>
      <c r="S288">
        <v>33</v>
      </c>
      <c r="T288">
        <v>18.2</v>
      </c>
      <c r="U288">
        <v>66</v>
      </c>
      <c r="V288" s="19" t="s">
        <v>2309</v>
      </c>
      <c r="W288" s="19" t="s">
        <v>2310</v>
      </c>
      <c r="X288">
        <v>291</v>
      </c>
      <c r="Y288">
        <v>201</v>
      </c>
      <c r="Z288">
        <v>59.1</v>
      </c>
      <c r="AA288">
        <v>32</v>
      </c>
      <c r="AB288">
        <v>45</v>
      </c>
      <c r="AC288">
        <v>9</v>
      </c>
      <c r="AD288">
        <v>23</v>
      </c>
      <c r="AE288" s="19" t="s">
        <v>60</v>
      </c>
    </row>
    <row r="289" spans="1:31" x14ac:dyDescent="0.2">
      <c r="A289">
        <v>282</v>
      </c>
      <c r="B289" s="19" t="s">
        <v>823</v>
      </c>
      <c r="C289">
        <v>20</v>
      </c>
      <c r="D289" s="19" t="s">
        <v>370</v>
      </c>
      <c r="E289" s="19" t="s">
        <v>348</v>
      </c>
      <c r="F289">
        <v>42</v>
      </c>
      <c r="G289">
        <v>4</v>
      </c>
      <c r="H289">
        <v>11</v>
      </c>
      <c r="I289">
        <v>15</v>
      </c>
      <c r="J289">
        <v>-17</v>
      </c>
      <c r="K289">
        <v>14</v>
      </c>
      <c r="L289">
        <v>4</v>
      </c>
      <c r="M289">
        <v>0</v>
      </c>
      <c r="N289">
        <v>0</v>
      </c>
      <c r="O289">
        <v>0</v>
      </c>
      <c r="P289">
        <v>5</v>
      </c>
      <c r="Q289">
        <v>6</v>
      </c>
      <c r="R289">
        <v>0</v>
      </c>
      <c r="S289">
        <v>44</v>
      </c>
      <c r="T289">
        <v>9.1</v>
      </c>
      <c r="U289">
        <v>139</v>
      </c>
      <c r="V289" s="19" t="s">
        <v>2311</v>
      </c>
      <c r="W289" s="19" t="s">
        <v>1774</v>
      </c>
      <c r="X289">
        <v>0</v>
      </c>
      <c r="Y289">
        <v>0</v>
      </c>
      <c r="AA289">
        <v>40</v>
      </c>
      <c r="AB289">
        <v>12</v>
      </c>
      <c r="AC289">
        <v>4</v>
      </c>
      <c r="AD289">
        <v>42</v>
      </c>
      <c r="AE289" s="19" t="s">
        <v>60</v>
      </c>
    </row>
    <row r="290" spans="1:31" x14ac:dyDescent="0.2">
      <c r="A290">
        <v>283</v>
      </c>
      <c r="B290" s="19" t="s">
        <v>578</v>
      </c>
      <c r="C290">
        <v>33</v>
      </c>
      <c r="D290" s="19" t="s">
        <v>536</v>
      </c>
      <c r="E290" s="19" t="s">
        <v>322</v>
      </c>
      <c r="F290">
        <v>23</v>
      </c>
      <c r="G290">
        <v>8</v>
      </c>
      <c r="H290">
        <v>7</v>
      </c>
      <c r="I290">
        <v>15</v>
      </c>
      <c r="J290">
        <v>6</v>
      </c>
      <c r="K290">
        <v>8</v>
      </c>
      <c r="L290">
        <v>5</v>
      </c>
      <c r="M290">
        <v>2</v>
      </c>
      <c r="N290">
        <v>1</v>
      </c>
      <c r="O290">
        <v>2</v>
      </c>
      <c r="P290">
        <v>6</v>
      </c>
      <c r="Q290">
        <v>1</v>
      </c>
      <c r="R290">
        <v>0</v>
      </c>
      <c r="S290">
        <v>48</v>
      </c>
      <c r="T290">
        <v>16.7</v>
      </c>
      <c r="U290">
        <v>89</v>
      </c>
      <c r="V290" s="19" t="s">
        <v>579</v>
      </c>
      <c r="W290" s="19" t="s">
        <v>580</v>
      </c>
      <c r="X290">
        <v>12</v>
      </c>
      <c r="Y290">
        <v>6</v>
      </c>
      <c r="Z290">
        <v>66.7</v>
      </c>
      <c r="AA290">
        <v>20</v>
      </c>
      <c r="AB290">
        <v>24</v>
      </c>
      <c r="AC290">
        <v>13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782</v>
      </c>
      <c r="C291">
        <v>31</v>
      </c>
      <c r="D291" s="19" t="s">
        <v>380</v>
      </c>
      <c r="E291" s="19" t="s">
        <v>348</v>
      </c>
      <c r="F291">
        <v>39</v>
      </c>
      <c r="G291">
        <v>3</v>
      </c>
      <c r="H291">
        <v>12</v>
      </c>
      <c r="I291">
        <v>15</v>
      </c>
      <c r="J291">
        <v>3</v>
      </c>
      <c r="K291">
        <v>22</v>
      </c>
      <c r="L291">
        <v>2</v>
      </c>
      <c r="M291">
        <v>1</v>
      </c>
      <c r="N291">
        <v>0</v>
      </c>
      <c r="O291">
        <v>1</v>
      </c>
      <c r="P291">
        <v>9</v>
      </c>
      <c r="Q291">
        <v>3</v>
      </c>
      <c r="R291">
        <v>0</v>
      </c>
      <c r="S291">
        <v>47</v>
      </c>
      <c r="T291">
        <v>6.4</v>
      </c>
      <c r="U291">
        <v>135</v>
      </c>
      <c r="V291" s="19" t="s">
        <v>2312</v>
      </c>
      <c r="W291" s="19" t="s">
        <v>1587</v>
      </c>
      <c r="X291">
        <v>0</v>
      </c>
      <c r="Y291">
        <v>0</v>
      </c>
      <c r="AA291">
        <v>38</v>
      </c>
      <c r="AB291">
        <v>30</v>
      </c>
      <c r="AC291">
        <v>13</v>
      </c>
      <c r="AD291">
        <v>45</v>
      </c>
      <c r="AE291" s="19" t="s">
        <v>60</v>
      </c>
    </row>
    <row r="292" spans="1:31" x14ac:dyDescent="0.2">
      <c r="A292">
        <v>285</v>
      </c>
      <c r="B292" s="19" t="s">
        <v>679</v>
      </c>
      <c r="C292">
        <v>25</v>
      </c>
      <c r="D292" s="19" t="s">
        <v>408</v>
      </c>
      <c r="E292" s="19" t="s">
        <v>348</v>
      </c>
      <c r="F292">
        <v>32</v>
      </c>
      <c r="G292">
        <v>2</v>
      </c>
      <c r="H292">
        <v>13</v>
      </c>
      <c r="I292">
        <v>15</v>
      </c>
      <c r="J292">
        <v>3</v>
      </c>
      <c r="K292">
        <v>12</v>
      </c>
      <c r="L292">
        <v>1</v>
      </c>
      <c r="M292">
        <v>1</v>
      </c>
      <c r="N292">
        <v>0</v>
      </c>
      <c r="O292">
        <v>0</v>
      </c>
      <c r="P292">
        <v>8</v>
      </c>
      <c r="Q292">
        <v>5</v>
      </c>
      <c r="R292">
        <v>0</v>
      </c>
      <c r="S292">
        <v>37</v>
      </c>
      <c r="T292">
        <v>5.4</v>
      </c>
      <c r="U292">
        <v>83</v>
      </c>
      <c r="V292" s="19" t="s">
        <v>2313</v>
      </c>
      <c r="W292" s="19" t="s">
        <v>2314</v>
      </c>
      <c r="X292">
        <v>0</v>
      </c>
      <c r="Y292">
        <v>0</v>
      </c>
      <c r="AA292">
        <v>62</v>
      </c>
      <c r="AB292">
        <v>4</v>
      </c>
      <c r="AC292">
        <v>8</v>
      </c>
      <c r="AD292">
        <v>33</v>
      </c>
      <c r="AE292" s="19" t="s">
        <v>60</v>
      </c>
    </row>
    <row r="293" spans="1:31" x14ac:dyDescent="0.2">
      <c r="A293">
        <v>286</v>
      </c>
      <c r="B293" s="19" t="s">
        <v>680</v>
      </c>
      <c r="C293">
        <v>22</v>
      </c>
      <c r="D293" s="19" t="s">
        <v>336</v>
      </c>
      <c r="E293" s="19" t="s">
        <v>348</v>
      </c>
      <c r="F293">
        <v>39</v>
      </c>
      <c r="G293">
        <v>5</v>
      </c>
      <c r="H293">
        <v>10</v>
      </c>
      <c r="I293">
        <v>15</v>
      </c>
      <c r="J293">
        <v>5</v>
      </c>
      <c r="K293">
        <v>20</v>
      </c>
      <c r="L293">
        <v>4</v>
      </c>
      <c r="M293">
        <v>1</v>
      </c>
      <c r="N293">
        <v>0</v>
      </c>
      <c r="O293">
        <v>1</v>
      </c>
      <c r="P293">
        <v>8</v>
      </c>
      <c r="Q293">
        <v>2</v>
      </c>
      <c r="R293">
        <v>0</v>
      </c>
      <c r="S293">
        <v>66</v>
      </c>
      <c r="T293">
        <v>7.6</v>
      </c>
      <c r="U293">
        <v>176</v>
      </c>
      <c r="V293" s="19" t="s">
        <v>2315</v>
      </c>
      <c r="W293" s="19" t="s">
        <v>1770</v>
      </c>
      <c r="X293">
        <v>0</v>
      </c>
      <c r="Y293">
        <v>0</v>
      </c>
      <c r="AA293">
        <v>42</v>
      </c>
      <c r="AB293">
        <v>20</v>
      </c>
      <c r="AC293">
        <v>13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631</v>
      </c>
      <c r="C294">
        <v>24</v>
      </c>
      <c r="D294" s="19" t="s">
        <v>984</v>
      </c>
      <c r="E294" s="19" t="s">
        <v>322</v>
      </c>
      <c r="F294">
        <v>25</v>
      </c>
      <c r="G294">
        <v>5</v>
      </c>
      <c r="H294">
        <v>10</v>
      </c>
      <c r="I294">
        <v>15</v>
      </c>
      <c r="J294">
        <v>-11</v>
      </c>
      <c r="K294">
        <v>4</v>
      </c>
      <c r="L294">
        <v>5</v>
      </c>
      <c r="M294">
        <v>0</v>
      </c>
      <c r="N294">
        <v>0</v>
      </c>
      <c r="O294">
        <v>0</v>
      </c>
      <c r="P294">
        <v>5</v>
      </c>
      <c r="Q294">
        <v>5</v>
      </c>
      <c r="R294">
        <v>0</v>
      </c>
      <c r="S294">
        <v>36</v>
      </c>
      <c r="T294">
        <v>13.9</v>
      </c>
      <c r="U294">
        <v>76</v>
      </c>
      <c r="V294" s="19" t="s">
        <v>2316</v>
      </c>
      <c r="W294" s="19" t="s">
        <v>1771</v>
      </c>
      <c r="X294">
        <v>169</v>
      </c>
      <c r="Y294">
        <v>173</v>
      </c>
      <c r="Z294">
        <v>49.4</v>
      </c>
      <c r="AA294">
        <v>20</v>
      </c>
      <c r="AB294">
        <v>16</v>
      </c>
      <c r="AC294">
        <v>6</v>
      </c>
      <c r="AD294">
        <v>21</v>
      </c>
      <c r="AE294" s="19" t="s">
        <v>60</v>
      </c>
    </row>
    <row r="295" spans="1:31" x14ac:dyDescent="0.2">
      <c r="A295">
        <v>287</v>
      </c>
      <c r="B295" s="19" t="s">
        <v>631</v>
      </c>
      <c r="C295">
        <v>24</v>
      </c>
      <c r="D295" s="19" t="s">
        <v>357</v>
      </c>
      <c r="E295" s="19" t="s">
        <v>322</v>
      </c>
      <c r="F295">
        <v>17</v>
      </c>
      <c r="G295">
        <v>4</v>
      </c>
      <c r="H295">
        <v>9</v>
      </c>
      <c r="I295">
        <v>13</v>
      </c>
      <c r="J295">
        <v>-6</v>
      </c>
      <c r="K295">
        <v>2</v>
      </c>
      <c r="L295">
        <v>4</v>
      </c>
      <c r="M295">
        <v>0</v>
      </c>
      <c r="N295">
        <v>0</v>
      </c>
      <c r="O295">
        <v>0</v>
      </c>
      <c r="P295">
        <v>4</v>
      </c>
      <c r="Q295">
        <v>5</v>
      </c>
      <c r="R295">
        <v>0</v>
      </c>
      <c r="S295">
        <v>27</v>
      </c>
      <c r="T295">
        <v>14.8</v>
      </c>
      <c r="U295">
        <v>55</v>
      </c>
      <c r="V295" s="19" t="s">
        <v>632</v>
      </c>
      <c r="W295" s="19" t="s">
        <v>633</v>
      </c>
      <c r="X295">
        <v>107</v>
      </c>
      <c r="Y295">
        <v>113</v>
      </c>
      <c r="Z295">
        <v>48.6</v>
      </c>
      <c r="AA295">
        <v>8</v>
      </c>
      <c r="AB295">
        <v>11</v>
      </c>
      <c r="AC295">
        <v>5</v>
      </c>
      <c r="AD295">
        <v>13</v>
      </c>
      <c r="AE295" s="19" t="s">
        <v>60</v>
      </c>
    </row>
    <row r="296" spans="1:31" x14ac:dyDescent="0.2">
      <c r="A296">
        <v>287</v>
      </c>
      <c r="B296" s="19" t="s">
        <v>631</v>
      </c>
      <c r="C296">
        <v>24</v>
      </c>
      <c r="D296" s="19" t="s">
        <v>451</v>
      </c>
      <c r="E296" s="19" t="s">
        <v>322</v>
      </c>
      <c r="F296">
        <v>8</v>
      </c>
      <c r="G296">
        <v>1</v>
      </c>
      <c r="H296">
        <v>1</v>
      </c>
      <c r="I296">
        <v>2</v>
      </c>
      <c r="J296">
        <v>-5</v>
      </c>
      <c r="K296">
        <v>2</v>
      </c>
      <c r="L296">
        <v>1</v>
      </c>
      <c r="M296">
        <v>0</v>
      </c>
      <c r="N296">
        <v>0</v>
      </c>
      <c r="O296">
        <v>0</v>
      </c>
      <c r="P296">
        <v>1</v>
      </c>
      <c r="Q296">
        <v>0</v>
      </c>
      <c r="R296">
        <v>0</v>
      </c>
      <c r="S296">
        <v>9</v>
      </c>
      <c r="T296">
        <v>11.1</v>
      </c>
      <c r="U296">
        <v>21</v>
      </c>
      <c r="V296" s="19" t="s">
        <v>2317</v>
      </c>
      <c r="W296" s="19" t="s">
        <v>1785</v>
      </c>
      <c r="X296">
        <v>62</v>
      </c>
      <c r="Y296">
        <v>60</v>
      </c>
      <c r="Z296">
        <v>50.8</v>
      </c>
      <c r="AA296">
        <v>12</v>
      </c>
      <c r="AB296">
        <v>5</v>
      </c>
      <c r="AC296">
        <v>1</v>
      </c>
      <c r="AD296">
        <v>8</v>
      </c>
      <c r="AE296" s="19" t="s">
        <v>60</v>
      </c>
    </row>
    <row r="297" spans="1:31" x14ac:dyDescent="0.2">
      <c r="A297">
        <v>288</v>
      </c>
      <c r="B297" s="19" t="s">
        <v>830</v>
      </c>
      <c r="C297">
        <v>27</v>
      </c>
      <c r="D297" s="19" t="s">
        <v>345</v>
      </c>
      <c r="E297" s="19" t="s">
        <v>322</v>
      </c>
      <c r="F297">
        <v>33</v>
      </c>
      <c r="G297">
        <v>7</v>
      </c>
      <c r="H297">
        <v>7</v>
      </c>
      <c r="I297">
        <v>14</v>
      </c>
      <c r="J297">
        <v>5</v>
      </c>
      <c r="K297">
        <v>18</v>
      </c>
      <c r="L297">
        <v>5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0</v>
      </c>
      <c r="S297">
        <v>53</v>
      </c>
      <c r="T297">
        <v>13.2</v>
      </c>
      <c r="U297">
        <v>88</v>
      </c>
      <c r="V297" s="19" t="s">
        <v>2318</v>
      </c>
      <c r="W297" s="19" t="s">
        <v>790</v>
      </c>
      <c r="X297">
        <v>144</v>
      </c>
      <c r="Y297">
        <v>145</v>
      </c>
      <c r="Z297">
        <v>49.8</v>
      </c>
      <c r="AA297">
        <v>21</v>
      </c>
      <c r="AB297">
        <v>74</v>
      </c>
      <c r="AC297">
        <v>10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750</v>
      </c>
      <c r="C298">
        <v>36</v>
      </c>
      <c r="D298" s="19" t="s">
        <v>333</v>
      </c>
      <c r="E298" s="19" t="s">
        <v>339</v>
      </c>
      <c r="F298">
        <v>22</v>
      </c>
      <c r="G298">
        <v>7</v>
      </c>
      <c r="H298">
        <v>7</v>
      </c>
      <c r="I298">
        <v>14</v>
      </c>
      <c r="J298">
        <v>6</v>
      </c>
      <c r="K298">
        <v>15</v>
      </c>
      <c r="L298">
        <v>7</v>
      </c>
      <c r="M298">
        <v>0</v>
      </c>
      <c r="N298">
        <v>0</v>
      </c>
      <c r="O298">
        <v>0</v>
      </c>
      <c r="P298">
        <v>7</v>
      </c>
      <c r="Q298">
        <v>0</v>
      </c>
      <c r="R298">
        <v>0</v>
      </c>
      <c r="S298">
        <v>35</v>
      </c>
      <c r="T298">
        <v>20</v>
      </c>
      <c r="U298">
        <v>52</v>
      </c>
      <c r="V298" s="19" t="s">
        <v>2319</v>
      </c>
      <c r="W298" s="19" t="s">
        <v>873</v>
      </c>
      <c r="X298">
        <v>29</v>
      </c>
      <c r="Y298">
        <v>29</v>
      </c>
      <c r="Z298">
        <v>50</v>
      </c>
      <c r="AA298">
        <v>7</v>
      </c>
      <c r="AB298">
        <v>34</v>
      </c>
      <c r="AC298">
        <v>3</v>
      </c>
      <c r="AD298">
        <v>14</v>
      </c>
      <c r="AE298" s="19" t="s">
        <v>60</v>
      </c>
    </row>
    <row r="299" spans="1:31" x14ac:dyDescent="0.2">
      <c r="A299">
        <v>290</v>
      </c>
      <c r="B299" s="19" t="s">
        <v>647</v>
      </c>
      <c r="C299">
        <v>32</v>
      </c>
      <c r="D299" s="19" t="s">
        <v>345</v>
      </c>
      <c r="E299" s="19" t="s">
        <v>348</v>
      </c>
      <c r="F299">
        <v>39</v>
      </c>
      <c r="G299">
        <v>2</v>
      </c>
      <c r="H299">
        <v>12</v>
      </c>
      <c r="I299">
        <v>14</v>
      </c>
      <c r="J299">
        <v>10</v>
      </c>
      <c r="K299">
        <v>30</v>
      </c>
      <c r="L299">
        <v>2</v>
      </c>
      <c r="M299">
        <v>0</v>
      </c>
      <c r="N299">
        <v>0</v>
      </c>
      <c r="O299">
        <v>0</v>
      </c>
      <c r="P299">
        <v>11</v>
      </c>
      <c r="Q299">
        <v>0</v>
      </c>
      <c r="R299">
        <v>1</v>
      </c>
      <c r="S299">
        <v>30</v>
      </c>
      <c r="T299">
        <v>6.7</v>
      </c>
      <c r="U299">
        <v>82</v>
      </c>
      <c r="V299" s="19" t="s">
        <v>2320</v>
      </c>
      <c r="W299" s="19" t="s">
        <v>1767</v>
      </c>
      <c r="X299">
        <v>0</v>
      </c>
      <c r="Y299">
        <v>0</v>
      </c>
      <c r="AA299">
        <v>58</v>
      </c>
      <c r="AB299">
        <v>60</v>
      </c>
      <c r="AC299">
        <v>10</v>
      </c>
      <c r="AD299">
        <v>39</v>
      </c>
      <c r="AE299" s="19" t="s">
        <v>60</v>
      </c>
    </row>
    <row r="300" spans="1:31" x14ac:dyDescent="0.2">
      <c r="A300">
        <v>291</v>
      </c>
      <c r="B300" s="19" t="s">
        <v>691</v>
      </c>
      <c r="C300">
        <v>32</v>
      </c>
      <c r="D300" s="19" t="s">
        <v>421</v>
      </c>
      <c r="E300" s="19" t="s">
        <v>348</v>
      </c>
      <c r="F300">
        <v>39</v>
      </c>
      <c r="G300">
        <v>2</v>
      </c>
      <c r="H300">
        <v>12</v>
      </c>
      <c r="I300">
        <v>14</v>
      </c>
      <c r="J300">
        <v>4</v>
      </c>
      <c r="K300">
        <v>17</v>
      </c>
      <c r="L300">
        <v>2</v>
      </c>
      <c r="M300">
        <v>0</v>
      </c>
      <c r="N300">
        <v>0</v>
      </c>
      <c r="O300">
        <v>0</v>
      </c>
      <c r="P300">
        <v>9</v>
      </c>
      <c r="Q300">
        <v>2</v>
      </c>
      <c r="R300">
        <v>1</v>
      </c>
      <c r="S300">
        <v>55</v>
      </c>
      <c r="T300">
        <v>3.6</v>
      </c>
      <c r="U300">
        <v>124</v>
      </c>
      <c r="V300" s="19" t="s">
        <v>2321</v>
      </c>
      <c r="W300" s="19" t="s">
        <v>2020</v>
      </c>
      <c r="X300">
        <v>0</v>
      </c>
      <c r="Y300">
        <v>0</v>
      </c>
      <c r="AA300">
        <v>40</v>
      </c>
      <c r="AB300">
        <v>49</v>
      </c>
      <c r="AC300">
        <v>6</v>
      </c>
      <c r="AD300">
        <v>39</v>
      </c>
      <c r="AE300" s="19" t="s">
        <v>60</v>
      </c>
    </row>
    <row r="301" spans="1:31" x14ac:dyDescent="0.2">
      <c r="A301">
        <v>292</v>
      </c>
      <c r="B301" s="19" t="s">
        <v>648</v>
      </c>
      <c r="C301">
        <v>29</v>
      </c>
      <c r="D301" s="19" t="s">
        <v>354</v>
      </c>
      <c r="E301" s="19" t="s">
        <v>322</v>
      </c>
      <c r="F301">
        <v>38</v>
      </c>
      <c r="G301">
        <v>6</v>
      </c>
      <c r="H301">
        <v>8</v>
      </c>
      <c r="I301">
        <v>14</v>
      </c>
      <c r="J301">
        <v>-6</v>
      </c>
      <c r="K301">
        <v>21</v>
      </c>
      <c r="L301">
        <v>5</v>
      </c>
      <c r="M301">
        <v>1</v>
      </c>
      <c r="N301">
        <v>0</v>
      </c>
      <c r="O301">
        <v>1</v>
      </c>
      <c r="P301">
        <v>5</v>
      </c>
      <c r="Q301">
        <v>3</v>
      </c>
      <c r="R301">
        <v>0</v>
      </c>
      <c r="S301">
        <v>77</v>
      </c>
      <c r="T301">
        <v>7.8</v>
      </c>
      <c r="U301">
        <v>130</v>
      </c>
      <c r="V301" s="19" t="s">
        <v>2322</v>
      </c>
      <c r="W301" s="19" t="s">
        <v>1614</v>
      </c>
      <c r="X301">
        <v>1</v>
      </c>
      <c r="Y301">
        <v>3</v>
      </c>
      <c r="Z301">
        <v>25</v>
      </c>
      <c r="AA301">
        <v>12</v>
      </c>
      <c r="AB301">
        <v>29</v>
      </c>
      <c r="AC301">
        <v>2</v>
      </c>
      <c r="AD301">
        <v>24</v>
      </c>
      <c r="AE301" s="19" t="s">
        <v>60</v>
      </c>
    </row>
    <row r="302" spans="1:31" x14ac:dyDescent="0.2">
      <c r="A302">
        <v>293</v>
      </c>
      <c r="B302" s="19" t="s">
        <v>593</v>
      </c>
      <c r="C302">
        <v>29</v>
      </c>
      <c r="D302" s="19" t="s">
        <v>372</v>
      </c>
      <c r="E302" s="19" t="s">
        <v>348</v>
      </c>
      <c r="F302">
        <v>39</v>
      </c>
      <c r="G302">
        <v>1</v>
      </c>
      <c r="H302">
        <v>13</v>
      </c>
      <c r="I302">
        <v>14</v>
      </c>
      <c r="J302">
        <v>0</v>
      </c>
      <c r="K302">
        <v>20</v>
      </c>
      <c r="L302">
        <v>1</v>
      </c>
      <c r="M302">
        <v>0</v>
      </c>
      <c r="N302">
        <v>0</v>
      </c>
      <c r="O302">
        <v>0</v>
      </c>
      <c r="P302">
        <v>13</v>
      </c>
      <c r="Q302">
        <v>0</v>
      </c>
      <c r="R302">
        <v>0</v>
      </c>
      <c r="S302">
        <v>45</v>
      </c>
      <c r="T302">
        <v>2.2000000000000002</v>
      </c>
      <c r="U302">
        <v>110</v>
      </c>
      <c r="V302" s="19" t="s">
        <v>2323</v>
      </c>
      <c r="W302" s="19" t="s">
        <v>2324</v>
      </c>
      <c r="X302">
        <v>0</v>
      </c>
      <c r="Y302">
        <v>0</v>
      </c>
      <c r="AA302">
        <v>46</v>
      </c>
      <c r="AB302">
        <v>27</v>
      </c>
      <c r="AC302">
        <v>14</v>
      </c>
      <c r="AD302">
        <v>22</v>
      </c>
      <c r="AE302" s="19" t="s">
        <v>60</v>
      </c>
    </row>
    <row r="303" spans="1:31" x14ac:dyDescent="0.2">
      <c r="A303">
        <v>294</v>
      </c>
      <c r="B303" s="19" t="s">
        <v>649</v>
      </c>
      <c r="C303">
        <v>34</v>
      </c>
      <c r="D303" s="19" t="s">
        <v>519</v>
      </c>
      <c r="E303" s="19" t="s">
        <v>348</v>
      </c>
      <c r="F303">
        <v>41</v>
      </c>
      <c r="G303">
        <v>1</v>
      </c>
      <c r="H303">
        <v>13</v>
      </c>
      <c r="I303">
        <v>14</v>
      </c>
      <c r="J303">
        <v>-20</v>
      </c>
      <c r="K303">
        <v>12</v>
      </c>
      <c r="L303">
        <v>1</v>
      </c>
      <c r="M303">
        <v>0</v>
      </c>
      <c r="N303">
        <v>0</v>
      </c>
      <c r="O303">
        <v>0</v>
      </c>
      <c r="P303">
        <v>4</v>
      </c>
      <c r="Q303">
        <v>8</v>
      </c>
      <c r="R303">
        <v>1</v>
      </c>
      <c r="S303">
        <v>58</v>
      </c>
      <c r="T303">
        <v>1.7</v>
      </c>
      <c r="U303">
        <v>141</v>
      </c>
      <c r="V303" s="19" t="s">
        <v>2325</v>
      </c>
      <c r="W303" s="19" t="s">
        <v>2326</v>
      </c>
      <c r="X303">
        <v>0</v>
      </c>
      <c r="Y303">
        <v>0</v>
      </c>
      <c r="AA303">
        <v>38</v>
      </c>
      <c r="AB303">
        <v>5</v>
      </c>
      <c r="AC303">
        <v>9</v>
      </c>
      <c r="AD303">
        <v>33</v>
      </c>
      <c r="AE303" s="19" t="s">
        <v>60</v>
      </c>
    </row>
    <row r="304" spans="1:31" x14ac:dyDescent="0.2">
      <c r="A304">
        <v>295</v>
      </c>
      <c r="B304" s="19" t="s">
        <v>721</v>
      </c>
      <c r="C304">
        <v>29</v>
      </c>
      <c r="D304" s="19" t="s">
        <v>324</v>
      </c>
      <c r="E304" s="19" t="s">
        <v>322</v>
      </c>
      <c r="F304">
        <v>33</v>
      </c>
      <c r="G304">
        <v>8</v>
      </c>
      <c r="H304">
        <v>6</v>
      </c>
      <c r="I304">
        <v>14</v>
      </c>
      <c r="J304">
        <v>-7</v>
      </c>
      <c r="K304">
        <v>14</v>
      </c>
      <c r="L304">
        <v>6</v>
      </c>
      <c r="M304">
        <v>2</v>
      </c>
      <c r="N304">
        <v>0</v>
      </c>
      <c r="O304">
        <v>2</v>
      </c>
      <c r="P304">
        <v>4</v>
      </c>
      <c r="Q304">
        <v>2</v>
      </c>
      <c r="R304">
        <v>0</v>
      </c>
      <c r="S304">
        <v>49</v>
      </c>
      <c r="T304">
        <v>16.3</v>
      </c>
      <c r="U304">
        <v>95</v>
      </c>
      <c r="V304" s="19" t="s">
        <v>2327</v>
      </c>
      <c r="W304" s="19" t="s">
        <v>2328</v>
      </c>
      <c r="X304">
        <v>57</v>
      </c>
      <c r="Y304">
        <v>67</v>
      </c>
      <c r="Z304">
        <v>46</v>
      </c>
      <c r="AA304">
        <v>10</v>
      </c>
      <c r="AB304">
        <v>32</v>
      </c>
      <c r="AC304">
        <v>8</v>
      </c>
      <c r="AD304">
        <v>8</v>
      </c>
      <c r="AE304" s="19" t="s">
        <v>60</v>
      </c>
    </row>
    <row r="305" spans="1:31" x14ac:dyDescent="0.2">
      <c r="A305">
        <v>296</v>
      </c>
      <c r="B305" s="19" t="s">
        <v>766</v>
      </c>
      <c r="C305">
        <v>22</v>
      </c>
      <c r="D305" s="19" t="s">
        <v>329</v>
      </c>
      <c r="E305" s="19" t="s">
        <v>322</v>
      </c>
      <c r="F305">
        <v>40</v>
      </c>
      <c r="G305">
        <v>4</v>
      </c>
      <c r="H305">
        <v>10</v>
      </c>
      <c r="I305">
        <v>14</v>
      </c>
      <c r="J305">
        <v>0</v>
      </c>
      <c r="K305">
        <v>4</v>
      </c>
      <c r="L305">
        <v>3</v>
      </c>
      <c r="M305">
        <v>1</v>
      </c>
      <c r="N305">
        <v>0</v>
      </c>
      <c r="O305">
        <v>0</v>
      </c>
      <c r="P305">
        <v>8</v>
      </c>
      <c r="Q305">
        <v>2</v>
      </c>
      <c r="R305">
        <v>0</v>
      </c>
      <c r="S305">
        <v>50</v>
      </c>
      <c r="T305">
        <v>8</v>
      </c>
      <c r="U305">
        <v>97</v>
      </c>
      <c r="V305" s="19" t="s">
        <v>2329</v>
      </c>
      <c r="W305" s="19" t="s">
        <v>2076</v>
      </c>
      <c r="X305">
        <v>177</v>
      </c>
      <c r="Y305">
        <v>220</v>
      </c>
      <c r="Z305">
        <v>44.6</v>
      </c>
      <c r="AA305">
        <v>19</v>
      </c>
      <c r="AB305">
        <v>26</v>
      </c>
      <c r="AC305">
        <v>13</v>
      </c>
      <c r="AD305">
        <v>27</v>
      </c>
      <c r="AE305" s="19" t="s">
        <v>60</v>
      </c>
    </row>
    <row r="306" spans="1:31" x14ac:dyDescent="0.2">
      <c r="A306">
        <v>297</v>
      </c>
      <c r="B306" s="19" t="s">
        <v>801</v>
      </c>
      <c r="C306">
        <v>23</v>
      </c>
      <c r="D306" s="19" t="s">
        <v>418</v>
      </c>
      <c r="E306" s="19" t="s">
        <v>322</v>
      </c>
      <c r="F306">
        <v>34</v>
      </c>
      <c r="G306">
        <v>5</v>
      </c>
      <c r="H306">
        <v>9</v>
      </c>
      <c r="I306">
        <v>14</v>
      </c>
      <c r="J306">
        <v>-2</v>
      </c>
      <c r="K306">
        <v>43</v>
      </c>
      <c r="L306">
        <v>4</v>
      </c>
      <c r="M306">
        <v>1</v>
      </c>
      <c r="N306">
        <v>0</v>
      </c>
      <c r="O306">
        <v>0</v>
      </c>
      <c r="P306">
        <v>7</v>
      </c>
      <c r="Q306">
        <v>2</v>
      </c>
      <c r="R306">
        <v>0</v>
      </c>
      <c r="S306">
        <v>59</v>
      </c>
      <c r="T306">
        <v>8.5</v>
      </c>
      <c r="U306">
        <v>106</v>
      </c>
      <c r="V306" s="19" t="s">
        <v>2330</v>
      </c>
      <c r="W306" s="19" t="s">
        <v>477</v>
      </c>
      <c r="X306">
        <v>129</v>
      </c>
      <c r="Y306">
        <v>123</v>
      </c>
      <c r="Z306">
        <v>51.2</v>
      </c>
      <c r="AA306">
        <v>23</v>
      </c>
      <c r="AB306">
        <v>42</v>
      </c>
      <c r="AC306">
        <v>9</v>
      </c>
      <c r="AD306">
        <v>19</v>
      </c>
      <c r="AE306" s="19" t="s">
        <v>60</v>
      </c>
    </row>
    <row r="307" spans="1:31" x14ac:dyDescent="0.2">
      <c r="A307">
        <v>298</v>
      </c>
      <c r="B307" s="19" t="s">
        <v>941</v>
      </c>
      <c r="C307">
        <v>29</v>
      </c>
      <c r="D307" s="19" t="s">
        <v>343</v>
      </c>
      <c r="E307" s="19" t="s">
        <v>348</v>
      </c>
      <c r="F307">
        <v>28</v>
      </c>
      <c r="G307">
        <v>2</v>
      </c>
      <c r="H307">
        <v>12</v>
      </c>
      <c r="I307">
        <v>14</v>
      </c>
      <c r="J307">
        <v>-7</v>
      </c>
      <c r="K307">
        <v>4</v>
      </c>
      <c r="L307">
        <v>2</v>
      </c>
      <c r="M307">
        <v>0</v>
      </c>
      <c r="N307">
        <v>0</v>
      </c>
      <c r="O307">
        <v>0</v>
      </c>
      <c r="P307">
        <v>6</v>
      </c>
      <c r="Q307">
        <v>6</v>
      </c>
      <c r="R307">
        <v>0</v>
      </c>
      <c r="S307">
        <v>73</v>
      </c>
      <c r="T307">
        <v>2.7</v>
      </c>
      <c r="U307">
        <v>156</v>
      </c>
      <c r="V307" s="19" t="s">
        <v>2331</v>
      </c>
      <c r="W307" s="19" t="s">
        <v>1946</v>
      </c>
      <c r="X307">
        <v>0</v>
      </c>
      <c r="Y307">
        <v>0</v>
      </c>
      <c r="AA307">
        <v>43</v>
      </c>
      <c r="AB307">
        <v>14</v>
      </c>
      <c r="AC307">
        <v>16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723</v>
      </c>
      <c r="C308">
        <v>24</v>
      </c>
      <c r="D308" s="19" t="s">
        <v>333</v>
      </c>
      <c r="E308" s="19" t="s">
        <v>348</v>
      </c>
      <c r="F308">
        <v>29</v>
      </c>
      <c r="G308">
        <v>2</v>
      </c>
      <c r="H308">
        <v>12</v>
      </c>
      <c r="I308">
        <v>14</v>
      </c>
      <c r="J308">
        <v>-4</v>
      </c>
      <c r="K308">
        <v>10</v>
      </c>
      <c r="L308">
        <v>2</v>
      </c>
      <c r="M308">
        <v>0</v>
      </c>
      <c r="N308">
        <v>0</v>
      </c>
      <c r="O308">
        <v>1</v>
      </c>
      <c r="P308">
        <v>9</v>
      </c>
      <c r="Q308">
        <v>3</v>
      </c>
      <c r="R308">
        <v>0</v>
      </c>
      <c r="S308">
        <v>36</v>
      </c>
      <c r="T308">
        <v>5.6</v>
      </c>
      <c r="U308">
        <v>102</v>
      </c>
      <c r="V308" s="19" t="s">
        <v>2332</v>
      </c>
      <c r="W308" s="19" t="s">
        <v>2333</v>
      </c>
      <c r="X308">
        <v>0</v>
      </c>
      <c r="Y308">
        <v>0</v>
      </c>
      <c r="AA308">
        <v>64</v>
      </c>
      <c r="AB308">
        <v>15</v>
      </c>
      <c r="AC308">
        <v>15</v>
      </c>
      <c r="AD308">
        <v>40</v>
      </c>
      <c r="AE308" s="19" t="s">
        <v>60</v>
      </c>
    </row>
    <row r="309" spans="1:31" x14ac:dyDescent="0.2">
      <c r="A309">
        <v>300</v>
      </c>
      <c r="B309" s="19" t="s">
        <v>772</v>
      </c>
      <c r="C309">
        <v>32</v>
      </c>
      <c r="D309" s="19" t="s">
        <v>345</v>
      </c>
      <c r="E309" s="19" t="s">
        <v>322</v>
      </c>
      <c r="F309">
        <v>39</v>
      </c>
      <c r="G309">
        <v>7</v>
      </c>
      <c r="H309">
        <v>7</v>
      </c>
      <c r="I309">
        <v>14</v>
      </c>
      <c r="J309">
        <v>2</v>
      </c>
      <c r="K309">
        <v>6</v>
      </c>
      <c r="L309">
        <v>5</v>
      </c>
      <c r="M309">
        <v>2</v>
      </c>
      <c r="N309">
        <v>0</v>
      </c>
      <c r="O309">
        <v>1</v>
      </c>
      <c r="P309">
        <v>4</v>
      </c>
      <c r="Q309">
        <v>2</v>
      </c>
      <c r="R309">
        <v>1</v>
      </c>
      <c r="S309">
        <v>56</v>
      </c>
      <c r="T309">
        <v>12.5</v>
      </c>
      <c r="U309">
        <v>96</v>
      </c>
      <c r="V309" s="19" t="s">
        <v>2334</v>
      </c>
      <c r="W309" s="19" t="s">
        <v>1147</v>
      </c>
      <c r="X309">
        <v>9</v>
      </c>
      <c r="Y309">
        <v>9</v>
      </c>
      <c r="Z309">
        <v>50</v>
      </c>
      <c r="AA309">
        <v>29</v>
      </c>
      <c r="AB309">
        <v>58</v>
      </c>
      <c r="AC309">
        <v>6</v>
      </c>
      <c r="AD309">
        <v>12</v>
      </c>
      <c r="AE309" s="19" t="s">
        <v>60</v>
      </c>
    </row>
    <row r="310" spans="1:31" x14ac:dyDescent="0.2">
      <c r="A310">
        <v>301</v>
      </c>
      <c r="B310" s="19" t="s">
        <v>852</v>
      </c>
      <c r="C310">
        <v>25</v>
      </c>
      <c r="D310" s="19" t="s">
        <v>430</v>
      </c>
      <c r="E310" s="19" t="s">
        <v>322</v>
      </c>
      <c r="F310">
        <v>39</v>
      </c>
      <c r="G310">
        <v>3</v>
      </c>
      <c r="H310">
        <v>11</v>
      </c>
      <c r="I310">
        <v>14</v>
      </c>
      <c r="J310">
        <v>-3</v>
      </c>
      <c r="K310">
        <v>40</v>
      </c>
      <c r="L310">
        <v>3</v>
      </c>
      <c r="M310">
        <v>0</v>
      </c>
      <c r="N310">
        <v>0</v>
      </c>
      <c r="O310">
        <v>1</v>
      </c>
      <c r="P310">
        <v>10</v>
      </c>
      <c r="Q310">
        <v>1</v>
      </c>
      <c r="R310">
        <v>0</v>
      </c>
      <c r="S310">
        <v>47</v>
      </c>
      <c r="T310">
        <v>6.4</v>
      </c>
      <c r="U310">
        <v>91</v>
      </c>
      <c r="V310" s="19" t="s">
        <v>2335</v>
      </c>
      <c r="W310" s="19" t="s">
        <v>1399</v>
      </c>
      <c r="X310">
        <v>125</v>
      </c>
      <c r="Y310">
        <v>148</v>
      </c>
      <c r="Z310">
        <v>45.8</v>
      </c>
      <c r="AA310">
        <v>22</v>
      </c>
      <c r="AB310">
        <v>94</v>
      </c>
      <c r="AC310">
        <v>11</v>
      </c>
      <c r="AD310">
        <v>27</v>
      </c>
      <c r="AE310" s="19" t="s">
        <v>60</v>
      </c>
    </row>
    <row r="311" spans="1:31" x14ac:dyDescent="0.2">
      <c r="A311">
        <v>302</v>
      </c>
      <c r="B311" s="19" t="s">
        <v>809</v>
      </c>
      <c r="C311">
        <v>29</v>
      </c>
      <c r="D311" s="19" t="s">
        <v>421</v>
      </c>
      <c r="E311" s="19" t="s">
        <v>325</v>
      </c>
      <c r="F311">
        <v>34</v>
      </c>
      <c r="G311">
        <v>8</v>
      </c>
      <c r="H311">
        <v>6</v>
      </c>
      <c r="I311">
        <v>14</v>
      </c>
      <c r="J311">
        <v>-7</v>
      </c>
      <c r="K311">
        <v>10</v>
      </c>
      <c r="L311">
        <v>3</v>
      </c>
      <c r="M311">
        <v>5</v>
      </c>
      <c r="N311">
        <v>0</v>
      </c>
      <c r="O311">
        <v>0</v>
      </c>
      <c r="P311">
        <v>3</v>
      </c>
      <c r="Q311">
        <v>3</v>
      </c>
      <c r="R311">
        <v>0</v>
      </c>
      <c r="S311">
        <v>44</v>
      </c>
      <c r="T311">
        <v>18.2</v>
      </c>
      <c r="U311">
        <v>101</v>
      </c>
      <c r="V311" s="19" t="s">
        <v>2336</v>
      </c>
      <c r="W311" s="19" t="s">
        <v>1654</v>
      </c>
      <c r="X311">
        <v>0</v>
      </c>
      <c r="Y311">
        <v>0</v>
      </c>
      <c r="AA311">
        <v>10</v>
      </c>
      <c r="AB311">
        <v>18</v>
      </c>
      <c r="AC311">
        <v>7</v>
      </c>
      <c r="AD311">
        <v>33</v>
      </c>
      <c r="AE311" s="19" t="s">
        <v>60</v>
      </c>
    </row>
    <row r="312" spans="1:31" x14ac:dyDescent="0.2">
      <c r="A312">
        <v>303</v>
      </c>
      <c r="B312" s="19" t="s">
        <v>911</v>
      </c>
      <c r="C312">
        <v>34</v>
      </c>
      <c r="D312" s="19" t="s">
        <v>321</v>
      </c>
      <c r="E312" s="19" t="s">
        <v>348</v>
      </c>
      <c r="F312">
        <v>39</v>
      </c>
      <c r="G312">
        <v>2</v>
      </c>
      <c r="H312">
        <v>12</v>
      </c>
      <c r="I312">
        <v>14</v>
      </c>
      <c r="J312">
        <v>27</v>
      </c>
      <c r="K312">
        <v>47</v>
      </c>
      <c r="L312">
        <v>2</v>
      </c>
      <c r="M312">
        <v>0</v>
      </c>
      <c r="N312">
        <v>0</v>
      </c>
      <c r="O312">
        <v>1</v>
      </c>
      <c r="P312">
        <v>12</v>
      </c>
      <c r="Q312">
        <v>0</v>
      </c>
      <c r="R312">
        <v>0</v>
      </c>
      <c r="S312">
        <v>52</v>
      </c>
      <c r="T312">
        <v>3.8</v>
      </c>
      <c r="U312">
        <v>116</v>
      </c>
      <c r="V312" s="19" t="s">
        <v>2337</v>
      </c>
      <c r="W312" s="19" t="s">
        <v>2338</v>
      </c>
      <c r="X312">
        <v>0</v>
      </c>
      <c r="Y312">
        <v>0</v>
      </c>
      <c r="AA312">
        <v>53</v>
      </c>
      <c r="AB312">
        <v>99</v>
      </c>
      <c r="AC312">
        <v>13</v>
      </c>
      <c r="AD312">
        <v>37</v>
      </c>
      <c r="AE312" s="19" t="s">
        <v>60</v>
      </c>
    </row>
    <row r="313" spans="1:31" x14ac:dyDescent="0.2">
      <c r="A313">
        <v>304</v>
      </c>
      <c r="B313" s="19" t="s">
        <v>858</v>
      </c>
      <c r="C313">
        <v>25</v>
      </c>
      <c r="D313" s="19" t="s">
        <v>351</v>
      </c>
      <c r="E313" s="19" t="s">
        <v>348</v>
      </c>
      <c r="F313">
        <v>38</v>
      </c>
      <c r="G313">
        <v>4</v>
      </c>
      <c r="H313">
        <v>10</v>
      </c>
      <c r="I313">
        <v>14</v>
      </c>
      <c r="J313">
        <v>29</v>
      </c>
      <c r="K313">
        <v>22</v>
      </c>
      <c r="L313">
        <v>4</v>
      </c>
      <c r="M313">
        <v>0</v>
      </c>
      <c r="N313">
        <v>0</v>
      </c>
      <c r="O313">
        <v>0</v>
      </c>
      <c r="P313">
        <v>9</v>
      </c>
      <c r="Q313">
        <v>0</v>
      </c>
      <c r="R313">
        <v>1</v>
      </c>
      <c r="S313">
        <v>53</v>
      </c>
      <c r="T313">
        <v>7.5</v>
      </c>
      <c r="U313">
        <v>123</v>
      </c>
      <c r="V313" s="19" t="s">
        <v>2339</v>
      </c>
      <c r="W313" s="19" t="s">
        <v>2340</v>
      </c>
      <c r="X313">
        <v>0</v>
      </c>
      <c r="Y313">
        <v>0</v>
      </c>
      <c r="AA313">
        <v>48</v>
      </c>
      <c r="AB313">
        <v>32</v>
      </c>
      <c r="AC313">
        <v>14</v>
      </c>
      <c r="AD313">
        <v>41</v>
      </c>
      <c r="AE313" s="19" t="s">
        <v>60</v>
      </c>
    </row>
    <row r="314" spans="1:31" x14ac:dyDescent="0.2">
      <c r="A314">
        <v>305</v>
      </c>
      <c r="B314" s="19" t="s">
        <v>922</v>
      </c>
      <c r="C314">
        <v>27</v>
      </c>
      <c r="D314" s="19" t="s">
        <v>336</v>
      </c>
      <c r="E314" s="19" t="s">
        <v>322</v>
      </c>
      <c r="F314">
        <v>33</v>
      </c>
      <c r="G314">
        <v>2</v>
      </c>
      <c r="H314">
        <v>12</v>
      </c>
      <c r="I314">
        <v>14</v>
      </c>
      <c r="J314">
        <v>1</v>
      </c>
      <c r="K314">
        <v>4</v>
      </c>
      <c r="L314">
        <v>2</v>
      </c>
      <c r="M314">
        <v>0</v>
      </c>
      <c r="N314">
        <v>0</v>
      </c>
      <c r="O314">
        <v>0</v>
      </c>
      <c r="P314">
        <v>10</v>
      </c>
      <c r="Q314">
        <v>0</v>
      </c>
      <c r="R314">
        <v>2</v>
      </c>
      <c r="S314">
        <v>32</v>
      </c>
      <c r="T314">
        <v>6.3</v>
      </c>
      <c r="U314">
        <v>64</v>
      </c>
      <c r="V314" s="19" t="s">
        <v>2341</v>
      </c>
      <c r="W314" s="19" t="s">
        <v>2342</v>
      </c>
      <c r="X314">
        <v>176</v>
      </c>
      <c r="Y314">
        <v>205</v>
      </c>
      <c r="Z314">
        <v>46.2</v>
      </c>
      <c r="AA314">
        <v>37</v>
      </c>
      <c r="AB314">
        <v>14</v>
      </c>
      <c r="AC314">
        <v>5</v>
      </c>
      <c r="AD314">
        <v>20</v>
      </c>
      <c r="AE314" s="19" t="s">
        <v>60</v>
      </c>
    </row>
    <row r="315" spans="1:31" x14ac:dyDescent="0.2">
      <c r="A315">
        <v>306</v>
      </c>
      <c r="B315" s="19" t="s">
        <v>696</v>
      </c>
      <c r="C315">
        <v>29</v>
      </c>
      <c r="D315" s="19" t="s">
        <v>380</v>
      </c>
      <c r="E315" s="19" t="s">
        <v>348</v>
      </c>
      <c r="F315">
        <v>39</v>
      </c>
      <c r="G315">
        <v>5</v>
      </c>
      <c r="H315">
        <v>9</v>
      </c>
      <c r="I315">
        <v>14</v>
      </c>
      <c r="J315">
        <v>6</v>
      </c>
      <c r="K315">
        <v>14</v>
      </c>
      <c r="L315">
        <v>5</v>
      </c>
      <c r="M315">
        <v>0</v>
      </c>
      <c r="N315">
        <v>0</v>
      </c>
      <c r="O315">
        <v>0</v>
      </c>
      <c r="P315">
        <v>7</v>
      </c>
      <c r="Q315">
        <v>2</v>
      </c>
      <c r="R315">
        <v>0</v>
      </c>
      <c r="S315">
        <v>75</v>
      </c>
      <c r="T315">
        <v>6.7</v>
      </c>
      <c r="U315">
        <v>167</v>
      </c>
      <c r="V315" s="19" t="s">
        <v>2343</v>
      </c>
      <c r="W315" s="19" t="s">
        <v>2344</v>
      </c>
      <c r="X315">
        <v>0</v>
      </c>
      <c r="Y315">
        <v>0</v>
      </c>
      <c r="AA315">
        <v>68</v>
      </c>
      <c r="AB315">
        <v>21</v>
      </c>
      <c r="AC315">
        <v>13</v>
      </c>
      <c r="AD315">
        <v>67</v>
      </c>
      <c r="AE315" s="19" t="s">
        <v>60</v>
      </c>
    </row>
    <row r="316" spans="1:31" x14ac:dyDescent="0.2">
      <c r="A316">
        <v>307</v>
      </c>
      <c r="B316" s="19" t="s">
        <v>736</v>
      </c>
      <c r="C316">
        <v>28</v>
      </c>
      <c r="D316" s="19" t="s">
        <v>359</v>
      </c>
      <c r="E316" s="19" t="s">
        <v>322</v>
      </c>
      <c r="F316">
        <v>37</v>
      </c>
      <c r="G316">
        <v>4</v>
      </c>
      <c r="H316">
        <v>10</v>
      </c>
      <c r="I316">
        <v>14</v>
      </c>
      <c r="J316">
        <v>3</v>
      </c>
      <c r="K316">
        <v>6</v>
      </c>
      <c r="L316">
        <v>3</v>
      </c>
      <c r="M316">
        <v>1</v>
      </c>
      <c r="N316">
        <v>0</v>
      </c>
      <c r="O316">
        <v>0</v>
      </c>
      <c r="P316">
        <v>9</v>
      </c>
      <c r="Q316">
        <v>0</v>
      </c>
      <c r="R316">
        <v>1</v>
      </c>
      <c r="S316">
        <v>39</v>
      </c>
      <c r="T316">
        <v>10.3</v>
      </c>
      <c r="U316">
        <v>78</v>
      </c>
      <c r="V316" s="19" t="s">
        <v>2345</v>
      </c>
      <c r="W316" s="19" t="s">
        <v>1450</v>
      </c>
      <c r="X316">
        <v>232</v>
      </c>
      <c r="Y316">
        <v>200</v>
      </c>
      <c r="Z316">
        <v>53.7</v>
      </c>
      <c r="AA316">
        <v>16</v>
      </c>
      <c r="AB316">
        <v>41</v>
      </c>
      <c r="AC316">
        <v>14</v>
      </c>
      <c r="AD316">
        <v>31</v>
      </c>
      <c r="AE316" s="19" t="s">
        <v>60</v>
      </c>
    </row>
    <row r="317" spans="1:31" x14ac:dyDescent="0.2">
      <c r="A317">
        <v>308</v>
      </c>
      <c r="B317" s="19" t="s">
        <v>783</v>
      </c>
      <c r="C317">
        <v>25</v>
      </c>
      <c r="D317" s="19" t="s">
        <v>383</v>
      </c>
      <c r="E317" s="19" t="s">
        <v>325</v>
      </c>
      <c r="F317">
        <v>28</v>
      </c>
      <c r="G317">
        <v>4</v>
      </c>
      <c r="H317">
        <v>10</v>
      </c>
      <c r="I317">
        <v>14</v>
      </c>
      <c r="J317">
        <v>-4</v>
      </c>
      <c r="K317">
        <v>2</v>
      </c>
      <c r="L317">
        <v>4</v>
      </c>
      <c r="M317">
        <v>0</v>
      </c>
      <c r="N317">
        <v>0</v>
      </c>
      <c r="O317">
        <v>0</v>
      </c>
      <c r="P317">
        <v>5</v>
      </c>
      <c r="Q317">
        <v>5</v>
      </c>
      <c r="R317">
        <v>0</v>
      </c>
      <c r="S317">
        <v>34</v>
      </c>
      <c r="T317">
        <v>11.8</v>
      </c>
      <c r="U317">
        <v>80</v>
      </c>
      <c r="V317" s="19" t="s">
        <v>2346</v>
      </c>
      <c r="W317" s="19" t="s">
        <v>1923</v>
      </c>
      <c r="X317">
        <v>0</v>
      </c>
      <c r="Y317">
        <v>2</v>
      </c>
      <c r="Z317">
        <v>0</v>
      </c>
      <c r="AA317">
        <v>8</v>
      </c>
      <c r="AB317">
        <v>18</v>
      </c>
      <c r="AC317">
        <v>9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740</v>
      </c>
      <c r="C318">
        <v>27</v>
      </c>
      <c r="D318" s="19" t="s">
        <v>333</v>
      </c>
      <c r="E318" s="19" t="s">
        <v>322</v>
      </c>
      <c r="F318">
        <v>41</v>
      </c>
      <c r="G318">
        <v>6</v>
      </c>
      <c r="H318">
        <v>8</v>
      </c>
      <c r="I318">
        <v>14</v>
      </c>
      <c r="J318">
        <v>-5</v>
      </c>
      <c r="K318">
        <v>18</v>
      </c>
      <c r="L318">
        <v>5</v>
      </c>
      <c r="M318">
        <v>1</v>
      </c>
      <c r="N318">
        <v>0</v>
      </c>
      <c r="O318">
        <v>4</v>
      </c>
      <c r="P318">
        <v>6</v>
      </c>
      <c r="Q318">
        <v>2</v>
      </c>
      <c r="R318">
        <v>0</v>
      </c>
      <c r="S318">
        <v>43</v>
      </c>
      <c r="T318">
        <v>14</v>
      </c>
      <c r="U318">
        <v>87</v>
      </c>
      <c r="V318" s="19" t="s">
        <v>2347</v>
      </c>
      <c r="W318" s="19" t="s">
        <v>1701</v>
      </c>
      <c r="X318">
        <v>94</v>
      </c>
      <c r="Y318">
        <v>80</v>
      </c>
      <c r="Z318">
        <v>54</v>
      </c>
      <c r="AA318">
        <v>17</v>
      </c>
      <c r="AB318">
        <v>44</v>
      </c>
      <c r="AC318">
        <v>11</v>
      </c>
      <c r="AD318">
        <v>25</v>
      </c>
      <c r="AE318" s="19" t="s">
        <v>60</v>
      </c>
    </row>
    <row r="319" spans="1:31" x14ac:dyDescent="0.2">
      <c r="A319">
        <v>310</v>
      </c>
      <c r="B319" s="19" t="s">
        <v>611</v>
      </c>
      <c r="C319">
        <v>29</v>
      </c>
      <c r="D319" s="19" t="s">
        <v>519</v>
      </c>
      <c r="E319" s="19" t="s">
        <v>325</v>
      </c>
      <c r="F319">
        <v>37</v>
      </c>
      <c r="G319">
        <v>7</v>
      </c>
      <c r="H319">
        <v>7</v>
      </c>
      <c r="I319">
        <v>14</v>
      </c>
      <c r="J319">
        <v>-3</v>
      </c>
      <c r="K319">
        <v>12</v>
      </c>
      <c r="L319">
        <v>6</v>
      </c>
      <c r="M319">
        <v>1</v>
      </c>
      <c r="N319">
        <v>0</v>
      </c>
      <c r="O319">
        <v>2</v>
      </c>
      <c r="P319">
        <v>5</v>
      </c>
      <c r="Q319">
        <v>1</v>
      </c>
      <c r="R319">
        <v>1</v>
      </c>
      <c r="S319">
        <v>62</v>
      </c>
      <c r="T319">
        <v>11.3</v>
      </c>
      <c r="U319">
        <v>114</v>
      </c>
      <c r="V319" s="19" t="s">
        <v>1916</v>
      </c>
      <c r="W319" s="19" t="s">
        <v>1805</v>
      </c>
      <c r="X319">
        <v>149</v>
      </c>
      <c r="Y319">
        <v>167</v>
      </c>
      <c r="Z319">
        <v>47.2</v>
      </c>
      <c r="AA319">
        <v>13</v>
      </c>
      <c r="AB319">
        <v>29</v>
      </c>
      <c r="AC319">
        <v>9</v>
      </c>
      <c r="AD319">
        <v>19</v>
      </c>
      <c r="AE319" s="19" t="s">
        <v>60</v>
      </c>
    </row>
    <row r="320" spans="1:31" x14ac:dyDescent="0.2">
      <c r="A320">
        <v>311</v>
      </c>
      <c r="B320" s="19" t="s">
        <v>982</v>
      </c>
      <c r="C320">
        <v>32</v>
      </c>
      <c r="D320" s="19" t="s">
        <v>439</v>
      </c>
      <c r="E320" s="19" t="s">
        <v>348</v>
      </c>
      <c r="F320">
        <v>40</v>
      </c>
      <c r="G320">
        <v>3</v>
      </c>
      <c r="H320">
        <v>11</v>
      </c>
      <c r="I320">
        <v>14</v>
      </c>
      <c r="J320">
        <v>-14</v>
      </c>
      <c r="K320">
        <v>59</v>
      </c>
      <c r="L320">
        <v>3</v>
      </c>
      <c r="M320">
        <v>0</v>
      </c>
      <c r="N320">
        <v>0</v>
      </c>
      <c r="O320">
        <v>0</v>
      </c>
      <c r="P320">
        <v>7</v>
      </c>
      <c r="Q320">
        <v>3</v>
      </c>
      <c r="R320">
        <v>1</v>
      </c>
      <c r="S320">
        <v>93</v>
      </c>
      <c r="T320">
        <v>3.2</v>
      </c>
      <c r="U320">
        <v>215</v>
      </c>
      <c r="V320" s="19" t="s">
        <v>2348</v>
      </c>
      <c r="W320" s="19" t="s">
        <v>2349</v>
      </c>
      <c r="X320">
        <v>0</v>
      </c>
      <c r="Y320">
        <v>0</v>
      </c>
      <c r="AA320">
        <v>86</v>
      </c>
      <c r="AB320">
        <v>97</v>
      </c>
      <c r="AC320">
        <v>14</v>
      </c>
      <c r="AD320">
        <v>66</v>
      </c>
      <c r="AE320" s="19" t="s">
        <v>60</v>
      </c>
    </row>
    <row r="321" spans="1:31" x14ac:dyDescent="0.2">
      <c r="A321">
        <v>312</v>
      </c>
      <c r="B321" s="19" t="s">
        <v>676</v>
      </c>
      <c r="C321">
        <v>20</v>
      </c>
      <c r="D321" s="19" t="s">
        <v>464</v>
      </c>
      <c r="E321" s="19" t="s">
        <v>334</v>
      </c>
      <c r="F321">
        <v>33</v>
      </c>
      <c r="G321">
        <v>8</v>
      </c>
      <c r="H321">
        <v>6</v>
      </c>
      <c r="I321">
        <v>14</v>
      </c>
      <c r="J321">
        <v>-2</v>
      </c>
      <c r="K321">
        <v>2</v>
      </c>
      <c r="L321">
        <v>6</v>
      </c>
      <c r="M321">
        <v>2</v>
      </c>
      <c r="N321">
        <v>0</v>
      </c>
      <c r="O321">
        <v>0</v>
      </c>
      <c r="P321">
        <v>3</v>
      </c>
      <c r="Q321">
        <v>3</v>
      </c>
      <c r="R321">
        <v>0</v>
      </c>
      <c r="S321">
        <v>54</v>
      </c>
      <c r="T321">
        <v>14.8</v>
      </c>
      <c r="U321">
        <v>96</v>
      </c>
      <c r="V321" s="19" t="s">
        <v>2350</v>
      </c>
      <c r="W321" s="19" t="s">
        <v>2351</v>
      </c>
      <c r="X321">
        <v>6</v>
      </c>
      <c r="Y321">
        <v>12</v>
      </c>
      <c r="Z321">
        <v>33.299999999999997</v>
      </c>
      <c r="AA321">
        <v>15</v>
      </c>
      <c r="AB321">
        <v>22</v>
      </c>
      <c r="AC321">
        <v>2</v>
      </c>
      <c r="AD321">
        <v>19</v>
      </c>
      <c r="AE321" s="19" t="s">
        <v>60</v>
      </c>
    </row>
    <row r="322" spans="1:31" x14ac:dyDescent="0.2">
      <c r="A322">
        <v>313</v>
      </c>
      <c r="B322" s="19" t="s">
        <v>678</v>
      </c>
      <c r="C322">
        <v>22</v>
      </c>
      <c r="D322" s="19" t="s">
        <v>536</v>
      </c>
      <c r="E322" s="19" t="s">
        <v>322</v>
      </c>
      <c r="F322">
        <v>38</v>
      </c>
      <c r="G322">
        <v>6</v>
      </c>
      <c r="H322">
        <v>8</v>
      </c>
      <c r="I322">
        <v>14</v>
      </c>
      <c r="J322">
        <v>-2</v>
      </c>
      <c r="K322">
        <v>4</v>
      </c>
      <c r="L322">
        <v>5</v>
      </c>
      <c r="M322">
        <v>1</v>
      </c>
      <c r="N322">
        <v>0</v>
      </c>
      <c r="O322">
        <v>1</v>
      </c>
      <c r="P322">
        <v>6</v>
      </c>
      <c r="Q322">
        <v>2</v>
      </c>
      <c r="R322">
        <v>0</v>
      </c>
      <c r="S322">
        <v>59</v>
      </c>
      <c r="T322">
        <v>10.199999999999999</v>
      </c>
      <c r="U322">
        <v>103</v>
      </c>
      <c r="V322" s="19" t="s">
        <v>2352</v>
      </c>
      <c r="W322" s="19" t="s">
        <v>1407</v>
      </c>
      <c r="X322">
        <v>107</v>
      </c>
      <c r="Y322">
        <v>174</v>
      </c>
      <c r="Z322">
        <v>38.1</v>
      </c>
      <c r="AA322">
        <v>30</v>
      </c>
      <c r="AB322">
        <v>31</v>
      </c>
      <c r="AC322">
        <v>6</v>
      </c>
      <c r="AD322">
        <v>38</v>
      </c>
      <c r="AE322" s="19" t="s">
        <v>60</v>
      </c>
    </row>
    <row r="323" spans="1:31" x14ac:dyDescent="0.2">
      <c r="A323">
        <v>314</v>
      </c>
      <c r="B323" s="19" t="s">
        <v>794</v>
      </c>
      <c r="C323">
        <v>31</v>
      </c>
      <c r="D323" s="19" t="s">
        <v>363</v>
      </c>
      <c r="E323" s="19" t="s">
        <v>334</v>
      </c>
      <c r="F323">
        <v>40</v>
      </c>
      <c r="G323">
        <v>9</v>
      </c>
      <c r="H323">
        <v>4</v>
      </c>
      <c r="I323">
        <v>13</v>
      </c>
      <c r="J323">
        <v>-8</v>
      </c>
      <c r="K323">
        <v>38</v>
      </c>
      <c r="L323">
        <v>8</v>
      </c>
      <c r="M323">
        <v>0</v>
      </c>
      <c r="N323">
        <v>1</v>
      </c>
      <c r="O323">
        <v>0</v>
      </c>
      <c r="P323">
        <v>3</v>
      </c>
      <c r="Q323">
        <v>0</v>
      </c>
      <c r="R323">
        <v>1</v>
      </c>
      <c r="S323">
        <v>52</v>
      </c>
      <c r="T323">
        <v>17.3</v>
      </c>
      <c r="U323">
        <v>91</v>
      </c>
      <c r="V323" s="19" t="s">
        <v>2353</v>
      </c>
      <c r="W323" s="19" t="s">
        <v>1141</v>
      </c>
      <c r="X323">
        <v>18</v>
      </c>
      <c r="Y323">
        <v>9</v>
      </c>
      <c r="Z323">
        <v>66.7</v>
      </c>
      <c r="AA323">
        <v>27</v>
      </c>
      <c r="AB323">
        <v>74</v>
      </c>
      <c r="AC323">
        <v>5</v>
      </c>
      <c r="AD323">
        <v>26</v>
      </c>
      <c r="AE323" s="19" t="s">
        <v>60</v>
      </c>
    </row>
    <row r="324" spans="1:31" x14ac:dyDescent="0.2">
      <c r="A324">
        <v>315</v>
      </c>
      <c r="B324" s="19" t="s">
        <v>685</v>
      </c>
      <c r="C324">
        <v>28</v>
      </c>
      <c r="D324" s="19" t="s">
        <v>366</v>
      </c>
      <c r="E324" s="19" t="s">
        <v>339</v>
      </c>
      <c r="F324">
        <v>41</v>
      </c>
      <c r="G324">
        <v>8</v>
      </c>
      <c r="H324">
        <v>5</v>
      </c>
      <c r="I324">
        <v>13</v>
      </c>
      <c r="J324">
        <v>4</v>
      </c>
      <c r="K324">
        <v>16</v>
      </c>
      <c r="L324">
        <v>8</v>
      </c>
      <c r="M324">
        <v>0</v>
      </c>
      <c r="N324">
        <v>0</v>
      </c>
      <c r="O324">
        <v>3</v>
      </c>
      <c r="P324">
        <v>5</v>
      </c>
      <c r="Q324">
        <v>0</v>
      </c>
      <c r="R324">
        <v>0</v>
      </c>
      <c r="S324">
        <v>85</v>
      </c>
      <c r="T324">
        <v>9.4</v>
      </c>
      <c r="U324">
        <v>145</v>
      </c>
      <c r="V324" s="19" t="s">
        <v>2354</v>
      </c>
      <c r="W324" s="19" t="s">
        <v>2310</v>
      </c>
      <c r="X324">
        <v>10</v>
      </c>
      <c r="Y324">
        <v>9</v>
      </c>
      <c r="Z324">
        <v>52.6</v>
      </c>
      <c r="AA324">
        <v>18</v>
      </c>
      <c r="AB324">
        <v>56</v>
      </c>
      <c r="AC324">
        <v>6</v>
      </c>
      <c r="AD324">
        <v>20</v>
      </c>
      <c r="AE324" s="19" t="s">
        <v>60</v>
      </c>
    </row>
    <row r="325" spans="1:31" x14ac:dyDescent="0.2">
      <c r="A325">
        <v>316</v>
      </c>
      <c r="B325" s="19" t="s">
        <v>753</v>
      </c>
      <c r="C325">
        <v>24</v>
      </c>
      <c r="D325" s="19" t="s">
        <v>333</v>
      </c>
      <c r="E325" s="19" t="s">
        <v>322</v>
      </c>
      <c r="F325">
        <v>41</v>
      </c>
      <c r="G325">
        <v>6</v>
      </c>
      <c r="H325">
        <v>7</v>
      </c>
      <c r="I325">
        <v>13</v>
      </c>
      <c r="J325">
        <v>-10</v>
      </c>
      <c r="K325">
        <v>4</v>
      </c>
      <c r="L325">
        <v>6</v>
      </c>
      <c r="M325">
        <v>0</v>
      </c>
      <c r="N325">
        <v>0</v>
      </c>
      <c r="O325">
        <v>0</v>
      </c>
      <c r="P325">
        <v>5</v>
      </c>
      <c r="Q325">
        <v>2</v>
      </c>
      <c r="R325">
        <v>0</v>
      </c>
      <c r="S325">
        <v>68</v>
      </c>
      <c r="T325">
        <v>8.8000000000000007</v>
      </c>
      <c r="U325">
        <v>107</v>
      </c>
      <c r="V325" s="19" t="s">
        <v>2355</v>
      </c>
      <c r="W325" s="19" t="s">
        <v>1018</v>
      </c>
      <c r="X325">
        <v>51</v>
      </c>
      <c r="Y325">
        <v>67</v>
      </c>
      <c r="Z325">
        <v>43.2</v>
      </c>
      <c r="AA325">
        <v>12</v>
      </c>
      <c r="AB325">
        <v>20</v>
      </c>
      <c r="AC325">
        <v>6</v>
      </c>
      <c r="AD325">
        <v>19</v>
      </c>
      <c r="AE325" s="19" t="s">
        <v>60</v>
      </c>
    </row>
    <row r="326" spans="1:31" x14ac:dyDescent="0.2">
      <c r="A326">
        <v>317</v>
      </c>
      <c r="B326" s="19" t="s">
        <v>754</v>
      </c>
      <c r="C326">
        <v>22</v>
      </c>
      <c r="D326" s="19" t="s">
        <v>343</v>
      </c>
      <c r="E326" s="19" t="s">
        <v>325</v>
      </c>
      <c r="F326">
        <v>23</v>
      </c>
      <c r="G326">
        <v>5</v>
      </c>
      <c r="H326">
        <v>8</v>
      </c>
      <c r="I326">
        <v>13</v>
      </c>
      <c r="J326">
        <v>-7</v>
      </c>
      <c r="K326">
        <v>4</v>
      </c>
      <c r="L326">
        <v>3</v>
      </c>
      <c r="M326">
        <v>2</v>
      </c>
      <c r="N326">
        <v>0</v>
      </c>
      <c r="O326">
        <v>1</v>
      </c>
      <c r="P326">
        <v>8</v>
      </c>
      <c r="Q326">
        <v>0</v>
      </c>
      <c r="R326">
        <v>0</v>
      </c>
      <c r="S326">
        <v>38</v>
      </c>
      <c r="T326">
        <v>13.2</v>
      </c>
      <c r="U326">
        <v>75</v>
      </c>
      <c r="V326" s="19" t="s">
        <v>2356</v>
      </c>
      <c r="W326" s="19" t="s">
        <v>2357</v>
      </c>
      <c r="X326">
        <v>3</v>
      </c>
      <c r="Y326">
        <v>3</v>
      </c>
      <c r="Z326">
        <v>50</v>
      </c>
      <c r="AA326">
        <v>10</v>
      </c>
      <c r="AB326">
        <v>2</v>
      </c>
      <c r="AC326">
        <v>4</v>
      </c>
      <c r="AD326">
        <v>8</v>
      </c>
      <c r="AE326" s="19" t="s">
        <v>60</v>
      </c>
    </row>
    <row r="327" spans="1:31" x14ac:dyDescent="0.2">
      <c r="A327">
        <v>318</v>
      </c>
      <c r="B327" s="19" t="s">
        <v>704</v>
      </c>
      <c r="C327">
        <v>24</v>
      </c>
      <c r="D327" s="19" t="s">
        <v>519</v>
      </c>
      <c r="E327" s="19" t="s">
        <v>348</v>
      </c>
      <c r="F327">
        <v>41</v>
      </c>
      <c r="G327">
        <v>2</v>
      </c>
      <c r="H327">
        <v>11</v>
      </c>
      <c r="I327">
        <v>13</v>
      </c>
      <c r="J327">
        <v>-2</v>
      </c>
      <c r="K327">
        <v>4</v>
      </c>
      <c r="L327">
        <v>2</v>
      </c>
      <c r="M327">
        <v>0</v>
      </c>
      <c r="N327">
        <v>0</v>
      </c>
      <c r="O327">
        <v>0</v>
      </c>
      <c r="P327">
        <v>11</v>
      </c>
      <c r="Q327">
        <v>0</v>
      </c>
      <c r="R327">
        <v>0</v>
      </c>
      <c r="S327">
        <v>52</v>
      </c>
      <c r="T327">
        <v>3.8</v>
      </c>
      <c r="U327">
        <v>136</v>
      </c>
      <c r="V327" s="19" t="s">
        <v>2358</v>
      </c>
      <c r="W327" s="19" t="s">
        <v>1795</v>
      </c>
      <c r="X327">
        <v>0</v>
      </c>
      <c r="Y327">
        <v>0</v>
      </c>
      <c r="AA327">
        <v>68</v>
      </c>
      <c r="AB327">
        <v>17</v>
      </c>
      <c r="AC327">
        <v>11</v>
      </c>
      <c r="AD327">
        <v>57</v>
      </c>
      <c r="AE327" s="19" t="s">
        <v>60</v>
      </c>
    </row>
    <row r="328" spans="1:31" x14ac:dyDescent="0.2">
      <c r="A328">
        <v>319</v>
      </c>
      <c r="B328" s="19" t="s">
        <v>705</v>
      </c>
      <c r="C328">
        <v>29</v>
      </c>
      <c r="D328" s="19" t="s">
        <v>406</v>
      </c>
      <c r="E328" s="19" t="s">
        <v>325</v>
      </c>
      <c r="F328">
        <v>39</v>
      </c>
      <c r="G328">
        <v>6</v>
      </c>
      <c r="H328">
        <v>7</v>
      </c>
      <c r="I328">
        <v>13</v>
      </c>
      <c r="J328">
        <v>-3</v>
      </c>
      <c r="K328">
        <v>18</v>
      </c>
      <c r="L328">
        <v>5</v>
      </c>
      <c r="M328">
        <v>1</v>
      </c>
      <c r="N328">
        <v>0</v>
      </c>
      <c r="O328">
        <v>0</v>
      </c>
      <c r="P328">
        <v>7</v>
      </c>
      <c r="Q328">
        <v>0</v>
      </c>
      <c r="R328">
        <v>0</v>
      </c>
      <c r="S328">
        <v>78</v>
      </c>
      <c r="T328">
        <v>7.7</v>
      </c>
      <c r="U328">
        <v>163</v>
      </c>
      <c r="V328" s="19" t="s">
        <v>2359</v>
      </c>
      <c r="W328" s="19" t="s">
        <v>1809</v>
      </c>
      <c r="X328">
        <v>2</v>
      </c>
      <c r="Y328">
        <v>5</v>
      </c>
      <c r="Z328">
        <v>28.6</v>
      </c>
      <c r="AA328">
        <v>8</v>
      </c>
      <c r="AB328">
        <v>67</v>
      </c>
      <c r="AC328">
        <v>7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706</v>
      </c>
      <c r="C329">
        <v>29</v>
      </c>
      <c r="D329" s="19" t="s">
        <v>418</v>
      </c>
      <c r="E329" s="19" t="s">
        <v>348</v>
      </c>
      <c r="F329">
        <v>24</v>
      </c>
      <c r="G329">
        <v>2</v>
      </c>
      <c r="H329">
        <v>11</v>
      </c>
      <c r="I329">
        <v>13</v>
      </c>
      <c r="J329">
        <v>6</v>
      </c>
      <c r="K329">
        <v>10</v>
      </c>
      <c r="L329">
        <v>1</v>
      </c>
      <c r="M329">
        <v>1</v>
      </c>
      <c r="N329">
        <v>0</v>
      </c>
      <c r="O329">
        <v>0</v>
      </c>
      <c r="P329">
        <v>6</v>
      </c>
      <c r="Q329">
        <v>4</v>
      </c>
      <c r="R329">
        <v>1</v>
      </c>
      <c r="S329">
        <v>33</v>
      </c>
      <c r="T329">
        <v>6.1</v>
      </c>
      <c r="U329">
        <v>104</v>
      </c>
      <c r="V329" s="19" t="s">
        <v>2360</v>
      </c>
      <c r="W329" s="19" t="s">
        <v>2361</v>
      </c>
      <c r="X329">
        <v>0</v>
      </c>
      <c r="Y329">
        <v>0</v>
      </c>
      <c r="AA329">
        <v>48</v>
      </c>
      <c r="AB329">
        <v>15</v>
      </c>
      <c r="AC329">
        <v>7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707</v>
      </c>
      <c r="C330">
        <v>30</v>
      </c>
      <c r="D330" s="19" t="s">
        <v>370</v>
      </c>
      <c r="E330" s="19" t="s">
        <v>339</v>
      </c>
      <c r="F330">
        <v>42</v>
      </c>
      <c r="G330">
        <v>4</v>
      </c>
      <c r="H330">
        <v>9</v>
      </c>
      <c r="I330">
        <v>13</v>
      </c>
      <c r="J330">
        <v>-8</v>
      </c>
      <c r="K330">
        <v>17</v>
      </c>
      <c r="L330">
        <v>4</v>
      </c>
      <c r="M330">
        <v>0</v>
      </c>
      <c r="N330">
        <v>0</v>
      </c>
      <c r="O330">
        <v>0</v>
      </c>
      <c r="P330">
        <v>9</v>
      </c>
      <c r="Q330">
        <v>0</v>
      </c>
      <c r="R330">
        <v>0</v>
      </c>
      <c r="S330">
        <v>46</v>
      </c>
      <c r="T330">
        <v>8.6999999999999993</v>
      </c>
      <c r="U330">
        <v>88</v>
      </c>
      <c r="V330" s="19" t="s">
        <v>2362</v>
      </c>
      <c r="W330" s="19" t="s">
        <v>486</v>
      </c>
      <c r="X330">
        <v>270</v>
      </c>
      <c r="Y330">
        <v>249</v>
      </c>
      <c r="Z330">
        <v>52</v>
      </c>
      <c r="AA330">
        <v>32</v>
      </c>
      <c r="AB330">
        <v>14</v>
      </c>
      <c r="AC330">
        <v>3</v>
      </c>
      <c r="AD330">
        <v>20</v>
      </c>
      <c r="AE330" s="19" t="s">
        <v>60</v>
      </c>
    </row>
    <row r="331" spans="1:31" x14ac:dyDescent="0.2">
      <c r="A331">
        <v>322</v>
      </c>
      <c r="B331" s="19" t="s">
        <v>799</v>
      </c>
      <c r="C331">
        <v>27</v>
      </c>
      <c r="D331" s="19" t="s">
        <v>351</v>
      </c>
      <c r="E331" s="19" t="s">
        <v>348</v>
      </c>
      <c r="F331">
        <v>33</v>
      </c>
      <c r="G331">
        <v>3</v>
      </c>
      <c r="H331">
        <v>10</v>
      </c>
      <c r="I331">
        <v>13</v>
      </c>
      <c r="J331">
        <v>-2</v>
      </c>
      <c r="K331">
        <v>39</v>
      </c>
      <c r="L331">
        <v>3</v>
      </c>
      <c r="M331">
        <v>0</v>
      </c>
      <c r="N331">
        <v>0</v>
      </c>
      <c r="O331">
        <v>2</v>
      </c>
      <c r="P331">
        <v>8</v>
      </c>
      <c r="Q331">
        <v>2</v>
      </c>
      <c r="R331">
        <v>0</v>
      </c>
      <c r="S331">
        <v>38</v>
      </c>
      <c r="T331">
        <v>7.9</v>
      </c>
      <c r="U331">
        <v>90</v>
      </c>
      <c r="V331" s="19" t="s">
        <v>2363</v>
      </c>
      <c r="W331" s="19" t="s">
        <v>1622</v>
      </c>
      <c r="X331">
        <v>0</v>
      </c>
      <c r="Y331">
        <v>0</v>
      </c>
      <c r="AA331">
        <v>34</v>
      </c>
      <c r="AB331">
        <v>37</v>
      </c>
      <c r="AC331">
        <v>10</v>
      </c>
      <c r="AD331">
        <v>26</v>
      </c>
      <c r="AE331" s="19" t="s">
        <v>60</v>
      </c>
    </row>
    <row r="332" spans="1:31" x14ac:dyDescent="0.2">
      <c r="A332">
        <v>323</v>
      </c>
      <c r="B332" s="19" t="s">
        <v>688</v>
      </c>
      <c r="C332">
        <v>30</v>
      </c>
      <c r="D332" s="19" t="s">
        <v>383</v>
      </c>
      <c r="E332" s="19" t="s">
        <v>348</v>
      </c>
      <c r="F332">
        <v>41</v>
      </c>
      <c r="G332">
        <v>1</v>
      </c>
      <c r="H332">
        <v>12</v>
      </c>
      <c r="I332">
        <v>13</v>
      </c>
      <c r="J332">
        <v>-10</v>
      </c>
      <c r="K332">
        <v>29</v>
      </c>
      <c r="L332">
        <v>1</v>
      </c>
      <c r="M332">
        <v>0</v>
      </c>
      <c r="N332">
        <v>0</v>
      </c>
      <c r="O332">
        <v>0</v>
      </c>
      <c r="P332">
        <v>9</v>
      </c>
      <c r="Q332">
        <v>3</v>
      </c>
      <c r="R332">
        <v>0</v>
      </c>
      <c r="S332">
        <v>69</v>
      </c>
      <c r="T332">
        <v>1.4</v>
      </c>
      <c r="U332">
        <v>158</v>
      </c>
      <c r="V332" s="19" t="s">
        <v>2364</v>
      </c>
      <c r="W332" s="19" t="s">
        <v>1776</v>
      </c>
      <c r="X332">
        <v>0</v>
      </c>
      <c r="Y332">
        <v>0</v>
      </c>
      <c r="AA332">
        <v>36</v>
      </c>
      <c r="AB332">
        <v>17</v>
      </c>
      <c r="AC332">
        <v>6</v>
      </c>
      <c r="AD332">
        <v>58</v>
      </c>
      <c r="AE332" s="19" t="s">
        <v>60</v>
      </c>
    </row>
    <row r="333" spans="1:31" x14ac:dyDescent="0.2">
      <c r="A333">
        <v>324</v>
      </c>
      <c r="B333" s="19" t="s">
        <v>710</v>
      </c>
      <c r="C333">
        <v>36</v>
      </c>
      <c r="D333" s="19" t="s">
        <v>421</v>
      </c>
      <c r="E333" s="19" t="s">
        <v>348</v>
      </c>
      <c r="F333">
        <v>32</v>
      </c>
      <c r="G333">
        <v>3</v>
      </c>
      <c r="H333">
        <v>10</v>
      </c>
      <c r="I333">
        <v>13</v>
      </c>
      <c r="J333">
        <v>9</v>
      </c>
      <c r="K333">
        <v>14</v>
      </c>
      <c r="L333">
        <v>3</v>
      </c>
      <c r="M333">
        <v>0</v>
      </c>
      <c r="N333">
        <v>0</v>
      </c>
      <c r="O333">
        <v>0</v>
      </c>
      <c r="P333">
        <v>8</v>
      </c>
      <c r="Q333">
        <v>1</v>
      </c>
      <c r="R333">
        <v>1</v>
      </c>
      <c r="S333">
        <v>43</v>
      </c>
      <c r="T333">
        <v>7</v>
      </c>
      <c r="U333">
        <v>120</v>
      </c>
      <c r="V333" s="19" t="s">
        <v>2365</v>
      </c>
      <c r="W333" s="19" t="s">
        <v>1878</v>
      </c>
      <c r="X333">
        <v>0</v>
      </c>
      <c r="Y333">
        <v>0</v>
      </c>
      <c r="AA333">
        <v>43</v>
      </c>
      <c r="AB333">
        <v>15</v>
      </c>
      <c r="AC333">
        <v>9</v>
      </c>
      <c r="AD333">
        <v>42</v>
      </c>
      <c r="AE333" s="19" t="s">
        <v>60</v>
      </c>
    </row>
    <row r="334" spans="1:31" x14ac:dyDescent="0.2">
      <c r="A334">
        <v>325</v>
      </c>
      <c r="B334" s="19" t="s">
        <v>762</v>
      </c>
      <c r="C334">
        <v>30</v>
      </c>
      <c r="D334" s="19" t="s">
        <v>383</v>
      </c>
      <c r="E334" s="19" t="s">
        <v>339</v>
      </c>
      <c r="F334">
        <v>39</v>
      </c>
      <c r="G334">
        <v>4</v>
      </c>
      <c r="H334">
        <v>9</v>
      </c>
      <c r="I334">
        <v>13</v>
      </c>
      <c r="J334">
        <v>-1</v>
      </c>
      <c r="K334">
        <v>8</v>
      </c>
      <c r="L334">
        <v>3</v>
      </c>
      <c r="M334">
        <v>1</v>
      </c>
      <c r="N334">
        <v>0</v>
      </c>
      <c r="O334">
        <v>1</v>
      </c>
      <c r="P334">
        <v>8</v>
      </c>
      <c r="Q334">
        <v>1</v>
      </c>
      <c r="R334">
        <v>0</v>
      </c>
      <c r="S334">
        <v>47</v>
      </c>
      <c r="T334">
        <v>8.5</v>
      </c>
      <c r="U334">
        <v>91</v>
      </c>
      <c r="V334" s="19" t="s">
        <v>2366</v>
      </c>
      <c r="W334" s="19" t="s">
        <v>2367</v>
      </c>
      <c r="X334">
        <v>4</v>
      </c>
      <c r="Y334">
        <v>5</v>
      </c>
      <c r="Z334">
        <v>44.4</v>
      </c>
      <c r="AA334">
        <v>24</v>
      </c>
      <c r="AB334">
        <v>3</v>
      </c>
      <c r="AC334">
        <v>4</v>
      </c>
      <c r="AD334">
        <v>15</v>
      </c>
      <c r="AE334" s="19" t="s">
        <v>60</v>
      </c>
    </row>
    <row r="335" spans="1:31" x14ac:dyDescent="0.2">
      <c r="A335">
        <v>326</v>
      </c>
      <c r="B335" s="19" t="s">
        <v>622</v>
      </c>
      <c r="C335">
        <v>24</v>
      </c>
      <c r="D335" s="19" t="s">
        <v>408</v>
      </c>
      <c r="E335" s="19" t="s">
        <v>334</v>
      </c>
      <c r="F335">
        <v>21</v>
      </c>
      <c r="G335">
        <v>10</v>
      </c>
      <c r="H335">
        <v>3</v>
      </c>
      <c r="I335">
        <v>13</v>
      </c>
      <c r="J335">
        <v>7</v>
      </c>
      <c r="K335">
        <v>18</v>
      </c>
      <c r="L335">
        <v>7</v>
      </c>
      <c r="M335">
        <v>3</v>
      </c>
      <c r="N335">
        <v>0</v>
      </c>
      <c r="O335">
        <v>2</v>
      </c>
      <c r="P335">
        <v>3</v>
      </c>
      <c r="Q335">
        <v>0</v>
      </c>
      <c r="R335">
        <v>0</v>
      </c>
      <c r="S335">
        <v>41</v>
      </c>
      <c r="T335">
        <v>24.4</v>
      </c>
      <c r="U335">
        <v>75</v>
      </c>
      <c r="V335" s="19" t="s">
        <v>623</v>
      </c>
      <c r="W335" s="19" t="s">
        <v>624</v>
      </c>
      <c r="X335">
        <v>1</v>
      </c>
      <c r="Y335">
        <v>1</v>
      </c>
      <c r="Z335">
        <v>50</v>
      </c>
      <c r="AA335">
        <v>18</v>
      </c>
      <c r="AB335">
        <v>20</v>
      </c>
      <c r="AC335">
        <v>8</v>
      </c>
      <c r="AD335">
        <v>11</v>
      </c>
      <c r="AE335" s="19" t="s">
        <v>60</v>
      </c>
    </row>
    <row r="336" spans="1:31" x14ac:dyDescent="0.2">
      <c r="A336">
        <v>327</v>
      </c>
      <c r="B336" s="19" t="s">
        <v>717</v>
      </c>
      <c r="C336">
        <v>27</v>
      </c>
      <c r="D336" s="19" t="s">
        <v>366</v>
      </c>
      <c r="E336" s="19" t="s">
        <v>325</v>
      </c>
      <c r="F336">
        <v>30</v>
      </c>
      <c r="G336">
        <v>6</v>
      </c>
      <c r="H336">
        <v>7</v>
      </c>
      <c r="I336">
        <v>13</v>
      </c>
      <c r="J336">
        <v>4</v>
      </c>
      <c r="K336">
        <v>10</v>
      </c>
      <c r="L336">
        <v>5</v>
      </c>
      <c r="M336">
        <v>1</v>
      </c>
      <c r="N336">
        <v>0</v>
      </c>
      <c r="O336">
        <v>0</v>
      </c>
      <c r="P336">
        <v>6</v>
      </c>
      <c r="Q336">
        <v>1</v>
      </c>
      <c r="R336">
        <v>0</v>
      </c>
      <c r="S336">
        <v>40</v>
      </c>
      <c r="T336">
        <v>15</v>
      </c>
      <c r="U336">
        <v>77</v>
      </c>
      <c r="V336" s="19" t="s">
        <v>2368</v>
      </c>
      <c r="W336" s="19" t="s">
        <v>2369</v>
      </c>
      <c r="X336">
        <v>1</v>
      </c>
      <c r="Y336">
        <v>3</v>
      </c>
      <c r="Z336">
        <v>25</v>
      </c>
      <c r="AA336">
        <v>16</v>
      </c>
      <c r="AB336">
        <v>24</v>
      </c>
      <c r="AC336">
        <v>5</v>
      </c>
      <c r="AD336">
        <v>11</v>
      </c>
      <c r="AE336" s="19" t="s">
        <v>60</v>
      </c>
    </row>
    <row r="337" spans="1:31" x14ac:dyDescent="0.2">
      <c r="A337">
        <v>328</v>
      </c>
      <c r="B337" s="19" t="s">
        <v>719</v>
      </c>
      <c r="C337">
        <v>33</v>
      </c>
      <c r="D337" s="19" t="s">
        <v>363</v>
      </c>
      <c r="E337" s="19" t="s">
        <v>334</v>
      </c>
      <c r="F337">
        <v>40</v>
      </c>
      <c r="G337">
        <v>2</v>
      </c>
      <c r="H337">
        <v>11</v>
      </c>
      <c r="I337">
        <v>13</v>
      </c>
      <c r="J337">
        <v>2</v>
      </c>
      <c r="K337">
        <v>16</v>
      </c>
      <c r="L337">
        <v>1</v>
      </c>
      <c r="M337">
        <v>1</v>
      </c>
      <c r="N337">
        <v>0</v>
      </c>
      <c r="O337">
        <v>0</v>
      </c>
      <c r="P337">
        <v>9</v>
      </c>
      <c r="Q337">
        <v>2</v>
      </c>
      <c r="R337">
        <v>0</v>
      </c>
      <c r="S337">
        <v>60</v>
      </c>
      <c r="T337">
        <v>3.3</v>
      </c>
      <c r="U337">
        <v>120</v>
      </c>
      <c r="V337" s="19" t="s">
        <v>2370</v>
      </c>
      <c r="W337" s="19" t="s">
        <v>1223</v>
      </c>
      <c r="X337">
        <v>5</v>
      </c>
      <c r="Y337">
        <v>3</v>
      </c>
      <c r="Z337">
        <v>62.5</v>
      </c>
      <c r="AA337">
        <v>7</v>
      </c>
      <c r="AB337">
        <v>45</v>
      </c>
      <c r="AC337">
        <v>6</v>
      </c>
      <c r="AD337">
        <v>16</v>
      </c>
      <c r="AE337" s="19" t="s">
        <v>60</v>
      </c>
    </row>
    <row r="338" spans="1:31" x14ac:dyDescent="0.2">
      <c r="A338">
        <v>329</v>
      </c>
      <c r="B338" s="19" t="s">
        <v>722</v>
      </c>
      <c r="C338">
        <v>34</v>
      </c>
      <c r="D338" s="19" t="s">
        <v>351</v>
      </c>
      <c r="E338" s="19" t="s">
        <v>322</v>
      </c>
      <c r="F338">
        <v>40</v>
      </c>
      <c r="G338">
        <v>5</v>
      </c>
      <c r="H338">
        <v>8</v>
      </c>
      <c r="I338">
        <v>13</v>
      </c>
      <c r="J338">
        <v>3</v>
      </c>
      <c r="K338">
        <v>35</v>
      </c>
      <c r="L338">
        <v>5</v>
      </c>
      <c r="M338">
        <v>0</v>
      </c>
      <c r="N338">
        <v>0</v>
      </c>
      <c r="O338">
        <v>1</v>
      </c>
      <c r="P338">
        <v>8</v>
      </c>
      <c r="Q338">
        <v>0</v>
      </c>
      <c r="R338">
        <v>0</v>
      </c>
      <c r="S338">
        <v>58</v>
      </c>
      <c r="T338">
        <v>8.6</v>
      </c>
      <c r="U338">
        <v>103</v>
      </c>
      <c r="V338" s="19" t="s">
        <v>2371</v>
      </c>
      <c r="W338" s="19" t="s">
        <v>570</v>
      </c>
      <c r="X338">
        <v>178</v>
      </c>
      <c r="Y338">
        <v>221</v>
      </c>
      <c r="Z338">
        <v>44.6</v>
      </c>
      <c r="AA338">
        <v>19</v>
      </c>
      <c r="AB338">
        <v>55</v>
      </c>
      <c r="AC338">
        <v>8</v>
      </c>
      <c r="AD338">
        <v>37</v>
      </c>
      <c r="AE338" s="19" t="s">
        <v>60</v>
      </c>
    </row>
    <row r="339" spans="1:31" x14ac:dyDescent="0.2">
      <c r="A339">
        <v>330</v>
      </c>
      <c r="B339" s="19" t="s">
        <v>804</v>
      </c>
      <c r="C339">
        <v>24</v>
      </c>
      <c r="D339" s="19" t="s">
        <v>333</v>
      </c>
      <c r="E339" s="19" t="s">
        <v>325</v>
      </c>
      <c r="F339">
        <v>40</v>
      </c>
      <c r="G339">
        <v>6</v>
      </c>
      <c r="H339">
        <v>7</v>
      </c>
      <c r="I339">
        <v>13</v>
      </c>
      <c r="J339">
        <v>-3</v>
      </c>
      <c r="K339">
        <v>21</v>
      </c>
      <c r="L339">
        <v>5</v>
      </c>
      <c r="M339">
        <v>1</v>
      </c>
      <c r="N339">
        <v>0</v>
      </c>
      <c r="O339">
        <v>1</v>
      </c>
      <c r="P339">
        <v>7</v>
      </c>
      <c r="Q339">
        <v>0</v>
      </c>
      <c r="R339">
        <v>0</v>
      </c>
      <c r="S339">
        <v>41</v>
      </c>
      <c r="T339">
        <v>14.6</v>
      </c>
      <c r="U339">
        <v>69</v>
      </c>
      <c r="V339" s="19" t="s">
        <v>2372</v>
      </c>
      <c r="W339" s="19" t="s">
        <v>831</v>
      </c>
      <c r="X339">
        <v>55</v>
      </c>
      <c r="Y339">
        <v>42</v>
      </c>
      <c r="Z339">
        <v>56.7</v>
      </c>
      <c r="AA339">
        <v>18</v>
      </c>
      <c r="AB339">
        <v>61</v>
      </c>
      <c r="AC339">
        <v>11</v>
      </c>
      <c r="AD339">
        <v>11</v>
      </c>
      <c r="AE339" s="19" t="s">
        <v>60</v>
      </c>
    </row>
    <row r="340" spans="1:31" x14ac:dyDescent="0.2">
      <c r="A340">
        <v>331</v>
      </c>
      <c r="B340" s="19" t="s">
        <v>773</v>
      </c>
      <c r="C340">
        <v>26</v>
      </c>
      <c r="D340" s="19" t="s">
        <v>354</v>
      </c>
      <c r="E340" s="19" t="s">
        <v>322</v>
      </c>
      <c r="F340">
        <v>41</v>
      </c>
      <c r="G340">
        <v>6</v>
      </c>
      <c r="H340">
        <v>7</v>
      </c>
      <c r="I340">
        <v>13</v>
      </c>
      <c r="J340">
        <v>4</v>
      </c>
      <c r="K340">
        <v>78</v>
      </c>
      <c r="L340">
        <v>6</v>
      </c>
      <c r="M340">
        <v>0</v>
      </c>
      <c r="N340">
        <v>0</v>
      </c>
      <c r="O340">
        <v>2</v>
      </c>
      <c r="P340">
        <v>6</v>
      </c>
      <c r="Q340">
        <v>1</v>
      </c>
      <c r="R340">
        <v>0</v>
      </c>
      <c r="S340">
        <v>56</v>
      </c>
      <c r="T340">
        <v>10.7</v>
      </c>
      <c r="U340">
        <v>116</v>
      </c>
      <c r="V340" s="19" t="s">
        <v>2373</v>
      </c>
      <c r="W340" s="19" t="s">
        <v>1803</v>
      </c>
      <c r="X340">
        <v>176</v>
      </c>
      <c r="Y340">
        <v>118</v>
      </c>
      <c r="Z340">
        <v>59.9</v>
      </c>
      <c r="AA340">
        <v>38</v>
      </c>
      <c r="AB340">
        <v>111</v>
      </c>
      <c r="AC340">
        <v>18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656</v>
      </c>
      <c r="C341">
        <v>26</v>
      </c>
      <c r="D341" s="19" t="s">
        <v>321</v>
      </c>
      <c r="E341" s="19" t="s">
        <v>325</v>
      </c>
      <c r="F341">
        <v>39</v>
      </c>
      <c r="G341">
        <v>7</v>
      </c>
      <c r="H341">
        <v>6</v>
      </c>
      <c r="I341">
        <v>13</v>
      </c>
      <c r="J341">
        <v>8</v>
      </c>
      <c r="K341">
        <v>14</v>
      </c>
      <c r="L341">
        <v>6</v>
      </c>
      <c r="M341">
        <v>0</v>
      </c>
      <c r="N341">
        <v>1</v>
      </c>
      <c r="O341">
        <v>2</v>
      </c>
      <c r="P341">
        <v>6</v>
      </c>
      <c r="Q341">
        <v>0</v>
      </c>
      <c r="R341">
        <v>0</v>
      </c>
      <c r="S341">
        <v>53</v>
      </c>
      <c r="T341">
        <v>13.2</v>
      </c>
      <c r="U341">
        <v>95</v>
      </c>
      <c r="V341" s="19" t="s">
        <v>2374</v>
      </c>
      <c r="W341" s="19" t="s">
        <v>1265</v>
      </c>
      <c r="X341">
        <v>33</v>
      </c>
      <c r="Y341">
        <v>51</v>
      </c>
      <c r="Z341">
        <v>39.299999999999997</v>
      </c>
      <c r="AA341">
        <v>24</v>
      </c>
      <c r="AB341">
        <v>81</v>
      </c>
      <c r="AC341">
        <v>8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850</v>
      </c>
      <c r="C342">
        <v>23</v>
      </c>
      <c r="D342" s="19" t="s">
        <v>354</v>
      </c>
      <c r="E342" s="19" t="s">
        <v>322</v>
      </c>
      <c r="F342">
        <v>36</v>
      </c>
      <c r="G342">
        <v>5</v>
      </c>
      <c r="H342">
        <v>8</v>
      </c>
      <c r="I342">
        <v>13</v>
      </c>
      <c r="J342">
        <v>-3</v>
      </c>
      <c r="K342">
        <v>10</v>
      </c>
      <c r="L342">
        <v>5</v>
      </c>
      <c r="M342">
        <v>0</v>
      </c>
      <c r="N342">
        <v>0</v>
      </c>
      <c r="O342">
        <v>1</v>
      </c>
      <c r="P342">
        <v>7</v>
      </c>
      <c r="Q342">
        <v>1</v>
      </c>
      <c r="R342">
        <v>0</v>
      </c>
      <c r="S342">
        <v>37</v>
      </c>
      <c r="T342">
        <v>13.5</v>
      </c>
      <c r="U342">
        <v>70</v>
      </c>
      <c r="V342" s="19" t="s">
        <v>2375</v>
      </c>
      <c r="W342" s="19" t="s">
        <v>1407</v>
      </c>
      <c r="X342">
        <v>33</v>
      </c>
      <c r="Y342">
        <v>36</v>
      </c>
      <c r="Z342">
        <v>47.8</v>
      </c>
      <c r="AA342">
        <v>18</v>
      </c>
      <c r="AB342">
        <v>18</v>
      </c>
      <c r="AC342">
        <v>12</v>
      </c>
      <c r="AD342">
        <v>22</v>
      </c>
      <c r="AE342" s="19" t="s">
        <v>60</v>
      </c>
    </row>
    <row r="343" spans="1:31" x14ac:dyDescent="0.2">
      <c r="A343">
        <v>334</v>
      </c>
      <c r="B343" s="19" t="s">
        <v>729</v>
      </c>
      <c r="C343">
        <v>32</v>
      </c>
      <c r="D343" s="19" t="s">
        <v>354</v>
      </c>
      <c r="E343" s="19" t="s">
        <v>348</v>
      </c>
      <c r="F343">
        <v>33</v>
      </c>
      <c r="G343">
        <v>3</v>
      </c>
      <c r="H343">
        <v>10</v>
      </c>
      <c r="I343">
        <v>13</v>
      </c>
      <c r="J343">
        <v>-7</v>
      </c>
      <c r="K343">
        <v>34</v>
      </c>
      <c r="L343">
        <v>2</v>
      </c>
      <c r="M343">
        <v>1</v>
      </c>
      <c r="N343">
        <v>0</v>
      </c>
      <c r="O343">
        <v>2</v>
      </c>
      <c r="P343">
        <v>8</v>
      </c>
      <c r="Q343">
        <v>2</v>
      </c>
      <c r="R343">
        <v>0</v>
      </c>
      <c r="S343">
        <v>58</v>
      </c>
      <c r="T343">
        <v>5.2</v>
      </c>
      <c r="U343">
        <v>136</v>
      </c>
      <c r="V343" s="19" t="s">
        <v>2376</v>
      </c>
      <c r="W343" s="19" t="s">
        <v>2377</v>
      </c>
      <c r="X343">
        <v>0</v>
      </c>
      <c r="Y343">
        <v>0</v>
      </c>
      <c r="AA343">
        <v>56</v>
      </c>
      <c r="AB343">
        <v>4</v>
      </c>
      <c r="AC343">
        <v>11</v>
      </c>
      <c r="AD343">
        <v>37</v>
      </c>
      <c r="AE343" s="19" t="s">
        <v>60</v>
      </c>
    </row>
    <row r="344" spans="1:31" x14ac:dyDescent="0.2">
      <c r="A344">
        <v>335</v>
      </c>
      <c r="B344" s="19" t="s">
        <v>733</v>
      </c>
      <c r="C344">
        <v>33</v>
      </c>
      <c r="D344" s="19" t="s">
        <v>398</v>
      </c>
      <c r="E344" s="19" t="s">
        <v>339</v>
      </c>
      <c r="F344">
        <v>37</v>
      </c>
      <c r="G344">
        <v>6</v>
      </c>
      <c r="H344">
        <v>7</v>
      </c>
      <c r="I344">
        <v>13</v>
      </c>
      <c r="J344">
        <v>3</v>
      </c>
      <c r="K344">
        <v>17</v>
      </c>
      <c r="L344">
        <v>5</v>
      </c>
      <c r="M344">
        <v>0</v>
      </c>
      <c r="N344">
        <v>1</v>
      </c>
      <c r="O344">
        <v>2</v>
      </c>
      <c r="P344">
        <v>7</v>
      </c>
      <c r="Q344">
        <v>0</v>
      </c>
      <c r="R344">
        <v>0</v>
      </c>
      <c r="S344">
        <v>47</v>
      </c>
      <c r="T344">
        <v>12.8</v>
      </c>
      <c r="U344">
        <v>117</v>
      </c>
      <c r="V344" s="19" t="s">
        <v>2378</v>
      </c>
      <c r="W344" s="19" t="s">
        <v>2379</v>
      </c>
      <c r="X344">
        <v>19</v>
      </c>
      <c r="Y344">
        <v>21</v>
      </c>
      <c r="Z344">
        <v>47.5</v>
      </c>
      <c r="AA344">
        <v>23</v>
      </c>
      <c r="AB344">
        <v>62</v>
      </c>
      <c r="AC344">
        <v>7</v>
      </c>
      <c r="AD344">
        <v>20</v>
      </c>
      <c r="AE344" s="19" t="s">
        <v>60</v>
      </c>
    </row>
    <row r="345" spans="1:31" x14ac:dyDescent="0.2">
      <c r="A345">
        <v>336</v>
      </c>
      <c r="B345" s="19" t="s">
        <v>663</v>
      </c>
      <c r="C345">
        <v>30</v>
      </c>
      <c r="D345" s="19" t="s">
        <v>421</v>
      </c>
      <c r="E345" s="19" t="s">
        <v>339</v>
      </c>
      <c r="F345">
        <v>37</v>
      </c>
      <c r="G345">
        <v>5</v>
      </c>
      <c r="H345">
        <v>8</v>
      </c>
      <c r="I345">
        <v>13</v>
      </c>
      <c r="J345">
        <v>0</v>
      </c>
      <c r="K345">
        <v>6</v>
      </c>
      <c r="L345">
        <v>4</v>
      </c>
      <c r="M345">
        <v>0</v>
      </c>
      <c r="N345">
        <v>1</v>
      </c>
      <c r="O345">
        <v>1</v>
      </c>
      <c r="P345">
        <v>7</v>
      </c>
      <c r="Q345">
        <v>0</v>
      </c>
      <c r="R345">
        <v>1</v>
      </c>
      <c r="S345">
        <v>67</v>
      </c>
      <c r="T345">
        <v>7.5</v>
      </c>
      <c r="U345">
        <v>135</v>
      </c>
      <c r="V345" s="19" t="s">
        <v>2380</v>
      </c>
      <c r="W345" s="19" t="s">
        <v>2381</v>
      </c>
      <c r="X345">
        <v>3</v>
      </c>
      <c r="Y345">
        <v>12</v>
      </c>
      <c r="Z345">
        <v>20</v>
      </c>
      <c r="AA345">
        <v>22</v>
      </c>
      <c r="AB345">
        <v>22</v>
      </c>
      <c r="AC345">
        <v>16</v>
      </c>
      <c r="AD345">
        <v>30</v>
      </c>
      <c r="AE345" s="19" t="s">
        <v>60</v>
      </c>
    </row>
    <row r="346" spans="1:31" x14ac:dyDescent="0.2">
      <c r="A346">
        <v>337</v>
      </c>
      <c r="B346" s="19" t="s">
        <v>818</v>
      </c>
      <c r="C346">
        <v>32</v>
      </c>
      <c r="D346" s="19" t="s">
        <v>375</v>
      </c>
      <c r="E346" s="19" t="s">
        <v>334</v>
      </c>
      <c r="F346">
        <v>19</v>
      </c>
      <c r="G346">
        <v>4</v>
      </c>
      <c r="H346">
        <v>9</v>
      </c>
      <c r="I346">
        <v>13</v>
      </c>
      <c r="J346">
        <v>-2</v>
      </c>
      <c r="K346">
        <v>2</v>
      </c>
      <c r="L346">
        <v>2</v>
      </c>
      <c r="M346">
        <v>2</v>
      </c>
      <c r="N346">
        <v>0</v>
      </c>
      <c r="O346">
        <v>0</v>
      </c>
      <c r="P346">
        <v>5</v>
      </c>
      <c r="Q346">
        <v>3</v>
      </c>
      <c r="R346">
        <v>1</v>
      </c>
      <c r="S346">
        <v>48</v>
      </c>
      <c r="T346">
        <v>8.3000000000000007</v>
      </c>
      <c r="U346">
        <v>88</v>
      </c>
      <c r="V346" s="19" t="s">
        <v>2382</v>
      </c>
      <c r="W346" s="19" t="s">
        <v>1882</v>
      </c>
      <c r="X346">
        <v>1</v>
      </c>
      <c r="Y346">
        <v>14</v>
      </c>
      <c r="Z346">
        <v>6.7</v>
      </c>
      <c r="AA346">
        <v>17</v>
      </c>
      <c r="AB346">
        <v>26</v>
      </c>
      <c r="AC346">
        <v>12</v>
      </c>
      <c r="AD346">
        <v>12</v>
      </c>
      <c r="AE346" s="19" t="s">
        <v>60</v>
      </c>
    </row>
    <row r="347" spans="1:31" x14ac:dyDescent="0.2">
      <c r="A347">
        <v>338</v>
      </c>
      <c r="B347" s="19" t="s">
        <v>819</v>
      </c>
      <c r="C347">
        <v>26</v>
      </c>
      <c r="D347" s="19" t="s">
        <v>370</v>
      </c>
      <c r="E347" s="19" t="s">
        <v>322</v>
      </c>
      <c r="F347">
        <v>37</v>
      </c>
      <c r="G347">
        <v>5</v>
      </c>
      <c r="H347">
        <v>8</v>
      </c>
      <c r="I347">
        <v>13</v>
      </c>
      <c r="J347">
        <v>-3</v>
      </c>
      <c r="K347">
        <v>4</v>
      </c>
      <c r="L347">
        <v>5</v>
      </c>
      <c r="M347">
        <v>0</v>
      </c>
      <c r="N347">
        <v>0</v>
      </c>
      <c r="O347">
        <v>0</v>
      </c>
      <c r="P347">
        <v>8</v>
      </c>
      <c r="Q347">
        <v>0</v>
      </c>
      <c r="R347">
        <v>0</v>
      </c>
      <c r="S347">
        <v>41</v>
      </c>
      <c r="T347">
        <v>12.2</v>
      </c>
      <c r="U347">
        <v>84</v>
      </c>
      <c r="V347" s="19" t="s">
        <v>1918</v>
      </c>
      <c r="W347" s="19" t="s">
        <v>1009</v>
      </c>
      <c r="X347">
        <v>70</v>
      </c>
      <c r="Y347">
        <v>51</v>
      </c>
      <c r="Z347">
        <v>57.9</v>
      </c>
      <c r="AA347">
        <v>27</v>
      </c>
      <c r="AB347">
        <v>38</v>
      </c>
      <c r="AC347">
        <v>5</v>
      </c>
      <c r="AD347">
        <v>19</v>
      </c>
      <c r="AE347" s="19" t="s">
        <v>60</v>
      </c>
    </row>
    <row r="348" spans="1:31" x14ac:dyDescent="0.2">
      <c r="A348">
        <v>339</v>
      </c>
      <c r="B348" s="19" t="s">
        <v>866</v>
      </c>
      <c r="C348">
        <v>25</v>
      </c>
      <c r="D348" s="19" t="s">
        <v>366</v>
      </c>
      <c r="E348" s="19" t="s">
        <v>348</v>
      </c>
      <c r="F348">
        <v>35</v>
      </c>
      <c r="G348">
        <v>2</v>
      </c>
      <c r="H348">
        <v>11</v>
      </c>
      <c r="I348">
        <v>13</v>
      </c>
      <c r="J348">
        <v>8</v>
      </c>
      <c r="K348">
        <v>8</v>
      </c>
      <c r="L348">
        <v>2</v>
      </c>
      <c r="M348">
        <v>0</v>
      </c>
      <c r="N348">
        <v>0</v>
      </c>
      <c r="O348">
        <v>0</v>
      </c>
      <c r="P348">
        <v>11</v>
      </c>
      <c r="Q348">
        <v>0</v>
      </c>
      <c r="R348">
        <v>0</v>
      </c>
      <c r="S348">
        <v>41</v>
      </c>
      <c r="T348">
        <v>4.9000000000000004</v>
      </c>
      <c r="U348">
        <v>94</v>
      </c>
      <c r="V348" s="19" t="s">
        <v>2383</v>
      </c>
      <c r="W348" s="19" t="s">
        <v>514</v>
      </c>
      <c r="X348">
        <v>0</v>
      </c>
      <c r="Y348">
        <v>0</v>
      </c>
      <c r="AA348">
        <v>61</v>
      </c>
      <c r="AB348">
        <v>47</v>
      </c>
      <c r="AC348">
        <v>12</v>
      </c>
      <c r="AD348">
        <v>43</v>
      </c>
      <c r="AE348" s="19" t="s">
        <v>60</v>
      </c>
    </row>
    <row r="349" spans="1:31" x14ac:dyDescent="0.2">
      <c r="A349">
        <v>340</v>
      </c>
      <c r="B349" s="19" t="s">
        <v>737</v>
      </c>
      <c r="C349">
        <v>22</v>
      </c>
      <c r="D349" s="19" t="s">
        <v>327</v>
      </c>
      <c r="E349" s="19" t="s">
        <v>322</v>
      </c>
      <c r="F349">
        <v>41</v>
      </c>
      <c r="G349">
        <v>7</v>
      </c>
      <c r="H349">
        <v>6</v>
      </c>
      <c r="I349">
        <v>13</v>
      </c>
      <c r="J349">
        <v>1</v>
      </c>
      <c r="K349">
        <v>12</v>
      </c>
      <c r="L349">
        <v>4</v>
      </c>
      <c r="M349">
        <v>2</v>
      </c>
      <c r="N349">
        <v>1</v>
      </c>
      <c r="O349">
        <v>1</v>
      </c>
      <c r="P349">
        <v>4</v>
      </c>
      <c r="Q349">
        <v>2</v>
      </c>
      <c r="R349">
        <v>0</v>
      </c>
      <c r="S349">
        <v>52</v>
      </c>
      <c r="T349">
        <v>13.5</v>
      </c>
      <c r="U349">
        <v>96</v>
      </c>
      <c r="V349" s="19" t="s">
        <v>2384</v>
      </c>
      <c r="W349" s="19" t="s">
        <v>1592</v>
      </c>
      <c r="X349">
        <v>18</v>
      </c>
      <c r="Y349">
        <v>18</v>
      </c>
      <c r="Z349">
        <v>50</v>
      </c>
      <c r="AA349">
        <v>20</v>
      </c>
      <c r="AB349">
        <v>6</v>
      </c>
      <c r="AC349">
        <v>16</v>
      </c>
      <c r="AD349">
        <v>31</v>
      </c>
      <c r="AE349" s="19" t="s">
        <v>60</v>
      </c>
    </row>
    <row r="350" spans="1:31" x14ac:dyDescent="0.2">
      <c r="A350">
        <v>341</v>
      </c>
      <c r="B350" s="19" t="s">
        <v>824</v>
      </c>
      <c r="C350">
        <v>27</v>
      </c>
      <c r="D350" s="19" t="s">
        <v>439</v>
      </c>
      <c r="E350" s="19" t="s">
        <v>322</v>
      </c>
      <c r="F350">
        <v>36</v>
      </c>
      <c r="G350">
        <v>8</v>
      </c>
      <c r="H350">
        <v>5</v>
      </c>
      <c r="I350">
        <v>13</v>
      </c>
      <c r="J350">
        <v>-9</v>
      </c>
      <c r="K350">
        <v>2</v>
      </c>
      <c r="L350">
        <v>6</v>
      </c>
      <c r="M350">
        <v>2</v>
      </c>
      <c r="N350">
        <v>0</v>
      </c>
      <c r="O350">
        <v>1</v>
      </c>
      <c r="P350">
        <v>5</v>
      </c>
      <c r="Q350">
        <v>0</v>
      </c>
      <c r="R350">
        <v>0</v>
      </c>
      <c r="S350">
        <v>64</v>
      </c>
      <c r="T350">
        <v>12.5</v>
      </c>
      <c r="U350">
        <v>129</v>
      </c>
      <c r="V350" s="19" t="s">
        <v>2385</v>
      </c>
      <c r="W350" s="19" t="s">
        <v>2290</v>
      </c>
      <c r="X350">
        <v>14</v>
      </c>
      <c r="Y350">
        <v>38</v>
      </c>
      <c r="Z350">
        <v>26.9</v>
      </c>
      <c r="AA350">
        <v>10</v>
      </c>
      <c r="AB350">
        <v>8</v>
      </c>
      <c r="AC350">
        <v>7</v>
      </c>
      <c r="AD350">
        <v>22</v>
      </c>
      <c r="AE350" s="19" t="s">
        <v>60</v>
      </c>
    </row>
    <row r="351" spans="1:31" x14ac:dyDescent="0.2">
      <c r="A351">
        <v>342</v>
      </c>
      <c r="B351" s="19" t="s">
        <v>871</v>
      </c>
      <c r="C351">
        <v>31</v>
      </c>
      <c r="D351" s="19" t="s">
        <v>464</v>
      </c>
      <c r="E351" s="19" t="s">
        <v>348</v>
      </c>
      <c r="F351">
        <v>40</v>
      </c>
      <c r="G351">
        <v>1</v>
      </c>
      <c r="H351">
        <v>12</v>
      </c>
      <c r="I351">
        <v>13</v>
      </c>
      <c r="J351">
        <v>-11</v>
      </c>
      <c r="K351">
        <v>18</v>
      </c>
      <c r="L351">
        <v>1</v>
      </c>
      <c r="M351">
        <v>0</v>
      </c>
      <c r="N351">
        <v>0</v>
      </c>
      <c r="O351">
        <v>0</v>
      </c>
      <c r="P351">
        <v>10</v>
      </c>
      <c r="Q351">
        <v>2</v>
      </c>
      <c r="R351">
        <v>0</v>
      </c>
      <c r="S351">
        <v>61</v>
      </c>
      <c r="T351">
        <v>1.6</v>
      </c>
      <c r="U351">
        <v>152</v>
      </c>
      <c r="V351" s="19" t="s">
        <v>2386</v>
      </c>
      <c r="W351" s="19" t="s">
        <v>730</v>
      </c>
      <c r="X351">
        <v>0</v>
      </c>
      <c r="Y351">
        <v>0</v>
      </c>
      <c r="AA351">
        <v>41</v>
      </c>
      <c r="AB351">
        <v>32</v>
      </c>
      <c r="AC351">
        <v>13</v>
      </c>
      <c r="AD351">
        <v>57</v>
      </c>
      <c r="AE351" s="19" t="s">
        <v>60</v>
      </c>
    </row>
    <row r="352" spans="1:31" x14ac:dyDescent="0.2">
      <c r="A352">
        <v>343</v>
      </c>
      <c r="B352" s="19" t="s">
        <v>872</v>
      </c>
      <c r="C352">
        <v>23</v>
      </c>
      <c r="D352" s="19" t="s">
        <v>366</v>
      </c>
      <c r="E352" s="19" t="s">
        <v>334</v>
      </c>
      <c r="F352">
        <v>40</v>
      </c>
      <c r="G352">
        <v>5</v>
      </c>
      <c r="H352">
        <v>8</v>
      </c>
      <c r="I352">
        <v>13</v>
      </c>
      <c r="J352">
        <v>10</v>
      </c>
      <c r="K352">
        <v>17</v>
      </c>
      <c r="L352">
        <v>4</v>
      </c>
      <c r="M352">
        <v>1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48</v>
      </c>
      <c r="T352">
        <v>10.4</v>
      </c>
      <c r="U352">
        <v>113</v>
      </c>
      <c r="V352" s="19" t="s">
        <v>2387</v>
      </c>
      <c r="W352" s="19" t="s">
        <v>630</v>
      </c>
      <c r="X352">
        <v>160</v>
      </c>
      <c r="Y352">
        <v>160</v>
      </c>
      <c r="Z352">
        <v>50</v>
      </c>
      <c r="AA352">
        <v>17</v>
      </c>
      <c r="AB352">
        <v>53</v>
      </c>
      <c r="AC352">
        <v>7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739</v>
      </c>
      <c r="C353">
        <v>24</v>
      </c>
      <c r="D353" s="19" t="s">
        <v>418</v>
      </c>
      <c r="E353" s="19" t="s">
        <v>348</v>
      </c>
      <c r="F353">
        <v>30</v>
      </c>
      <c r="G353">
        <v>2</v>
      </c>
      <c r="H353">
        <v>11</v>
      </c>
      <c r="I353">
        <v>13</v>
      </c>
      <c r="J353">
        <v>8</v>
      </c>
      <c r="K353">
        <v>6</v>
      </c>
      <c r="L353">
        <v>2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42</v>
      </c>
      <c r="T353">
        <v>4.8</v>
      </c>
      <c r="U353">
        <v>109</v>
      </c>
      <c r="V353" s="19" t="s">
        <v>1921</v>
      </c>
      <c r="W353" s="19" t="s">
        <v>1843</v>
      </c>
      <c r="X353">
        <v>0</v>
      </c>
      <c r="Y353">
        <v>0</v>
      </c>
      <c r="AA353">
        <v>21</v>
      </c>
      <c r="AB353">
        <v>19</v>
      </c>
      <c r="AC353">
        <v>9</v>
      </c>
      <c r="AD353">
        <v>26</v>
      </c>
      <c r="AE353" s="19" t="s">
        <v>60</v>
      </c>
    </row>
    <row r="354" spans="1:31" x14ac:dyDescent="0.2">
      <c r="A354">
        <v>345</v>
      </c>
      <c r="B354" s="19" t="s">
        <v>784</v>
      </c>
      <c r="C354">
        <v>27</v>
      </c>
      <c r="D354" s="19" t="s">
        <v>345</v>
      </c>
      <c r="E354" s="19" t="s">
        <v>348</v>
      </c>
      <c r="F354">
        <v>39</v>
      </c>
      <c r="G354">
        <v>7</v>
      </c>
      <c r="H354">
        <v>6</v>
      </c>
      <c r="I354">
        <v>13</v>
      </c>
      <c r="J354">
        <v>1</v>
      </c>
      <c r="K354">
        <v>76</v>
      </c>
      <c r="L354">
        <v>7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44</v>
      </c>
      <c r="T354">
        <v>15.9</v>
      </c>
      <c r="U354">
        <v>127</v>
      </c>
      <c r="V354" s="19" t="s">
        <v>2388</v>
      </c>
      <c r="W354" s="19" t="s">
        <v>2389</v>
      </c>
      <c r="X354">
        <v>0</v>
      </c>
      <c r="Y354">
        <v>0</v>
      </c>
      <c r="AA354">
        <v>43</v>
      </c>
      <c r="AB354">
        <v>67</v>
      </c>
      <c r="AC354">
        <v>9</v>
      </c>
      <c r="AD354">
        <v>30</v>
      </c>
      <c r="AE354" s="19" t="s">
        <v>60</v>
      </c>
    </row>
    <row r="355" spans="1:31" x14ac:dyDescent="0.2">
      <c r="A355">
        <v>346</v>
      </c>
      <c r="B355" s="19" t="s">
        <v>743</v>
      </c>
      <c r="C355">
        <v>31</v>
      </c>
      <c r="D355" s="19" t="s">
        <v>321</v>
      </c>
      <c r="E355" s="19" t="s">
        <v>348</v>
      </c>
      <c r="F355">
        <v>39</v>
      </c>
      <c r="G355">
        <v>1</v>
      </c>
      <c r="H355">
        <v>12</v>
      </c>
      <c r="I355">
        <v>13</v>
      </c>
      <c r="J355">
        <v>26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12</v>
      </c>
      <c r="Q355">
        <v>0</v>
      </c>
      <c r="R355">
        <v>0</v>
      </c>
      <c r="S355">
        <v>67</v>
      </c>
      <c r="T355">
        <v>1.5</v>
      </c>
      <c r="U355">
        <v>149</v>
      </c>
      <c r="V355" s="19" t="s">
        <v>2390</v>
      </c>
      <c r="W355" s="19" t="s">
        <v>2391</v>
      </c>
      <c r="X355">
        <v>0</v>
      </c>
      <c r="Y355">
        <v>0</v>
      </c>
      <c r="AA355">
        <v>57</v>
      </c>
      <c r="AB355">
        <v>14</v>
      </c>
      <c r="AC355">
        <v>13</v>
      </c>
      <c r="AD355">
        <v>43</v>
      </c>
      <c r="AE355" s="19" t="s">
        <v>60</v>
      </c>
    </row>
    <row r="356" spans="1:31" x14ac:dyDescent="0.2">
      <c r="A356">
        <v>347</v>
      </c>
      <c r="B356" s="19" t="s">
        <v>747</v>
      </c>
      <c r="C356">
        <v>28</v>
      </c>
      <c r="D356" s="19" t="s">
        <v>375</v>
      </c>
      <c r="E356" s="19" t="s">
        <v>348</v>
      </c>
      <c r="F356">
        <v>39</v>
      </c>
      <c r="G356">
        <v>2</v>
      </c>
      <c r="H356">
        <v>11</v>
      </c>
      <c r="I356">
        <v>13</v>
      </c>
      <c r="J356">
        <v>-1</v>
      </c>
      <c r="K356">
        <v>30</v>
      </c>
      <c r="L356">
        <v>2</v>
      </c>
      <c r="M356">
        <v>0</v>
      </c>
      <c r="N356">
        <v>0</v>
      </c>
      <c r="O356">
        <v>1</v>
      </c>
      <c r="P356">
        <v>10</v>
      </c>
      <c r="Q356">
        <v>0</v>
      </c>
      <c r="R356">
        <v>1</v>
      </c>
      <c r="S356">
        <v>37</v>
      </c>
      <c r="T356">
        <v>5.4</v>
      </c>
      <c r="U356">
        <v>83</v>
      </c>
      <c r="V356" s="19" t="s">
        <v>2392</v>
      </c>
      <c r="W356" s="19" t="s">
        <v>1582</v>
      </c>
      <c r="X356">
        <v>0</v>
      </c>
      <c r="Y356">
        <v>0</v>
      </c>
      <c r="AA356">
        <v>59</v>
      </c>
      <c r="AB356">
        <v>77</v>
      </c>
      <c r="AC356">
        <v>19</v>
      </c>
      <c r="AD356">
        <v>64</v>
      </c>
      <c r="AE356" s="19" t="s">
        <v>60</v>
      </c>
    </row>
    <row r="357" spans="1:31" x14ac:dyDescent="0.2">
      <c r="A357">
        <v>348</v>
      </c>
      <c r="B357" s="19" t="s">
        <v>878</v>
      </c>
      <c r="C357">
        <v>22</v>
      </c>
      <c r="D357" s="19" t="s">
        <v>357</v>
      </c>
      <c r="E357" s="19" t="s">
        <v>334</v>
      </c>
      <c r="F357">
        <v>34</v>
      </c>
      <c r="G357">
        <v>4</v>
      </c>
      <c r="H357">
        <v>9</v>
      </c>
      <c r="I357">
        <v>13</v>
      </c>
      <c r="J357">
        <v>-1</v>
      </c>
      <c r="K357">
        <v>6</v>
      </c>
      <c r="L357">
        <v>4</v>
      </c>
      <c r="M357">
        <v>0</v>
      </c>
      <c r="N357">
        <v>0</v>
      </c>
      <c r="O357">
        <v>2</v>
      </c>
      <c r="P357">
        <v>8</v>
      </c>
      <c r="Q357">
        <v>1</v>
      </c>
      <c r="R357">
        <v>0</v>
      </c>
      <c r="S357">
        <v>38</v>
      </c>
      <c r="T357">
        <v>10.5</v>
      </c>
      <c r="U357">
        <v>79</v>
      </c>
      <c r="V357" s="19" t="s">
        <v>2393</v>
      </c>
      <c r="W357" s="19" t="s">
        <v>808</v>
      </c>
      <c r="X357">
        <v>126</v>
      </c>
      <c r="Y357">
        <v>181</v>
      </c>
      <c r="Z357">
        <v>41</v>
      </c>
      <c r="AA357">
        <v>26</v>
      </c>
      <c r="AB357">
        <v>23</v>
      </c>
      <c r="AC357">
        <v>11</v>
      </c>
      <c r="AD357">
        <v>23</v>
      </c>
      <c r="AE357" s="19" t="s">
        <v>60</v>
      </c>
    </row>
    <row r="358" spans="1:31" x14ac:dyDescent="0.2">
      <c r="A358">
        <v>349</v>
      </c>
      <c r="B358" s="19" t="s">
        <v>792</v>
      </c>
      <c r="C358">
        <v>30</v>
      </c>
      <c r="D358" s="19" t="s">
        <v>354</v>
      </c>
      <c r="E358" s="19" t="s">
        <v>348</v>
      </c>
      <c r="F358">
        <v>41</v>
      </c>
      <c r="G358">
        <v>1</v>
      </c>
      <c r="H358">
        <v>12</v>
      </c>
      <c r="I358">
        <v>13</v>
      </c>
      <c r="J358">
        <v>9</v>
      </c>
      <c r="K358">
        <v>107</v>
      </c>
      <c r="L358">
        <v>1</v>
      </c>
      <c r="M358">
        <v>0</v>
      </c>
      <c r="N358">
        <v>0</v>
      </c>
      <c r="O358">
        <v>0</v>
      </c>
      <c r="P358">
        <v>12</v>
      </c>
      <c r="Q358">
        <v>0</v>
      </c>
      <c r="R358">
        <v>0</v>
      </c>
      <c r="S358">
        <v>50</v>
      </c>
      <c r="T358">
        <v>2</v>
      </c>
      <c r="U358">
        <v>127</v>
      </c>
      <c r="V358" s="19" t="s">
        <v>2394</v>
      </c>
      <c r="W358" s="19" t="s">
        <v>2395</v>
      </c>
      <c r="X358">
        <v>0</v>
      </c>
      <c r="Y358">
        <v>0</v>
      </c>
      <c r="AA358">
        <v>67</v>
      </c>
      <c r="AB358">
        <v>107</v>
      </c>
      <c r="AC358">
        <v>21</v>
      </c>
      <c r="AD358">
        <v>47</v>
      </c>
      <c r="AE358" s="19" t="s">
        <v>60</v>
      </c>
    </row>
    <row r="359" spans="1:31" x14ac:dyDescent="0.2">
      <c r="A359">
        <v>350</v>
      </c>
      <c r="B359" s="19" t="s">
        <v>930</v>
      </c>
      <c r="C359">
        <v>24</v>
      </c>
      <c r="D359" s="19" t="s">
        <v>439</v>
      </c>
      <c r="E359" s="19" t="s">
        <v>322</v>
      </c>
      <c r="F359">
        <v>38</v>
      </c>
      <c r="G359">
        <v>6</v>
      </c>
      <c r="H359">
        <v>7</v>
      </c>
      <c r="I359">
        <v>13</v>
      </c>
      <c r="J359">
        <v>-2</v>
      </c>
      <c r="K359">
        <v>12</v>
      </c>
      <c r="L359">
        <v>4</v>
      </c>
      <c r="M359">
        <v>2</v>
      </c>
      <c r="N359">
        <v>0</v>
      </c>
      <c r="O359">
        <v>1</v>
      </c>
      <c r="P359">
        <v>6</v>
      </c>
      <c r="Q359">
        <v>1</v>
      </c>
      <c r="R359">
        <v>0</v>
      </c>
      <c r="S359">
        <v>48</v>
      </c>
      <c r="T359">
        <v>12.5</v>
      </c>
      <c r="U359">
        <v>92</v>
      </c>
      <c r="V359" s="19" t="s">
        <v>2396</v>
      </c>
      <c r="W359" s="19" t="s">
        <v>1952</v>
      </c>
      <c r="X359">
        <v>46</v>
      </c>
      <c r="Y359">
        <v>61</v>
      </c>
      <c r="Z359">
        <v>43</v>
      </c>
      <c r="AA359">
        <v>10</v>
      </c>
      <c r="AB359">
        <v>25</v>
      </c>
      <c r="AC359">
        <v>5</v>
      </c>
      <c r="AD359">
        <v>21</v>
      </c>
      <c r="AE359" s="19" t="s">
        <v>60</v>
      </c>
    </row>
    <row r="360" spans="1:31" x14ac:dyDescent="0.2">
      <c r="A360">
        <v>351</v>
      </c>
      <c r="B360" s="19" t="s">
        <v>756</v>
      </c>
      <c r="C360">
        <v>32</v>
      </c>
      <c r="D360" s="19" t="s">
        <v>357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15</v>
      </c>
      <c r="K360">
        <v>8</v>
      </c>
      <c r="L360">
        <v>3</v>
      </c>
      <c r="M360">
        <v>0</v>
      </c>
      <c r="N360">
        <v>0</v>
      </c>
      <c r="O360">
        <v>1</v>
      </c>
      <c r="P360">
        <v>9</v>
      </c>
      <c r="Q360">
        <v>0</v>
      </c>
      <c r="R360">
        <v>0</v>
      </c>
      <c r="S360">
        <v>33</v>
      </c>
      <c r="T360">
        <v>9.1</v>
      </c>
      <c r="U360">
        <v>89</v>
      </c>
      <c r="V360" s="19" t="s">
        <v>2397</v>
      </c>
      <c r="W360" s="19" t="s">
        <v>2227</v>
      </c>
      <c r="X360">
        <v>0</v>
      </c>
      <c r="Y360">
        <v>0</v>
      </c>
      <c r="AA360">
        <v>79</v>
      </c>
      <c r="AB360">
        <v>7</v>
      </c>
      <c r="AC360">
        <v>8</v>
      </c>
      <c r="AD360">
        <v>29</v>
      </c>
      <c r="AE360" s="19" t="s">
        <v>60</v>
      </c>
    </row>
    <row r="361" spans="1:31" x14ac:dyDescent="0.2">
      <c r="A361">
        <v>352</v>
      </c>
      <c r="B361" s="19" t="s">
        <v>687</v>
      </c>
      <c r="C361">
        <v>36</v>
      </c>
      <c r="D361" s="19" t="s">
        <v>406</v>
      </c>
      <c r="E361" s="19" t="s">
        <v>348</v>
      </c>
      <c r="F361">
        <v>41</v>
      </c>
      <c r="G361">
        <v>2</v>
      </c>
      <c r="H361">
        <v>10</v>
      </c>
      <c r="I361">
        <v>12</v>
      </c>
      <c r="J361">
        <v>15</v>
      </c>
      <c r="K361">
        <v>24</v>
      </c>
      <c r="L361">
        <v>2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0</v>
      </c>
      <c r="S361">
        <v>31</v>
      </c>
      <c r="T361">
        <v>6.5</v>
      </c>
      <c r="U361">
        <v>90</v>
      </c>
      <c r="V361" s="19" t="s">
        <v>2398</v>
      </c>
      <c r="W361" s="19" t="s">
        <v>1639</v>
      </c>
      <c r="X361">
        <v>0</v>
      </c>
      <c r="Y361">
        <v>0</v>
      </c>
      <c r="AA361">
        <v>83</v>
      </c>
      <c r="AB361">
        <v>45</v>
      </c>
      <c r="AC361">
        <v>7</v>
      </c>
      <c r="AD361">
        <v>40</v>
      </c>
      <c r="AE361" s="19" t="s">
        <v>60</v>
      </c>
    </row>
    <row r="362" spans="1:31" x14ac:dyDescent="0.2">
      <c r="A362">
        <v>353</v>
      </c>
      <c r="B362" s="19" t="s">
        <v>709</v>
      </c>
      <c r="C362">
        <v>24</v>
      </c>
      <c r="D362" s="19" t="s">
        <v>329</v>
      </c>
      <c r="E362" s="19" t="s">
        <v>348</v>
      </c>
      <c r="F362">
        <v>39</v>
      </c>
      <c r="G362">
        <v>3</v>
      </c>
      <c r="H362">
        <v>9</v>
      </c>
      <c r="I362">
        <v>12</v>
      </c>
      <c r="J362">
        <v>1</v>
      </c>
      <c r="K362">
        <v>37</v>
      </c>
      <c r="L362">
        <v>2</v>
      </c>
      <c r="M362">
        <v>0</v>
      </c>
      <c r="N362">
        <v>1</v>
      </c>
      <c r="O362">
        <v>1</v>
      </c>
      <c r="P362">
        <v>8</v>
      </c>
      <c r="Q362">
        <v>0</v>
      </c>
      <c r="R362">
        <v>1</v>
      </c>
      <c r="S362">
        <v>58</v>
      </c>
      <c r="T362">
        <v>5.2</v>
      </c>
      <c r="U362">
        <v>116</v>
      </c>
      <c r="V362" s="19" t="s">
        <v>2399</v>
      </c>
      <c r="W362" s="19" t="s">
        <v>940</v>
      </c>
      <c r="X362">
        <v>0</v>
      </c>
      <c r="Y362">
        <v>0</v>
      </c>
      <c r="AA362">
        <v>32</v>
      </c>
      <c r="AB362">
        <v>58</v>
      </c>
      <c r="AC362">
        <v>6</v>
      </c>
      <c r="AD362">
        <v>30</v>
      </c>
      <c r="AE362" s="19" t="s">
        <v>60</v>
      </c>
    </row>
    <row r="363" spans="1:31" x14ac:dyDescent="0.2">
      <c r="A363">
        <v>354</v>
      </c>
      <c r="B363" s="19" t="s">
        <v>760</v>
      </c>
      <c r="C363">
        <v>26</v>
      </c>
      <c r="D363" s="19" t="s">
        <v>375</v>
      </c>
      <c r="E363" s="19" t="s">
        <v>322</v>
      </c>
      <c r="F363">
        <v>39</v>
      </c>
      <c r="G363">
        <v>6</v>
      </c>
      <c r="H363">
        <v>6</v>
      </c>
      <c r="I363">
        <v>12</v>
      </c>
      <c r="J363">
        <v>-3</v>
      </c>
      <c r="K363">
        <v>8</v>
      </c>
      <c r="L363">
        <v>6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59</v>
      </c>
      <c r="T363">
        <v>10.199999999999999</v>
      </c>
      <c r="U363">
        <v>121</v>
      </c>
      <c r="V363" s="19" t="s">
        <v>2400</v>
      </c>
      <c r="W363" s="19" t="s">
        <v>1053</v>
      </c>
      <c r="X363">
        <v>12</v>
      </c>
      <c r="Y363">
        <v>11</v>
      </c>
      <c r="Z363">
        <v>52.2</v>
      </c>
      <c r="AA363">
        <v>17</v>
      </c>
      <c r="AB363">
        <v>73</v>
      </c>
      <c r="AC363">
        <v>5</v>
      </c>
      <c r="AD363">
        <v>18</v>
      </c>
      <c r="AE363" s="19" t="s">
        <v>60</v>
      </c>
    </row>
    <row r="364" spans="1:31" x14ac:dyDescent="0.2">
      <c r="A364">
        <v>355</v>
      </c>
      <c r="B364" s="19" t="s">
        <v>711</v>
      </c>
      <c r="C364">
        <v>25</v>
      </c>
      <c r="D364" s="19" t="s">
        <v>321</v>
      </c>
      <c r="E364" s="19" t="s">
        <v>322</v>
      </c>
      <c r="F364">
        <v>39</v>
      </c>
      <c r="G364">
        <v>6</v>
      </c>
      <c r="H364">
        <v>6</v>
      </c>
      <c r="I364">
        <v>12</v>
      </c>
      <c r="J364">
        <v>8</v>
      </c>
      <c r="K364">
        <v>16</v>
      </c>
      <c r="L364">
        <v>6</v>
      </c>
      <c r="M364">
        <v>0</v>
      </c>
      <c r="N364">
        <v>0</v>
      </c>
      <c r="O364">
        <v>0</v>
      </c>
      <c r="P364">
        <v>6</v>
      </c>
      <c r="Q364">
        <v>0</v>
      </c>
      <c r="R364">
        <v>0</v>
      </c>
      <c r="S364">
        <v>43</v>
      </c>
      <c r="T364">
        <v>14</v>
      </c>
      <c r="U364">
        <v>91</v>
      </c>
      <c r="V364" s="19" t="s">
        <v>2401</v>
      </c>
      <c r="W364" s="19" t="s">
        <v>1845</v>
      </c>
      <c r="X364">
        <v>269</v>
      </c>
      <c r="Y364">
        <v>202</v>
      </c>
      <c r="Z364">
        <v>57.1</v>
      </c>
      <c r="AA364">
        <v>31</v>
      </c>
      <c r="AB364">
        <v>15</v>
      </c>
      <c r="AC364">
        <v>8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715</v>
      </c>
      <c r="C365">
        <v>26</v>
      </c>
      <c r="D365" s="19" t="s">
        <v>366</v>
      </c>
      <c r="E365" s="19" t="s">
        <v>348</v>
      </c>
      <c r="F365">
        <v>41</v>
      </c>
      <c r="G365">
        <v>3</v>
      </c>
      <c r="H365">
        <v>9</v>
      </c>
      <c r="I365">
        <v>12</v>
      </c>
      <c r="J365">
        <v>10</v>
      </c>
      <c r="K365">
        <v>17</v>
      </c>
      <c r="L365">
        <v>3</v>
      </c>
      <c r="M365">
        <v>0</v>
      </c>
      <c r="N365">
        <v>0</v>
      </c>
      <c r="O365">
        <v>0</v>
      </c>
      <c r="P365">
        <v>9</v>
      </c>
      <c r="Q365">
        <v>0</v>
      </c>
      <c r="R365">
        <v>0</v>
      </c>
      <c r="S365">
        <v>48</v>
      </c>
      <c r="T365">
        <v>6.3</v>
      </c>
      <c r="U365">
        <v>107</v>
      </c>
      <c r="V365" s="19" t="s">
        <v>2402</v>
      </c>
      <c r="W365" s="19" t="s">
        <v>1951</v>
      </c>
      <c r="X365">
        <v>0</v>
      </c>
      <c r="Y365">
        <v>0</v>
      </c>
      <c r="AA365">
        <v>82</v>
      </c>
      <c r="AB365">
        <v>49</v>
      </c>
      <c r="AC365">
        <v>7</v>
      </c>
      <c r="AD365">
        <v>26</v>
      </c>
      <c r="AE365" s="19" t="s">
        <v>60</v>
      </c>
    </row>
    <row r="366" spans="1:31" x14ac:dyDescent="0.2">
      <c r="A366">
        <v>357</v>
      </c>
      <c r="B366" s="19" t="s">
        <v>844</v>
      </c>
      <c r="C366">
        <v>25</v>
      </c>
      <c r="D366" s="19" t="s">
        <v>351</v>
      </c>
      <c r="E366" s="19" t="s">
        <v>322</v>
      </c>
      <c r="F366">
        <v>36</v>
      </c>
      <c r="G366">
        <v>4</v>
      </c>
      <c r="H366">
        <v>8</v>
      </c>
      <c r="I366">
        <v>12</v>
      </c>
      <c r="J366">
        <v>9</v>
      </c>
      <c r="K366">
        <v>23</v>
      </c>
      <c r="L366">
        <v>4</v>
      </c>
      <c r="M366">
        <v>0</v>
      </c>
      <c r="N366">
        <v>0</v>
      </c>
      <c r="O366">
        <v>1</v>
      </c>
      <c r="P366">
        <v>7</v>
      </c>
      <c r="Q366">
        <v>1</v>
      </c>
      <c r="R366">
        <v>0</v>
      </c>
      <c r="S366">
        <v>28</v>
      </c>
      <c r="T366">
        <v>14.3</v>
      </c>
      <c r="U366">
        <v>62</v>
      </c>
      <c r="V366" s="19" t="s">
        <v>2403</v>
      </c>
      <c r="W366" s="19" t="s">
        <v>1619</v>
      </c>
      <c r="X366">
        <v>6</v>
      </c>
      <c r="Y366">
        <v>9</v>
      </c>
      <c r="Z366">
        <v>40</v>
      </c>
      <c r="AA366">
        <v>17</v>
      </c>
      <c r="AB366">
        <v>37</v>
      </c>
      <c r="AC366">
        <v>8</v>
      </c>
      <c r="AD366">
        <v>30</v>
      </c>
      <c r="AE366" s="19" t="s">
        <v>60</v>
      </c>
    </row>
    <row r="367" spans="1:31" x14ac:dyDescent="0.2">
      <c r="A367">
        <v>358</v>
      </c>
      <c r="B367" s="19" t="s">
        <v>653</v>
      </c>
      <c r="C367">
        <v>35</v>
      </c>
      <c r="D367" s="19" t="s">
        <v>351</v>
      </c>
      <c r="E367" s="19" t="s">
        <v>348</v>
      </c>
      <c r="F367">
        <v>18</v>
      </c>
      <c r="G367">
        <v>0</v>
      </c>
      <c r="H367">
        <v>12</v>
      </c>
      <c r="I367">
        <v>12</v>
      </c>
      <c r="J367">
        <v>0</v>
      </c>
      <c r="K367">
        <v>6</v>
      </c>
      <c r="L367">
        <v>0</v>
      </c>
      <c r="M367">
        <v>0</v>
      </c>
      <c r="N367">
        <v>0</v>
      </c>
      <c r="O367">
        <v>0</v>
      </c>
      <c r="P367">
        <v>6</v>
      </c>
      <c r="Q367">
        <v>6</v>
      </c>
      <c r="R367">
        <v>0</v>
      </c>
      <c r="S367">
        <v>25</v>
      </c>
      <c r="T367">
        <v>0</v>
      </c>
      <c r="U367">
        <v>78</v>
      </c>
      <c r="V367" s="19" t="s">
        <v>1609</v>
      </c>
      <c r="W367" s="19" t="s">
        <v>1610</v>
      </c>
      <c r="X367">
        <v>0</v>
      </c>
      <c r="Y367">
        <v>0</v>
      </c>
      <c r="AA367">
        <v>29</v>
      </c>
      <c r="AB367">
        <v>8</v>
      </c>
      <c r="AC367">
        <v>5</v>
      </c>
      <c r="AD367">
        <v>28</v>
      </c>
      <c r="AE367" s="19" t="s">
        <v>60</v>
      </c>
    </row>
    <row r="368" spans="1:31" x14ac:dyDescent="0.2">
      <c r="A368">
        <v>359</v>
      </c>
      <c r="B368" s="19" t="s">
        <v>900</v>
      </c>
      <c r="C368">
        <v>26</v>
      </c>
      <c r="D368" s="19" t="s">
        <v>351</v>
      </c>
      <c r="E368" s="19" t="s">
        <v>334</v>
      </c>
      <c r="F368">
        <v>33</v>
      </c>
      <c r="G368">
        <v>6</v>
      </c>
      <c r="H368">
        <v>6</v>
      </c>
      <c r="I368">
        <v>12</v>
      </c>
      <c r="J368">
        <v>7</v>
      </c>
      <c r="K368">
        <v>12</v>
      </c>
      <c r="L368">
        <v>6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42</v>
      </c>
      <c r="T368">
        <v>14.3</v>
      </c>
      <c r="U368">
        <v>85</v>
      </c>
      <c r="V368" s="19" t="s">
        <v>2404</v>
      </c>
      <c r="W368" s="19" t="s">
        <v>1223</v>
      </c>
      <c r="X368">
        <v>16</v>
      </c>
      <c r="Y368">
        <v>27</v>
      </c>
      <c r="Z368">
        <v>37.200000000000003</v>
      </c>
      <c r="AA368">
        <v>16</v>
      </c>
      <c r="AB368">
        <v>34</v>
      </c>
      <c r="AC368">
        <v>6</v>
      </c>
      <c r="AD368">
        <v>16</v>
      </c>
      <c r="AE368" s="19" t="s">
        <v>60</v>
      </c>
    </row>
    <row r="369" spans="1:31" x14ac:dyDescent="0.2">
      <c r="A369">
        <v>360</v>
      </c>
      <c r="B369" s="19" t="s">
        <v>810</v>
      </c>
      <c r="C369">
        <v>22</v>
      </c>
      <c r="D369" s="19" t="s">
        <v>361</v>
      </c>
      <c r="E369" s="19" t="s">
        <v>322</v>
      </c>
      <c r="F369">
        <v>42</v>
      </c>
      <c r="G369">
        <v>5</v>
      </c>
      <c r="H369">
        <v>7</v>
      </c>
      <c r="I369">
        <v>12</v>
      </c>
      <c r="J369">
        <v>1</v>
      </c>
      <c r="K369">
        <v>20</v>
      </c>
      <c r="L369">
        <v>4</v>
      </c>
      <c r="M369">
        <v>1</v>
      </c>
      <c r="N369">
        <v>0</v>
      </c>
      <c r="O369">
        <v>1</v>
      </c>
      <c r="P369">
        <v>5</v>
      </c>
      <c r="Q369">
        <v>2</v>
      </c>
      <c r="R369">
        <v>0</v>
      </c>
      <c r="S369">
        <v>43</v>
      </c>
      <c r="T369">
        <v>11.6</v>
      </c>
      <c r="U369">
        <v>85</v>
      </c>
      <c r="V369" s="19" t="s">
        <v>2405</v>
      </c>
      <c r="W369" s="19" t="s">
        <v>1840</v>
      </c>
      <c r="X369">
        <v>180</v>
      </c>
      <c r="Y369">
        <v>167</v>
      </c>
      <c r="Z369">
        <v>51.9</v>
      </c>
      <c r="AA369">
        <v>30</v>
      </c>
      <c r="AB369">
        <v>53</v>
      </c>
      <c r="AC369">
        <v>6</v>
      </c>
      <c r="AD369">
        <v>20</v>
      </c>
      <c r="AE369" s="19" t="s">
        <v>60</v>
      </c>
    </row>
    <row r="370" spans="1:31" x14ac:dyDescent="0.2">
      <c r="A370">
        <v>361</v>
      </c>
      <c r="B370" s="19" t="s">
        <v>856</v>
      </c>
      <c r="C370">
        <v>31</v>
      </c>
      <c r="D370" s="19" t="s">
        <v>329</v>
      </c>
      <c r="E370" s="19" t="s">
        <v>325</v>
      </c>
      <c r="F370">
        <v>36</v>
      </c>
      <c r="G370">
        <v>8</v>
      </c>
      <c r="H370">
        <v>4</v>
      </c>
      <c r="I370">
        <v>12</v>
      </c>
      <c r="J370">
        <v>-5</v>
      </c>
      <c r="K370">
        <v>10</v>
      </c>
      <c r="L370">
        <v>8</v>
      </c>
      <c r="M370">
        <v>0</v>
      </c>
      <c r="N370">
        <v>0</v>
      </c>
      <c r="O370">
        <v>2</v>
      </c>
      <c r="P370">
        <v>3</v>
      </c>
      <c r="Q370">
        <v>0</v>
      </c>
      <c r="R370">
        <v>1</v>
      </c>
      <c r="S370">
        <v>64</v>
      </c>
      <c r="T370">
        <v>12.5</v>
      </c>
      <c r="U370">
        <v>111</v>
      </c>
      <c r="V370" s="19" t="s">
        <v>2406</v>
      </c>
      <c r="W370" s="19" t="s">
        <v>1908</v>
      </c>
      <c r="X370">
        <v>1</v>
      </c>
      <c r="Y370">
        <v>6</v>
      </c>
      <c r="Z370">
        <v>14.3</v>
      </c>
      <c r="AA370">
        <v>12</v>
      </c>
      <c r="AB370">
        <v>18</v>
      </c>
      <c r="AC370">
        <v>11</v>
      </c>
      <c r="AD370">
        <v>28</v>
      </c>
      <c r="AE370" s="19" t="s">
        <v>60</v>
      </c>
    </row>
    <row r="371" spans="1:31" x14ac:dyDescent="0.2">
      <c r="A371">
        <v>362</v>
      </c>
      <c r="B371" s="19" t="s">
        <v>665</v>
      </c>
      <c r="C371">
        <v>25</v>
      </c>
      <c r="D371" s="19" t="s">
        <v>363</v>
      </c>
      <c r="E371" s="19" t="s">
        <v>322</v>
      </c>
      <c r="F371">
        <v>17</v>
      </c>
      <c r="G371">
        <v>6</v>
      </c>
      <c r="H371">
        <v>6</v>
      </c>
      <c r="I371">
        <v>12</v>
      </c>
      <c r="J371">
        <v>7</v>
      </c>
      <c r="K371">
        <v>8</v>
      </c>
      <c r="L371">
        <v>5</v>
      </c>
      <c r="M371">
        <v>1</v>
      </c>
      <c r="N371">
        <v>0</v>
      </c>
      <c r="O371">
        <v>2</v>
      </c>
      <c r="P371">
        <v>6</v>
      </c>
      <c r="Q371">
        <v>0</v>
      </c>
      <c r="R371">
        <v>0</v>
      </c>
      <c r="S371">
        <v>24</v>
      </c>
      <c r="T371">
        <v>25</v>
      </c>
      <c r="U371">
        <v>41</v>
      </c>
      <c r="V371" s="19" t="s">
        <v>666</v>
      </c>
      <c r="W371" s="19" t="s">
        <v>667</v>
      </c>
      <c r="X371">
        <v>37</v>
      </c>
      <c r="Y371">
        <v>52</v>
      </c>
      <c r="Z371">
        <v>41.6</v>
      </c>
      <c r="AA371">
        <v>5</v>
      </c>
      <c r="AB371">
        <v>26</v>
      </c>
      <c r="AC371">
        <v>1</v>
      </c>
      <c r="AD371">
        <v>4</v>
      </c>
      <c r="AE371" s="19" t="s">
        <v>60</v>
      </c>
    </row>
    <row r="372" spans="1:31" x14ac:dyDescent="0.2">
      <c r="A372">
        <v>363</v>
      </c>
      <c r="B372" s="19" t="s">
        <v>966</v>
      </c>
      <c r="C372">
        <v>26</v>
      </c>
      <c r="D372" s="19" t="s">
        <v>430</v>
      </c>
      <c r="E372" s="19" t="s">
        <v>322</v>
      </c>
      <c r="F372">
        <v>13</v>
      </c>
      <c r="G372">
        <v>5</v>
      </c>
      <c r="H372">
        <v>7</v>
      </c>
      <c r="I372">
        <v>12</v>
      </c>
      <c r="J372">
        <v>0</v>
      </c>
      <c r="K372">
        <v>0</v>
      </c>
      <c r="L372">
        <v>4</v>
      </c>
      <c r="M372">
        <v>1</v>
      </c>
      <c r="N372">
        <v>0</v>
      </c>
      <c r="O372">
        <v>1</v>
      </c>
      <c r="P372">
        <v>3</v>
      </c>
      <c r="Q372">
        <v>4</v>
      </c>
      <c r="R372">
        <v>0</v>
      </c>
      <c r="S372">
        <v>19</v>
      </c>
      <c r="T372">
        <v>26.3</v>
      </c>
      <c r="U372">
        <v>42</v>
      </c>
      <c r="V372" s="19" t="s">
        <v>2407</v>
      </c>
      <c r="W372" s="19" t="s">
        <v>533</v>
      </c>
      <c r="X372">
        <v>79</v>
      </c>
      <c r="Y372">
        <v>81</v>
      </c>
      <c r="Z372">
        <v>49.4</v>
      </c>
      <c r="AA372">
        <v>4</v>
      </c>
      <c r="AB372">
        <v>4</v>
      </c>
      <c r="AC372">
        <v>2</v>
      </c>
      <c r="AD372">
        <v>7</v>
      </c>
      <c r="AE372" s="19" t="s">
        <v>60</v>
      </c>
    </row>
    <row r="373" spans="1:31" x14ac:dyDescent="0.2">
      <c r="A373">
        <v>364</v>
      </c>
      <c r="B373" s="19" t="s">
        <v>919</v>
      </c>
      <c r="C373">
        <v>21</v>
      </c>
      <c r="D373" s="19" t="s">
        <v>430</v>
      </c>
      <c r="E373" s="19" t="s">
        <v>322</v>
      </c>
      <c r="F373">
        <v>28</v>
      </c>
      <c r="G373">
        <v>7</v>
      </c>
      <c r="H373">
        <v>5</v>
      </c>
      <c r="I373">
        <v>12</v>
      </c>
      <c r="J373">
        <v>7</v>
      </c>
      <c r="K373">
        <v>2</v>
      </c>
      <c r="L373">
        <v>6</v>
      </c>
      <c r="M373">
        <v>1</v>
      </c>
      <c r="N373">
        <v>0</v>
      </c>
      <c r="O373">
        <v>0</v>
      </c>
      <c r="P373">
        <v>5</v>
      </c>
      <c r="Q373">
        <v>0</v>
      </c>
      <c r="R373">
        <v>0</v>
      </c>
      <c r="S373">
        <v>31</v>
      </c>
      <c r="T373">
        <v>22.6</v>
      </c>
      <c r="U373">
        <v>57</v>
      </c>
      <c r="V373" s="19" t="s">
        <v>2408</v>
      </c>
      <c r="W373" s="19" t="s">
        <v>2409</v>
      </c>
      <c r="X373">
        <v>44</v>
      </c>
      <c r="Y373">
        <v>103</v>
      </c>
      <c r="Z373">
        <v>29.9</v>
      </c>
      <c r="AA373">
        <v>15</v>
      </c>
      <c r="AB373">
        <v>1</v>
      </c>
      <c r="AC373">
        <v>7</v>
      </c>
      <c r="AD373">
        <v>17</v>
      </c>
      <c r="AE373" s="19" t="s">
        <v>60</v>
      </c>
    </row>
    <row r="374" spans="1:31" x14ac:dyDescent="0.2">
      <c r="A374">
        <v>365</v>
      </c>
      <c r="B374" s="19" t="s">
        <v>863</v>
      </c>
      <c r="C374">
        <v>30</v>
      </c>
      <c r="D374" s="19" t="s">
        <v>398</v>
      </c>
      <c r="E374" s="19" t="s">
        <v>339</v>
      </c>
      <c r="F374">
        <v>34</v>
      </c>
      <c r="G374">
        <v>9</v>
      </c>
      <c r="H374">
        <v>3</v>
      </c>
      <c r="I374">
        <v>12</v>
      </c>
      <c r="J374">
        <v>4</v>
      </c>
      <c r="K374">
        <v>2</v>
      </c>
      <c r="L374">
        <v>9</v>
      </c>
      <c r="M374">
        <v>0</v>
      </c>
      <c r="N374">
        <v>0</v>
      </c>
      <c r="O374">
        <v>2</v>
      </c>
      <c r="P374">
        <v>3</v>
      </c>
      <c r="Q374">
        <v>0</v>
      </c>
      <c r="R374">
        <v>0</v>
      </c>
      <c r="S374">
        <v>50</v>
      </c>
      <c r="T374">
        <v>18</v>
      </c>
      <c r="U374">
        <v>104</v>
      </c>
      <c r="V374" s="19" t="s">
        <v>2410</v>
      </c>
      <c r="W374" s="19" t="s">
        <v>2411</v>
      </c>
      <c r="X374">
        <v>0</v>
      </c>
      <c r="Y374">
        <v>12</v>
      </c>
      <c r="Z374">
        <v>0</v>
      </c>
      <c r="AA374">
        <v>5</v>
      </c>
      <c r="AB374">
        <v>47</v>
      </c>
      <c r="AC374">
        <v>5</v>
      </c>
      <c r="AD374">
        <v>13</v>
      </c>
      <c r="AE374" s="19" t="s">
        <v>60</v>
      </c>
    </row>
    <row r="375" spans="1:31" x14ac:dyDescent="0.2">
      <c r="A375">
        <v>366</v>
      </c>
      <c r="B375" s="19" t="s">
        <v>699</v>
      </c>
      <c r="C375">
        <v>34</v>
      </c>
      <c r="D375" s="19" t="s">
        <v>406</v>
      </c>
      <c r="E375" s="19" t="s">
        <v>348</v>
      </c>
      <c r="F375">
        <v>41</v>
      </c>
      <c r="G375">
        <v>2</v>
      </c>
      <c r="H375">
        <v>10</v>
      </c>
      <c r="I375">
        <v>12</v>
      </c>
      <c r="J375">
        <v>14</v>
      </c>
      <c r="K375">
        <v>8</v>
      </c>
      <c r="L375">
        <v>2</v>
      </c>
      <c r="M375">
        <v>0</v>
      </c>
      <c r="N375">
        <v>0</v>
      </c>
      <c r="O375">
        <v>0</v>
      </c>
      <c r="P375">
        <v>10</v>
      </c>
      <c r="Q375">
        <v>0</v>
      </c>
      <c r="R375">
        <v>0</v>
      </c>
      <c r="S375">
        <v>41</v>
      </c>
      <c r="T375">
        <v>4.9000000000000004</v>
      </c>
      <c r="U375">
        <v>111</v>
      </c>
      <c r="V375" s="19" t="s">
        <v>2412</v>
      </c>
      <c r="W375" s="19" t="s">
        <v>2413</v>
      </c>
      <c r="X375">
        <v>0</v>
      </c>
      <c r="Y375">
        <v>0</v>
      </c>
      <c r="AA375">
        <v>44</v>
      </c>
      <c r="AB375">
        <v>41</v>
      </c>
      <c r="AC375">
        <v>8</v>
      </c>
      <c r="AD375">
        <v>37</v>
      </c>
      <c r="AE375" s="19" t="s">
        <v>60</v>
      </c>
    </row>
    <row r="376" spans="1:31" x14ac:dyDescent="0.2">
      <c r="A376">
        <v>367</v>
      </c>
      <c r="B376" s="19" t="s">
        <v>700</v>
      </c>
      <c r="C376">
        <v>21</v>
      </c>
      <c r="D376" s="19" t="s">
        <v>519</v>
      </c>
      <c r="E376" s="19" t="s">
        <v>334</v>
      </c>
      <c r="F376">
        <v>29</v>
      </c>
      <c r="G376">
        <v>6</v>
      </c>
      <c r="H376">
        <v>6</v>
      </c>
      <c r="I376">
        <v>12</v>
      </c>
      <c r="J376">
        <v>-5</v>
      </c>
      <c r="K376">
        <v>6</v>
      </c>
      <c r="L376">
        <v>4</v>
      </c>
      <c r="M376">
        <v>2</v>
      </c>
      <c r="N376">
        <v>0</v>
      </c>
      <c r="O376">
        <v>2</v>
      </c>
      <c r="P376">
        <v>4</v>
      </c>
      <c r="Q376">
        <v>2</v>
      </c>
      <c r="R376">
        <v>0</v>
      </c>
      <c r="S376">
        <v>51</v>
      </c>
      <c r="T376">
        <v>11.8</v>
      </c>
      <c r="U376">
        <v>114</v>
      </c>
      <c r="V376" s="19" t="s">
        <v>2414</v>
      </c>
      <c r="W376" s="19" t="s">
        <v>1410</v>
      </c>
      <c r="X376">
        <v>2</v>
      </c>
      <c r="Y376">
        <v>0</v>
      </c>
      <c r="Z376">
        <v>100</v>
      </c>
      <c r="AA376">
        <v>21</v>
      </c>
      <c r="AB376">
        <v>31</v>
      </c>
      <c r="AC376">
        <v>10</v>
      </c>
      <c r="AD376">
        <v>15</v>
      </c>
      <c r="AE376" s="19" t="s">
        <v>60</v>
      </c>
    </row>
    <row r="377" spans="1:31" x14ac:dyDescent="0.2">
      <c r="A377">
        <v>368</v>
      </c>
      <c r="B377" s="19" t="s">
        <v>786</v>
      </c>
      <c r="C377">
        <v>37</v>
      </c>
      <c r="D377" s="19" t="s">
        <v>345</v>
      </c>
      <c r="E377" s="19" t="s">
        <v>322</v>
      </c>
      <c r="F377">
        <v>39</v>
      </c>
      <c r="G377">
        <v>3</v>
      </c>
      <c r="H377">
        <v>9</v>
      </c>
      <c r="I377">
        <v>12</v>
      </c>
      <c r="J377">
        <v>-13</v>
      </c>
      <c r="K377">
        <v>18</v>
      </c>
      <c r="L377">
        <v>2</v>
      </c>
      <c r="M377">
        <v>1</v>
      </c>
      <c r="N377">
        <v>0</v>
      </c>
      <c r="O377">
        <v>0</v>
      </c>
      <c r="P377">
        <v>7</v>
      </c>
      <c r="Q377">
        <v>2</v>
      </c>
      <c r="R377">
        <v>0</v>
      </c>
      <c r="S377">
        <v>54</v>
      </c>
      <c r="T377">
        <v>5.6</v>
      </c>
      <c r="U377">
        <v>95</v>
      </c>
      <c r="V377" s="19" t="s">
        <v>2415</v>
      </c>
      <c r="W377" s="19" t="s">
        <v>2416</v>
      </c>
      <c r="X377">
        <v>316</v>
      </c>
      <c r="Y377">
        <v>186</v>
      </c>
      <c r="Z377">
        <v>62.9</v>
      </c>
      <c r="AA377">
        <v>19</v>
      </c>
      <c r="AB377">
        <v>8</v>
      </c>
      <c r="AC377">
        <v>8</v>
      </c>
      <c r="AD377">
        <v>25</v>
      </c>
      <c r="AE377" s="19" t="s">
        <v>60</v>
      </c>
    </row>
    <row r="378" spans="1:31" x14ac:dyDescent="0.2">
      <c r="A378">
        <v>369</v>
      </c>
      <c r="B378" s="19" t="s">
        <v>826</v>
      </c>
      <c r="C378">
        <v>29</v>
      </c>
      <c r="D378" s="19" t="s">
        <v>357</v>
      </c>
      <c r="E378" s="19" t="s">
        <v>322</v>
      </c>
      <c r="F378">
        <v>41</v>
      </c>
      <c r="G378">
        <v>2</v>
      </c>
      <c r="H378">
        <v>10</v>
      </c>
      <c r="I378">
        <v>12</v>
      </c>
      <c r="J378">
        <v>6</v>
      </c>
      <c r="K378">
        <v>21</v>
      </c>
      <c r="L378">
        <v>2</v>
      </c>
      <c r="M378">
        <v>0</v>
      </c>
      <c r="N378">
        <v>0</v>
      </c>
      <c r="O378">
        <v>0</v>
      </c>
      <c r="P378">
        <v>10</v>
      </c>
      <c r="Q378">
        <v>0</v>
      </c>
      <c r="R378">
        <v>0</v>
      </c>
      <c r="S378">
        <v>50</v>
      </c>
      <c r="T378">
        <v>4</v>
      </c>
      <c r="U378">
        <v>97</v>
      </c>
      <c r="V378" s="19" t="s">
        <v>2417</v>
      </c>
      <c r="W378" s="19" t="s">
        <v>853</v>
      </c>
      <c r="X378">
        <v>29</v>
      </c>
      <c r="Y378">
        <v>47</v>
      </c>
      <c r="Z378">
        <v>38.200000000000003</v>
      </c>
      <c r="AA378">
        <v>24</v>
      </c>
      <c r="AB378">
        <v>200</v>
      </c>
      <c r="AC378">
        <v>12</v>
      </c>
      <c r="AD378">
        <v>32</v>
      </c>
      <c r="AE378" s="19" t="s">
        <v>60</v>
      </c>
    </row>
    <row r="379" spans="1:31" x14ac:dyDescent="0.2">
      <c r="A379">
        <v>370</v>
      </c>
      <c r="B379" s="19" t="s">
        <v>875</v>
      </c>
      <c r="C379">
        <v>36</v>
      </c>
      <c r="D379" s="19" t="s">
        <v>370</v>
      </c>
      <c r="E379" s="19" t="s">
        <v>339</v>
      </c>
      <c r="F379">
        <v>33</v>
      </c>
      <c r="G379">
        <v>10</v>
      </c>
      <c r="H379">
        <v>2</v>
      </c>
      <c r="I379">
        <v>12</v>
      </c>
      <c r="J379">
        <v>-10</v>
      </c>
      <c r="K379">
        <v>10</v>
      </c>
      <c r="L379">
        <v>6</v>
      </c>
      <c r="M379">
        <v>4</v>
      </c>
      <c r="N379">
        <v>0</v>
      </c>
      <c r="O379">
        <v>1</v>
      </c>
      <c r="P379">
        <v>1</v>
      </c>
      <c r="Q379">
        <v>1</v>
      </c>
      <c r="R379">
        <v>0</v>
      </c>
      <c r="S379">
        <v>59</v>
      </c>
      <c r="T379">
        <v>16.899999999999999</v>
      </c>
      <c r="U379">
        <v>114</v>
      </c>
      <c r="V379" s="19" t="s">
        <v>2418</v>
      </c>
      <c r="W379" s="19" t="s">
        <v>1628</v>
      </c>
      <c r="X379">
        <v>2</v>
      </c>
      <c r="Y379">
        <v>1</v>
      </c>
      <c r="Z379">
        <v>66.7</v>
      </c>
      <c r="AA379">
        <v>20</v>
      </c>
      <c r="AB379">
        <v>7</v>
      </c>
      <c r="AC379">
        <v>4</v>
      </c>
      <c r="AD379">
        <v>19</v>
      </c>
      <c r="AE379" s="19" t="s">
        <v>60</v>
      </c>
    </row>
    <row r="380" spans="1:31" x14ac:dyDescent="0.2">
      <c r="A380">
        <v>371</v>
      </c>
      <c r="B380" s="19" t="s">
        <v>677</v>
      </c>
      <c r="C380">
        <v>30</v>
      </c>
      <c r="D380" s="19" t="s">
        <v>380</v>
      </c>
      <c r="E380" s="19" t="s">
        <v>339</v>
      </c>
      <c r="F380">
        <v>32</v>
      </c>
      <c r="G380">
        <v>8</v>
      </c>
      <c r="H380">
        <v>4</v>
      </c>
      <c r="I380">
        <v>12</v>
      </c>
      <c r="J380">
        <v>-6</v>
      </c>
      <c r="K380">
        <v>16</v>
      </c>
      <c r="L380">
        <v>8</v>
      </c>
      <c r="M380">
        <v>0</v>
      </c>
      <c r="N380">
        <v>0</v>
      </c>
      <c r="O380">
        <v>1</v>
      </c>
      <c r="P380">
        <v>3</v>
      </c>
      <c r="Q380">
        <v>0</v>
      </c>
      <c r="R380">
        <v>1</v>
      </c>
      <c r="S380">
        <v>51</v>
      </c>
      <c r="T380">
        <v>15.7</v>
      </c>
      <c r="U380">
        <v>89</v>
      </c>
      <c r="V380" s="19" t="s">
        <v>2419</v>
      </c>
      <c r="W380" s="19" t="s">
        <v>1849</v>
      </c>
      <c r="X380">
        <v>1</v>
      </c>
      <c r="Y380">
        <v>7</v>
      </c>
      <c r="Z380">
        <v>12.5</v>
      </c>
      <c r="AA380">
        <v>8</v>
      </c>
      <c r="AB380">
        <v>39</v>
      </c>
      <c r="AC380">
        <v>4</v>
      </c>
      <c r="AD380">
        <v>23</v>
      </c>
      <c r="AE380" s="19" t="s">
        <v>60</v>
      </c>
    </row>
    <row r="381" spans="1:31" x14ac:dyDescent="0.2">
      <c r="A381">
        <v>372</v>
      </c>
      <c r="B381" s="19" t="s">
        <v>703</v>
      </c>
      <c r="C381">
        <v>30</v>
      </c>
      <c r="D381" s="19" t="s">
        <v>418</v>
      </c>
      <c r="E381" s="19" t="s">
        <v>348</v>
      </c>
      <c r="F381">
        <v>38</v>
      </c>
      <c r="G381">
        <v>3</v>
      </c>
      <c r="H381">
        <v>9</v>
      </c>
      <c r="I381">
        <v>12</v>
      </c>
      <c r="J381">
        <v>7</v>
      </c>
      <c r="K381">
        <v>24</v>
      </c>
      <c r="L381">
        <v>3</v>
      </c>
      <c r="M381">
        <v>0</v>
      </c>
      <c r="N381">
        <v>0</v>
      </c>
      <c r="O381">
        <v>0</v>
      </c>
      <c r="P381">
        <v>9</v>
      </c>
      <c r="Q381">
        <v>0</v>
      </c>
      <c r="R381">
        <v>0</v>
      </c>
      <c r="S381">
        <v>41</v>
      </c>
      <c r="T381">
        <v>7.3</v>
      </c>
      <c r="U381">
        <v>105</v>
      </c>
      <c r="V381" s="19" t="s">
        <v>2420</v>
      </c>
      <c r="W381" s="19" t="s">
        <v>2421</v>
      </c>
      <c r="X381">
        <v>0</v>
      </c>
      <c r="Y381">
        <v>0</v>
      </c>
      <c r="AA381">
        <v>51</v>
      </c>
      <c r="AB381">
        <v>44</v>
      </c>
      <c r="AC381">
        <v>13</v>
      </c>
      <c r="AD381">
        <v>43</v>
      </c>
      <c r="AE381" s="19" t="s">
        <v>60</v>
      </c>
    </row>
    <row r="382" spans="1:31" x14ac:dyDescent="0.2">
      <c r="A382">
        <v>373</v>
      </c>
      <c r="B382" s="19" t="s">
        <v>749</v>
      </c>
      <c r="C382">
        <v>30</v>
      </c>
      <c r="D382" s="19" t="s">
        <v>370</v>
      </c>
      <c r="E382" s="19" t="s">
        <v>322</v>
      </c>
      <c r="F382">
        <v>32</v>
      </c>
      <c r="G382">
        <v>5</v>
      </c>
      <c r="H382">
        <v>6</v>
      </c>
      <c r="I382">
        <v>11</v>
      </c>
      <c r="J382">
        <v>-1</v>
      </c>
      <c r="K382">
        <v>24</v>
      </c>
      <c r="L382">
        <v>5</v>
      </c>
      <c r="M382">
        <v>0</v>
      </c>
      <c r="N382">
        <v>0</v>
      </c>
      <c r="O382">
        <v>2</v>
      </c>
      <c r="P382">
        <v>6</v>
      </c>
      <c r="Q382">
        <v>0</v>
      </c>
      <c r="R382">
        <v>0</v>
      </c>
      <c r="S382">
        <v>35</v>
      </c>
      <c r="T382">
        <v>14.3</v>
      </c>
      <c r="U382">
        <v>55</v>
      </c>
      <c r="V382" s="19" t="s">
        <v>2422</v>
      </c>
      <c r="W382" s="19" t="s">
        <v>1605</v>
      </c>
      <c r="X382">
        <v>2</v>
      </c>
      <c r="Y382">
        <v>5</v>
      </c>
      <c r="Z382">
        <v>28.6</v>
      </c>
      <c r="AA382">
        <v>15</v>
      </c>
      <c r="AB382">
        <v>36</v>
      </c>
      <c r="AC382">
        <v>0</v>
      </c>
      <c r="AD382">
        <v>15</v>
      </c>
      <c r="AE382" s="19" t="s">
        <v>60</v>
      </c>
    </row>
    <row r="383" spans="1:31" x14ac:dyDescent="0.2">
      <c r="A383">
        <v>374</v>
      </c>
      <c r="B383" s="19" t="s">
        <v>798</v>
      </c>
      <c r="C383">
        <v>20</v>
      </c>
      <c r="D383" s="19" t="s">
        <v>359</v>
      </c>
      <c r="E383" s="19" t="s">
        <v>334</v>
      </c>
      <c r="F383">
        <v>29</v>
      </c>
      <c r="G383">
        <v>4</v>
      </c>
      <c r="H383">
        <v>7</v>
      </c>
      <c r="I383">
        <v>11</v>
      </c>
      <c r="J383">
        <v>1</v>
      </c>
      <c r="K383">
        <v>4</v>
      </c>
      <c r="L383">
        <v>4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49</v>
      </c>
      <c r="T383">
        <v>8.1999999999999993</v>
      </c>
      <c r="U383">
        <v>91</v>
      </c>
      <c r="V383" s="19" t="s">
        <v>2423</v>
      </c>
      <c r="W383" s="19" t="s">
        <v>2424</v>
      </c>
      <c r="X383">
        <v>2</v>
      </c>
      <c r="Y383">
        <v>4</v>
      </c>
      <c r="Z383">
        <v>33.299999999999997</v>
      </c>
      <c r="AA383">
        <v>16</v>
      </c>
      <c r="AB383">
        <v>29</v>
      </c>
      <c r="AC383">
        <v>5</v>
      </c>
      <c r="AD383">
        <v>31</v>
      </c>
      <c r="AE383" s="19" t="s">
        <v>60</v>
      </c>
    </row>
    <row r="384" spans="1:31" x14ac:dyDescent="0.2">
      <c r="A384">
        <v>375</v>
      </c>
      <c r="B384" s="19" t="s">
        <v>758</v>
      </c>
      <c r="C384">
        <v>25</v>
      </c>
      <c r="D384" s="19" t="s">
        <v>324</v>
      </c>
      <c r="E384" s="19" t="s">
        <v>322</v>
      </c>
      <c r="F384">
        <v>40</v>
      </c>
      <c r="G384">
        <v>2</v>
      </c>
      <c r="H384">
        <v>9</v>
      </c>
      <c r="I384">
        <v>11</v>
      </c>
      <c r="J384">
        <v>-15</v>
      </c>
      <c r="K384">
        <v>16</v>
      </c>
      <c r="L384">
        <v>1</v>
      </c>
      <c r="M384">
        <v>0</v>
      </c>
      <c r="N384">
        <v>1</v>
      </c>
      <c r="O384">
        <v>0</v>
      </c>
      <c r="P384">
        <v>8</v>
      </c>
      <c r="Q384">
        <v>0</v>
      </c>
      <c r="R384">
        <v>1</v>
      </c>
      <c r="S384">
        <v>42</v>
      </c>
      <c r="T384">
        <v>4.8</v>
      </c>
      <c r="U384">
        <v>83</v>
      </c>
      <c r="V384" s="19" t="s">
        <v>2415</v>
      </c>
      <c r="W384" s="19" t="s">
        <v>1585</v>
      </c>
      <c r="X384">
        <v>257</v>
      </c>
      <c r="Y384">
        <v>239</v>
      </c>
      <c r="Z384">
        <v>51.8</v>
      </c>
      <c r="AA384">
        <v>35</v>
      </c>
      <c r="AB384">
        <v>111</v>
      </c>
      <c r="AC384">
        <v>7</v>
      </c>
      <c r="AD384">
        <v>23</v>
      </c>
      <c r="AE384" s="19" t="s">
        <v>60</v>
      </c>
    </row>
    <row r="385" spans="1:31" x14ac:dyDescent="0.2">
      <c r="A385">
        <v>376</v>
      </c>
      <c r="B385" s="19" t="s">
        <v>761</v>
      </c>
      <c r="C385">
        <v>35</v>
      </c>
      <c r="D385" s="19" t="s">
        <v>400</v>
      </c>
      <c r="E385" s="19" t="s">
        <v>348</v>
      </c>
      <c r="F385">
        <v>40</v>
      </c>
      <c r="G385">
        <v>3</v>
      </c>
      <c r="H385">
        <v>8</v>
      </c>
      <c r="I385">
        <v>11</v>
      </c>
      <c r="J385">
        <v>-3</v>
      </c>
      <c r="K385">
        <v>35</v>
      </c>
      <c r="L385">
        <v>3</v>
      </c>
      <c r="M385">
        <v>0</v>
      </c>
      <c r="N385">
        <v>0</v>
      </c>
      <c r="O385">
        <v>2</v>
      </c>
      <c r="P385">
        <v>7</v>
      </c>
      <c r="Q385">
        <v>0</v>
      </c>
      <c r="R385">
        <v>1</v>
      </c>
      <c r="S385">
        <v>29</v>
      </c>
      <c r="T385">
        <v>10.3</v>
      </c>
      <c r="U385">
        <v>70</v>
      </c>
      <c r="V385" s="19" t="s">
        <v>2425</v>
      </c>
      <c r="W385" s="19" t="s">
        <v>1638</v>
      </c>
      <c r="X385">
        <v>0</v>
      </c>
      <c r="Y385">
        <v>0</v>
      </c>
      <c r="AA385">
        <v>59</v>
      </c>
      <c r="AB385">
        <v>98</v>
      </c>
      <c r="AC385">
        <v>9</v>
      </c>
      <c r="AD385">
        <v>19</v>
      </c>
      <c r="AE385" s="19" t="s">
        <v>60</v>
      </c>
    </row>
    <row r="386" spans="1:31" x14ac:dyDescent="0.2">
      <c r="A386">
        <v>377</v>
      </c>
      <c r="B386" s="19" t="s">
        <v>1152</v>
      </c>
      <c r="C386">
        <v>27</v>
      </c>
      <c r="D386" s="19" t="s">
        <v>321</v>
      </c>
      <c r="E386" s="19" t="s">
        <v>348</v>
      </c>
      <c r="F386">
        <v>24</v>
      </c>
      <c r="G386">
        <v>3</v>
      </c>
      <c r="H386">
        <v>8</v>
      </c>
      <c r="I386">
        <v>11</v>
      </c>
      <c r="J386">
        <v>11</v>
      </c>
      <c r="K386">
        <v>2</v>
      </c>
      <c r="L386">
        <v>3</v>
      </c>
      <c r="M386">
        <v>0</v>
      </c>
      <c r="N386">
        <v>0</v>
      </c>
      <c r="O386">
        <v>1</v>
      </c>
      <c r="P386">
        <v>8</v>
      </c>
      <c r="Q386">
        <v>0</v>
      </c>
      <c r="R386">
        <v>0</v>
      </c>
      <c r="S386">
        <v>22</v>
      </c>
      <c r="T386">
        <v>13.6</v>
      </c>
      <c r="U386">
        <v>74</v>
      </c>
      <c r="V386" s="19" t="s">
        <v>2426</v>
      </c>
      <c r="W386" s="19" t="s">
        <v>2427</v>
      </c>
      <c r="X386">
        <v>0</v>
      </c>
      <c r="Y386">
        <v>0</v>
      </c>
      <c r="AA386">
        <v>24</v>
      </c>
      <c r="AB386">
        <v>10</v>
      </c>
      <c r="AC386">
        <v>3</v>
      </c>
      <c r="AD386">
        <v>20</v>
      </c>
      <c r="AE386" s="19" t="s">
        <v>60</v>
      </c>
    </row>
    <row r="387" spans="1:31" x14ac:dyDescent="0.2">
      <c r="A387">
        <v>378</v>
      </c>
      <c r="B387" s="19" t="s">
        <v>942</v>
      </c>
      <c r="C387">
        <v>25</v>
      </c>
      <c r="D387" s="19" t="s">
        <v>406</v>
      </c>
      <c r="E387" s="19" t="s">
        <v>322</v>
      </c>
      <c r="F387">
        <v>36</v>
      </c>
      <c r="G387">
        <v>4</v>
      </c>
      <c r="H387">
        <v>7</v>
      </c>
      <c r="I387">
        <v>11</v>
      </c>
      <c r="J387">
        <v>1</v>
      </c>
      <c r="K387">
        <v>26</v>
      </c>
      <c r="L387">
        <v>2</v>
      </c>
      <c r="M387">
        <v>2</v>
      </c>
      <c r="N387">
        <v>0</v>
      </c>
      <c r="O387">
        <v>0</v>
      </c>
      <c r="P387">
        <v>6</v>
      </c>
      <c r="Q387">
        <v>1</v>
      </c>
      <c r="R387">
        <v>0</v>
      </c>
      <c r="S387">
        <v>60</v>
      </c>
      <c r="T387">
        <v>6.7</v>
      </c>
      <c r="U387">
        <v>101</v>
      </c>
      <c r="V387" s="19" t="s">
        <v>2428</v>
      </c>
      <c r="W387" s="19" t="s">
        <v>1616</v>
      </c>
      <c r="X387">
        <v>211</v>
      </c>
      <c r="Y387">
        <v>206</v>
      </c>
      <c r="Z387">
        <v>50.6</v>
      </c>
      <c r="AA387">
        <v>15</v>
      </c>
      <c r="AB387">
        <v>11</v>
      </c>
      <c r="AC387">
        <v>10</v>
      </c>
      <c r="AD387">
        <v>20</v>
      </c>
      <c r="AE387" s="19" t="s">
        <v>60</v>
      </c>
    </row>
    <row r="388" spans="1:31" x14ac:dyDescent="0.2">
      <c r="A388">
        <v>379</v>
      </c>
      <c r="B388" s="19" t="s">
        <v>771</v>
      </c>
      <c r="C388">
        <v>27</v>
      </c>
      <c r="D388" s="19" t="s">
        <v>343</v>
      </c>
      <c r="E388" s="19" t="s">
        <v>322</v>
      </c>
      <c r="F388">
        <v>34</v>
      </c>
      <c r="G388">
        <v>7</v>
      </c>
      <c r="H388">
        <v>4</v>
      </c>
      <c r="I388">
        <v>11</v>
      </c>
      <c r="J388">
        <v>-7</v>
      </c>
      <c r="K388">
        <v>20</v>
      </c>
      <c r="L388">
        <v>7</v>
      </c>
      <c r="M388">
        <v>0</v>
      </c>
      <c r="N388">
        <v>0</v>
      </c>
      <c r="O388">
        <v>0</v>
      </c>
      <c r="P388">
        <v>4</v>
      </c>
      <c r="Q388">
        <v>0</v>
      </c>
      <c r="R388">
        <v>0</v>
      </c>
      <c r="S388">
        <v>38</v>
      </c>
      <c r="T388">
        <v>18.399999999999999</v>
      </c>
      <c r="U388">
        <v>67</v>
      </c>
      <c r="V388" s="19" t="s">
        <v>2429</v>
      </c>
      <c r="W388" s="19" t="s">
        <v>1817</v>
      </c>
      <c r="X388">
        <v>189</v>
      </c>
      <c r="Y388">
        <v>180</v>
      </c>
      <c r="Z388">
        <v>51.2</v>
      </c>
      <c r="AA388">
        <v>8</v>
      </c>
      <c r="AB388">
        <v>61</v>
      </c>
      <c r="AC388">
        <v>6</v>
      </c>
      <c r="AD388">
        <v>31</v>
      </c>
      <c r="AE388" s="19" t="s">
        <v>60</v>
      </c>
    </row>
    <row r="389" spans="1:31" x14ac:dyDescent="0.2">
      <c r="A389">
        <v>380</v>
      </c>
      <c r="B389" s="19" t="s">
        <v>805</v>
      </c>
      <c r="C389">
        <v>32</v>
      </c>
      <c r="D389" s="19" t="s">
        <v>343</v>
      </c>
      <c r="E389" s="19" t="s">
        <v>348</v>
      </c>
      <c r="F389">
        <v>31</v>
      </c>
      <c r="G389">
        <v>6</v>
      </c>
      <c r="H389">
        <v>5</v>
      </c>
      <c r="I389">
        <v>11</v>
      </c>
      <c r="J389">
        <v>2</v>
      </c>
      <c r="K389">
        <v>13</v>
      </c>
      <c r="L389">
        <v>6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48</v>
      </c>
      <c r="T389">
        <v>12.5</v>
      </c>
      <c r="U389">
        <v>87</v>
      </c>
      <c r="V389" s="19" t="s">
        <v>2430</v>
      </c>
      <c r="W389" s="19" t="s">
        <v>2416</v>
      </c>
      <c r="X389">
        <v>0</v>
      </c>
      <c r="Y389">
        <v>0</v>
      </c>
      <c r="AA389">
        <v>31</v>
      </c>
      <c r="AB389">
        <v>13</v>
      </c>
      <c r="AC389">
        <v>11</v>
      </c>
      <c r="AD389">
        <v>29</v>
      </c>
      <c r="AE389" s="19" t="s">
        <v>60</v>
      </c>
    </row>
    <row r="390" spans="1:31" x14ac:dyDescent="0.2">
      <c r="A390">
        <v>381</v>
      </c>
      <c r="B390" s="19" t="s">
        <v>905</v>
      </c>
      <c r="C390">
        <v>23</v>
      </c>
      <c r="D390" s="19" t="s">
        <v>380</v>
      </c>
      <c r="E390" s="19" t="s">
        <v>322</v>
      </c>
      <c r="F390">
        <v>38</v>
      </c>
      <c r="G390">
        <v>3</v>
      </c>
      <c r="H390">
        <v>8</v>
      </c>
      <c r="I390">
        <v>11</v>
      </c>
      <c r="J390">
        <v>-12</v>
      </c>
      <c r="K390">
        <v>6</v>
      </c>
      <c r="L390">
        <v>3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57</v>
      </c>
      <c r="T390">
        <v>5.3</v>
      </c>
      <c r="U390">
        <v>109</v>
      </c>
      <c r="V390" s="19" t="s">
        <v>2431</v>
      </c>
      <c r="W390" s="19" t="s">
        <v>587</v>
      </c>
      <c r="X390">
        <v>0</v>
      </c>
      <c r="Y390">
        <v>1</v>
      </c>
      <c r="Z390">
        <v>0</v>
      </c>
      <c r="AA390">
        <v>17</v>
      </c>
      <c r="AB390">
        <v>5</v>
      </c>
      <c r="AC390">
        <v>8</v>
      </c>
      <c r="AD390">
        <v>23</v>
      </c>
      <c r="AE390" s="19" t="s">
        <v>60</v>
      </c>
    </row>
    <row r="391" spans="1:31" x14ac:dyDescent="0.2">
      <c r="A391">
        <v>382</v>
      </c>
      <c r="B391" s="19" t="s">
        <v>846</v>
      </c>
      <c r="C391">
        <v>31</v>
      </c>
      <c r="D391" s="19" t="s">
        <v>336</v>
      </c>
      <c r="E391" s="19" t="s">
        <v>339</v>
      </c>
      <c r="F391">
        <v>38</v>
      </c>
      <c r="G391">
        <v>2</v>
      </c>
      <c r="H391">
        <v>9</v>
      </c>
      <c r="I391">
        <v>11</v>
      </c>
      <c r="J391">
        <v>-2</v>
      </c>
      <c r="K391">
        <v>62</v>
      </c>
      <c r="L391">
        <v>2</v>
      </c>
      <c r="M391">
        <v>0</v>
      </c>
      <c r="N391">
        <v>0</v>
      </c>
      <c r="O391">
        <v>0</v>
      </c>
      <c r="P391">
        <v>9</v>
      </c>
      <c r="Q391">
        <v>0</v>
      </c>
      <c r="R391">
        <v>0</v>
      </c>
      <c r="S391">
        <v>22</v>
      </c>
      <c r="T391">
        <v>9.1</v>
      </c>
      <c r="U391">
        <v>47</v>
      </c>
      <c r="V391" s="19" t="s">
        <v>2432</v>
      </c>
      <c r="W391" s="19" t="s">
        <v>1469</v>
      </c>
      <c r="X391">
        <v>2</v>
      </c>
      <c r="Y391">
        <v>3</v>
      </c>
      <c r="Z391">
        <v>40</v>
      </c>
      <c r="AA391">
        <v>11</v>
      </c>
      <c r="AB391">
        <v>115</v>
      </c>
      <c r="AC391">
        <v>4</v>
      </c>
      <c r="AD391">
        <v>21</v>
      </c>
      <c r="AE391" s="19" t="s">
        <v>60</v>
      </c>
    </row>
    <row r="392" spans="1:31" x14ac:dyDescent="0.2">
      <c r="A392">
        <v>383</v>
      </c>
      <c r="B392" s="19" t="s">
        <v>774</v>
      </c>
      <c r="C392">
        <v>36</v>
      </c>
      <c r="D392" s="19" t="s">
        <v>336</v>
      </c>
      <c r="E392" s="19" t="s">
        <v>322</v>
      </c>
      <c r="F392">
        <v>40</v>
      </c>
      <c r="G392">
        <v>2</v>
      </c>
      <c r="H392">
        <v>9</v>
      </c>
      <c r="I392">
        <v>11</v>
      </c>
      <c r="J392">
        <v>0</v>
      </c>
      <c r="K392">
        <v>16</v>
      </c>
      <c r="L392">
        <v>2</v>
      </c>
      <c r="M392">
        <v>0</v>
      </c>
      <c r="N392">
        <v>0</v>
      </c>
      <c r="O392">
        <v>0</v>
      </c>
      <c r="P392">
        <v>8</v>
      </c>
      <c r="Q392">
        <v>1</v>
      </c>
      <c r="R392">
        <v>0</v>
      </c>
      <c r="S392">
        <v>66</v>
      </c>
      <c r="T392">
        <v>3</v>
      </c>
      <c r="U392">
        <v>119</v>
      </c>
      <c r="V392" s="19" t="s">
        <v>2433</v>
      </c>
      <c r="W392" s="19" t="s">
        <v>1793</v>
      </c>
      <c r="X392">
        <v>26</v>
      </c>
      <c r="Y392">
        <v>45</v>
      </c>
      <c r="Z392">
        <v>36.6</v>
      </c>
      <c r="AA392">
        <v>18</v>
      </c>
      <c r="AB392">
        <v>34</v>
      </c>
      <c r="AC392">
        <v>13</v>
      </c>
      <c r="AD392">
        <v>33</v>
      </c>
      <c r="AE392" s="19" t="s">
        <v>60</v>
      </c>
    </row>
    <row r="393" spans="1:31" x14ac:dyDescent="0.2">
      <c r="A393">
        <v>384</v>
      </c>
      <c r="B393" s="19" t="s">
        <v>909</v>
      </c>
      <c r="C393">
        <v>33</v>
      </c>
      <c r="D393" s="19" t="s">
        <v>354</v>
      </c>
      <c r="E393" s="19" t="s">
        <v>322</v>
      </c>
      <c r="F393">
        <v>41</v>
      </c>
      <c r="G393">
        <v>3</v>
      </c>
      <c r="H393">
        <v>8</v>
      </c>
      <c r="I393">
        <v>11</v>
      </c>
      <c r="J393">
        <v>-1</v>
      </c>
      <c r="K393">
        <v>34</v>
      </c>
      <c r="L393">
        <v>3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59</v>
      </c>
      <c r="T393">
        <v>5.0999999999999996</v>
      </c>
      <c r="U393">
        <v>109</v>
      </c>
      <c r="V393" s="19" t="s">
        <v>2434</v>
      </c>
      <c r="W393" s="19" t="s">
        <v>839</v>
      </c>
      <c r="X393">
        <v>194</v>
      </c>
      <c r="Y393">
        <v>224</v>
      </c>
      <c r="Z393">
        <v>46.4</v>
      </c>
      <c r="AA393">
        <v>26</v>
      </c>
      <c r="AB393">
        <v>45</v>
      </c>
      <c r="AC393">
        <v>13</v>
      </c>
      <c r="AD393">
        <v>27</v>
      </c>
      <c r="AE393" s="19" t="s">
        <v>60</v>
      </c>
    </row>
    <row r="394" spans="1:31" x14ac:dyDescent="0.2">
      <c r="A394">
        <v>385</v>
      </c>
      <c r="B394" s="19" t="s">
        <v>855</v>
      </c>
      <c r="C394">
        <v>29</v>
      </c>
      <c r="D394" s="19" t="s">
        <v>359</v>
      </c>
      <c r="E394" s="19" t="s">
        <v>322</v>
      </c>
      <c r="F394">
        <v>33</v>
      </c>
      <c r="G394">
        <v>4</v>
      </c>
      <c r="H394">
        <v>7</v>
      </c>
      <c r="I394">
        <v>11</v>
      </c>
      <c r="J394">
        <v>1</v>
      </c>
      <c r="K394">
        <v>10</v>
      </c>
      <c r="L394">
        <v>3</v>
      </c>
      <c r="M394">
        <v>0</v>
      </c>
      <c r="N394">
        <v>1</v>
      </c>
      <c r="O394">
        <v>0</v>
      </c>
      <c r="P394">
        <v>7</v>
      </c>
      <c r="Q394">
        <v>0</v>
      </c>
      <c r="R394">
        <v>0</v>
      </c>
      <c r="S394">
        <v>30</v>
      </c>
      <c r="T394">
        <v>13.3</v>
      </c>
      <c r="U394">
        <v>45</v>
      </c>
      <c r="V394" s="19" t="s">
        <v>2435</v>
      </c>
      <c r="W394" s="19" t="s">
        <v>2436</v>
      </c>
      <c r="X394">
        <v>32</v>
      </c>
      <c r="Y394">
        <v>31</v>
      </c>
      <c r="Z394">
        <v>50.8</v>
      </c>
      <c r="AA394">
        <v>22</v>
      </c>
      <c r="AB394">
        <v>75</v>
      </c>
      <c r="AC394">
        <v>6</v>
      </c>
      <c r="AD394">
        <v>17</v>
      </c>
      <c r="AE394" s="19" t="s">
        <v>60</v>
      </c>
    </row>
    <row r="395" spans="1:31" x14ac:dyDescent="0.2">
      <c r="A395">
        <v>386</v>
      </c>
      <c r="B395" s="19" t="s">
        <v>731</v>
      </c>
      <c r="C395">
        <v>29</v>
      </c>
      <c r="D395" s="19" t="s">
        <v>327</v>
      </c>
      <c r="E395" s="19" t="s">
        <v>339</v>
      </c>
      <c r="F395">
        <v>40</v>
      </c>
      <c r="G395">
        <v>5</v>
      </c>
      <c r="H395">
        <v>6</v>
      </c>
      <c r="I395">
        <v>11</v>
      </c>
      <c r="J395">
        <v>-17</v>
      </c>
      <c r="K395">
        <v>32</v>
      </c>
      <c r="L395">
        <v>5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40</v>
      </c>
      <c r="T395">
        <v>12.5</v>
      </c>
      <c r="U395">
        <v>89</v>
      </c>
      <c r="V395" s="19" t="s">
        <v>2437</v>
      </c>
      <c r="W395" s="19" t="s">
        <v>2438</v>
      </c>
      <c r="X395">
        <v>2</v>
      </c>
      <c r="Y395">
        <v>4</v>
      </c>
      <c r="Z395">
        <v>33.299999999999997</v>
      </c>
      <c r="AA395">
        <v>15</v>
      </c>
      <c r="AB395">
        <v>32</v>
      </c>
      <c r="AC395">
        <v>6</v>
      </c>
      <c r="AD395">
        <v>27</v>
      </c>
      <c r="AE395" s="19" t="s">
        <v>60</v>
      </c>
    </row>
    <row r="396" spans="1:31" x14ac:dyDescent="0.2">
      <c r="A396">
        <v>387</v>
      </c>
      <c r="B396" s="19" t="s">
        <v>857</v>
      </c>
      <c r="C396">
        <v>22</v>
      </c>
      <c r="D396" s="19" t="s">
        <v>336</v>
      </c>
      <c r="E396" s="19" t="s">
        <v>348</v>
      </c>
      <c r="F396">
        <v>35</v>
      </c>
      <c r="G396">
        <v>5</v>
      </c>
      <c r="H396">
        <v>6</v>
      </c>
      <c r="I396">
        <v>11</v>
      </c>
      <c r="J396">
        <v>2</v>
      </c>
      <c r="K396">
        <v>4</v>
      </c>
      <c r="L396">
        <v>5</v>
      </c>
      <c r="M396">
        <v>0</v>
      </c>
      <c r="N396">
        <v>0</v>
      </c>
      <c r="O396">
        <v>2</v>
      </c>
      <c r="P396">
        <v>5</v>
      </c>
      <c r="Q396">
        <v>1</v>
      </c>
      <c r="R396">
        <v>0</v>
      </c>
      <c r="S396">
        <v>36</v>
      </c>
      <c r="T396">
        <v>13.9</v>
      </c>
      <c r="U396">
        <v>96</v>
      </c>
      <c r="V396" s="19" t="s">
        <v>2439</v>
      </c>
      <c r="W396" s="19" t="s">
        <v>600</v>
      </c>
      <c r="X396">
        <v>0</v>
      </c>
      <c r="Y396">
        <v>0</v>
      </c>
      <c r="AA396">
        <v>57</v>
      </c>
      <c r="AB396">
        <v>18</v>
      </c>
      <c r="AC396">
        <v>9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813</v>
      </c>
      <c r="C397">
        <v>21</v>
      </c>
      <c r="D397" s="19" t="s">
        <v>329</v>
      </c>
      <c r="E397" s="19" t="s">
        <v>322</v>
      </c>
      <c r="F397">
        <v>28</v>
      </c>
      <c r="G397">
        <v>3</v>
      </c>
      <c r="H397">
        <v>8</v>
      </c>
      <c r="I397">
        <v>11</v>
      </c>
      <c r="J397">
        <v>-4</v>
      </c>
      <c r="K397">
        <v>6</v>
      </c>
      <c r="L397">
        <v>3</v>
      </c>
      <c r="M397">
        <v>0</v>
      </c>
      <c r="N397">
        <v>0</v>
      </c>
      <c r="O397">
        <v>0</v>
      </c>
      <c r="P397">
        <v>6</v>
      </c>
      <c r="Q397">
        <v>2</v>
      </c>
      <c r="R397">
        <v>0</v>
      </c>
      <c r="S397">
        <v>35</v>
      </c>
      <c r="T397">
        <v>8.6</v>
      </c>
      <c r="U397">
        <v>59</v>
      </c>
      <c r="V397" s="19" t="s">
        <v>1954</v>
      </c>
      <c r="W397" s="19" t="s">
        <v>2440</v>
      </c>
      <c r="X397">
        <v>17</v>
      </c>
      <c r="Y397">
        <v>15</v>
      </c>
      <c r="Z397">
        <v>53.1</v>
      </c>
      <c r="AA397">
        <v>10</v>
      </c>
      <c r="AB397">
        <v>17</v>
      </c>
      <c r="AC397">
        <v>9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781</v>
      </c>
      <c r="C398">
        <v>32</v>
      </c>
      <c r="D398" s="19" t="s">
        <v>519</v>
      </c>
      <c r="E398" s="19" t="s">
        <v>348</v>
      </c>
      <c r="F398">
        <v>41</v>
      </c>
      <c r="G398">
        <v>0</v>
      </c>
      <c r="H398">
        <v>11</v>
      </c>
      <c r="I398">
        <v>11</v>
      </c>
      <c r="J398">
        <v>-9</v>
      </c>
      <c r="K398">
        <v>12</v>
      </c>
      <c r="L398">
        <v>0</v>
      </c>
      <c r="M398">
        <v>0</v>
      </c>
      <c r="N398">
        <v>0</v>
      </c>
      <c r="O398">
        <v>0</v>
      </c>
      <c r="P398">
        <v>11</v>
      </c>
      <c r="Q398">
        <v>0</v>
      </c>
      <c r="R398">
        <v>0</v>
      </c>
      <c r="S398">
        <v>46</v>
      </c>
      <c r="T398">
        <v>0</v>
      </c>
      <c r="U398">
        <v>113</v>
      </c>
      <c r="V398" s="19" t="s">
        <v>2441</v>
      </c>
      <c r="W398" s="19" t="s">
        <v>1878</v>
      </c>
      <c r="X398">
        <v>0</v>
      </c>
      <c r="Y398">
        <v>0</v>
      </c>
      <c r="AA398">
        <v>95</v>
      </c>
      <c r="AB398">
        <v>42</v>
      </c>
      <c r="AC398">
        <v>19</v>
      </c>
      <c r="AD398">
        <v>49</v>
      </c>
      <c r="AE398" s="19" t="s">
        <v>60</v>
      </c>
    </row>
    <row r="399" spans="1:31" x14ac:dyDescent="0.2">
      <c r="A399">
        <v>390</v>
      </c>
      <c r="B399" s="19" t="s">
        <v>860</v>
      </c>
      <c r="C399">
        <v>23</v>
      </c>
      <c r="D399" s="19" t="s">
        <v>430</v>
      </c>
      <c r="E399" s="19" t="s">
        <v>348</v>
      </c>
      <c r="F399">
        <v>38</v>
      </c>
      <c r="G399">
        <v>3</v>
      </c>
      <c r="H399">
        <v>8</v>
      </c>
      <c r="I399">
        <v>11</v>
      </c>
      <c r="J399">
        <v>-3</v>
      </c>
      <c r="K399">
        <v>4</v>
      </c>
      <c r="L399">
        <v>3</v>
      </c>
      <c r="M399">
        <v>0</v>
      </c>
      <c r="N399">
        <v>0</v>
      </c>
      <c r="O399">
        <v>0</v>
      </c>
      <c r="P399">
        <v>6</v>
      </c>
      <c r="Q399">
        <v>0</v>
      </c>
      <c r="R399">
        <v>2</v>
      </c>
      <c r="S399">
        <v>57</v>
      </c>
      <c r="T399">
        <v>5.3</v>
      </c>
      <c r="U399">
        <v>129</v>
      </c>
      <c r="V399" s="19" t="s">
        <v>2442</v>
      </c>
      <c r="W399" s="19" t="s">
        <v>331</v>
      </c>
      <c r="X399">
        <v>0</v>
      </c>
      <c r="Y399">
        <v>0</v>
      </c>
      <c r="AA399">
        <v>34</v>
      </c>
      <c r="AB399">
        <v>19</v>
      </c>
      <c r="AC399">
        <v>11</v>
      </c>
      <c r="AD399">
        <v>37</v>
      </c>
      <c r="AE399" s="19" t="s">
        <v>60</v>
      </c>
    </row>
    <row r="400" spans="1:31" x14ac:dyDescent="0.2">
      <c r="A400">
        <v>391</v>
      </c>
      <c r="B400" s="19" t="s">
        <v>861</v>
      </c>
      <c r="C400">
        <v>27</v>
      </c>
      <c r="D400" s="19" t="s">
        <v>361</v>
      </c>
      <c r="E400" s="19" t="s">
        <v>334</v>
      </c>
      <c r="F400">
        <v>39</v>
      </c>
      <c r="G400">
        <v>7</v>
      </c>
      <c r="H400">
        <v>4</v>
      </c>
      <c r="I400">
        <v>11</v>
      </c>
      <c r="J400">
        <v>4</v>
      </c>
      <c r="K400">
        <v>4</v>
      </c>
      <c r="L400">
        <v>6</v>
      </c>
      <c r="M400">
        <v>0</v>
      </c>
      <c r="N400">
        <v>1</v>
      </c>
      <c r="O400">
        <v>0</v>
      </c>
      <c r="P400">
        <v>4</v>
      </c>
      <c r="Q400">
        <v>0</v>
      </c>
      <c r="R400">
        <v>0</v>
      </c>
      <c r="S400">
        <v>33</v>
      </c>
      <c r="T400">
        <v>21.2</v>
      </c>
      <c r="U400">
        <v>57</v>
      </c>
      <c r="V400" s="19" t="s">
        <v>2443</v>
      </c>
      <c r="W400" s="19" t="s">
        <v>2444</v>
      </c>
      <c r="X400">
        <v>1</v>
      </c>
      <c r="Y400">
        <v>10</v>
      </c>
      <c r="Z400">
        <v>9.1</v>
      </c>
      <c r="AA400">
        <v>21</v>
      </c>
      <c r="AB400">
        <v>36</v>
      </c>
      <c r="AC400">
        <v>9</v>
      </c>
      <c r="AD400">
        <v>14</v>
      </c>
      <c r="AE400" s="19" t="s">
        <v>60</v>
      </c>
    </row>
    <row r="401" spans="1:31" x14ac:dyDescent="0.2">
      <c r="A401">
        <v>392</v>
      </c>
      <c r="B401" s="19" t="s">
        <v>697</v>
      </c>
      <c r="C401">
        <v>23</v>
      </c>
      <c r="D401" s="19" t="s">
        <v>451</v>
      </c>
      <c r="E401" s="19" t="s">
        <v>322</v>
      </c>
      <c r="F401">
        <v>31</v>
      </c>
      <c r="G401">
        <v>3</v>
      </c>
      <c r="H401">
        <v>8</v>
      </c>
      <c r="I401">
        <v>11</v>
      </c>
      <c r="J401">
        <v>3</v>
      </c>
      <c r="K401">
        <v>16</v>
      </c>
      <c r="L401">
        <v>3</v>
      </c>
      <c r="M401">
        <v>0</v>
      </c>
      <c r="N401">
        <v>0</v>
      </c>
      <c r="O401">
        <v>1</v>
      </c>
      <c r="P401">
        <v>8</v>
      </c>
      <c r="Q401">
        <v>0</v>
      </c>
      <c r="R401">
        <v>0</v>
      </c>
      <c r="S401">
        <v>26</v>
      </c>
      <c r="T401">
        <v>11.5</v>
      </c>
      <c r="U401">
        <v>67</v>
      </c>
      <c r="V401" s="19" t="s">
        <v>2445</v>
      </c>
      <c r="W401" s="19" t="s">
        <v>1684</v>
      </c>
      <c r="X401">
        <v>222</v>
      </c>
      <c r="Y401">
        <v>140</v>
      </c>
      <c r="Z401">
        <v>61.3</v>
      </c>
      <c r="AA401">
        <v>7</v>
      </c>
      <c r="AB401">
        <v>77</v>
      </c>
      <c r="AC401">
        <v>5</v>
      </c>
      <c r="AD401">
        <v>18</v>
      </c>
      <c r="AE401" s="19" t="s">
        <v>60</v>
      </c>
    </row>
    <row r="402" spans="1:31" x14ac:dyDescent="0.2">
      <c r="A402">
        <v>393</v>
      </c>
      <c r="B402" s="19" t="s">
        <v>735</v>
      </c>
      <c r="C402">
        <v>30</v>
      </c>
      <c r="D402" s="19" t="s">
        <v>366</v>
      </c>
      <c r="E402" s="19" t="s">
        <v>348</v>
      </c>
      <c r="F402">
        <v>41</v>
      </c>
      <c r="G402">
        <v>1</v>
      </c>
      <c r="H402">
        <v>10</v>
      </c>
      <c r="I402">
        <v>11</v>
      </c>
      <c r="J402">
        <v>16</v>
      </c>
      <c r="K402">
        <v>6</v>
      </c>
      <c r="L402">
        <v>1</v>
      </c>
      <c r="M402">
        <v>0</v>
      </c>
      <c r="N402">
        <v>0</v>
      </c>
      <c r="O402">
        <v>0</v>
      </c>
      <c r="P402">
        <v>10</v>
      </c>
      <c r="Q402">
        <v>0</v>
      </c>
      <c r="R402">
        <v>0</v>
      </c>
      <c r="S402">
        <v>52</v>
      </c>
      <c r="T402">
        <v>1.9</v>
      </c>
      <c r="U402">
        <v>115</v>
      </c>
      <c r="V402" s="19" t="s">
        <v>2446</v>
      </c>
      <c r="W402" s="19" t="s">
        <v>457</v>
      </c>
      <c r="X402">
        <v>0</v>
      </c>
      <c r="Y402">
        <v>0</v>
      </c>
      <c r="AA402">
        <v>87</v>
      </c>
      <c r="AB402">
        <v>50</v>
      </c>
      <c r="AC402">
        <v>7</v>
      </c>
      <c r="AD402">
        <v>35</v>
      </c>
      <c r="AE402" s="19" t="s">
        <v>60</v>
      </c>
    </row>
    <row r="403" spans="1:31" x14ac:dyDescent="0.2">
      <c r="A403">
        <v>394</v>
      </c>
      <c r="B403" s="19" t="s">
        <v>1049</v>
      </c>
      <c r="C403">
        <v>36</v>
      </c>
      <c r="D403" s="19" t="s">
        <v>357</v>
      </c>
      <c r="E403" s="19" t="s">
        <v>348</v>
      </c>
      <c r="F403">
        <v>41</v>
      </c>
      <c r="G403">
        <v>3</v>
      </c>
      <c r="H403">
        <v>8</v>
      </c>
      <c r="I403">
        <v>11</v>
      </c>
      <c r="J403">
        <v>3</v>
      </c>
      <c r="K403">
        <v>8</v>
      </c>
      <c r="L403">
        <v>1</v>
      </c>
      <c r="M403">
        <v>2</v>
      </c>
      <c r="N403">
        <v>0</v>
      </c>
      <c r="O403">
        <v>1</v>
      </c>
      <c r="P403">
        <v>6</v>
      </c>
      <c r="Q403">
        <v>2</v>
      </c>
      <c r="R403">
        <v>0</v>
      </c>
      <c r="S403">
        <v>47</v>
      </c>
      <c r="T403">
        <v>6.4</v>
      </c>
      <c r="U403">
        <v>118</v>
      </c>
      <c r="V403" s="19" t="s">
        <v>2447</v>
      </c>
      <c r="W403" s="19" t="s">
        <v>1976</v>
      </c>
      <c r="X403">
        <v>0</v>
      </c>
      <c r="Y403">
        <v>0</v>
      </c>
      <c r="AA403">
        <v>81</v>
      </c>
      <c r="AB403">
        <v>51</v>
      </c>
      <c r="AC403">
        <v>10</v>
      </c>
      <c r="AD403">
        <v>33</v>
      </c>
      <c r="AE403" s="19" t="s">
        <v>60</v>
      </c>
    </row>
    <row r="404" spans="1:31" x14ac:dyDescent="0.2">
      <c r="A404">
        <v>395</v>
      </c>
      <c r="B404" s="19" t="s">
        <v>825</v>
      </c>
      <c r="C404">
        <v>26</v>
      </c>
      <c r="D404" s="19" t="s">
        <v>354</v>
      </c>
      <c r="E404" s="19" t="s">
        <v>325</v>
      </c>
      <c r="F404">
        <v>24</v>
      </c>
      <c r="G404">
        <v>8</v>
      </c>
      <c r="H404">
        <v>3</v>
      </c>
      <c r="I404">
        <v>11</v>
      </c>
      <c r="J404">
        <v>4</v>
      </c>
      <c r="K404">
        <v>23</v>
      </c>
      <c r="L404">
        <v>6</v>
      </c>
      <c r="M404">
        <v>1</v>
      </c>
      <c r="N404">
        <v>1</v>
      </c>
      <c r="O404">
        <v>0</v>
      </c>
      <c r="P404">
        <v>3</v>
      </c>
      <c r="Q404">
        <v>0</v>
      </c>
      <c r="R404">
        <v>0</v>
      </c>
      <c r="S404">
        <v>33</v>
      </c>
      <c r="T404">
        <v>24.2</v>
      </c>
      <c r="U404">
        <v>68</v>
      </c>
      <c r="V404" s="19" t="s">
        <v>2448</v>
      </c>
      <c r="W404" s="19" t="s">
        <v>2449</v>
      </c>
      <c r="X404">
        <v>3</v>
      </c>
      <c r="Y404">
        <v>4</v>
      </c>
      <c r="Z404">
        <v>42.9</v>
      </c>
      <c r="AA404">
        <v>17</v>
      </c>
      <c r="AB404">
        <v>89</v>
      </c>
      <c r="AC404">
        <v>8</v>
      </c>
      <c r="AD404">
        <v>17</v>
      </c>
      <c r="AE404" s="19" t="s">
        <v>60</v>
      </c>
    </row>
    <row r="405" spans="1:31" x14ac:dyDescent="0.2">
      <c r="A405">
        <v>396</v>
      </c>
      <c r="B405" s="19" t="s">
        <v>791</v>
      </c>
      <c r="C405">
        <v>31</v>
      </c>
      <c r="D405" s="19" t="s">
        <v>398</v>
      </c>
      <c r="E405" s="19" t="s">
        <v>348</v>
      </c>
      <c r="F405">
        <v>40</v>
      </c>
      <c r="G405">
        <v>4</v>
      </c>
      <c r="H405">
        <v>7</v>
      </c>
      <c r="I405">
        <v>11</v>
      </c>
      <c r="J405">
        <v>-10</v>
      </c>
      <c r="K405">
        <v>18</v>
      </c>
      <c r="L405">
        <v>4</v>
      </c>
      <c r="M405">
        <v>0</v>
      </c>
      <c r="N405">
        <v>0</v>
      </c>
      <c r="O405">
        <v>0</v>
      </c>
      <c r="P405">
        <v>5</v>
      </c>
      <c r="Q405">
        <v>1</v>
      </c>
      <c r="R405">
        <v>1</v>
      </c>
      <c r="S405">
        <v>91</v>
      </c>
      <c r="T405">
        <v>4.4000000000000004</v>
      </c>
      <c r="U405">
        <v>247</v>
      </c>
      <c r="V405" s="19" t="s">
        <v>2450</v>
      </c>
      <c r="W405" s="19" t="s">
        <v>2451</v>
      </c>
      <c r="X405">
        <v>0</v>
      </c>
      <c r="Y405">
        <v>0</v>
      </c>
      <c r="AA405">
        <v>61</v>
      </c>
      <c r="AB405">
        <v>61</v>
      </c>
      <c r="AC405">
        <v>16</v>
      </c>
      <c r="AD405">
        <v>38</v>
      </c>
      <c r="AE405" s="19" t="s">
        <v>60</v>
      </c>
    </row>
    <row r="406" spans="1:31" x14ac:dyDescent="0.2">
      <c r="A406">
        <v>397</v>
      </c>
      <c r="B406" s="19" t="s">
        <v>827</v>
      </c>
      <c r="C406">
        <v>20</v>
      </c>
      <c r="D406" s="19" t="s">
        <v>451</v>
      </c>
      <c r="E406" s="19" t="s">
        <v>348</v>
      </c>
      <c r="F406">
        <v>29</v>
      </c>
      <c r="G406">
        <v>2</v>
      </c>
      <c r="H406">
        <v>9</v>
      </c>
      <c r="I406">
        <v>11</v>
      </c>
      <c r="J406">
        <v>-1</v>
      </c>
      <c r="K406">
        <v>6</v>
      </c>
      <c r="L406">
        <v>2</v>
      </c>
      <c r="M406">
        <v>0</v>
      </c>
      <c r="N406">
        <v>0</v>
      </c>
      <c r="O406">
        <v>0</v>
      </c>
      <c r="P406">
        <v>7</v>
      </c>
      <c r="Q406">
        <v>2</v>
      </c>
      <c r="R406">
        <v>0</v>
      </c>
      <c r="S406">
        <v>25</v>
      </c>
      <c r="T406">
        <v>8</v>
      </c>
      <c r="U406">
        <v>67</v>
      </c>
      <c r="V406" s="19" t="s">
        <v>2452</v>
      </c>
      <c r="W406" s="19" t="s">
        <v>2453</v>
      </c>
      <c r="X406">
        <v>0</v>
      </c>
      <c r="Y406">
        <v>0</v>
      </c>
      <c r="AA406">
        <v>26</v>
      </c>
      <c r="AB406">
        <v>5</v>
      </c>
      <c r="AC406">
        <v>4</v>
      </c>
      <c r="AD406">
        <v>16</v>
      </c>
      <c r="AE406" s="19" t="s">
        <v>60</v>
      </c>
    </row>
    <row r="407" spans="1:31" x14ac:dyDescent="0.2">
      <c r="A407">
        <v>398</v>
      </c>
      <c r="B407" s="19" t="s">
        <v>829</v>
      </c>
      <c r="C407">
        <v>23</v>
      </c>
      <c r="D407" s="19" t="s">
        <v>408</v>
      </c>
      <c r="E407" s="19" t="s">
        <v>348</v>
      </c>
      <c r="F407">
        <v>28</v>
      </c>
      <c r="G407">
        <v>1</v>
      </c>
      <c r="H407">
        <v>9</v>
      </c>
      <c r="I407">
        <v>10</v>
      </c>
      <c r="J407">
        <v>11</v>
      </c>
      <c r="K407">
        <v>10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24</v>
      </c>
      <c r="T407">
        <v>4.2</v>
      </c>
      <c r="U407">
        <v>64</v>
      </c>
      <c r="V407" s="19" t="s">
        <v>2454</v>
      </c>
      <c r="W407" s="19" t="s">
        <v>1624</v>
      </c>
      <c r="X407">
        <v>0</v>
      </c>
      <c r="Y407">
        <v>0</v>
      </c>
      <c r="AA407">
        <v>25</v>
      </c>
      <c r="AB407">
        <v>29</v>
      </c>
      <c r="AC407">
        <v>4</v>
      </c>
      <c r="AD407">
        <v>20</v>
      </c>
      <c r="AE407" s="19" t="s">
        <v>60</v>
      </c>
    </row>
    <row r="408" spans="1:31" x14ac:dyDescent="0.2">
      <c r="A408">
        <v>399</v>
      </c>
      <c r="B408" s="19" t="s">
        <v>887</v>
      </c>
      <c r="C408">
        <v>26</v>
      </c>
      <c r="D408" s="19" t="s">
        <v>400</v>
      </c>
      <c r="E408" s="19" t="s">
        <v>322</v>
      </c>
      <c r="F408">
        <v>40</v>
      </c>
      <c r="G408">
        <v>5</v>
      </c>
      <c r="H408">
        <v>5</v>
      </c>
      <c r="I408">
        <v>10</v>
      </c>
      <c r="J408">
        <v>-9</v>
      </c>
      <c r="K408">
        <v>13</v>
      </c>
      <c r="L408">
        <v>5</v>
      </c>
      <c r="M408">
        <v>0</v>
      </c>
      <c r="N408">
        <v>0</v>
      </c>
      <c r="O408">
        <v>1</v>
      </c>
      <c r="P408">
        <v>4</v>
      </c>
      <c r="Q408">
        <v>1</v>
      </c>
      <c r="R408">
        <v>0</v>
      </c>
      <c r="S408">
        <v>38</v>
      </c>
      <c r="T408">
        <v>13.2</v>
      </c>
      <c r="U408">
        <v>84</v>
      </c>
      <c r="V408" s="19" t="s">
        <v>2455</v>
      </c>
      <c r="W408" s="19" t="s">
        <v>816</v>
      </c>
      <c r="X408">
        <v>18</v>
      </c>
      <c r="Y408">
        <v>18</v>
      </c>
      <c r="Z408">
        <v>50</v>
      </c>
      <c r="AA408">
        <v>13</v>
      </c>
      <c r="AB408">
        <v>106</v>
      </c>
      <c r="AC408">
        <v>7</v>
      </c>
      <c r="AD408">
        <v>17</v>
      </c>
      <c r="AE408" s="19" t="s">
        <v>60</v>
      </c>
    </row>
    <row r="409" spans="1:31" x14ac:dyDescent="0.2">
      <c r="A409">
        <v>400</v>
      </c>
      <c r="B409" s="19" t="s">
        <v>835</v>
      </c>
      <c r="C409">
        <v>32</v>
      </c>
      <c r="D409" s="19" t="s">
        <v>418</v>
      </c>
      <c r="E409" s="19" t="s">
        <v>322</v>
      </c>
      <c r="F409">
        <v>38</v>
      </c>
      <c r="G409">
        <v>6</v>
      </c>
      <c r="H409">
        <v>4</v>
      </c>
      <c r="I409">
        <v>10</v>
      </c>
      <c r="J409">
        <v>1</v>
      </c>
      <c r="K409">
        <v>37</v>
      </c>
      <c r="L409">
        <v>6</v>
      </c>
      <c r="M409">
        <v>0</v>
      </c>
      <c r="N409">
        <v>0</v>
      </c>
      <c r="O409">
        <v>1</v>
      </c>
      <c r="P409">
        <v>4</v>
      </c>
      <c r="Q409">
        <v>0</v>
      </c>
      <c r="R409">
        <v>0</v>
      </c>
      <c r="S409">
        <v>30</v>
      </c>
      <c r="T409">
        <v>20</v>
      </c>
      <c r="U409">
        <v>58</v>
      </c>
      <c r="V409" s="19" t="s">
        <v>2456</v>
      </c>
      <c r="W409" s="19" t="s">
        <v>1422</v>
      </c>
      <c r="X409">
        <v>9</v>
      </c>
      <c r="Y409">
        <v>11</v>
      </c>
      <c r="Z409">
        <v>45</v>
      </c>
      <c r="AA409">
        <v>16</v>
      </c>
      <c r="AB409">
        <v>78</v>
      </c>
      <c r="AC409">
        <v>6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1148</v>
      </c>
      <c r="C410">
        <v>27</v>
      </c>
      <c r="D410" s="19" t="s">
        <v>406</v>
      </c>
      <c r="E410" s="19" t="s">
        <v>348</v>
      </c>
      <c r="F410">
        <v>20</v>
      </c>
      <c r="G410">
        <v>1</v>
      </c>
      <c r="H410">
        <v>9</v>
      </c>
      <c r="I410">
        <v>10</v>
      </c>
      <c r="J410">
        <v>-11</v>
      </c>
      <c r="K410">
        <v>22</v>
      </c>
      <c r="L410">
        <v>1</v>
      </c>
      <c r="M410">
        <v>0</v>
      </c>
      <c r="N410">
        <v>0</v>
      </c>
      <c r="O410">
        <v>0</v>
      </c>
      <c r="P410">
        <v>7</v>
      </c>
      <c r="Q410">
        <v>2</v>
      </c>
      <c r="R410">
        <v>0</v>
      </c>
      <c r="S410">
        <v>37</v>
      </c>
      <c r="T410">
        <v>2.7</v>
      </c>
      <c r="U410">
        <v>90</v>
      </c>
      <c r="V410" s="19" t="s">
        <v>2457</v>
      </c>
      <c r="W410" s="19" t="s">
        <v>1032</v>
      </c>
      <c r="X410">
        <v>0</v>
      </c>
      <c r="Y410">
        <v>0</v>
      </c>
      <c r="AA410">
        <v>42</v>
      </c>
      <c r="AB410">
        <v>12</v>
      </c>
      <c r="AC410">
        <v>3</v>
      </c>
      <c r="AD410">
        <v>25</v>
      </c>
      <c r="AE410" s="19" t="s">
        <v>60</v>
      </c>
    </row>
    <row r="411" spans="1:31" x14ac:dyDescent="0.2">
      <c r="A411">
        <v>402</v>
      </c>
      <c r="B411" s="19" t="s">
        <v>800</v>
      </c>
      <c r="C411">
        <v>29</v>
      </c>
      <c r="D411" s="19" t="s">
        <v>363</v>
      </c>
      <c r="E411" s="19" t="s">
        <v>322</v>
      </c>
      <c r="F411">
        <v>34</v>
      </c>
      <c r="G411">
        <v>5</v>
      </c>
      <c r="H411">
        <v>5</v>
      </c>
      <c r="I411">
        <v>10</v>
      </c>
      <c r="J411">
        <v>-13</v>
      </c>
      <c r="K411">
        <v>18</v>
      </c>
      <c r="L411">
        <v>4</v>
      </c>
      <c r="M411">
        <v>0</v>
      </c>
      <c r="N411">
        <v>1</v>
      </c>
      <c r="O411">
        <v>0</v>
      </c>
      <c r="P411">
        <v>5</v>
      </c>
      <c r="Q411">
        <v>0</v>
      </c>
      <c r="R411">
        <v>0</v>
      </c>
      <c r="S411">
        <v>34</v>
      </c>
      <c r="T411">
        <v>14.7</v>
      </c>
      <c r="U411">
        <v>75</v>
      </c>
      <c r="V411" s="19" t="s">
        <v>1800</v>
      </c>
      <c r="W411" s="19" t="s">
        <v>1801</v>
      </c>
      <c r="X411">
        <v>236</v>
      </c>
      <c r="Y411">
        <v>200</v>
      </c>
      <c r="Z411">
        <v>54.1</v>
      </c>
      <c r="AA411">
        <v>24</v>
      </c>
      <c r="AB411">
        <v>44</v>
      </c>
      <c r="AC411">
        <v>6</v>
      </c>
      <c r="AD411">
        <v>26</v>
      </c>
      <c r="AE411" s="19" t="s">
        <v>60</v>
      </c>
    </row>
    <row r="412" spans="1:31" x14ac:dyDescent="0.2">
      <c r="A412">
        <v>403</v>
      </c>
      <c r="B412" s="19" t="s">
        <v>768</v>
      </c>
      <c r="C412">
        <v>35</v>
      </c>
      <c r="D412" s="19" t="s">
        <v>327</v>
      </c>
      <c r="E412" s="19" t="s">
        <v>322</v>
      </c>
      <c r="F412">
        <v>41</v>
      </c>
      <c r="G412">
        <v>2</v>
      </c>
      <c r="H412">
        <v>8</v>
      </c>
      <c r="I412">
        <v>10</v>
      </c>
      <c r="J412">
        <v>-9</v>
      </c>
      <c r="K412">
        <v>12</v>
      </c>
      <c r="L412">
        <v>2</v>
      </c>
      <c r="M412">
        <v>0</v>
      </c>
      <c r="N412">
        <v>0</v>
      </c>
      <c r="O412">
        <v>0</v>
      </c>
      <c r="P412">
        <v>4</v>
      </c>
      <c r="Q412">
        <v>3</v>
      </c>
      <c r="R412">
        <v>1</v>
      </c>
      <c r="S412">
        <v>62</v>
      </c>
      <c r="T412">
        <v>3.2</v>
      </c>
      <c r="U412">
        <v>113</v>
      </c>
      <c r="V412" s="19" t="s">
        <v>2458</v>
      </c>
      <c r="W412" s="19" t="s">
        <v>910</v>
      </c>
      <c r="X412">
        <v>229</v>
      </c>
      <c r="Y412">
        <v>185</v>
      </c>
      <c r="Z412">
        <v>55.3</v>
      </c>
      <c r="AA412">
        <v>54</v>
      </c>
      <c r="AB412">
        <v>24</v>
      </c>
      <c r="AC412">
        <v>10</v>
      </c>
      <c r="AD412">
        <v>29</v>
      </c>
      <c r="AE412" s="19" t="s">
        <v>60</v>
      </c>
    </row>
    <row r="413" spans="1:31" x14ac:dyDescent="0.2">
      <c r="A413">
        <v>404</v>
      </c>
      <c r="B413" s="19" t="s">
        <v>807</v>
      </c>
      <c r="C413">
        <v>29</v>
      </c>
      <c r="D413" s="19" t="s">
        <v>359</v>
      </c>
      <c r="E413" s="19" t="s">
        <v>322</v>
      </c>
      <c r="F413">
        <v>36</v>
      </c>
      <c r="G413">
        <v>6</v>
      </c>
      <c r="H413">
        <v>4</v>
      </c>
      <c r="I413">
        <v>10</v>
      </c>
      <c r="J413">
        <v>-2</v>
      </c>
      <c r="K413">
        <v>25</v>
      </c>
      <c r="L413">
        <v>6</v>
      </c>
      <c r="M413">
        <v>0</v>
      </c>
      <c r="N413">
        <v>0</v>
      </c>
      <c r="O413">
        <v>2</v>
      </c>
      <c r="P413">
        <v>4</v>
      </c>
      <c r="Q413">
        <v>0</v>
      </c>
      <c r="R413">
        <v>0</v>
      </c>
      <c r="S413">
        <v>32</v>
      </c>
      <c r="T413">
        <v>18.8</v>
      </c>
      <c r="U413">
        <v>56</v>
      </c>
      <c r="V413" s="19" t="s">
        <v>1953</v>
      </c>
      <c r="W413" s="19" t="s">
        <v>945</v>
      </c>
      <c r="X413">
        <v>2</v>
      </c>
      <c r="Y413">
        <v>12</v>
      </c>
      <c r="Z413">
        <v>14.3</v>
      </c>
      <c r="AA413">
        <v>26</v>
      </c>
      <c r="AB413">
        <v>127</v>
      </c>
      <c r="AC413">
        <v>7</v>
      </c>
      <c r="AD413">
        <v>13</v>
      </c>
      <c r="AE413" s="19" t="s">
        <v>60</v>
      </c>
    </row>
    <row r="414" spans="1:31" x14ac:dyDescent="0.2">
      <c r="A414">
        <v>405</v>
      </c>
      <c r="B414" s="19" t="s">
        <v>811</v>
      </c>
      <c r="C414">
        <v>35</v>
      </c>
      <c r="D414" s="19" t="s">
        <v>464</v>
      </c>
      <c r="E414" s="19" t="s">
        <v>322</v>
      </c>
      <c r="F414">
        <v>28</v>
      </c>
      <c r="G414">
        <v>7</v>
      </c>
      <c r="H414">
        <v>3</v>
      </c>
      <c r="I414">
        <v>10</v>
      </c>
      <c r="J414">
        <v>-18</v>
      </c>
      <c r="K414">
        <v>6</v>
      </c>
      <c r="L414">
        <v>3</v>
      </c>
      <c r="M414">
        <v>4</v>
      </c>
      <c r="N414">
        <v>0</v>
      </c>
      <c r="O414">
        <v>1</v>
      </c>
      <c r="P414">
        <v>3</v>
      </c>
      <c r="Q414">
        <v>0</v>
      </c>
      <c r="R414">
        <v>0</v>
      </c>
      <c r="S414">
        <v>60</v>
      </c>
      <c r="T414">
        <v>11.7</v>
      </c>
      <c r="U414">
        <v>125</v>
      </c>
      <c r="V414" s="19" t="s">
        <v>1711</v>
      </c>
      <c r="W414" s="19" t="s">
        <v>1602</v>
      </c>
      <c r="X414">
        <v>8</v>
      </c>
      <c r="Y414">
        <v>8</v>
      </c>
      <c r="Z414">
        <v>50</v>
      </c>
      <c r="AA414">
        <v>5</v>
      </c>
      <c r="AB414">
        <v>38</v>
      </c>
      <c r="AC414">
        <v>4</v>
      </c>
      <c r="AD414">
        <v>32</v>
      </c>
      <c r="AE414" s="19" t="s">
        <v>60</v>
      </c>
    </row>
    <row r="415" spans="1:31" x14ac:dyDescent="0.2">
      <c r="A415">
        <v>406</v>
      </c>
      <c r="B415" s="19" t="s">
        <v>812</v>
      </c>
      <c r="C415">
        <v>26</v>
      </c>
      <c r="D415" s="19" t="s">
        <v>406</v>
      </c>
      <c r="E415" s="19" t="s">
        <v>322</v>
      </c>
      <c r="F415">
        <v>41</v>
      </c>
      <c r="G415">
        <v>4</v>
      </c>
      <c r="H415">
        <v>6</v>
      </c>
      <c r="I415">
        <v>10</v>
      </c>
      <c r="J415">
        <v>-3</v>
      </c>
      <c r="K415">
        <v>34</v>
      </c>
      <c r="L415">
        <v>4</v>
      </c>
      <c r="M415">
        <v>0</v>
      </c>
      <c r="N415">
        <v>0</v>
      </c>
      <c r="O415">
        <v>1</v>
      </c>
      <c r="P415">
        <v>6</v>
      </c>
      <c r="Q415">
        <v>0</v>
      </c>
      <c r="R415">
        <v>0</v>
      </c>
      <c r="S415">
        <v>54</v>
      </c>
      <c r="T415">
        <v>7.4</v>
      </c>
      <c r="U415">
        <v>112</v>
      </c>
      <c r="V415" s="19" t="s">
        <v>2459</v>
      </c>
      <c r="W415" s="19" t="s">
        <v>851</v>
      </c>
      <c r="X415">
        <v>208</v>
      </c>
      <c r="Y415">
        <v>208</v>
      </c>
      <c r="Z415">
        <v>50</v>
      </c>
      <c r="AA415">
        <v>31</v>
      </c>
      <c r="AB415">
        <v>139</v>
      </c>
      <c r="AC415">
        <v>8</v>
      </c>
      <c r="AD415">
        <v>25</v>
      </c>
      <c r="AE415" s="19" t="s">
        <v>60</v>
      </c>
    </row>
    <row r="416" spans="1:31" x14ac:dyDescent="0.2">
      <c r="A416">
        <v>407</v>
      </c>
      <c r="B416" s="19" t="s">
        <v>914</v>
      </c>
      <c r="C416">
        <v>29</v>
      </c>
      <c r="D416" s="19" t="s">
        <v>536</v>
      </c>
      <c r="E416" s="19" t="s">
        <v>322</v>
      </c>
      <c r="F416">
        <v>14</v>
      </c>
      <c r="G416">
        <v>7</v>
      </c>
      <c r="H416">
        <v>3</v>
      </c>
      <c r="I416">
        <v>10</v>
      </c>
      <c r="J416">
        <v>0</v>
      </c>
      <c r="K416">
        <v>5</v>
      </c>
      <c r="L416">
        <v>5</v>
      </c>
      <c r="M416">
        <v>2</v>
      </c>
      <c r="N416">
        <v>0</v>
      </c>
      <c r="O416">
        <v>1</v>
      </c>
      <c r="P416">
        <v>2</v>
      </c>
      <c r="Q416">
        <v>1</v>
      </c>
      <c r="R416">
        <v>0</v>
      </c>
      <c r="S416">
        <v>36</v>
      </c>
      <c r="T416">
        <v>19.399999999999999</v>
      </c>
      <c r="U416">
        <v>72</v>
      </c>
      <c r="V416" s="19" t="s">
        <v>2460</v>
      </c>
      <c r="W416" s="19" t="s">
        <v>533</v>
      </c>
      <c r="X416">
        <v>4</v>
      </c>
      <c r="Y416">
        <v>7</v>
      </c>
      <c r="Z416">
        <v>36.4</v>
      </c>
      <c r="AA416">
        <v>8</v>
      </c>
      <c r="AB416">
        <v>15</v>
      </c>
      <c r="AC416">
        <v>2</v>
      </c>
      <c r="AD416">
        <v>10</v>
      </c>
      <c r="AE416" s="19" t="s">
        <v>60</v>
      </c>
    </row>
    <row r="417" spans="1:31" x14ac:dyDescent="0.2">
      <c r="A417">
        <v>408</v>
      </c>
      <c r="B417" s="19" t="s">
        <v>976</v>
      </c>
      <c r="C417">
        <v>21</v>
      </c>
      <c r="D417" s="19" t="s">
        <v>383</v>
      </c>
      <c r="E417" s="19" t="s">
        <v>322</v>
      </c>
      <c r="F417">
        <v>30</v>
      </c>
      <c r="G417">
        <v>6</v>
      </c>
      <c r="H417">
        <v>4</v>
      </c>
      <c r="I417">
        <v>10</v>
      </c>
      <c r="J417">
        <v>1</v>
      </c>
      <c r="K417">
        <v>12</v>
      </c>
      <c r="L417">
        <v>5</v>
      </c>
      <c r="M417">
        <v>1</v>
      </c>
      <c r="N417">
        <v>0</v>
      </c>
      <c r="O417">
        <v>2</v>
      </c>
      <c r="P417">
        <v>4</v>
      </c>
      <c r="Q417">
        <v>0</v>
      </c>
      <c r="R417">
        <v>0</v>
      </c>
      <c r="S417">
        <v>34</v>
      </c>
      <c r="T417">
        <v>17.600000000000001</v>
      </c>
      <c r="U417">
        <v>60</v>
      </c>
      <c r="V417" s="19" t="s">
        <v>2461</v>
      </c>
      <c r="W417" s="19" t="s">
        <v>1536</v>
      </c>
      <c r="X417">
        <v>85</v>
      </c>
      <c r="Y417">
        <v>127</v>
      </c>
      <c r="Z417">
        <v>40.1</v>
      </c>
      <c r="AA417">
        <v>18</v>
      </c>
      <c r="AB417">
        <v>7</v>
      </c>
      <c r="AC417">
        <v>2</v>
      </c>
      <c r="AD417">
        <v>24</v>
      </c>
      <c r="AE417" s="19" t="s">
        <v>60</v>
      </c>
    </row>
    <row r="418" spans="1:31" x14ac:dyDescent="0.2">
      <c r="A418">
        <v>409</v>
      </c>
      <c r="B418" s="19" t="s">
        <v>867</v>
      </c>
      <c r="C418">
        <v>25</v>
      </c>
      <c r="D418" s="19" t="s">
        <v>451</v>
      </c>
      <c r="E418" s="19" t="s">
        <v>325</v>
      </c>
      <c r="F418">
        <v>36</v>
      </c>
      <c r="G418">
        <v>8</v>
      </c>
      <c r="H418">
        <v>2</v>
      </c>
      <c r="I418">
        <v>10</v>
      </c>
      <c r="J418">
        <v>-1</v>
      </c>
      <c r="K418">
        <v>10</v>
      </c>
      <c r="L418">
        <v>8</v>
      </c>
      <c r="M418">
        <v>0</v>
      </c>
      <c r="N418">
        <v>0</v>
      </c>
      <c r="O418">
        <v>0</v>
      </c>
      <c r="P418">
        <v>1</v>
      </c>
      <c r="Q418">
        <v>1</v>
      </c>
      <c r="R418">
        <v>0</v>
      </c>
      <c r="S418">
        <v>38</v>
      </c>
      <c r="T418">
        <v>21.1</v>
      </c>
      <c r="U418">
        <v>63</v>
      </c>
      <c r="V418" s="19" t="s">
        <v>2462</v>
      </c>
      <c r="W418" s="19" t="s">
        <v>1629</v>
      </c>
      <c r="X418">
        <v>84</v>
      </c>
      <c r="Y418">
        <v>119</v>
      </c>
      <c r="Z418">
        <v>41.4</v>
      </c>
      <c r="AA418">
        <v>23</v>
      </c>
      <c r="AB418">
        <v>16</v>
      </c>
      <c r="AC418">
        <v>5</v>
      </c>
      <c r="AD418">
        <v>16</v>
      </c>
      <c r="AE418" s="19" t="s">
        <v>60</v>
      </c>
    </row>
    <row r="419" spans="1:31" x14ac:dyDescent="0.2">
      <c r="A419">
        <v>410</v>
      </c>
      <c r="B419" s="19" t="s">
        <v>924</v>
      </c>
      <c r="C419">
        <v>34</v>
      </c>
      <c r="D419" s="19" t="s">
        <v>343</v>
      </c>
      <c r="E419" s="19" t="s">
        <v>334</v>
      </c>
      <c r="F419">
        <v>35</v>
      </c>
      <c r="G419">
        <v>5</v>
      </c>
      <c r="H419">
        <v>5</v>
      </c>
      <c r="I419">
        <v>10</v>
      </c>
      <c r="J419">
        <v>-9</v>
      </c>
      <c r="K419">
        <v>2</v>
      </c>
      <c r="L419">
        <v>4</v>
      </c>
      <c r="M419">
        <v>1</v>
      </c>
      <c r="N419">
        <v>0</v>
      </c>
      <c r="O419">
        <v>1</v>
      </c>
      <c r="P419">
        <v>5</v>
      </c>
      <c r="Q419">
        <v>0</v>
      </c>
      <c r="R419">
        <v>0</v>
      </c>
      <c r="S419">
        <v>36</v>
      </c>
      <c r="T419">
        <v>13.9</v>
      </c>
      <c r="U419">
        <v>76</v>
      </c>
      <c r="V419" s="19" t="s">
        <v>2463</v>
      </c>
      <c r="W419" s="19" t="s">
        <v>617</v>
      </c>
      <c r="X419">
        <v>8</v>
      </c>
      <c r="Y419">
        <v>7</v>
      </c>
      <c r="Z419">
        <v>53.3</v>
      </c>
      <c r="AA419">
        <v>8</v>
      </c>
      <c r="AB419">
        <v>13</v>
      </c>
      <c r="AC419">
        <v>7</v>
      </c>
      <c r="AD419">
        <v>31</v>
      </c>
      <c r="AE419" s="19" t="s">
        <v>60</v>
      </c>
    </row>
    <row r="420" spans="1:31" x14ac:dyDescent="0.2">
      <c r="A420">
        <v>411</v>
      </c>
      <c r="B420" s="19" t="s">
        <v>926</v>
      </c>
      <c r="C420">
        <v>29</v>
      </c>
      <c r="D420" s="19" t="s">
        <v>406</v>
      </c>
      <c r="E420" s="19" t="s">
        <v>322</v>
      </c>
      <c r="F420">
        <v>41</v>
      </c>
      <c r="G420">
        <v>3</v>
      </c>
      <c r="H420">
        <v>7</v>
      </c>
      <c r="I420">
        <v>10</v>
      </c>
      <c r="J420">
        <v>-5</v>
      </c>
      <c r="K420">
        <v>18</v>
      </c>
      <c r="L420">
        <v>3</v>
      </c>
      <c r="M420">
        <v>0</v>
      </c>
      <c r="N420">
        <v>0</v>
      </c>
      <c r="O420">
        <v>0</v>
      </c>
      <c r="P420">
        <v>6</v>
      </c>
      <c r="Q420">
        <v>0</v>
      </c>
      <c r="R420">
        <v>1</v>
      </c>
      <c r="S420">
        <v>37</v>
      </c>
      <c r="T420">
        <v>8.1</v>
      </c>
      <c r="U420">
        <v>90</v>
      </c>
      <c r="V420" s="19" t="s">
        <v>2464</v>
      </c>
      <c r="W420" s="19" t="s">
        <v>615</v>
      </c>
      <c r="X420">
        <v>321</v>
      </c>
      <c r="Y420">
        <v>281</v>
      </c>
      <c r="Z420">
        <v>53.3</v>
      </c>
      <c r="AA420">
        <v>31</v>
      </c>
      <c r="AB420">
        <v>25</v>
      </c>
      <c r="AC420">
        <v>9</v>
      </c>
      <c r="AD420">
        <v>28</v>
      </c>
      <c r="AE420" s="19" t="s">
        <v>60</v>
      </c>
    </row>
    <row r="421" spans="1:31" x14ac:dyDescent="0.2">
      <c r="A421">
        <v>412</v>
      </c>
      <c r="B421" s="19" t="s">
        <v>741</v>
      </c>
      <c r="C421">
        <v>31</v>
      </c>
      <c r="D421" s="19" t="s">
        <v>519</v>
      </c>
      <c r="E421" s="19" t="s">
        <v>322</v>
      </c>
      <c r="F421">
        <v>32</v>
      </c>
      <c r="G421">
        <v>1</v>
      </c>
      <c r="H421">
        <v>9</v>
      </c>
      <c r="I421">
        <v>10</v>
      </c>
      <c r="J421">
        <v>-15</v>
      </c>
      <c r="K421">
        <v>12</v>
      </c>
      <c r="L421">
        <v>1</v>
      </c>
      <c r="M421">
        <v>0</v>
      </c>
      <c r="N421">
        <v>0</v>
      </c>
      <c r="O421">
        <v>0</v>
      </c>
      <c r="P421">
        <v>8</v>
      </c>
      <c r="Q421">
        <v>1</v>
      </c>
      <c r="R421">
        <v>0</v>
      </c>
      <c r="S421">
        <v>23</v>
      </c>
      <c r="T421">
        <v>4.3</v>
      </c>
      <c r="U421">
        <v>47</v>
      </c>
      <c r="V421" s="19" t="s">
        <v>2465</v>
      </c>
      <c r="W421" s="19" t="s">
        <v>2466</v>
      </c>
      <c r="X421">
        <v>124</v>
      </c>
      <c r="Y421">
        <v>142</v>
      </c>
      <c r="Z421">
        <v>46.6</v>
      </c>
      <c r="AA421">
        <v>16</v>
      </c>
      <c r="AB421">
        <v>39</v>
      </c>
      <c r="AC421">
        <v>6</v>
      </c>
      <c r="AD421">
        <v>13</v>
      </c>
      <c r="AE421" s="19" t="s">
        <v>60</v>
      </c>
    </row>
    <row r="422" spans="1:31" x14ac:dyDescent="0.2">
      <c r="A422">
        <v>413</v>
      </c>
      <c r="B422" s="19" t="s">
        <v>744</v>
      </c>
      <c r="C422">
        <v>29</v>
      </c>
      <c r="D422" s="19" t="s">
        <v>327</v>
      </c>
      <c r="E422" s="19" t="s">
        <v>348</v>
      </c>
      <c r="F422">
        <v>17</v>
      </c>
      <c r="G422">
        <v>3</v>
      </c>
      <c r="H422">
        <v>7</v>
      </c>
      <c r="I422">
        <v>10</v>
      </c>
      <c r="J422">
        <v>-3</v>
      </c>
      <c r="K422">
        <v>8</v>
      </c>
      <c r="L422">
        <v>1</v>
      </c>
      <c r="M422">
        <v>1</v>
      </c>
      <c r="N422">
        <v>1</v>
      </c>
      <c r="O422">
        <v>1</v>
      </c>
      <c r="P422">
        <v>7</v>
      </c>
      <c r="Q422">
        <v>0</v>
      </c>
      <c r="R422">
        <v>0</v>
      </c>
      <c r="S422">
        <v>23</v>
      </c>
      <c r="T422">
        <v>13</v>
      </c>
      <c r="U422">
        <v>66</v>
      </c>
      <c r="V422" s="19" t="s">
        <v>745</v>
      </c>
      <c r="W422" s="19" t="s">
        <v>746</v>
      </c>
      <c r="X422">
        <v>0</v>
      </c>
      <c r="Y422">
        <v>0</v>
      </c>
      <c r="AA422">
        <v>31</v>
      </c>
      <c r="AB422">
        <v>7</v>
      </c>
      <c r="AC422">
        <v>7</v>
      </c>
      <c r="AD422">
        <v>23</v>
      </c>
      <c r="AE422" s="19" t="s">
        <v>60</v>
      </c>
    </row>
    <row r="423" spans="1:31" x14ac:dyDescent="0.2">
      <c r="A423">
        <v>414</v>
      </c>
      <c r="B423" s="19" t="s">
        <v>881</v>
      </c>
      <c r="C423">
        <v>25</v>
      </c>
      <c r="D423" s="19" t="s">
        <v>984</v>
      </c>
      <c r="E423" s="19" t="s">
        <v>334</v>
      </c>
      <c r="F423">
        <v>21</v>
      </c>
      <c r="G423">
        <v>4</v>
      </c>
      <c r="H423">
        <v>6</v>
      </c>
      <c r="I423">
        <v>10</v>
      </c>
      <c r="J423">
        <v>-2</v>
      </c>
      <c r="K423">
        <v>6</v>
      </c>
      <c r="L423">
        <v>2</v>
      </c>
      <c r="M423">
        <v>2</v>
      </c>
      <c r="N423">
        <v>0</v>
      </c>
      <c r="O423">
        <v>0</v>
      </c>
      <c r="P423">
        <v>6</v>
      </c>
      <c r="Q423">
        <v>0</v>
      </c>
      <c r="R423">
        <v>0</v>
      </c>
      <c r="S423">
        <v>28</v>
      </c>
      <c r="T423">
        <v>14.3</v>
      </c>
      <c r="U423">
        <v>57</v>
      </c>
      <c r="V423" s="19" t="s">
        <v>2467</v>
      </c>
      <c r="W423" s="19" t="s">
        <v>2468</v>
      </c>
      <c r="X423">
        <v>0</v>
      </c>
      <c r="Y423">
        <v>0</v>
      </c>
      <c r="AA423">
        <v>3</v>
      </c>
      <c r="AB423">
        <v>15</v>
      </c>
      <c r="AC423">
        <v>1</v>
      </c>
      <c r="AD423">
        <v>20</v>
      </c>
      <c r="AE423" s="19" t="s">
        <v>60</v>
      </c>
    </row>
    <row r="424" spans="1:31" x14ac:dyDescent="0.2">
      <c r="A424">
        <v>414</v>
      </c>
      <c r="B424" s="19" t="s">
        <v>881</v>
      </c>
      <c r="C424">
        <v>25</v>
      </c>
      <c r="D424" s="19" t="s">
        <v>370</v>
      </c>
      <c r="E424" s="19" t="s">
        <v>334</v>
      </c>
      <c r="F424">
        <v>15</v>
      </c>
      <c r="G424">
        <v>2</v>
      </c>
      <c r="H424">
        <v>4</v>
      </c>
      <c r="I424">
        <v>6</v>
      </c>
      <c r="J424">
        <v>-3</v>
      </c>
      <c r="K424">
        <v>6</v>
      </c>
      <c r="L424">
        <v>1</v>
      </c>
      <c r="M424">
        <v>1</v>
      </c>
      <c r="N424">
        <v>0</v>
      </c>
      <c r="O424">
        <v>0</v>
      </c>
      <c r="P424">
        <v>4</v>
      </c>
      <c r="Q424">
        <v>0</v>
      </c>
      <c r="R424">
        <v>0</v>
      </c>
      <c r="S424">
        <v>20</v>
      </c>
      <c r="T424">
        <v>10</v>
      </c>
      <c r="U424">
        <v>44</v>
      </c>
      <c r="V424" s="19" t="s">
        <v>1649</v>
      </c>
      <c r="W424" s="19" t="s">
        <v>820</v>
      </c>
      <c r="X424">
        <v>0</v>
      </c>
      <c r="Y424">
        <v>0</v>
      </c>
      <c r="AA424">
        <v>3</v>
      </c>
      <c r="AB424">
        <v>10</v>
      </c>
      <c r="AC424">
        <v>1</v>
      </c>
      <c r="AD424">
        <v>14</v>
      </c>
      <c r="AE424" s="19" t="s">
        <v>60</v>
      </c>
    </row>
    <row r="425" spans="1:31" x14ac:dyDescent="0.2">
      <c r="A425">
        <v>414</v>
      </c>
      <c r="B425" s="19" t="s">
        <v>881</v>
      </c>
      <c r="C425">
        <v>25</v>
      </c>
      <c r="D425" s="19" t="s">
        <v>519</v>
      </c>
      <c r="E425" s="19" t="s">
        <v>334</v>
      </c>
      <c r="F425">
        <v>6</v>
      </c>
      <c r="G425">
        <v>2</v>
      </c>
      <c r="H425">
        <v>2</v>
      </c>
      <c r="I425">
        <v>4</v>
      </c>
      <c r="J425">
        <v>1</v>
      </c>
      <c r="K425">
        <v>0</v>
      </c>
      <c r="L425">
        <v>1</v>
      </c>
      <c r="M425">
        <v>1</v>
      </c>
      <c r="N425">
        <v>0</v>
      </c>
      <c r="O425">
        <v>0</v>
      </c>
      <c r="P425">
        <v>2</v>
      </c>
      <c r="Q425">
        <v>0</v>
      </c>
      <c r="R425">
        <v>0</v>
      </c>
      <c r="S425">
        <v>8</v>
      </c>
      <c r="T425">
        <v>25</v>
      </c>
      <c r="U425">
        <v>13</v>
      </c>
      <c r="V425" s="19" t="s">
        <v>2469</v>
      </c>
      <c r="W425" s="19" t="s">
        <v>2424</v>
      </c>
      <c r="X425">
        <v>0</v>
      </c>
      <c r="Y425">
        <v>0</v>
      </c>
      <c r="AA425">
        <v>0</v>
      </c>
      <c r="AB425">
        <v>5</v>
      </c>
      <c r="AC425">
        <v>0</v>
      </c>
      <c r="AD425">
        <v>6</v>
      </c>
      <c r="AE425" s="19" t="s">
        <v>60</v>
      </c>
    </row>
    <row r="426" spans="1:31" x14ac:dyDescent="0.2">
      <c r="A426">
        <v>415</v>
      </c>
      <c r="B426" s="19" t="s">
        <v>832</v>
      </c>
      <c r="C426">
        <v>21</v>
      </c>
      <c r="D426" s="19" t="s">
        <v>321</v>
      </c>
      <c r="E426" s="19" t="s">
        <v>322</v>
      </c>
      <c r="F426">
        <v>27</v>
      </c>
      <c r="G426">
        <v>5</v>
      </c>
      <c r="H426">
        <v>4</v>
      </c>
      <c r="I426">
        <v>9</v>
      </c>
      <c r="J426">
        <v>7</v>
      </c>
      <c r="K426">
        <v>8</v>
      </c>
      <c r="L426">
        <v>5</v>
      </c>
      <c r="M426">
        <v>0</v>
      </c>
      <c r="N426">
        <v>0</v>
      </c>
      <c r="O426">
        <v>3</v>
      </c>
      <c r="P426">
        <v>4</v>
      </c>
      <c r="Q426">
        <v>0</v>
      </c>
      <c r="R426">
        <v>0</v>
      </c>
      <c r="S426">
        <v>34</v>
      </c>
      <c r="T426">
        <v>14.7</v>
      </c>
      <c r="U426">
        <v>60</v>
      </c>
      <c r="V426" s="19" t="s">
        <v>2470</v>
      </c>
      <c r="W426" s="19" t="s">
        <v>1926</v>
      </c>
      <c r="X426">
        <v>10</v>
      </c>
      <c r="Y426">
        <v>14</v>
      </c>
      <c r="Z426">
        <v>41.7</v>
      </c>
      <c r="AA426">
        <v>7</v>
      </c>
      <c r="AB426">
        <v>24</v>
      </c>
      <c r="AC426">
        <v>4</v>
      </c>
      <c r="AD426">
        <v>10</v>
      </c>
      <c r="AE426" s="19" t="s">
        <v>60</v>
      </c>
    </row>
    <row r="427" spans="1:31" x14ac:dyDescent="0.2">
      <c r="A427">
        <v>416</v>
      </c>
      <c r="B427" s="19" t="s">
        <v>935</v>
      </c>
      <c r="C427">
        <v>32</v>
      </c>
      <c r="D427" s="19" t="s">
        <v>361</v>
      </c>
      <c r="E427" s="19" t="s">
        <v>322</v>
      </c>
      <c r="F427">
        <v>27</v>
      </c>
      <c r="G427">
        <v>4</v>
      </c>
      <c r="H427">
        <v>5</v>
      </c>
      <c r="I427">
        <v>9</v>
      </c>
      <c r="J427">
        <v>2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32</v>
      </c>
      <c r="T427">
        <v>12.5</v>
      </c>
      <c r="U427">
        <v>80</v>
      </c>
      <c r="V427" s="19" t="s">
        <v>2471</v>
      </c>
      <c r="W427" s="19" t="s">
        <v>862</v>
      </c>
      <c r="X427">
        <v>13</v>
      </c>
      <c r="Y427">
        <v>9</v>
      </c>
      <c r="Z427">
        <v>59.1</v>
      </c>
      <c r="AA427">
        <v>9</v>
      </c>
      <c r="AB427">
        <v>12</v>
      </c>
      <c r="AC427">
        <v>9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796</v>
      </c>
      <c r="C428">
        <v>29</v>
      </c>
      <c r="D428" s="19" t="s">
        <v>363</v>
      </c>
      <c r="E428" s="19" t="s">
        <v>348</v>
      </c>
      <c r="F428">
        <v>40</v>
      </c>
      <c r="G428">
        <v>1</v>
      </c>
      <c r="H428">
        <v>8</v>
      </c>
      <c r="I428">
        <v>9</v>
      </c>
      <c r="J428">
        <v>-9</v>
      </c>
      <c r="K428">
        <v>16</v>
      </c>
      <c r="L428">
        <v>1</v>
      </c>
      <c r="M428">
        <v>0</v>
      </c>
      <c r="N428">
        <v>0</v>
      </c>
      <c r="O428">
        <v>0</v>
      </c>
      <c r="P428">
        <v>8</v>
      </c>
      <c r="Q428">
        <v>0</v>
      </c>
      <c r="R428">
        <v>0</v>
      </c>
      <c r="S428">
        <v>29</v>
      </c>
      <c r="T428">
        <v>3.4</v>
      </c>
      <c r="U428">
        <v>85</v>
      </c>
      <c r="V428" s="19" t="s">
        <v>2472</v>
      </c>
      <c r="W428" s="19" t="s">
        <v>2473</v>
      </c>
      <c r="X428">
        <v>0</v>
      </c>
      <c r="Y428">
        <v>0</v>
      </c>
      <c r="AA428">
        <v>87</v>
      </c>
      <c r="AB428">
        <v>18</v>
      </c>
      <c r="AC428">
        <v>18</v>
      </c>
      <c r="AD428">
        <v>35</v>
      </c>
      <c r="AE428" s="19" t="s">
        <v>60</v>
      </c>
    </row>
    <row r="429" spans="1:31" x14ac:dyDescent="0.2">
      <c r="A429">
        <v>418</v>
      </c>
      <c r="B429" s="19" t="s">
        <v>797</v>
      </c>
      <c r="C429">
        <v>34</v>
      </c>
      <c r="D429" s="19" t="s">
        <v>370</v>
      </c>
      <c r="E429" s="19" t="s">
        <v>348</v>
      </c>
      <c r="F429">
        <v>42</v>
      </c>
      <c r="G429">
        <v>4</v>
      </c>
      <c r="H429">
        <v>5</v>
      </c>
      <c r="I429">
        <v>9</v>
      </c>
      <c r="J429">
        <v>-3</v>
      </c>
      <c r="K429">
        <v>40</v>
      </c>
      <c r="L429">
        <v>4</v>
      </c>
      <c r="M429">
        <v>0</v>
      </c>
      <c r="N429">
        <v>0</v>
      </c>
      <c r="O429">
        <v>0</v>
      </c>
      <c r="P429">
        <v>5</v>
      </c>
      <c r="Q429">
        <v>0</v>
      </c>
      <c r="R429">
        <v>0</v>
      </c>
      <c r="S429">
        <v>48</v>
      </c>
      <c r="T429">
        <v>8.3000000000000007</v>
      </c>
      <c r="U429">
        <v>123</v>
      </c>
      <c r="V429" s="19" t="s">
        <v>2474</v>
      </c>
      <c r="W429" s="19" t="s">
        <v>1601</v>
      </c>
      <c r="X429">
        <v>0</v>
      </c>
      <c r="Y429">
        <v>0</v>
      </c>
      <c r="AA429">
        <v>91</v>
      </c>
      <c r="AB429">
        <v>89</v>
      </c>
      <c r="AC429">
        <v>17</v>
      </c>
      <c r="AD429">
        <v>44</v>
      </c>
      <c r="AE429" s="19" t="s">
        <v>60</v>
      </c>
    </row>
    <row r="430" spans="1:31" x14ac:dyDescent="0.2">
      <c r="A430">
        <v>419</v>
      </c>
      <c r="B430" s="19" t="s">
        <v>939</v>
      </c>
      <c r="C430">
        <v>35</v>
      </c>
      <c r="D430" s="19" t="s">
        <v>366</v>
      </c>
      <c r="E430" s="19" t="s">
        <v>322</v>
      </c>
      <c r="F430">
        <v>33</v>
      </c>
      <c r="G430">
        <v>2</v>
      </c>
      <c r="H430">
        <v>7</v>
      </c>
      <c r="I430">
        <v>9</v>
      </c>
      <c r="J430">
        <v>-1</v>
      </c>
      <c r="K430">
        <v>27</v>
      </c>
      <c r="L430">
        <v>2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0</v>
      </c>
      <c r="S430">
        <v>34</v>
      </c>
      <c r="T430">
        <v>5.9</v>
      </c>
      <c r="U430">
        <v>61</v>
      </c>
      <c r="V430" s="19" t="s">
        <v>2475</v>
      </c>
      <c r="W430" s="19" t="s">
        <v>672</v>
      </c>
      <c r="X430">
        <v>214</v>
      </c>
      <c r="Y430">
        <v>239</v>
      </c>
      <c r="Z430">
        <v>47.2</v>
      </c>
      <c r="AA430">
        <v>23</v>
      </c>
      <c r="AB430">
        <v>50</v>
      </c>
      <c r="AC430">
        <v>8</v>
      </c>
      <c r="AD430">
        <v>18</v>
      </c>
      <c r="AE430" s="19" t="s">
        <v>60</v>
      </c>
    </row>
    <row r="431" spans="1:31" x14ac:dyDescent="0.2">
      <c r="A431">
        <v>420</v>
      </c>
      <c r="B431" s="19" t="s">
        <v>1003</v>
      </c>
      <c r="C431">
        <v>20</v>
      </c>
      <c r="D431" s="19" t="s">
        <v>519</v>
      </c>
      <c r="E431" s="19" t="s">
        <v>322</v>
      </c>
      <c r="F431">
        <v>31</v>
      </c>
      <c r="G431">
        <v>6</v>
      </c>
      <c r="H431">
        <v>3</v>
      </c>
      <c r="I431">
        <v>9</v>
      </c>
      <c r="J431">
        <v>-7</v>
      </c>
      <c r="K431">
        <v>6</v>
      </c>
      <c r="L431">
        <v>2</v>
      </c>
      <c r="M431">
        <v>4</v>
      </c>
      <c r="N431">
        <v>0</v>
      </c>
      <c r="O431">
        <v>0</v>
      </c>
      <c r="P431">
        <v>2</v>
      </c>
      <c r="Q431">
        <v>1</v>
      </c>
      <c r="R431">
        <v>0</v>
      </c>
      <c r="S431">
        <v>41</v>
      </c>
      <c r="T431">
        <v>14.6</v>
      </c>
      <c r="U431">
        <v>73</v>
      </c>
      <c r="V431" s="19" t="s">
        <v>2476</v>
      </c>
      <c r="W431" s="19" t="s">
        <v>2255</v>
      </c>
      <c r="X431">
        <v>135</v>
      </c>
      <c r="Y431">
        <v>147</v>
      </c>
      <c r="Z431">
        <v>47.9</v>
      </c>
      <c r="AA431">
        <v>12</v>
      </c>
      <c r="AB431">
        <v>48</v>
      </c>
      <c r="AC431">
        <v>6</v>
      </c>
      <c r="AD431">
        <v>26</v>
      </c>
      <c r="AE431" s="19" t="s">
        <v>60</v>
      </c>
    </row>
    <row r="432" spans="1:31" x14ac:dyDescent="0.2">
      <c r="A432">
        <v>421</v>
      </c>
      <c r="B432" s="19" t="s">
        <v>895</v>
      </c>
      <c r="C432">
        <v>24</v>
      </c>
      <c r="D432" s="19" t="s">
        <v>536</v>
      </c>
      <c r="E432" s="19" t="s">
        <v>348</v>
      </c>
      <c r="F432">
        <v>24</v>
      </c>
      <c r="G432">
        <v>3</v>
      </c>
      <c r="H432">
        <v>6</v>
      </c>
      <c r="I432">
        <v>9</v>
      </c>
      <c r="J432">
        <v>0</v>
      </c>
      <c r="K432">
        <v>12</v>
      </c>
      <c r="L432">
        <v>3</v>
      </c>
      <c r="M432">
        <v>0</v>
      </c>
      <c r="N432">
        <v>0</v>
      </c>
      <c r="O432">
        <v>0</v>
      </c>
      <c r="P432">
        <v>5</v>
      </c>
      <c r="Q432">
        <v>1</v>
      </c>
      <c r="R432">
        <v>0</v>
      </c>
      <c r="S432">
        <v>20</v>
      </c>
      <c r="T432">
        <v>15</v>
      </c>
      <c r="U432">
        <v>44</v>
      </c>
      <c r="V432" s="19" t="s">
        <v>2477</v>
      </c>
      <c r="W432" s="19" t="s">
        <v>355</v>
      </c>
      <c r="X432">
        <v>0</v>
      </c>
      <c r="Y432">
        <v>0</v>
      </c>
      <c r="AA432">
        <v>22</v>
      </c>
      <c r="AB432">
        <v>15</v>
      </c>
      <c r="AC432">
        <v>3</v>
      </c>
      <c r="AD432">
        <v>18</v>
      </c>
      <c r="AE432" s="19" t="s">
        <v>60</v>
      </c>
    </row>
    <row r="433" spans="1:31" x14ac:dyDescent="0.2">
      <c r="A433">
        <v>422</v>
      </c>
      <c r="B433" s="19" t="s">
        <v>842</v>
      </c>
      <c r="C433">
        <v>27</v>
      </c>
      <c r="D433" s="19" t="s">
        <v>324</v>
      </c>
      <c r="E433" s="19" t="s">
        <v>348</v>
      </c>
      <c r="F433">
        <v>40</v>
      </c>
      <c r="G433">
        <v>2</v>
      </c>
      <c r="H433">
        <v>7</v>
      </c>
      <c r="I433">
        <v>9</v>
      </c>
      <c r="J433">
        <v>-3</v>
      </c>
      <c r="K433">
        <v>12</v>
      </c>
      <c r="L433">
        <v>2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109</v>
      </c>
      <c r="V433" s="19" t="s">
        <v>2478</v>
      </c>
      <c r="W433" s="19" t="s">
        <v>1590</v>
      </c>
      <c r="X433">
        <v>0</v>
      </c>
      <c r="Y433">
        <v>0</v>
      </c>
      <c r="AA433">
        <v>83</v>
      </c>
      <c r="AB433">
        <v>75</v>
      </c>
      <c r="AC433">
        <v>16</v>
      </c>
      <c r="AD433">
        <v>48</v>
      </c>
      <c r="AE433" s="19" t="s">
        <v>60</v>
      </c>
    </row>
    <row r="434" spans="1:31" x14ac:dyDescent="0.2">
      <c r="A434">
        <v>423</v>
      </c>
      <c r="B434" s="19" t="s">
        <v>1008</v>
      </c>
      <c r="C434">
        <v>26</v>
      </c>
      <c r="D434" s="19" t="s">
        <v>400</v>
      </c>
      <c r="E434" s="19" t="s">
        <v>322</v>
      </c>
      <c r="F434">
        <v>29</v>
      </c>
      <c r="G434">
        <v>7</v>
      </c>
      <c r="H434">
        <v>2</v>
      </c>
      <c r="I434">
        <v>9</v>
      </c>
      <c r="J434">
        <v>2</v>
      </c>
      <c r="K434">
        <v>19</v>
      </c>
      <c r="L434">
        <v>6</v>
      </c>
      <c r="M434">
        <v>1</v>
      </c>
      <c r="N434">
        <v>0</v>
      </c>
      <c r="O434">
        <v>1</v>
      </c>
      <c r="P434">
        <v>2</v>
      </c>
      <c r="Q434">
        <v>0</v>
      </c>
      <c r="R434">
        <v>0</v>
      </c>
      <c r="S434">
        <v>49</v>
      </c>
      <c r="T434">
        <v>14.3</v>
      </c>
      <c r="U434">
        <v>79</v>
      </c>
      <c r="V434" s="19" t="s">
        <v>2479</v>
      </c>
      <c r="W434" s="19" t="s">
        <v>1861</v>
      </c>
      <c r="X434">
        <v>187</v>
      </c>
      <c r="Y434">
        <v>163</v>
      </c>
      <c r="Z434">
        <v>53.4</v>
      </c>
      <c r="AA434">
        <v>10</v>
      </c>
      <c r="AB434">
        <v>17</v>
      </c>
      <c r="AC434">
        <v>1</v>
      </c>
      <c r="AD434">
        <v>17</v>
      </c>
      <c r="AE434" s="19" t="s">
        <v>60</v>
      </c>
    </row>
    <row r="435" spans="1:31" x14ac:dyDescent="0.2">
      <c r="A435">
        <v>424</v>
      </c>
      <c r="B435" s="19" t="s">
        <v>845</v>
      </c>
      <c r="C435">
        <v>27</v>
      </c>
      <c r="D435" s="19" t="s">
        <v>464</v>
      </c>
      <c r="E435" s="19" t="s">
        <v>348</v>
      </c>
      <c r="F435">
        <v>32</v>
      </c>
      <c r="G435">
        <v>1</v>
      </c>
      <c r="H435">
        <v>8</v>
      </c>
      <c r="I435">
        <v>9</v>
      </c>
      <c r="J435">
        <v>-7</v>
      </c>
      <c r="K435">
        <v>29</v>
      </c>
      <c r="L435">
        <v>1</v>
      </c>
      <c r="M435">
        <v>0</v>
      </c>
      <c r="N435">
        <v>0</v>
      </c>
      <c r="O435">
        <v>0</v>
      </c>
      <c r="P435">
        <v>7</v>
      </c>
      <c r="Q435">
        <v>0</v>
      </c>
      <c r="R435">
        <v>1</v>
      </c>
      <c r="S435">
        <v>21</v>
      </c>
      <c r="T435">
        <v>4.8</v>
      </c>
      <c r="U435">
        <v>75</v>
      </c>
      <c r="V435" s="19" t="s">
        <v>2480</v>
      </c>
      <c r="W435" s="19" t="s">
        <v>2481</v>
      </c>
      <c r="X435">
        <v>0</v>
      </c>
      <c r="Y435">
        <v>0</v>
      </c>
      <c r="AA435">
        <v>29</v>
      </c>
      <c r="AB435">
        <v>49</v>
      </c>
      <c r="AC435">
        <v>7</v>
      </c>
      <c r="AD435">
        <v>25</v>
      </c>
      <c r="AE435" s="19" t="s">
        <v>60</v>
      </c>
    </row>
    <row r="436" spans="1:31" x14ac:dyDescent="0.2">
      <c r="A436">
        <v>425</v>
      </c>
      <c r="B436" s="19" t="s">
        <v>767</v>
      </c>
      <c r="C436">
        <v>24</v>
      </c>
      <c r="D436" s="19" t="s">
        <v>336</v>
      </c>
      <c r="E436" s="19" t="s">
        <v>348</v>
      </c>
      <c r="F436">
        <v>36</v>
      </c>
      <c r="G436">
        <v>2</v>
      </c>
      <c r="H436">
        <v>7</v>
      </c>
      <c r="I436">
        <v>9</v>
      </c>
      <c r="J436">
        <v>-8</v>
      </c>
      <c r="K436">
        <v>10</v>
      </c>
      <c r="L436">
        <v>2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2</v>
      </c>
      <c r="S436">
        <v>27</v>
      </c>
      <c r="T436">
        <v>7.4</v>
      </c>
      <c r="U436">
        <v>83</v>
      </c>
      <c r="V436" s="19" t="s">
        <v>2482</v>
      </c>
      <c r="W436" s="19" t="s">
        <v>2483</v>
      </c>
      <c r="X436">
        <v>0</v>
      </c>
      <c r="Y436">
        <v>0</v>
      </c>
      <c r="AA436">
        <v>52</v>
      </c>
      <c r="AB436">
        <v>37</v>
      </c>
      <c r="AC436">
        <v>15</v>
      </c>
      <c r="AD436">
        <v>26</v>
      </c>
      <c r="AE436" s="19" t="s">
        <v>60</v>
      </c>
    </row>
    <row r="437" spans="1:31" x14ac:dyDescent="0.2">
      <c r="A437">
        <v>426</v>
      </c>
      <c r="B437" s="19" t="s">
        <v>904</v>
      </c>
      <c r="C437">
        <v>35</v>
      </c>
      <c r="D437" s="19" t="s">
        <v>418</v>
      </c>
      <c r="E437" s="19" t="s">
        <v>348</v>
      </c>
      <c r="F437">
        <v>38</v>
      </c>
      <c r="G437">
        <v>2</v>
      </c>
      <c r="H437">
        <v>7</v>
      </c>
      <c r="I437">
        <v>9</v>
      </c>
      <c r="J437">
        <v>-8</v>
      </c>
      <c r="K437">
        <v>22</v>
      </c>
      <c r="L437">
        <v>2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24</v>
      </c>
      <c r="T437">
        <v>8.3000000000000007</v>
      </c>
      <c r="U437">
        <v>81</v>
      </c>
      <c r="V437" s="19" t="s">
        <v>2484</v>
      </c>
      <c r="W437" s="19" t="s">
        <v>1846</v>
      </c>
      <c r="X437">
        <v>0</v>
      </c>
      <c r="Y437">
        <v>0</v>
      </c>
      <c r="AA437">
        <v>38</v>
      </c>
      <c r="AB437">
        <v>26</v>
      </c>
      <c r="AC437">
        <v>8</v>
      </c>
      <c r="AD437">
        <v>38</v>
      </c>
      <c r="AE437" s="19" t="s">
        <v>60</v>
      </c>
    </row>
    <row r="438" spans="1:31" x14ac:dyDescent="0.2">
      <c r="A438">
        <v>427</v>
      </c>
      <c r="B438" s="19" t="s">
        <v>947</v>
      </c>
      <c r="C438">
        <v>23</v>
      </c>
      <c r="D438" s="19" t="s">
        <v>329</v>
      </c>
      <c r="E438" s="19" t="s">
        <v>348</v>
      </c>
      <c r="F438">
        <v>40</v>
      </c>
      <c r="G438">
        <v>4</v>
      </c>
      <c r="H438">
        <v>5</v>
      </c>
      <c r="I438">
        <v>9</v>
      </c>
      <c r="J438">
        <v>0</v>
      </c>
      <c r="K438">
        <v>18</v>
      </c>
      <c r="L438">
        <v>4</v>
      </c>
      <c r="M438">
        <v>0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40</v>
      </c>
      <c r="T438">
        <v>10</v>
      </c>
      <c r="U438">
        <v>88</v>
      </c>
      <c r="V438" s="19" t="s">
        <v>2485</v>
      </c>
      <c r="W438" s="19" t="s">
        <v>378</v>
      </c>
      <c r="X438">
        <v>0</v>
      </c>
      <c r="Y438">
        <v>0</v>
      </c>
      <c r="AA438">
        <v>38</v>
      </c>
      <c r="AB438">
        <v>26</v>
      </c>
      <c r="AC438">
        <v>19</v>
      </c>
      <c r="AD438">
        <v>45</v>
      </c>
      <c r="AE438" s="19" t="s">
        <v>60</v>
      </c>
    </row>
    <row r="439" spans="1:31" x14ac:dyDescent="0.2">
      <c r="A439">
        <v>428</v>
      </c>
      <c r="B439" s="19" t="s">
        <v>1098</v>
      </c>
      <c r="C439">
        <v>24</v>
      </c>
      <c r="D439" s="19" t="s">
        <v>536</v>
      </c>
      <c r="E439" s="19" t="s">
        <v>334</v>
      </c>
      <c r="F439">
        <v>22</v>
      </c>
      <c r="G439">
        <v>2</v>
      </c>
      <c r="H439">
        <v>7</v>
      </c>
      <c r="I439">
        <v>9</v>
      </c>
      <c r="J439">
        <v>1</v>
      </c>
      <c r="K439">
        <v>6</v>
      </c>
      <c r="L439">
        <v>1</v>
      </c>
      <c r="M439">
        <v>1</v>
      </c>
      <c r="N439">
        <v>0</v>
      </c>
      <c r="O439">
        <v>0</v>
      </c>
      <c r="P439">
        <v>5</v>
      </c>
      <c r="Q439">
        <v>2</v>
      </c>
      <c r="R439">
        <v>0</v>
      </c>
      <c r="S439">
        <v>34</v>
      </c>
      <c r="T439">
        <v>5.9</v>
      </c>
      <c r="U439">
        <v>60</v>
      </c>
      <c r="V439" s="19" t="s">
        <v>2486</v>
      </c>
      <c r="W439" s="19" t="s">
        <v>1048</v>
      </c>
      <c r="X439">
        <v>7</v>
      </c>
      <c r="Y439">
        <v>7</v>
      </c>
      <c r="Z439">
        <v>50</v>
      </c>
      <c r="AA439">
        <v>3</v>
      </c>
      <c r="AB439">
        <v>10</v>
      </c>
      <c r="AC439">
        <v>6</v>
      </c>
      <c r="AD439">
        <v>14</v>
      </c>
      <c r="AE439" s="19" t="s">
        <v>60</v>
      </c>
    </row>
    <row r="440" spans="1:31" x14ac:dyDescent="0.2">
      <c r="A440">
        <v>429</v>
      </c>
      <c r="B440" s="19" t="s">
        <v>1102</v>
      </c>
      <c r="C440">
        <v>25</v>
      </c>
      <c r="D440" s="19" t="s">
        <v>343</v>
      </c>
      <c r="E440" s="19" t="s">
        <v>348</v>
      </c>
      <c r="F440">
        <v>38</v>
      </c>
      <c r="G440">
        <v>3</v>
      </c>
      <c r="H440">
        <v>6</v>
      </c>
      <c r="I440">
        <v>9</v>
      </c>
      <c r="J440">
        <v>7</v>
      </c>
      <c r="K440">
        <v>16</v>
      </c>
      <c r="L440">
        <v>3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31</v>
      </c>
      <c r="T440">
        <v>9.6999999999999993</v>
      </c>
      <c r="U440">
        <v>84</v>
      </c>
      <c r="V440" s="19" t="s">
        <v>2487</v>
      </c>
      <c r="W440" s="19" t="s">
        <v>1627</v>
      </c>
      <c r="X440">
        <v>0</v>
      </c>
      <c r="Y440">
        <v>0</v>
      </c>
      <c r="AA440">
        <v>57</v>
      </c>
      <c r="AB440">
        <v>59</v>
      </c>
      <c r="AC440">
        <v>5</v>
      </c>
      <c r="AD440">
        <v>49</v>
      </c>
      <c r="AE440" s="19" t="s">
        <v>60</v>
      </c>
    </row>
    <row r="441" spans="1:31" x14ac:dyDescent="0.2">
      <c r="A441">
        <v>430</v>
      </c>
      <c r="B441" s="19" t="s">
        <v>815</v>
      </c>
      <c r="C441">
        <v>24</v>
      </c>
      <c r="D441" s="19" t="s">
        <v>336</v>
      </c>
      <c r="E441" s="19" t="s">
        <v>322</v>
      </c>
      <c r="F441">
        <v>25</v>
      </c>
      <c r="G441">
        <v>1</v>
      </c>
      <c r="H441">
        <v>8</v>
      </c>
      <c r="I441">
        <v>9</v>
      </c>
      <c r="J441">
        <v>1</v>
      </c>
      <c r="K441">
        <v>8</v>
      </c>
      <c r="L441">
        <v>1</v>
      </c>
      <c r="M441">
        <v>0</v>
      </c>
      <c r="N441">
        <v>0</v>
      </c>
      <c r="O441">
        <v>1</v>
      </c>
      <c r="P441">
        <v>8</v>
      </c>
      <c r="Q441">
        <v>0</v>
      </c>
      <c r="R441">
        <v>0</v>
      </c>
      <c r="S441">
        <v>26</v>
      </c>
      <c r="T441">
        <v>3.8</v>
      </c>
      <c r="U441">
        <v>59</v>
      </c>
      <c r="V441" s="19" t="s">
        <v>2488</v>
      </c>
      <c r="W441" s="19" t="s">
        <v>1809</v>
      </c>
      <c r="X441">
        <v>9</v>
      </c>
      <c r="Y441">
        <v>17</v>
      </c>
      <c r="Z441">
        <v>34.6</v>
      </c>
      <c r="AA441">
        <v>6</v>
      </c>
      <c r="AB441">
        <v>45</v>
      </c>
      <c r="AC441">
        <v>1</v>
      </c>
      <c r="AD441">
        <v>13</v>
      </c>
      <c r="AE441" s="19" t="s">
        <v>60</v>
      </c>
    </row>
    <row r="442" spans="1:31" x14ac:dyDescent="0.2">
      <c r="A442">
        <v>431</v>
      </c>
      <c r="B442" s="19" t="s">
        <v>780</v>
      </c>
      <c r="C442">
        <v>28</v>
      </c>
      <c r="D442" s="19" t="s">
        <v>380</v>
      </c>
      <c r="E442" s="19" t="s">
        <v>325</v>
      </c>
      <c r="F442">
        <v>26</v>
      </c>
      <c r="G442">
        <v>3</v>
      </c>
      <c r="H442">
        <v>6</v>
      </c>
      <c r="I442">
        <v>9</v>
      </c>
      <c r="J442">
        <v>3</v>
      </c>
      <c r="K442">
        <v>49</v>
      </c>
      <c r="L442">
        <v>3</v>
      </c>
      <c r="M442">
        <v>0</v>
      </c>
      <c r="N442">
        <v>0</v>
      </c>
      <c r="O442">
        <v>1</v>
      </c>
      <c r="P442">
        <v>6</v>
      </c>
      <c r="Q442">
        <v>0</v>
      </c>
      <c r="R442">
        <v>0</v>
      </c>
      <c r="S442">
        <v>33</v>
      </c>
      <c r="T442">
        <v>9.1</v>
      </c>
      <c r="U442">
        <v>74</v>
      </c>
      <c r="V442" s="19" t="s">
        <v>2489</v>
      </c>
      <c r="W442" s="19" t="s">
        <v>1754</v>
      </c>
      <c r="X442">
        <v>0</v>
      </c>
      <c r="Y442">
        <v>0</v>
      </c>
      <c r="AA442">
        <v>21</v>
      </c>
      <c r="AB442">
        <v>89</v>
      </c>
      <c r="AC442">
        <v>6</v>
      </c>
      <c r="AD442">
        <v>11</v>
      </c>
      <c r="AE442" s="19" t="s">
        <v>60</v>
      </c>
    </row>
    <row r="443" spans="1:31" x14ac:dyDescent="0.2">
      <c r="A443">
        <v>432</v>
      </c>
      <c r="B443" s="19" t="s">
        <v>920</v>
      </c>
      <c r="C443">
        <v>30</v>
      </c>
      <c r="D443" s="19" t="s">
        <v>351</v>
      </c>
      <c r="E443" s="19" t="s">
        <v>339</v>
      </c>
      <c r="F443">
        <v>21</v>
      </c>
      <c r="G443">
        <v>4</v>
      </c>
      <c r="H443">
        <v>5</v>
      </c>
      <c r="I443">
        <v>9</v>
      </c>
      <c r="J443">
        <v>-4</v>
      </c>
      <c r="K443">
        <v>6</v>
      </c>
      <c r="L443">
        <v>4</v>
      </c>
      <c r="M443">
        <v>0</v>
      </c>
      <c r="N443">
        <v>0</v>
      </c>
      <c r="O443">
        <v>0</v>
      </c>
      <c r="P443">
        <v>5</v>
      </c>
      <c r="Q443">
        <v>0</v>
      </c>
      <c r="R443">
        <v>0</v>
      </c>
      <c r="S443">
        <v>31</v>
      </c>
      <c r="T443">
        <v>12.9</v>
      </c>
      <c r="U443">
        <v>64</v>
      </c>
      <c r="V443" s="19" t="s">
        <v>2490</v>
      </c>
      <c r="W443" s="19" t="s">
        <v>2491</v>
      </c>
      <c r="X443">
        <v>130</v>
      </c>
      <c r="Y443">
        <v>116</v>
      </c>
      <c r="Z443">
        <v>52.8</v>
      </c>
      <c r="AA443">
        <v>11</v>
      </c>
      <c r="AB443">
        <v>32</v>
      </c>
      <c r="AC443">
        <v>5</v>
      </c>
      <c r="AD443">
        <v>14</v>
      </c>
      <c r="AE443" s="19" t="s">
        <v>60</v>
      </c>
    </row>
    <row r="444" spans="1:31" x14ac:dyDescent="0.2">
      <c r="A444">
        <v>433</v>
      </c>
      <c r="B444" s="19" t="s">
        <v>971</v>
      </c>
      <c r="C444">
        <v>27</v>
      </c>
      <c r="D444" s="19" t="s">
        <v>354</v>
      </c>
      <c r="E444" s="19" t="s">
        <v>348</v>
      </c>
      <c r="F444">
        <v>41</v>
      </c>
      <c r="G444">
        <v>4</v>
      </c>
      <c r="H444">
        <v>5</v>
      </c>
      <c r="I444">
        <v>9</v>
      </c>
      <c r="J444">
        <v>-12</v>
      </c>
      <c r="K444">
        <v>12</v>
      </c>
      <c r="L444">
        <v>4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47</v>
      </c>
      <c r="T444">
        <v>8.5</v>
      </c>
      <c r="U444">
        <v>118</v>
      </c>
      <c r="V444" s="19" t="s">
        <v>2492</v>
      </c>
      <c r="W444" s="19" t="s">
        <v>2493</v>
      </c>
      <c r="X444">
        <v>0</v>
      </c>
      <c r="Y444">
        <v>0</v>
      </c>
      <c r="AA444">
        <v>81</v>
      </c>
      <c r="AB444">
        <v>53</v>
      </c>
      <c r="AC444">
        <v>8</v>
      </c>
      <c r="AD444">
        <v>36</v>
      </c>
      <c r="AE444" s="19" t="s">
        <v>60</v>
      </c>
    </row>
    <row r="445" spans="1:31" x14ac:dyDescent="0.2">
      <c r="A445">
        <v>434</v>
      </c>
      <c r="B445" s="19" t="s">
        <v>817</v>
      </c>
      <c r="C445">
        <v>33</v>
      </c>
      <c r="D445" s="19" t="s">
        <v>333</v>
      </c>
      <c r="E445" s="19" t="s">
        <v>348</v>
      </c>
      <c r="F445">
        <v>39</v>
      </c>
      <c r="G445">
        <v>2</v>
      </c>
      <c r="H445">
        <v>7</v>
      </c>
      <c r="I445">
        <v>9</v>
      </c>
      <c r="J445">
        <v>4</v>
      </c>
      <c r="K445">
        <v>47</v>
      </c>
      <c r="L445">
        <v>2</v>
      </c>
      <c r="M445">
        <v>0</v>
      </c>
      <c r="N445">
        <v>0</v>
      </c>
      <c r="O445">
        <v>0</v>
      </c>
      <c r="P445">
        <v>7</v>
      </c>
      <c r="Q445">
        <v>0</v>
      </c>
      <c r="R445">
        <v>0</v>
      </c>
      <c r="S445">
        <v>45</v>
      </c>
      <c r="T445">
        <v>4.4000000000000004</v>
      </c>
      <c r="U445">
        <v>89</v>
      </c>
      <c r="V445" s="19" t="s">
        <v>2494</v>
      </c>
      <c r="W445" s="19" t="s">
        <v>2381</v>
      </c>
      <c r="X445">
        <v>0</v>
      </c>
      <c r="Y445">
        <v>0</v>
      </c>
      <c r="AA445">
        <v>59</v>
      </c>
      <c r="AB445">
        <v>63</v>
      </c>
      <c r="AC445">
        <v>8</v>
      </c>
      <c r="AD445">
        <v>34</v>
      </c>
      <c r="AE445" s="19" t="s">
        <v>60</v>
      </c>
    </row>
    <row r="446" spans="1:31" x14ac:dyDescent="0.2">
      <c r="A446">
        <v>435</v>
      </c>
      <c r="B446" s="19" t="s">
        <v>869</v>
      </c>
      <c r="C446">
        <v>33</v>
      </c>
      <c r="D446" s="19" t="s">
        <v>361</v>
      </c>
      <c r="E446" s="19" t="s">
        <v>339</v>
      </c>
      <c r="F446">
        <v>37</v>
      </c>
      <c r="G446">
        <v>1</v>
      </c>
      <c r="H446">
        <v>8</v>
      </c>
      <c r="I446">
        <v>9</v>
      </c>
      <c r="J446">
        <v>-4</v>
      </c>
      <c r="K446">
        <v>8</v>
      </c>
      <c r="L446">
        <v>1</v>
      </c>
      <c r="M446">
        <v>0</v>
      </c>
      <c r="N446">
        <v>0</v>
      </c>
      <c r="O446">
        <v>0</v>
      </c>
      <c r="P446">
        <v>6</v>
      </c>
      <c r="Q446">
        <v>2</v>
      </c>
      <c r="R446">
        <v>0</v>
      </c>
      <c r="S446">
        <v>55</v>
      </c>
      <c r="T446">
        <v>1.8</v>
      </c>
      <c r="U446">
        <v>113</v>
      </c>
      <c r="V446" s="19" t="s">
        <v>2495</v>
      </c>
      <c r="W446" s="19" t="s">
        <v>1881</v>
      </c>
      <c r="X446">
        <v>8</v>
      </c>
      <c r="Y446">
        <v>6</v>
      </c>
      <c r="Z446">
        <v>57.1</v>
      </c>
      <c r="AA446">
        <v>25</v>
      </c>
      <c r="AB446">
        <v>17</v>
      </c>
      <c r="AC446">
        <v>13</v>
      </c>
      <c r="AD446">
        <v>26</v>
      </c>
      <c r="AE446" s="19" t="s">
        <v>60</v>
      </c>
    </row>
    <row r="447" spans="1:31" x14ac:dyDescent="0.2">
      <c r="A447">
        <v>436</v>
      </c>
      <c r="B447" s="19" t="s">
        <v>785</v>
      </c>
      <c r="C447">
        <v>26</v>
      </c>
      <c r="D447" s="19" t="s">
        <v>984</v>
      </c>
      <c r="E447" s="19" t="s">
        <v>348</v>
      </c>
      <c r="F447">
        <v>40</v>
      </c>
      <c r="G447">
        <v>1</v>
      </c>
      <c r="H447">
        <v>8</v>
      </c>
      <c r="I447">
        <v>9</v>
      </c>
      <c r="J447">
        <v>-1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39</v>
      </c>
      <c r="T447">
        <v>2.6</v>
      </c>
      <c r="U447">
        <v>87</v>
      </c>
      <c r="V447" s="19" t="s">
        <v>2496</v>
      </c>
      <c r="W447" s="19" t="s">
        <v>1779</v>
      </c>
      <c r="X447">
        <v>0</v>
      </c>
      <c r="Y447">
        <v>0</v>
      </c>
      <c r="AA447">
        <v>36</v>
      </c>
      <c r="AB447">
        <v>8</v>
      </c>
      <c r="AC447">
        <v>14</v>
      </c>
      <c r="AD447">
        <v>37</v>
      </c>
      <c r="AE447" s="19" t="s">
        <v>60</v>
      </c>
    </row>
    <row r="448" spans="1:31" x14ac:dyDescent="0.2">
      <c r="A448">
        <v>436</v>
      </c>
      <c r="B448" s="19" t="s">
        <v>785</v>
      </c>
      <c r="C448">
        <v>26</v>
      </c>
      <c r="D448" s="19" t="s">
        <v>464</v>
      </c>
      <c r="E448" s="19" t="s">
        <v>348</v>
      </c>
      <c r="F448">
        <v>30</v>
      </c>
      <c r="G448">
        <v>1</v>
      </c>
      <c r="H448">
        <v>8</v>
      </c>
      <c r="I448">
        <v>9</v>
      </c>
      <c r="J448">
        <v>-1</v>
      </c>
      <c r="K448">
        <v>10</v>
      </c>
      <c r="L448">
        <v>1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1</v>
      </c>
      <c r="S448">
        <v>30</v>
      </c>
      <c r="T448">
        <v>3.3</v>
      </c>
      <c r="U448">
        <v>67</v>
      </c>
      <c r="V448" s="19" t="s">
        <v>1646</v>
      </c>
      <c r="W448" s="19" t="s">
        <v>1396</v>
      </c>
      <c r="X448">
        <v>0</v>
      </c>
      <c r="Y448">
        <v>0</v>
      </c>
      <c r="AA448">
        <v>25</v>
      </c>
      <c r="AB448">
        <v>5</v>
      </c>
      <c r="AC448">
        <v>9</v>
      </c>
      <c r="AD448">
        <v>22</v>
      </c>
      <c r="AE448" s="19" t="s">
        <v>60</v>
      </c>
    </row>
    <row r="449" spans="1:31" x14ac:dyDescent="0.2">
      <c r="A449">
        <v>436</v>
      </c>
      <c r="B449" s="19" t="s">
        <v>785</v>
      </c>
      <c r="C449">
        <v>26</v>
      </c>
      <c r="D449" s="19" t="s">
        <v>327</v>
      </c>
      <c r="E449" s="19" t="s">
        <v>348</v>
      </c>
      <c r="F449">
        <v>10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9</v>
      </c>
      <c r="T449">
        <v>0</v>
      </c>
      <c r="U449">
        <v>20</v>
      </c>
      <c r="V449" s="19" t="s">
        <v>2497</v>
      </c>
      <c r="W449" s="19" t="s">
        <v>1345</v>
      </c>
      <c r="X449">
        <v>0</v>
      </c>
      <c r="Y449">
        <v>0</v>
      </c>
      <c r="AA449">
        <v>11</v>
      </c>
      <c r="AB449">
        <v>3</v>
      </c>
      <c r="AC449">
        <v>5</v>
      </c>
      <c r="AD449">
        <v>15</v>
      </c>
      <c r="AE449" s="19" t="s">
        <v>60</v>
      </c>
    </row>
    <row r="450" spans="1:31" x14ac:dyDescent="0.2">
      <c r="A450">
        <v>437</v>
      </c>
      <c r="B450" s="19" t="s">
        <v>1055</v>
      </c>
      <c r="C450">
        <v>22</v>
      </c>
      <c r="D450" s="19" t="s">
        <v>464</v>
      </c>
      <c r="E450" s="19" t="s">
        <v>322</v>
      </c>
      <c r="F450">
        <v>38</v>
      </c>
      <c r="G450">
        <v>2</v>
      </c>
      <c r="H450">
        <v>7</v>
      </c>
      <c r="I450">
        <v>9</v>
      </c>
      <c r="J450">
        <v>-3</v>
      </c>
      <c r="K450">
        <v>12</v>
      </c>
      <c r="L450">
        <v>1</v>
      </c>
      <c r="M450">
        <v>0</v>
      </c>
      <c r="N450">
        <v>1</v>
      </c>
      <c r="O450">
        <v>0</v>
      </c>
      <c r="P450">
        <v>7</v>
      </c>
      <c r="Q450">
        <v>0</v>
      </c>
      <c r="R450">
        <v>0</v>
      </c>
      <c r="S450">
        <v>49</v>
      </c>
      <c r="T450">
        <v>4.0999999999999996</v>
      </c>
      <c r="U450">
        <v>87</v>
      </c>
      <c r="V450" s="19" t="s">
        <v>2498</v>
      </c>
      <c r="W450" s="19" t="s">
        <v>2499</v>
      </c>
      <c r="X450">
        <v>116</v>
      </c>
      <c r="Y450">
        <v>151</v>
      </c>
      <c r="Z450">
        <v>43.4</v>
      </c>
      <c r="AA450">
        <v>13</v>
      </c>
      <c r="AB450">
        <v>30</v>
      </c>
      <c r="AC450">
        <v>8</v>
      </c>
      <c r="AD450">
        <v>20</v>
      </c>
      <c r="AE450" s="19" t="s">
        <v>60</v>
      </c>
    </row>
    <row r="451" spans="1:31" x14ac:dyDescent="0.2">
      <c r="A451">
        <v>438</v>
      </c>
      <c r="B451" s="19" t="s">
        <v>788</v>
      </c>
      <c r="C451">
        <v>31</v>
      </c>
      <c r="D451" s="19" t="s">
        <v>519</v>
      </c>
      <c r="E451" s="19" t="s">
        <v>322</v>
      </c>
      <c r="F451">
        <v>25</v>
      </c>
      <c r="G451">
        <v>3</v>
      </c>
      <c r="H451">
        <v>6</v>
      </c>
      <c r="I451">
        <v>9</v>
      </c>
      <c r="J451">
        <v>-2</v>
      </c>
      <c r="K451">
        <v>14</v>
      </c>
      <c r="L451">
        <v>3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27</v>
      </c>
      <c r="T451">
        <v>11.1</v>
      </c>
      <c r="U451">
        <v>46</v>
      </c>
      <c r="V451" s="19" t="s">
        <v>789</v>
      </c>
      <c r="W451" s="19" t="s">
        <v>790</v>
      </c>
      <c r="X451">
        <v>27</v>
      </c>
      <c r="Y451">
        <v>22</v>
      </c>
      <c r="Z451">
        <v>55.1</v>
      </c>
      <c r="AA451">
        <v>21</v>
      </c>
      <c r="AB451">
        <v>95</v>
      </c>
      <c r="AC451">
        <v>2</v>
      </c>
      <c r="AD451">
        <v>13</v>
      </c>
      <c r="AE451" s="19" t="s">
        <v>60</v>
      </c>
    </row>
    <row r="452" spans="1:31" x14ac:dyDescent="0.2">
      <c r="A452">
        <v>439</v>
      </c>
      <c r="B452" s="19" t="s">
        <v>876</v>
      </c>
      <c r="C452">
        <v>27</v>
      </c>
      <c r="D452" s="19" t="s">
        <v>406</v>
      </c>
      <c r="E452" s="19" t="s">
        <v>334</v>
      </c>
      <c r="F452">
        <v>26</v>
      </c>
      <c r="G452">
        <v>4</v>
      </c>
      <c r="H452">
        <v>5</v>
      </c>
      <c r="I452">
        <v>9</v>
      </c>
      <c r="J452">
        <v>5</v>
      </c>
      <c r="K452">
        <v>8</v>
      </c>
      <c r="L452">
        <v>4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20</v>
      </c>
      <c r="T452">
        <v>20</v>
      </c>
      <c r="U452">
        <v>38</v>
      </c>
      <c r="V452" s="19" t="s">
        <v>1712</v>
      </c>
      <c r="W452" s="19" t="s">
        <v>1713</v>
      </c>
      <c r="X452">
        <v>10</v>
      </c>
      <c r="Y452">
        <v>17</v>
      </c>
      <c r="Z452">
        <v>37</v>
      </c>
      <c r="AA452">
        <v>6</v>
      </c>
      <c r="AB452">
        <v>13</v>
      </c>
      <c r="AC452">
        <v>2</v>
      </c>
      <c r="AD452">
        <v>9</v>
      </c>
      <c r="AE452" s="19" t="s">
        <v>60</v>
      </c>
    </row>
    <row r="453" spans="1:31" x14ac:dyDescent="0.2">
      <c r="A453">
        <v>440</v>
      </c>
      <c r="B453" s="19" t="s">
        <v>1132</v>
      </c>
      <c r="C453">
        <v>26</v>
      </c>
      <c r="D453" s="19" t="s">
        <v>984</v>
      </c>
      <c r="E453" s="19" t="s">
        <v>322</v>
      </c>
      <c r="F453">
        <v>26</v>
      </c>
      <c r="G453">
        <v>3</v>
      </c>
      <c r="H453">
        <v>6</v>
      </c>
      <c r="I453">
        <v>9</v>
      </c>
      <c r="J453">
        <v>2</v>
      </c>
      <c r="K453">
        <v>8</v>
      </c>
      <c r="L453">
        <v>3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35</v>
      </c>
      <c r="T453">
        <v>8.6</v>
      </c>
      <c r="U453">
        <v>68</v>
      </c>
      <c r="V453" s="19" t="s">
        <v>2500</v>
      </c>
      <c r="W453" s="19" t="s">
        <v>1223</v>
      </c>
      <c r="X453">
        <v>1</v>
      </c>
      <c r="Y453">
        <v>10</v>
      </c>
      <c r="Z453">
        <v>9.1</v>
      </c>
      <c r="AA453">
        <v>5</v>
      </c>
      <c r="AB453">
        <v>24</v>
      </c>
      <c r="AC453">
        <v>3</v>
      </c>
      <c r="AD453">
        <v>11</v>
      </c>
      <c r="AE453" s="19" t="s">
        <v>60</v>
      </c>
    </row>
    <row r="454" spans="1:31" x14ac:dyDescent="0.2">
      <c r="A454">
        <v>440</v>
      </c>
      <c r="B454" s="19" t="s">
        <v>1132</v>
      </c>
      <c r="C454">
        <v>26</v>
      </c>
      <c r="D454" s="19" t="s">
        <v>519</v>
      </c>
      <c r="E454" s="19" t="s">
        <v>322</v>
      </c>
      <c r="F454">
        <v>8</v>
      </c>
      <c r="G454">
        <v>0</v>
      </c>
      <c r="H454">
        <v>1</v>
      </c>
      <c r="I454">
        <v>1</v>
      </c>
      <c r="J454">
        <v>0</v>
      </c>
      <c r="K454">
        <v>2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7</v>
      </c>
      <c r="T454">
        <v>0</v>
      </c>
      <c r="U454">
        <v>13</v>
      </c>
      <c r="V454" s="19" t="s">
        <v>1133</v>
      </c>
      <c r="W454" s="19" t="s">
        <v>1134</v>
      </c>
      <c r="X454">
        <v>1</v>
      </c>
      <c r="Y454">
        <v>0</v>
      </c>
      <c r="Z454">
        <v>100</v>
      </c>
      <c r="AA454">
        <v>1</v>
      </c>
      <c r="AB454">
        <v>9</v>
      </c>
      <c r="AC454">
        <v>1</v>
      </c>
      <c r="AD454">
        <v>2</v>
      </c>
      <c r="AE454" s="19" t="s">
        <v>60</v>
      </c>
    </row>
    <row r="455" spans="1:31" x14ac:dyDescent="0.2">
      <c r="A455">
        <v>440</v>
      </c>
      <c r="B455" s="19" t="s">
        <v>1132</v>
      </c>
      <c r="C455">
        <v>26</v>
      </c>
      <c r="D455" s="19" t="s">
        <v>363</v>
      </c>
      <c r="E455" s="19" t="s">
        <v>322</v>
      </c>
      <c r="F455">
        <v>18</v>
      </c>
      <c r="G455">
        <v>3</v>
      </c>
      <c r="H455">
        <v>5</v>
      </c>
      <c r="I455">
        <v>8</v>
      </c>
      <c r="J455">
        <v>2</v>
      </c>
      <c r="K455">
        <v>6</v>
      </c>
      <c r="L455">
        <v>3</v>
      </c>
      <c r="M455">
        <v>0</v>
      </c>
      <c r="N455">
        <v>0</v>
      </c>
      <c r="O455">
        <v>0</v>
      </c>
      <c r="P455">
        <v>5</v>
      </c>
      <c r="Q455">
        <v>0</v>
      </c>
      <c r="R455">
        <v>0</v>
      </c>
      <c r="S455">
        <v>28</v>
      </c>
      <c r="T455">
        <v>10.7</v>
      </c>
      <c r="U455">
        <v>55</v>
      </c>
      <c r="V455" s="19" t="s">
        <v>2501</v>
      </c>
      <c r="W455" s="19" t="s">
        <v>1754</v>
      </c>
      <c r="X455">
        <v>0</v>
      </c>
      <c r="Y455">
        <v>10</v>
      </c>
      <c r="Z455">
        <v>0</v>
      </c>
      <c r="AA455">
        <v>4</v>
      </c>
      <c r="AB455">
        <v>15</v>
      </c>
      <c r="AC455">
        <v>2</v>
      </c>
      <c r="AD455">
        <v>9</v>
      </c>
      <c r="AE455" s="19" t="s">
        <v>60</v>
      </c>
    </row>
    <row r="456" spans="1:31" x14ac:dyDescent="0.2">
      <c r="A456">
        <v>441</v>
      </c>
      <c r="B456" s="19" t="s">
        <v>991</v>
      </c>
      <c r="C456">
        <v>34</v>
      </c>
      <c r="D456" s="19" t="s">
        <v>375</v>
      </c>
      <c r="E456" s="19" t="s">
        <v>322</v>
      </c>
      <c r="F456">
        <v>26</v>
      </c>
      <c r="G456">
        <v>3</v>
      </c>
      <c r="H456">
        <v>5</v>
      </c>
      <c r="I456">
        <v>8</v>
      </c>
      <c r="J456">
        <v>1</v>
      </c>
      <c r="K456">
        <v>17</v>
      </c>
      <c r="L456">
        <v>3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28</v>
      </c>
      <c r="T456">
        <v>10.7</v>
      </c>
      <c r="U456">
        <v>48</v>
      </c>
      <c r="V456" s="19" t="s">
        <v>2502</v>
      </c>
      <c r="W456" s="19" t="s">
        <v>1840</v>
      </c>
      <c r="X456">
        <v>111</v>
      </c>
      <c r="Y456">
        <v>90</v>
      </c>
      <c r="Z456">
        <v>55.2</v>
      </c>
      <c r="AA456">
        <v>21</v>
      </c>
      <c r="AB456">
        <v>33</v>
      </c>
      <c r="AC456">
        <v>3</v>
      </c>
      <c r="AD456">
        <v>4</v>
      </c>
      <c r="AE456" s="19" t="s">
        <v>60</v>
      </c>
    </row>
    <row r="457" spans="1:31" x14ac:dyDescent="0.2">
      <c r="A457">
        <v>442</v>
      </c>
      <c r="B457" s="19" t="s">
        <v>828</v>
      </c>
      <c r="C457">
        <v>26</v>
      </c>
      <c r="D457" s="19" t="s">
        <v>421</v>
      </c>
      <c r="E457" s="19" t="s">
        <v>348</v>
      </c>
      <c r="F457">
        <v>39</v>
      </c>
      <c r="G457">
        <v>2</v>
      </c>
      <c r="H457">
        <v>6</v>
      </c>
      <c r="I457">
        <v>8</v>
      </c>
      <c r="J457">
        <v>9</v>
      </c>
      <c r="K457">
        <v>10</v>
      </c>
      <c r="L457">
        <v>2</v>
      </c>
      <c r="M457">
        <v>0</v>
      </c>
      <c r="N457">
        <v>0</v>
      </c>
      <c r="O457">
        <v>0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78</v>
      </c>
      <c r="V457" s="19" t="s">
        <v>2503</v>
      </c>
      <c r="W457" s="19" t="s">
        <v>2504</v>
      </c>
      <c r="X457">
        <v>0</v>
      </c>
      <c r="Y457">
        <v>0</v>
      </c>
      <c r="AA457">
        <v>60</v>
      </c>
      <c r="AB457">
        <v>44</v>
      </c>
      <c r="AC457">
        <v>6</v>
      </c>
      <c r="AD457">
        <v>30</v>
      </c>
      <c r="AE457" s="19" t="s">
        <v>60</v>
      </c>
    </row>
    <row r="458" spans="1:31" x14ac:dyDescent="0.2">
      <c r="A458">
        <v>443</v>
      </c>
      <c r="B458" s="19" t="s">
        <v>885</v>
      </c>
      <c r="C458">
        <v>31</v>
      </c>
      <c r="D458" s="19" t="s">
        <v>398</v>
      </c>
      <c r="E458" s="19" t="s">
        <v>339</v>
      </c>
      <c r="F458">
        <v>33</v>
      </c>
      <c r="G458">
        <v>3</v>
      </c>
      <c r="H458">
        <v>5</v>
      </c>
      <c r="I458">
        <v>8</v>
      </c>
      <c r="J458">
        <v>-1</v>
      </c>
      <c r="K458">
        <v>6</v>
      </c>
      <c r="L458">
        <v>3</v>
      </c>
      <c r="M458">
        <v>0</v>
      </c>
      <c r="N458">
        <v>0</v>
      </c>
      <c r="O458">
        <v>1</v>
      </c>
      <c r="P458">
        <v>5</v>
      </c>
      <c r="Q458">
        <v>0</v>
      </c>
      <c r="R458">
        <v>0</v>
      </c>
      <c r="S458">
        <v>36</v>
      </c>
      <c r="T458">
        <v>8.3000000000000007</v>
      </c>
      <c r="U458">
        <v>87</v>
      </c>
      <c r="V458" s="19" t="s">
        <v>2505</v>
      </c>
      <c r="W458" s="19" t="s">
        <v>2506</v>
      </c>
      <c r="X458">
        <v>1</v>
      </c>
      <c r="Y458">
        <v>1</v>
      </c>
      <c r="Z458">
        <v>50</v>
      </c>
      <c r="AA458">
        <v>8</v>
      </c>
      <c r="AB458">
        <v>79</v>
      </c>
      <c r="AC458">
        <v>10</v>
      </c>
      <c r="AD458">
        <v>12</v>
      </c>
      <c r="AE458" s="19" t="s">
        <v>60</v>
      </c>
    </row>
    <row r="459" spans="1:31" x14ac:dyDescent="0.2">
      <c r="A459">
        <v>444</v>
      </c>
      <c r="B459" s="19" t="s">
        <v>1716</v>
      </c>
      <c r="C459">
        <v>20</v>
      </c>
      <c r="D459" s="19" t="s">
        <v>324</v>
      </c>
      <c r="E459" s="19" t="s">
        <v>339</v>
      </c>
      <c r="F459">
        <v>7</v>
      </c>
      <c r="G459">
        <v>3</v>
      </c>
      <c r="H459">
        <v>5</v>
      </c>
      <c r="I459">
        <v>8</v>
      </c>
      <c r="J459">
        <v>4</v>
      </c>
      <c r="K459">
        <v>0</v>
      </c>
      <c r="L459">
        <v>2</v>
      </c>
      <c r="M459">
        <v>1</v>
      </c>
      <c r="N459">
        <v>0</v>
      </c>
      <c r="O459">
        <v>1</v>
      </c>
      <c r="P459">
        <v>4</v>
      </c>
      <c r="Q459">
        <v>1</v>
      </c>
      <c r="R459">
        <v>0</v>
      </c>
      <c r="S459">
        <v>16</v>
      </c>
      <c r="T459">
        <v>18.8</v>
      </c>
      <c r="U459">
        <v>30</v>
      </c>
      <c r="V459" s="19" t="s">
        <v>2507</v>
      </c>
      <c r="W459" s="19" t="s">
        <v>1068</v>
      </c>
      <c r="X459">
        <v>0</v>
      </c>
      <c r="Y459">
        <v>0</v>
      </c>
      <c r="AA459">
        <v>2</v>
      </c>
      <c r="AB459">
        <v>1</v>
      </c>
      <c r="AC459">
        <v>0</v>
      </c>
      <c r="AD459">
        <v>9</v>
      </c>
      <c r="AE459" s="19" t="s">
        <v>60</v>
      </c>
    </row>
    <row r="460" spans="1:31" x14ac:dyDescent="0.2">
      <c r="A460">
        <v>445</v>
      </c>
      <c r="B460" s="19" t="s">
        <v>833</v>
      </c>
      <c r="C460">
        <v>34</v>
      </c>
      <c r="D460" s="19" t="s">
        <v>383</v>
      </c>
      <c r="E460" s="19" t="s">
        <v>322</v>
      </c>
      <c r="F460">
        <v>41</v>
      </c>
      <c r="G460">
        <v>3</v>
      </c>
      <c r="H460">
        <v>5</v>
      </c>
      <c r="I460">
        <v>8</v>
      </c>
      <c r="J460">
        <v>-4</v>
      </c>
      <c r="K460">
        <v>8</v>
      </c>
      <c r="L460">
        <v>3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25</v>
      </c>
      <c r="T460">
        <v>12</v>
      </c>
      <c r="U460">
        <v>57</v>
      </c>
      <c r="V460" s="19" t="s">
        <v>2508</v>
      </c>
      <c r="W460" s="19" t="s">
        <v>1955</v>
      </c>
      <c r="X460">
        <v>147</v>
      </c>
      <c r="Y460">
        <v>159</v>
      </c>
      <c r="Z460">
        <v>48</v>
      </c>
      <c r="AA460">
        <v>30</v>
      </c>
      <c r="AB460">
        <v>90</v>
      </c>
      <c r="AC460">
        <v>7</v>
      </c>
      <c r="AD460">
        <v>24</v>
      </c>
      <c r="AE460" s="19" t="s">
        <v>60</v>
      </c>
    </row>
    <row r="461" spans="1:31" x14ac:dyDescent="0.2">
      <c r="A461">
        <v>446</v>
      </c>
      <c r="B461" s="19" t="s">
        <v>1076</v>
      </c>
      <c r="C461">
        <v>25</v>
      </c>
      <c r="D461" s="19" t="s">
        <v>351</v>
      </c>
      <c r="E461" s="19" t="s">
        <v>348</v>
      </c>
      <c r="F461">
        <v>22</v>
      </c>
      <c r="G461">
        <v>1</v>
      </c>
      <c r="H461">
        <v>7</v>
      </c>
      <c r="I461">
        <v>8</v>
      </c>
      <c r="J461">
        <v>4</v>
      </c>
      <c r="K461">
        <v>25</v>
      </c>
      <c r="L461">
        <v>1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1</v>
      </c>
      <c r="S461">
        <v>28</v>
      </c>
      <c r="T461">
        <v>3.6</v>
      </c>
      <c r="U461">
        <v>62</v>
      </c>
      <c r="V461" s="19" t="s">
        <v>2509</v>
      </c>
      <c r="W461" s="19" t="s">
        <v>2510</v>
      </c>
      <c r="X461">
        <v>0</v>
      </c>
      <c r="Y461">
        <v>0</v>
      </c>
      <c r="AA461">
        <v>26</v>
      </c>
      <c r="AB461">
        <v>24</v>
      </c>
      <c r="AC461">
        <v>5</v>
      </c>
      <c r="AD461">
        <v>9</v>
      </c>
      <c r="AE461" s="19" t="s">
        <v>60</v>
      </c>
    </row>
    <row r="462" spans="1:31" x14ac:dyDescent="0.2">
      <c r="A462">
        <v>447</v>
      </c>
      <c r="B462" s="19" t="s">
        <v>1002</v>
      </c>
      <c r="C462">
        <v>30</v>
      </c>
      <c r="D462" s="19" t="s">
        <v>329</v>
      </c>
      <c r="E462" s="19" t="s">
        <v>322</v>
      </c>
      <c r="F462">
        <v>27</v>
      </c>
      <c r="G462">
        <v>4</v>
      </c>
      <c r="H462">
        <v>4</v>
      </c>
      <c r="I462">
        <v>8</v>
      </c>
      <c r="J462">
        <v>-6</v>
      </c>
      <c r="K462">
        <v>8</v>
      </c>
      <c r="L462">
        <v>3</v>
      </c>
      <c r="M462">
        <v>0</v>
      </c>
      <c r="N462">
        <v>1</v>
      </c>
      <c r="O462">
        <v>0</v>
      </c>
      <c r="P462">
        <v>3</v>
      </c>
      <c r="Q462">
        <v>0</v>
      </c>
      <c r="R462">
        <v>1</v>
      </c>
      <c r="S462">
        <v>34</v>
      </c>
      <c r="T462">
        <v>11.8</v>
      </c>
      <c r="U462">
        <v>71</v>
      </c>
      <c r="V462" s="19" t="s">
        <v>2511</v>
      </c>
      <c r="W462" s="19" t="s">
        <v>2510</v>
      </c>
      <c r="X462">
        <v>197</v>
      </c>
      <c r="Y462">
        <v>214</v>
      </c>
      <c r="Z462">
        <v>47.9</v>
      </c>
      <c r="AA462">
        <v>19</v>
      </c>
      <c r="AB462">
        <v>29</v>
      </c>
      <c r="AC462">
        <v>4</v>
      </c>
      <c r="AD462">
        <v>20</v>
      </c>
      <c r="AE462" s="19" t="s">
        <v>60</v>
      </c>
    </row>
    <row r="463" spans="1:31" x14ac:dyDescent="0.2">
      <c r="A463">
        <v>448</v>
      </c>
      <c r="B463" s="19" t="s">
        <v>891</v>
      </c>
      <c r="C463">
        <v>34</v>
      </c>
      <c r="D463" s="19" t="s">
        <v>421</v>
      </c>
      <c r="E463" s="19" t="s">
        <v>348</v>
      </c>
      <c r="F463">
        <v>39</v>
      </c>
      <c r="G463">
        <v>0</v>
      </c>
      <c r="H463">
        <v>8</v>
      </c>
      <c r="I463">
        <v>8</v>
      </c>
      <c r="J463">
        <v>4</v>
      </c>
      <c r="K463">
        <v>12</v>
      </c>
      <c r="L463">
        <v>0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1</v>
      </c>
      <c r="S463">
        <v>39</v>
      </c>
      <c r="T463">
        <v>0</v>
      </c>
      <c r="U463">
        <v>99</v>
      </c>
      <c r="V463" s="19" t="s">
        <v>2512</v>
      </c>
      <c r="W463" s="19" t="s">
        <v>2035</v>
      </c>
      <c r="X463">
        <v>0</v>
      </c>
      <c r="Y463">
        <v>0</v>
      </c>
      <c r="AA463">
        <v>55</v>
      </c>
      <c r="AB463">
        <v>21</v>
      </c>
      <c r="AC463">
        <v>9</v>
      </c>
      <c r="AD463">
        <v>46</v>
      </c>
      <c r="AE463" s="19" t="s">
        <v>60</v>
      </c>
    </row>
    <row r="464" spans="1:31" x14ac:dyDescent="0.2">
      <c r="A464">
        <v>449</v>
      </c>
      <c r="B464" s="19" t="s">
        <v>1088</v>
      </c>
      <c r="C464">
        <v>32</v>
      </c>
      <c r="D464" s="19" t="s">
        <v>536</v>
      </c>
      <c r="E464" s="19" t="s">
        <v>322</v>
      </c>
      <c r="F464">
        <v>25</v>
      </c>
      <c r="G464">
        <v>3</v>
      </c>
      <c r="H464">
        <v>5</v>
      </c>
      <c r="I464">
        <v>8</v>
      </c>
      <c r="J464">
        <v>2</v>
      </c>
      <c r="K464">
        <v>7</v>
      </c>
      <c r="L464">
        <v>2</v>
      </c>
      <c r="M464">
        <v>1</v>
      </c>
      <c r="N464">
        <v>0</v>
      </c>
      <c r="O464">
        <v>0</v>
      </c>
      <c r="P464">
        <v>5</v>
      </c>
      <c r="Q464">
        <v>0</v>
      </c>
      <c r="R464">
        <v>0</v>
      </c>
      <c r="S464">
        <v>25</v>
      </c>
      <c r="T464">
        <v>12</v>
      </c>
      <c r="U464">
        <v>63</v>
      </c>
      <c r="V464" s="19" t="s">
        <v>2513</v>
      </c>
      <c r="W464" s="19" t="s">
        <v>1787</v>
      </c>
      <c r="X464">
        <v>113</v>
      </c>
      <c r="Y464">
        <v>162</v>
      </c>
      <c r="Z464">
        <v>41.1</v>
      </c>
      <c r="AA464">
        <v>20</v>
      </c>
      <c r="AB464">
        <v>11</v>
      </c>
      <c r="AC464">
        <v>12</v>
      </c>
      <c r="AD464">
        <v>16</v>
      </c>
      <c r="AE464" s="19" t="s">
        <v>60</v>
      </c>
    </row>
    <row r="465" spans="1:31" x14ac:dyDescent="0.2">
      <c r="A465">
        <v>450</v>
      </c>
      <c r="B465" s="19" t="s">
        <v>1091</v>
      </c>
      <c r="C465">
        <v>32</v>
      </c>
      <c r="D465" s="19" t="s">
        <v>324</v>
      </c>
      <c r="E465" s="19" t="s">
        <v>334</v>
      </c>
      <c r="F465">
        <v>40</v>
      </c>
      <c r="G465">
        <v>3</v>
      </c>
      <c r="H465">
        <v>5</v>
      </c>
      <c r="I465">
        <v>8</v>
      </c>
      <c r="J465">
        <v>-6</v>
      </c>
      <c r="K465">
        <v>14</v>
      </c>
      <c r="L465">
        <v>3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34</v>
      </c>
      <c r="T465">
        <v>8.8000000000000007</v>
      </c>
      <c r="U465">
        <v>65</v>
      </c>
      <c r="V465" s="19" t="s">
        <v>2514</v>
      </c>
      <c r="W465" s="19" t="s">
        <v>877</v>
      </c>
      <c r="X465">
        <v>10</v>
      </c>
      <c r="Y465">
        <v>18</v>
      </c>
      <c r="Z465">
        <v>35.700000000000003</v>
      </c>
      <c r="AA465">
        <v>29</v>
      </c>
      <c r="AB465">
        <v>58</v>
      </c>
      <c r="AC465">
        <v>4</v>
      </c>
      <c r="AD465">
        <v>16</v>
      </c>
      <c r="AE465" s="19" t="s">
        <v>60</v>
      </c>
    </row>
    <row r="466" spans="1:31" x14ac:dyDescent="0.2">
      <c r="A466">
        <v>451</v>
      </c>
      <c r="B466" s="19" t="s">
        <v>1010</v>
      </c>
      <c r="C466">
        <v>22</v>
      </c>
      <c r="D466" s="19" t="s">
        <v>408</v>
      </c>
      <c r="E466" s="19" t="s">
        <v>334</v>
      </c>
      <c r="F466">
        <v>28</v>
      </c>
      <c r="G466">
        <v>2</v>
      </c>
      <c r="H466">
        <v>6</v>
      </c>
      <c r="I466">
        <v>8</v>
      </c>
      <c r="J466">
        <v>-3</v>
      </c>
      <c r="K466">
        <v>21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15</v>
      </c>
      <c r="T466">
        <v>13.3</v>
      </c>
      <c r="U466">
        <v>32</v>
      </c>
      <c r="V466" s="19" t="s">
        <v>2515</v>
      </c>
      <c r="W466" s="19" t="s">
        <v>836</v>
      </c>
      <c r="X466">
        <v>2</v>
      </c>
      <c r="Y466">
        <v>1</v>
      </c>
      <c r="Z466">
        <v>66.7</v>
      </c>
      <c r="AA466">
        <v>9</v>
      </c>
      <c r="AB466">
        <v>45</v>
      </c>
      <c r="AC466">
        <v>6</v>
      </c>
      <c r="AD466">
        <v>21</v>
      </c>
      <c r="AE466" s="19" t="s">
        <v>60</v>
      </c>
    </row>
    <row r="467" spans="1:31" x14ac:dyDescent="0.2">
      <c r="A467">
        <v>452</v>
      </c>
      <c r="B467" s="19" t="s">
        <v>1413</v>
      </c>
      <c r="C467">
        <v>28</v>
      </c>
      <c r="D467" s="19" t="s">
        <v>408</v>
      </c>
      <c r="E467" s="19" t="s">
        <v>334</v>
      </c>
      <c r="F467">
        <v>13</v>
      </c>
      <c r="G467">
        <v>7</v>
      </c>
      <c r="H467">
        <v>1</v>
      </c>
      <c r="I467">
        <v>8</v>
      </c>
      <c r="J467">
        <v>5</v>
      </c>
      <c r="K467">
        <v>8</v>
      </c>
      <c r="L467">
        <v>7</v>
      </c>
      <c r="M467">
        <v>0</v>
      </c>
      <c r="N467">
        <v>0</v>
      </c>
      <c r="O467">
        <v>1</v>
      </c>
      <c r="P467">
        <v>1</v>
      </c>
      <c r="Q467">
        <v>0</v>
      </c>
      <c r="R467">
        <v>0</v>
      </c>
      <c r="S467">
        <v>19</v>
      </c>
      <c r="T467">
        <v>36.799999999999997</v>
      </c>
      <c r="U467">
        <v>27</v>
      </c>
      <c r="V467" s="19" t="s">
        <v>2516</v>
      </c>
      <c r="W467" s="19" t="s">
        <v>873</v>
      </c>
      <c r="X467">
        <v>1</v>
      </c>
      <c r="Y467">
        <v>1</v>
      </c>
      <c r="Z467">
        <v>50</v>
      </c>
      <c r="AA467">
        <v>8</v>
      </c>
      <c r="AB467">
        <v>36</v>
      </c>
      <c r="AC467">
        <v>1</v>
      </c>
      <c r="AD467">
        <v>5</v>
      </c>
      <c r="AE467" s="19" t="s">
        <v>60</v>
      </c>
    </row>
    <row r="468" spans="1:31" x14ac:dyDescent="0.2">
      <c r="A468">
        <v>453</v>
      </c>
      <c r="B468" s="19" t="s">
        <v>1012</v>
      </c>
      <c r="C468">
        <v>32</v>
      </c>
      <c r="D468" s="19" t="s">
        <v>329</v>
      </c>
      <c r="E468" s="19" t="s">
        <v>348</v>
      </c>
      <c r="F468">
        <v>40</v>
      </c>
      <c r="G468">
        <v>0</v>
      </c>
      <c r="H468">
        <v>8</v>
      </c>
      <c r="I468">
        <v>8</v>
      </c>
      <c r="J468">
        <v>3</v>
      </c>
      <c r="K468">
        <v>18</v>
      </c>
      <c r="L468">
        <v>0</v>
      </c>
      <c r="M468">
        <v>0</v>
      </c>
      <c r="N468">
        <v>0</v>
      </c>
      <c r="O468">
        <v>0</v>
      </c>
      <c r="P468">
        <v>7</v>
      </c>
      <c r="Q468">
        <v>0</v>
      </c>
      <c r="R468">
        <v>1</v>
      </c>
      <c r="S468">
        <v>44</v>
      </c>
      <c r="T468">
        <v>0</v>
      </c>
      <c r="U468">
        <v>104</v>
      </c>
      <c r="V468" s="19" t="s">
        <v>2517</v>
      </c>
      <c r="W468" s="19" t="s">
        <v>2518</v>
      </c>
      <c r="X468">
        <v>0</v>
      </c>
      <c r="Y468">
        <v>0</v>
      </c>
      <c r="AA468">
        <v>32</v>
      </c>
      <c r="AB468">
        <v>20</v>
      </c>
      <c r="AC468">
        <v>13</v>
      </c>
      <c r="AD468">
        <v>26</v>
      </c>
      <c r="AE468" s="19" t="s">
        <v>60</v>
      </c>
    </row>
    <row r="469" spans="1:31" x14ac:dyDescent="0.2">
      <c r="A469">
        <v>454</v>
      </c>
      <c r="B469" s="19" t="s">
        <v>899</v>
      </c>
      <c r="C469">
        <v>35</v>
      </c>
      <c r="D469" s="19" t="s">
        <v>336</v>
      </c>
      <c r="E469" s="19" t="s">
        <v>348</v>
      </c>
      <c r="F469">
        <v>27</v>
      </c>
      <c r="G469">
        <v>1</v>
      </c>
      <c r="H469">
        <v>7</v>
      </c>
      <c r="I469">
        <v>8</v>
      </c>
      <c r="J469">
        <v>-5</v>
      </c>
      <c r="K469">
        <v>9</v>
      </c>
      <c r="L469">
        <v>1</v>
      </c>
      <c r="M469">
        <v>0</v>
      </c>
      <c r="N469">
        <v>0</v>
      </c>
      <c r="O469">
        <v>0</v>
      </c>
      <c r="P469">
        <v>7</v>
      </c>
      <c r="Q469">
        <v>0</v>
      </c>
      <c r="R469">
        <v>0</v>
      </c>
      <c r="S469">
        <v>35</v>
      </c>
      <c r="T469">
        <v>2.9</v>
      </c>
      <c r="U469">
        <v>91</v>
      </c>
      <c r="V469" s="19" t="s">
        <v>1925</v>
      </c>
      <c r="W469" s="19" t="s">
        <v>477</v>
      </c>
      <c r="X469">
        <v>0</v>
      </c>
      <c r="Y469">
        <v>0</v>
      </c>
      <c r="AA469">
        <v>49</v>
      </c>
      <c r="AB469">
        <v>94</v>
      </c>
      <c r="AC469">
        <v>7</v>
      </c>
      <c r="AD469">
        <v>22</v>
      </c>
      <c r="AE469" s="19" t="s">
        <v>60</v>
      </c>
    </row>
    <row r="470" spans="1:31" x14ac:dyDescent="0.2">
      <c r="A470">
        <v>455</v>
      </c>
      <c r="B470" s="19" t="s">
        <v>802</v>
      </c>
      <c r="C470">
        <v>32</v>
      </c>
      <c r="D470" s="19" t="s">
        <v>400</v>
      </c>
      <c r="E470" s="19" t="s">
        <v>348</v>
      </c>
      <c r="F470">
        <v>36</v>
      </c>
      <c r="G470">
        <v>4</v>
      </c>
      <c r="H470">
        <v>4</v>
      </c>
      <c r="I470">
        <v>8</v>
      </c>
      <c r="J470">
        <v>-6</v>
      </c>
      <c r="K470">
        <v>28</v>
      </c>
      <c r="L470">
        <v>2</v>
      </c>
      <c r="M470">
        <v>2</v>
      </c>
      <c r="N470">
        <v>0</v>
      </c>
      <c r="O470">
        <v>1</v>
      </c>
      <c r="P470">
        <v>2</v>
      </c>
      <c r="Q470">
        <v>2</v>
      </c>
      <c r="R470">
        <v>0</v>
      </c>
      <c r="S470">
        <v>92</v>
      </c>
      <c r="T470">
        <v>4.3</v>
      </c>
      <c r="U470">
        <v>211</v>
      </c>
      <c r="V470" s="19" t="s">
        <v>2519</v>
      </c>
      <c r="W470" s="19" t="s">
        <v>2520</v>
      </c>
      <c r="X470">
        <v>0</v>
      </c>
      <c r="Y470">
        <v>0</v>
      </c>
      <c r="AA470">
        <v>36</v>
      </c>
      <c r="AB470">
        <v>38</v>
      </c>
      <c r="AC470">
        <v>6</v>
      </c>
      <c r="AD470">
        <v>59</v>
      </c>
      <c r="AE470" s="19" t="s">
        <v>60</v>
      </c>
    </row>
    <row r="471" spans="1:31" x14ac:dyDescent="0.2">
      <c r="A471">
        <v>456</v>
      </c>
      <c r="B471" s="19" t="s">
        <v>806</v>
      </c>
      <c r="C471">
        <v>28</v>
      </c>
      <c r="D471" s="19" t="s">
        <v>519</v>
      </c>
      <c r="E471" s="19" t="s">
        <v>334</v>
      </c>
      <c r="F471">
        <v>33</v>
      </c>
      <c r="G471">
        <v>2</v>
      </c>
      <c r="H471">
        <v>6</v>
      </c>
      <c r="I471">
        <v>8</v>
      </c>
      <c r="J471">
        <v>0</v>
      </c>
      <c r="K471">
        <v>4</v>
      </c>
      <c r="L471">
        <v>1</v>
      </c>
      <c r="M471">
        <v>0</v>
      </c>
      <c r="N471">
        <v>1</v>
      </c>
      <c r="O471">
        <v>1</v>
      </c>
      <c r="P471">
        <v>6</v>
      </c>
      <c r="Q471">
        <v>0</v>
      </c>
      <c r="R471">
        <v>0</v>
      </c>
      <c r="S471">
        <v>28</v>
      </c>
      <c r="T471">
        <v>7.1</v>
      </c>
      <c r="U471">
        <v>62</v>
      </c>
      <c r="V471" s="19" t="s">
        <v>2393</v>
      </c>
      <c r="W471" s="19" t="s">
        <v>1223</v>
      </c>
      <c r="X471">
        <v>3</v>
      </c>
      <c r="Y471">
        <v>10</v>
      </c>
      <c r="Z471">
        <v>23.1</v>
      </c>
      <c r="AA471">
        <v>22</v>
      </c>
      <c r="AB471">
        <v>73</v>
      </c>
      <c r="AC471">
        <v>9</v>
      </c>
      <c r="AD471">
        <v>19</v>
      </c>
      <c r="AE471" s="19" t="s">
        <v>60</v>
      </c>
    </row>
    <row r="472" spans="1:31" x14ac:dyDescent="0.2">
      <c r="A472">
        <v>457</v>
      </c>
      <c r="B472" s="19" t="s">
        <v>949</v>
      </c>
      <c r="C472">
        <v>25</v>
      </c>
      <c r="D472" s="19" t="s">
        <v>439</v>
      </c>
      <c r="E472" s="19" t="s">
        <v>325</v>
      </c>
      <c r="F472">
        <v>39</v>
      </c>
      <c r="G472">
        <v>3</v>
      </c>
      <c r="H472">
        <v>5</v>
      </c>
      <c r="I472">
        <v>8</v>
      </c>
      <c r="J472">
        <v>-2</v>
      </c>
      <c r="K472">
        <v>74</v>
      </c>
      <c r="L472">
        <v>3</v>
      </c>
      <c r="M472">
        <v>0</v>
      </c>
      <c r="N472">
        <v>0</v>
      </c>
      <c r="O472">
        <v>0</v>
      </c>
      <c r="P472">
        <v>4</v>
      </c>
      <c r="Q472">
        <v>1</v>
      </c>
      <c r="R472">
        <v>0</v>
      </c>
      <c r="S472">
        <v>40</v>
      </c>
      <c r="T472">
        <v>7.5</v>
      </c>
      <c r="U472">
        <v>90</v>
      </c>
      <c r="V472" s="19" t="s">
        <v>2521</v>
      </c>
      <c r="W472" s="19" t="s">
        <v>2522</v>
      </c>
      <c r="X472">
        <v>6</v>
      </c>
      <c r="Y472">
        <v>11</v>
      </c>
      <c r="Z472">
        <v>35.299999999999997</v>
      </c>
      <c r="AA472">
        <v>22</v>
      </c>
      <c r="AB472">
        <v>135</v>
      </c>
      <c r="AC472">
        <v>6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854</v>
      </c>
      <c r="C473">
        <v>33</v>
      </c>
      <c r="D473" s="19" t="s">
        <v>536</v>
      </c>
      <c r="E473" s="19" t="s">
        <v>348</v>
      </c>
      <c r="F473">
        <v>38</v>
      </c>
      <c r="G473">
        <v>2</v>
      </c>
      <c r="H473">
        <v>6</v>
      </c>
      <c r="I473">
        <v>8</v>
      </c>
      <c r="J473">
        <v>-3</v>
      </c>
      <c r="K473">
        <v>20</v>
      </c>
      <c r="L473">
        <v>2</v>
      </c>
      <c r="M473">
        <v>0</v>
      </c>
      <c r="N473">
        <v>0</v>
      </c>
      <c r="O473">
        <v>1</v>
      </c>
      <c r="P473">
        <v>6</v>
      </c>
      <c r="Q473">
        <v>0</v>
      </c>
      <c r="R473">
        <v>0</v>
      </c>
      <c r="S473">
        <v>41</v>
      </c>
      <c r="T473">
        <v>4.9000000000000004</v>
      </c>
      <c r="U473">
        <v>85</v>
      </c>
      <c r="V473" s="19" t="s">
        <v>2523</v>
      </c>
      <c r="W473" s="19" t="s">
        <v>2524</v>
      </c>
      <c r="X473">
        <v>0</v>
      </c>
      <c r="Y473">
        <v>0</v>
      </c>
      <c r="AA473">
        <v>87</v>
      </c>
      <c r="AB473">
        <v>54</v>
      </c>
      <c r="AC473">
        <v>7</v>
      </c>
      <c r="AD473">
        <v>20</v>
      </c>
      <c r="AE473" s="19" t="s">
        <v>60</v>
      </c>
    </row>
    <row r="474" spans="1:31" x14ac:dyDescent="0.2">
      <c r="A474">
        <v>459</v>
      </c>
      <c r="B474" s="19" t="s">
        <v>957</v>
      </c>
      <c r="C474">
        <v>28</v>
      </c>
      <c r="D474" s="19" t="s">
        <v>375</v>
      </c>
      <c r="E474" s="19" t="s">
        <v>322</v>
      </c>
      <c r="F474">
        <v>30</v>
      </c>
      <c r="G474">
        <v>4</v>
      </c>
      <c r="H474">
        <v>4</v>
      </c>
      <c r="I474">
        <v>8</v>
      </c>
      <c r="J474">
        <v>3</v>
      </c>
      <c r="K474">
        <v>10</v>
      </c>
      <c r="L474">
        <v>4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33</v>
      </c>
      <c r="T474">
        <v>12.1</v>
      </c>
      <c r="U474">
        <v>63</v>
      </c>
      <c r="V474" s="19" t="s">
        <v>2525</v>
      </c>
      <c r="W474" s="19" t="s">
        <v>839</v>
      </c>
      <c r="X474">
        <v>151</v>
      </c>
      <c r="Y474">
        <v>138</v>
      </c>
      <c r="Z474">
        <v>52.2</v>
      </c>
      <c r="AA474">
        <v>13</v>
      </c>
      <c r="AB474">
        <v>27</v>
      </c>
      <c r="AC474">
        <v>7</v>
      </c>
      <c r="AD474">
        <v>19</v>
      </c>
      <c r="AE474" s="19" t="s">
        <v>60</v>
      </c>
    </row>
    <row r="475" spans="1:31" x14ac:dyDescent="0.2">
      <c r="A475">
        <v>460</v>
      </c>
      <c r="B475" s="19" t="s">
        <v>915</v>
      </c>
      <c r="C475">
        <v>36</v>
      </c>
      <c r="D475" s="19" t="s">
        <v>351</v>
      </c>
      <c r="E475" s="19" t="s">
        <v>348</v>
      </c>
      <c r="F475">
        <v>18</v>
      </c>
      <c r="G475">
        <v>4</v>
      </c>
      <c r="H475">
        <v>4</v>
      </c>
      <c r="I475">
        <v>8</v>
      </c>
      <c r="J475">
        <v>1</v>
      </c>
      <c r="K475">
        <v>0</v>
      </c>
      <c r="L475">
        <v>4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0</v>
      </c>
      <c r="S475">
        <v>17</v>
      </c>
      <c r="T475">
        <v>23.5</v>
      </c>
      <c r="U475">
        <v>48</v>
      </c>
      <c r="V475" s="19" t="s">
        <v>1868</v>
      </c>
      <c r="W475" s="19" t="s">
        <v>340</v>
      </c>
      <c r="X475">
        <v>0</v>
      </c>
      <c r="Y475">
        <v>0</v>
      </c>
      <c r="AA475">
        <v>29</v>
      </c>
      <c r="AB475">
        <v>9</v>
      </c>
      <c r="AC475">
        <v>7</v>
      </c>
      <c r="AD475">
        <v>19</v>
      </c>
      <c r="AE475" s="19" t="s">
        <v>60</v>
      </c>
    </row>
    <row r="476" spans="1:31" x14ac:dyDescent="0.2">
      <c r="A476">
        <v>461</v>
      </c>
      <c r="B476" s="19" t="s">
        <v>964</v>
      </c>
      <c r="C476">
        <v>30</v>
      </c>
      <c r="D476" s="19" t="s">
        <v>357</v>
      </c>
      <c r="E476" s="19" t="s">
        <v>348</v>
      </c>
      <c r="F476">
        <v>34</v>
      </c>
      <c r="G476">
        <v>0</v>
      </c>
      <c r="H476">
        <v>8</v>
      </c>
      <c r="I476">
        <v>8</v>
      </c>
      <c r="J476">
        <v>2</v>
      </c>
      <c r="K476">
        <v>44</v>
      </c>
      <c r="L476">
        <v>0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27</v>
      </c>
      <c r="T476">
        <v>0</v>
      </c>
      <c r="U476">
        <v>65</v>
      </c>
      <c r="V476" s="19" t="s">
        <v>2526</v>
      </c>
      <c r="W476" s="19" t="s">
        <v>2527</v>
      </c>
      <c r="X476">
        <v>0</v>
      </c>
      <c r="Y476">
        <v>0</v>
      </c>
      <c r="AA476">
        <v>46</v>
      </c>
      <c r="AB476">
        <v>49</v>
      </c>
      <c r="AC476">
        <v>4</v>
      </c>
      <c r="AD476">
        <v>18</v>
      </c>
      <c r="AE476" s="19" t="s">
        <v>60</v>
      </c>
    </row>
    <row r="477" spans="1:31" x14ac:dyDescent="0.2">
      <c r="A477">
        <v>462</v>
      </c>
      <c r="B477" s="19" t="s">
        <v>859</v>
      </c>
      <c r="C477">
        <v>35</v>
      </c>
      <c r="D477" s="19" t="s">
        <v>451</v>
      </c>
      <c r="E477" s="19" t="s">
        <v>348</v>
      </c>
      <c r="F477">
        <v>39</v>
      </c>
      <c r="G477">
        <v>1</v>
      </c>
      <c r="H477">
        <v>7</v>
      </c>
      <c r="I477">
        <v>8</v>
      </c>
      <c r="J477">
        <v>-12</v>
      </c>
      <c r="K477">
        <v>34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42</v>
      </c>
      <c r="T477">
        <v>2.4</v>
      </c>
      <c r="U477">
        <v>112</v>
      </c>
      <c r="V477" s="19" t="s">
        <v>2528</v>
      </c>
      <c r="W477" s="19" t="s">
        <v>2529</v>
      </c>
      <c r="X477">
        <v>0</v>
      </c>
      <c r="Y477">
        <v>0</v>
      </c>
      <c r="AA477">
        <v>75</v>
      </c>
      <c r="AB477">
        <v>49</v>
      </c>
      <c r="AC477">
        <v>12</v>
      </c>
      <c r="AD477">
        <v>38</v>
      </c>
      <c r="AE477" s="19" t="s">
        <v>60</v>
      </c>
    </row>
    <row r="478" spans="1:31" x14ac:dyDescent="0.2">
      <c r="A478">
        <v>463</v>
      </c>
      <c r="B478" s="19" t="s">
        <v>814</v>
      </c>
      <c r="C478">
        <v>33</v>
      </c>
      <c r="D478" s="19" t="s">
        <v>345</v>
      </c>
      <c r="E478" s="19" t="s">
        <v>322</v>
      </c>
      <c r="F478">
        <v>39</v>
      </c>
      <c r="G478">
        <v>6</v>
      </c>
      <c r="H478">
        <v>2</v>
      </c>
      <c r="I478">
        <v>8</v>
      </c>
      <c r="J478">
        <v>-8</v>
      </c>
      <c r="K478">
        <v>22</v>
      </c>
      <c r="L478">
        <v>4</v>
      </c>
      <c r="M478">
        <v>2</v>
      </c>
      <c r="N478">
        <v>0</v>
      </c>
      <c r="O478">
        <v>1</v>
      </c>
      <c r="P478">
        <v>2</v>
      </c>
      <c r="Q478">
        <v>0</v>
      </c>
      <c r="R478">
        <v>0</v>
      </c>
      <c r="S478">
        <v>51</v>
      </c>
      <c r="T478">
        <v>11.8</v>
      </c>
      <c r="U478">
        <v>102</v>
      </c>
      <c r="V478" s="19" t="s">
        <v>2530</v>
      </c>
      <c r="W478" s="19" t="s">
        <v>2379</v>
      </c>
      <c r="X478">
        <v>70</v>
      </c>
      <c r="Y478">
        <v>109</v>
      </c>
      <c r="Z478">
        <v>39.1</v>
      </c>
      <c r="AA478">
        <v>24</v>
      </c>
      <c r="AB478">
        <v>50</v>
      </c>
      <c r="AC478">
        <v>5</v>
      </c>
      <c r="AD478">
        <v>30</v>
      </c>
      <c r="AE478" s="19" t="s">
        <v>60</v>
      </c>
    </row>
    <row r="479" spans="1:31" x14ac:dyDescent="0.2">
      <c r="A479">
        <v>464</v>
      </c>
      <c r="B479" s="19" t="s">
        <v>917</v>
      </c>
      <c r="C479">
        <v>36</v>
      </c>
      <c r="D479" s="19" t="s">
        <v>345</v>
      </c>
      <c r="E479" s="19" t="s">
        <v>334</v>
      </c>
      <c r="F479">
        <v>30</v>
      </c>
      <c r="G479">
        <v>0</v>
      </c>
      <c r="H479">
        <v>8</v>
      </c>
      <c r="I479">
        <v>8</v>
      </c>
      <c r="J479">
        <v>-4</v>
      </c>
      <c r="K479">
        <v>4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5</v>
      </c>
      <c r="R479">
        <v>0</v>
      </c>
      <c r="S479">
        <v>40</v>
      </c>
      <c r="T479">
        <v>0</v>
      </c>
      <c r="U479">
        <v>78</v>
      </c>
      <c r="V479" s="19" t="s">
        <v>2531</v>
      </c>
      <c r="W479" s="19" t="s">
        <v>1885</v>
      </c>
      <c r="X479">
        <v>7</v>
      </c>
      <c r="Y479">
        <v>11</v>
      </c>
      <c r="Z479">
        <v>38.9</v>
      </c>
      <c r="AA479">
        <v>14</v>
      </c>
      <c r="AB479">
        <v>18</v>
      </c>
      <c r="AC479">
        <v>10</v>
      </c>
      <c r="AD479">
        <v>15</v>
      </c>
      <c r="AE479" s="19" t="s">
        <v>60</v>
      </c>
    </row>
    <row r="480" spans="1:31" x14ac:dyDescent="0.2">
      <c r="A480">
        <v>465</v>
      </c>
      <c r="B480" s="19" t="s">
        <v>1115</v>
      </c>
      <c r="C480">
        <v>23</v>
      </c>
      <c r="D480" s="19" t="s">
        <v>398</v>
      </c>
      <c r="E480" s="19" t="s">
        <v>348</v>
      </c>
      <c r="F480">
        <v>29</v>
      </c>
      <c r="G480">
        <v>0</v>
      </c>
      <c r="H480">
        <v>8</v>
      </c>
      <c r="I480">
        <v>8</v>
      </c>
      <c r="J480">
        <v>2</v>
      </c>
      <c r="K480">
        <v>4</v>
      </c>
      <c r="L480">
        <v>0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36</v>
      </c>
      <c r="T480">
        <v>0</v>
      </c>
      <c r="U480">
        <v>101</v>
      </c>
      <c r="V480" s="19" t="s">
        <v>2532</v>
      </c>
      <c r="W480" s="19" t="s">
        <v>1778</v>
      </c>
      <c r="X480">
        <v>0</v>
      </c>
      <c r="Y480">
        <v>0</v>
      </c>
      <c r="AA480">
        <v>19</v>
      </c>
      <c r="AB480">
        <v>8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968</v>
      </c>
      <c r="C481">
        <v>34</v>
      </c>
      <c r="D481" s="19" t="s">
        <v>400</v>
      </c>
      <c r="E481" s="19" t="s">
        <v>339</v>
      </c>
      <c r="F481">
        <v>40</v>
      </c>
      <c r="G481">
        <v>2</v>
      </c>
      <c r="H481">
        <v>6</v>
      </c>
      <c r="I481">
        <v>8</v>
      </c>
      <c r="J481">
        <v>2</v>
      </c>
      <c r="K481">
        <v>8</v>
      </c>
      <c r="L481">
        <v>2</v>
      </c>
      <c r="M481">
        <v>0</v>
      </c>
      <c r="N481">
        <v>0</v>
      </c>
      <c r="O481">
        <v>0</v>
      </c>
      <c r="P481">
        <v>5</v>
      </c>
      <c r="Q481">
        <v>1</v>
      </c>
      <c r="R481">
        <v>0</v>
      </c>
      <c r="S481">
        <v>49</v>
      </c>
      <c r="T481">
        <v>4.0999999999999996</v>
      </c>
      <c r="U481">
        <v>98</v>
      </c>
      <c r="V481" s="19" t="s">
        <v>2533</v>
      </c>
      <c r="W481" s="19" t="s">
        <v>1796</v>
      </c>
      <c r="X481">
        <v>5</v>
      </c>
      <c r="Y481">
        <v>8</v>
      </c>
      <c r="Z481">
        <v>38.5</v>
      </c>
      <c r="AA481">
        <v>34</v>
      </c>
      <c r="AB481">
        <v>60</v>
      </c>
      <c r="AC481">
        <v>6</v>
      </c>
      <c r="AD481">
        <v>23</v>
      </c>
      <c r="AE481" s="19" t="s">
        <v>60</v>
      </c>
    </row>
    <row r="482" spans="1:31" x14ac:dyDescent="0.2">
      <c r="A482">
        <v>467</v>
      </c>
      <c r="B482" s="19" t="s">
        <v>1040</v>
      </c>
      <c r="C482">
        <v>27</v>
      </c>
      <c r="D482" s="19" t="s">
        <v>464</v>
      </c>
      <c r="E482" s="19" t="s">
        <v>348</v>
      </c>
      <c r="F482">
        <v>37</v>
      </c>
      <c r="G482">
        <v>3</v>
      </c>
      <c r="H482">
        <v>5</v>
      </c>
      <c r="I482">
        <v>8</v>
      </c>
      <c r="J482">
        <v>-11</v>
      </c>
      <c r="K482">
        <v>12</v>
      </c>
      <c r="L482">
        <v>3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39</v>
      </c>
      <c r="T482">
        <v>7.7</v>
      </c>
      <c r="U482">
        <v>95</v>
      </c>
      <c r="V482" s="19" t="s">
        <v>2534</v>
      </c>
      <c r="W482" s="19" t="s">
        <v>1974</v>
      </c>
      <c r="X482">
        <v>0</v>
      </c>
      <c r="Y482">
        <v>0</v>
      </c>
      <c r="AA482">
        <v>41</v>
      </c>
      <c r="AB482">
        <v>19</v>
      </c>
      <c r="AC482">
        <v>8</v>
      </c>
      <c r="AD482">
        <v>39</v>
      </c>
      <c r="AE482" s="19" t="s">
        <v>60</v>
      </c>
    </row>
    <row r="483" spans="1:31" x14ac:dyDescent="0.2">
      <c r="A483">
        <v>468</v>
      </c>
      <c r="B483" s="19" t="s">
        <v>1041</v>
      </c>
      <c r="C483">
        <v>24</v>
      </c>
      <c r="D483" s="19" t="s">
        <v>345</v>
      </c>
      <c r="E483" s="19" t="s">
        <v>322</v>
      </c>
      <c r="F483">
        <v>25</v>
      </c>
      <c r="G483">
        <v>2</v>
      </c>
      <c r="H483">
        <v>6</v>
      </c>
      <c r="I483">
        <v>8</v>
      </c>
      <c r="J483">
        <v>-12</v>
      </c>
      <c r="K483">
        <v>8</v>
      </c>
      <c r="L483">
        <v>1</v>
      </c>
      <c r="M483">
        <v>1</v>
      </c>
      <c r="N483">
        <v>0</v>
      </c>
      <c r="O483">
        <v>1</v>
      </c>
      <c r="P483">
        <v>4</v>
      </c>
      <c r="Q483">
        <v>2</v>
      </c>
      <c r="R483">
        <v>0</v>
      </c>
      <c r="S483">
        <v>46</v>
      </c>
      <c r="T483">
        <v>4.3</v>
      </c>
      <c r="U483">
        <v>98</v>
      </c>
      <c r="V483" s="19" t="s">
        <v>2535</v>
      </c>
      <c r="W483" s="19" t="s">
        <v>2536</v>
      </c>
      <c r="X483">
        <v>3</v>
      </c>
      <c r="Y483">
        <v>3</v>
      </c>
      <c r="Z483">
        <v>50</v>
      </c>
      <c r="AA483">
        <v>11</v>
      </c>
      <c r="AB483">
        <v>19</v>
      </c>
      <c r="AC483">
        <v>8</v>
      </c>
      <c r="AD483">
        <v>21</v>
      </c>
      <c r="AE483" s="19" t="s">
        <v>60</v>
      </c>
    </row>
    <row r="484" spans="1:31" x14ac:dyDescent="0.2">
      <c r="A484">
        <v>469</v>
      </c>
      <c r="B484" s="19" t="s">
        <v>921</v>
      </c>
      <c r="C484">
        <v>38</v>
      </c>
      <c r="D484" s="19" t="s">
        <v>372</v>
      </c>
      <c r="E484" s="19" t="s">
        <v>348</v>
      </c>
      <c r="F484">
        <v>37</v>
      </c>
      <c r="G484">
        <v>0</v>
      </c>
      <c r="H484">
        <v>8</v>
      </c>
      <c r="I484">
        <v>8</v>
      </c>
      <c r="J484">
        <v>-1</v>
      </c>
      <c r="K484">
        <v>14</v>
      </c>
      <c r="L484">
        <v>0</v>
      </c>
      <c r="M484">
        <v>0</v>
      </c>
      <c r="N484">
        <v>0</v>
      </c>
      <c r="O484">
        <v>0</v>
      </c>
      <c r="P484">
        <v>6</v>
      </c>
      <c r="Q484">
        <v>2</v>
      </c>
      <c r="R484">
        <v>0</v>
      </c>
      <c r="S484">
        <v>29</v>
      </c>
      <c r="T484">
        <v>0</v>
      </c>
      <c r="U484">
        <v>90</v>
      </c>
      <c r="V484" s="19" t="s">
        <v>2537</v>
      </c>
      <c r="W484" s="19" t="s">
        <v>732</v>
      </c>
      <c r="X484">
        <v>0</v>
      </c>
      <c r="Y484">
        <v>0</v>
      </c>
      <c r="AA484">
        <v>41</v>
      </c>
      <c r="AB484">
        <v>30</v>
      </c>
      <c r="AC484">
        <v>1</v>
      </c>
      <c r="AD484">
        <v>33</v>
      </c>
      <c r="AE484" s="19" t="s">
        <v>60</v>
      </c>
    </row>
    <row r="485" spans="1:31" x14ac:dyDescent="0.2">
      <c r="A485">
        <v>470</v>
      </c>
      <c r="B485" s="19" t="s">
        <v>972</v>
      </c>
      <c r="C485">
        <v>29</v>
      </c>
      <c r="D485" s="19" t="s">
        <v>451</v>
      </c>
      <c r="E485" s="19" t="s">
        <v>348</v>
      </c>
      <c r="F485">
        <v>39</v>
      </c>
      <c r="G485">
        <v>1</v>
      </c>
      <c r="H485">
        <v>7</v>
      </c>
      <c r="I485">
        <v>8</v>
      </c>
      <c r="J485">
        <v>0</v>
      </c>
      <c r="K485">
        <v>39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29</v>
      </c>
      <c r="T485">
        <v>3.4</v>
      </c>
      <c r="U485">
        <v>84</v>
      </c>
      <c r="V485" s="19" t="s">
        <v>2538</v>
      </c>
      <c r="W485" s="19" t="s">
        <v>776</v>
      </c>
      <c r="X485">
        <v>0</v>
      </c>
      <c r="Y485">
        <v>0</v>
      </c>
      <c r="AA485">
        <v>63</v>
      </c>
      <c r="AB485">
        <v>25</v>
      </c>
      <c r="AC485">
        <v>7</v>
      </c>
      <c r="AD485">
        <v>37</v>
      </c>
      <c r="AE485" s="19" t="s">
        <v>60</v>
      </c>
    </row>
    <row r="486" spans="1:31" x14ac:dyDescent="0.2">
      <c r="A486">
        <v>471</v>
      </c>
      <c r="B486" s="19" t="s">
        <v>821</v>
      </c>
      <c r="C486">
        <v>21</v>
      </c>
      <c r="D486" s="19" t="s">
        <v>329</v>
      </c>
      <c r="E486" s="19" t="s">
        <v>348</v>
      </c>
      <c r="F486">
        <v>28</v>
      </c>
      <c r="G486">
        <v>1</v>
      </c>
      <c r="H486">
        <v>7</v>
      </c>
      <c r="I486">
        <v>8</v>
      </c>
      <c r="J486">
        <v>0</v>
      </c>
      <c r="K486">
        <v>28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39</v>
      </c>
      <c r="T486">
        <v>2.6</v>
      </c>
      <c r="U486">
        <v>114</v>
      </c>
      <c r="V486" s="19" t="s">
        <v>822</v>
      </c>
      <c r="W486" s="19" t="s">
        <v>755</v>
      </c>
      <c r="X486">
        <v>0</v>
      </c>
      <c r="Y486">
        <v>0</v>
      </c>
      <c r="AA486">
        <v>29</v>
      </c>
      <c r="AB486">
        <v>26</v>
      </c>
      <c r="AC486">
        <v>4</v>
      </c>
      <c r="AD486">
        <v>37</v>
      </c>
      <c r="AE486" s="19" t="s">
        <v>60</v>
      </c>
    </row>
    <row r="487" spans="1:31" x14ac:dyDescent="0.2">
      <c r="A487">
        <v>472</v>
      </c>
      <c r="B487" s="19" t="s">
        <v>923</v>
      </c>
      <c r="C487">
        <v>24</v>
      </c>
      <c r="D487" s="19" t="s">
        <v>361</v>
      </c>
      <c r="E487" s="19" t="s">
        <v>348</v>
      </c>
      <c r="F487">
        <v>42</v>
      </c>
      <c r="G487">
        <v>2</v>
      </c>
      <c r="H487">
        <v>6</v>
      </c>
      <c r="I487">
        <v>8</v>
      </c>
      <c r="J487">
        <v>-5</v>
      </c>
      <c r="K487">
        <v>12</v>
      </c>
      <c r="L487">
        <v>2</v>
      </c>
      <c r="M487">
        <v>0</v>
      </c>
      <c r="N487">
        <v>0</v>
      </c>
      <c r="O487">
        <v>0</v>
      </c>
      <c r="P487">
        <v>6</v>
      </c>
      <c r="Q487">
        <v>0</v>
      </c>
      <c r="R487">
        <v>0</v>
      </c>
      <c r="S487">
        <v>50</v>
      </c>
      <c r="T487">
        <v>4</v>
      </c>
      <c r="U487">
        <v>121</v>
      </c>
      <c r="V487" s="19" t="s">
        <v>2539</v>
      </c>
      <c r="W487" s="19" t="s">
        <v>1993</v>
      </c>
      <c r="X487">
        <v>0</v>
      </c>
      <c r="Y487">
        <v>0</v>
      </c>
      <c r="AA487">
        <v>68</v>
      </c>
      <c r="AB487">
        <v>90</v>
      </c>
      <c r="AC487">
        <v>13</v>
      </c>
      <c r="AD487">
        <v>43</v>
      </c>
      <c r="AE487" s="19" t="s">
        <v>60</v>
      </c>
    </row>
    <row r="488" spans="1:31" x14ac:dyDescent="0.2">
      <c r="A488">
        <v>473</v>
      </c>
      <c r="B488" s="19" t="s">
        <v>870</v>
      </c>
      <c r="C488">
        <v>33</v>
      </c>
      <c r="D488" s="19" t="s">
        <v>324</v>
      </c>
      <c r="E488" s="19" t="s">
        <v>339</v>
      </c>
      <c r="F488">
        <v>27</v>
      </c>
      <c r="G488">
        <v>5</v>
      </c>
      <c r="H488">
        <v>3</v>
      </c>
      <c r="I488">
        <v>8</v>
      </c>
      <c r="J488">
        <v>-10</v>
      </c>
      <c r="K488">
        <v>14</v>
      </c>
      <c r="L488">
        <v>4</v>
      </c>
      <c r="M488">
        <v>1</v>
      </c>
      <c r="N488">
        <v>0</v>
      </c>
      <c r="O488">
        <v>0</v>
      </c>
      <c r="P488">
        <v>2</v>
      </c>
      <c r="Q488">
        <v>1</v>
      </c>
      <c r="R488">
        <v>0</v>
      </c>
      <c r="S488">
        <v>46</v>
      </c>
      <c r="T488">
        <v>10.9</v>
      </c>
      <c r="U488">
        <v>94</v>
      </c>
      <c r="V488" s="19" t="s">
        <v>2540</v>
      </c>
      <c r="W488" s="19" t="s">
        <v>2351</v>
      </c>
      <c r="X488">
        <v>2</v>
      </c>
      <c r="Y488">
        <v>8</v>
      </c>
      <c r="Z488">
        <v>20</v>
      </c>
      <c r="AA488">
        <v>10</v>
      </c>
      <c r="AB488">
        <v>13</v>
      </c>
      <c r="AC488">
        <v>9</v>
      </c>
      <c r="AD488">
        <v>23</v>
      </c>
      <c r="AE488" s="19" t="s">
        <v>60</v>
      </c>
    </row>
    <row r="489" spans="1:31" x14ac:dyDescent="0.2">
      <c r="A489">
        <v>474</v>
      </c>
      <c r="B489" s="19" t="s">
        <v>981</v>
      </c>
      <c r="C489">
        <v>24</v>
      </c>
      <c r="D489" s="19" t="s">
        <v>329</v>
      </c>
      <c r="E489" s="19" t="s">
        <v>348</v>
      </c>
      <c r="F489">
        <v>39</v>
      </c>
      <c r="G489">
        <v>2</v>
      </c>
      <c r="H489">
        <v>6</v>
      </c>
      <c r="I489">
        <v>8</v>
      </c>
      <c r="J489">
        <v>-14</v>
      </c>
      <c r="K489">
        <v>9</v>
      </c>
      <c r="L489">
        <v>2</v>
      </c>
      <c r="M489">
        <v>0</v>
      </c>
      <c r="N489">
        <v>0</v>
      </c>
      <c r="O489">
        <v>0</v>
      </c>
      <c r="P489">
        <v>6</v>
      </c>
      <c r="Q489">
        <v>0</v>
      </c>
      <c r="R489">
        <v>0</v>
      </c>
      <c r="S489">
        <v>35</v>
      </c>
      <c r="T489">
        <v>5.7</v>
      </c>
      <c r="U489">
        <v>100</v>
      </c>
      <c r="V489" s="19" t="s">
        <v>2541</v>
      </c>
      <c r="W489" s="19" t="s">
        <v>2542</v>
      </c>
      <c r="X489">
        <v>0</v>
      </c>
      <c r="Y489">
        <v>0</v>
      </c>
      <c r="AA489">
        <v>61</v>
      </c>
      <c r="AB489">
        <v>16</v>
      </c>
      <c r="AC489">
        <v>15</v>
      </c>
      <c r="AD489">
        <v>38</v>
      </c>
      <c r="AE489" s="19" t="s">
        <v>60</v>
      </c>
    </row>
    <row r="490" spans="1:31" x14ac:dyDescent="0.2">
      <c r="A490">
        <v>475</v>
      </c>
      <c r="B490" s="19" t="s">
        <v>1205</v>
      </c>
      <c r="C490">
        <v>30</v>
      </c>
      <c r="D490" s="19" t="s">
        <v>408</v>
      </c>
      <c r="E490" s="19" t="s">
        <v>322</v>
      </c>
      <c r="F490">
        <v>34</v>
      </c>
      <c r="G490">
        <v>2</v>
      </c>
      <c r="H490">
        <v>5</v>
      </c>
      <c r="I490">
        <v>7</v>
      </c>
      <c r="J490">
        <v>-2</v>
      </c>
      <c r="K490">
        <v>11</v>
      </c>
      <c r="L490">
        <v>1</v>
      </c>
      <c r="M490">
        <v>0</v>
      </c>
      <c r="N490">
        <v>1</v>
      </c>
      <c r="O490">
        <v>0</v>
      </c>
      <c r="P490">
        <v>4</v>
      </c>
      <c r="Q490">
        <v>0</v>
      </c>
      <c r="R490">
        <v>1</v>
      </c>
      <c r="S490">
        <v>35</v>
      </c>
      <c r="T490">
        <v>5.7</v>
      </c>
      <c r="U490">
        <v>71</v>
      </c>
      <c r="V490" s="19" t="s">
        <v>2543</v>
      </c>
      <c r="W490" s="19" t="s">
        <v>1060</v>
      </c>
      <c r="X490">
        <v>125</v>
      </c>
      <c r="Y490">
        <v>121</v>
      </c>
      <c r="Z490">
        <v>50.8</v>
      </c>
      <c r="AA490">
        <v>22</v>
      </c>
      <c r="AB490">
        <v>40</v>
      </c>
      <c r="AC490">
        <v>10</v>
      </c>
      <c r="AD490">
        <v>11</v>
      </c>
      <c r="AE490" s="19" t="s">
        <v>60</v>
      </c>
    </row>
    <row r="491" spans="1:31" x14ac:dyDescent="0.2">
      <c r="A491">
        <v>476</v>
      </c>
      <c r="B491" s="19" t="s">
        <v>992</v>
      </c>
      <c r="C491">
        <v>25</v>
      </c>
      <c r="D491" s="19" t="s">
        <v>333</v>
      </c>
      <c r="E491" s="19" t="s">
        <v>322</v>
      </c>
      <c r="F491">
        <v>31</v>
      </c>
      <c r="G491">
        <v>3</v>
      </c>
      <c r="H491">
        <v>4</v>
      </c>
      <c r="I491">
        <v>7</v>
      </c>
      <c r="J491">
        <v>6</v>
      </c>
      <c r="K491">
        <v>6</v>
      </c>
      <c r="L491">
        <v>2</v>
      </c>
      <c r="M491">
        <v>0</v>
      </c>
      <c r="N491">
        <v>1</v>
      </c>
      <c r="O491">
        <v>1</v>
      </c>
      <c r="P491">
        <v>4</v>
      </c>
      <c r="Q491">
        <v>0</v>
      </c>
      <c r="R491">
        <v>0</v>
      </c>
      <c r="S491">
        <v>18</v>
      </c>
      <c r="T491">
        <v>16.7</v>
      </c>
      <c r="U491">
        <v>35</v>
      </c>
      <c r="V491" s="19" t="s">
        <v>2544</v>
      </c>
      <c r="W491" s="19" t="s">
        <v>1184</v>
      </c>
      <c r="X491">
        <v>8</v>
      </c>
      <c r="Y491">
        <v>12</v>
      </c>
      <c r="Z491">
        <v>40</v>
      </c>
      <c r="AA491">
        <v>18</v>
      </c>
      <c r="AB491">
        <v>14</v>
      </c>
      <c r="AC491">
        <v>6</v>
      </c>
      <c r="AD491">
        <v>18</v>
      </c>
      <c r="AE491" s="19" t="s">
        <v>60</v>
      </c>
    </row>
    <row r="492" spans="1:31" x14ac:dyDescent="0.2">
      <c r="A492">
        <v>477</v>
      </c>
      <c r="B492" s="19" t="s">
        <v>879</v>
      </c>
      <c r="C492">
        <v>25</v>
      </c>
      <c r="D492" s="19" t="s">
        <v>439</v>
      </c>
      <c r="E492" s="19" t="s">
        <v>348</v>
      </c>
      <c r="F492">
        <v>39</v>
      </c>
      <c r="G492">
        <v>3</v>
      </c>
      <c r="H492">
        <v>4</v>
      </c>
      <c r="I492">
        <v>7</v>
      </c>
      <c r="J492">
        <v>11</v>
      </c>
      <c r="K492">
        <v>29</v>
      </c>
      <c r="L492">
        <v>3</v>
      </c>
      <c r="M492">
        <v>0</v>
      </c>
      <c r="N492">
        <v>0</v>
      </c>
      <c r="O492">
        <v>2</v>
      </c>
      <c r="P492">
        <v>4</v>
      </c>
      <c r="Q492">
        <v>0</v>
      </c>
      <c r="R492">
        <v>0</v>
      </c>
      <c r="S492">
        <v>31</v>
      </c>
      <c r="T492">
        <v>9.6999999999999993</v>
      </c>
      <c r="U492">
        <v>74</v>
      </c>
      <c r="V492" s="19" t="s">
        <v>2545</v>
      </c>
      <c r="W492" s="19" t="s">
        <v>2546</v>
      </c>
      <c r="X492">
        <v>0</v>
      </c>
      <c r="Y492">
        <v>0</v>
      </c>
      <c r="AA492">
        <v>55</v>
      </c>
      <c r="AB492">
        <v>52</v>
      </c>
      <c r="AC492">
        <v>27</v>
      </c>
      <c r="AD492">
        <v>47</v>
      </c>
      <c r="AE492" s="19" t="s">
        <v>60</v>
      </c>
    </row>
    <row r="493" spans="1:31" x14ac:dyDescent="0.2">
      <c r="A493">
        <v>478</v>
      </c>
      <c r="B493" s="19" t="s">
        <v>932</v>
      </c>
      <c r="C493">
        <v>29</v>
      </c>
      <c r="D493" s="19" t="s">
        <v>372</v>
      </c>
      <c r="E493" s="19" t="s">
        <v>348</v>
      </c>
      <c r="F493">
        <v>30</v>
      </c>
      <c r="G493">
        <v>1</v>
      </c>
      <c r="H493">
        <v>6</v>
      </c>
      <c r="I493">
        <v>7</v>
      </c>
      <c r="J493">
        <v>3</v>
      </c>
      <c r="K493">
        <v>16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26</v>
      </c>
      <c r="T493">
        <v>3.8</v>
      </c>
      <c r="U493">
        <v>60</v>
      </c>
      <c r="V493" s="19" t="s">
        <v>2547</v>
      </c>
      <c r="W493" s="19" t="s">
        <v>655</v>
      </c>
      <c r="X493">
        <v>0</v>
      </c>
      <c r="Y493">
        <v>0</v>
      </c>
      <c r="AA493">
        <v>20</v>
      </c>
      <c r="AB493">
        <v>42</v>
      </c>
      <c r="AC493">
        <v>13</v>
      </c>
      <c r="AD493">
        <v>12</v>
      </c>
      <c r="AE493" s="19" t="s">
        <v>60</v>
      </c>
    </row>
    <row r="494" spans="1:31" x14ac:dyDescent="0.2">
      <c r="A494">
        <v>479</v>
      </c>
      <c r="B494" s="19" t="s">
        <v>882</v>
      </c>
      <c r="C494">
        <v>32</v>
      </c>
      <c r="D494" s="19" t="s">
        <v>333</v>
      </c>
      <c r="E494" s="19" t="s">
        <v>322</v>
      </c>
      <c r="F494">
        <v>37</v>
      </c>
      <c r="G494">
        <v>2</v>
      </c>
      <c r="H494">
        <v>5</v>
      </c>
      <c r="I494">
        <v>7</v>
      </c>
      <c r="J494">
        <v>-1</v>
      </c>
      <c r="K494">
        <v>14</v>
      </c>
      <c r="L494">
        <v>2</v>
      </c>
      <c r="M494">
        <v>0</v>
      </c>
      <c r="N494">
        <v>0</v>
      </c>
      <c r="O494">
        <v>1</v>
      </c>
      <c r="P494">
        <v>5</v>
      </c>
      <c r="Q494">
        <v>0</v>
      </c>
      <c r="R494">
        <v>0</v>
      </c>
      <c r="S494">
        <v>30</v>
      </c>
      <c r="T494">
        <v>6.7</v>
      </c>
      <c r="U494">
        <v>66</v>
      </c>
      <c r="V494" s="19" t="s">
        <v>2548</v>
      </c>
      <c r="W494" s="19" t="s">
        <v>1084</v>
      </c>
      <c r="X494">
        <v>63</v>
      </c>
      <c r="Y494">
        <v>93</v>
      </c>
      <c r="Z494">
        <v>40.4</v>
      </c>
      <c r="AA494">
        <v>18</v>
      </c>
      <c r="AB494">
        <v>56</v>
      </c>
      <c r="AC494">
        <v>4</v>
      </c>
      <c r="AD494">
        <v>19</v>
      </c>
      <c r="AE494" s="19" t="s">
        <v>60</v>
      </c>
    </row>
    <row r="495" spans="1:31" x14ac:dyDescent="0.2">
      <c r="A495">
        <v>480</v>
      </c>
      <c r="B495" s="19" t="s">
        <v>883</v>
      </c>
      <c r="C495">
        <v>27</v>
      </c>
      <c r="D495" s="19" t="s">
        <v>372</v>
      </c>
      <c r="E495" s="19" t="s">
        <v>322</v>
      </c>
      <c r="F495">
        <v>39</v>
      </c>
      <c r="G495">
        <v>3</v>
      </c>
      <c r="H495">
        <v>4</v>
      </c>
      <c r="I495">
        <v>7</v>
      </c>
      <c r="J495">
        <v>-3</v>
      </c>
      <c r="K495">
        <v>10</v>
      </c>
      <c r="L495">
        <v>3</v>
      </c>
      <c r="M495">
        <v>0</v>
      </c>
      <c r="N495">
        <v>0</v>
      </c>
      <c r="O495">
        <v>1</v>
      </c>
      <c r="P495">
        <v>4</v>
      </c>
      <c r="Q495">
        <v>0</v>
      </c>
      <c r="R495">
        <v>0</v>
      </c>
      <c r="S495">
        <v>35</v>
      </c>
      <c r="T495">
        <v>8.6</v>
      </c>
      <c r="U495">
        <v>67</v>
      </c>
      <c r="V495" s="19" t="s">
        <v>2549</v>
      </c>
      <c r="W495" s="19" t="s">
        <v>962</v>
      </c>
      <c r="X495">
        <v>20</v>
      </c>
      <c r="Y495">
        <v>44</v>
      </c>
      <c r="Z495">
        <v>31.3</v>
      </c>
      <c r="AA495">
        <v>19</v>
      </c>
      <c r="AB495">
        <v>83</v>
      </c>
      <c r="AC495">
        <v>1</v>
      </c>
      <c r="AD495">
        <v>28</v>
      </c>
      <c r="AE495" s="19" t="s">
        <v>60</v>
      </c>
    </row>
    <row r="496" spans="1:31" x14ac:dyDescent="0.2">
      <c r="A496">
        <v>481</v>
      </c>
      <c r="B496" s="19" t="s">
        <v>884</v>
      </c>
      <c r="C496">
        <v>33</v>
      </c>
      <c r="D496" s="19" t="s">
        <v>361</v>
      </c>
      <c r="E496" s="19" t="s">
        <v>322</v>
      </c>
      <c r="F496">
        <v>42</v>
      </c>
      <c r="G496">
        <v>1</v>
      </c>
      <c r="H496">
        <v>6</v>
      </c>
      <c r="I496">
        <v>7</v>
      </c>
      <c r="J496">
        <v>3</v>
      </c>
      <c r="K496">
        <v>35</v>
      </c>
      <c r="L496">
        <v>1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46</v>
      </c>
      <c r="T496">
        <v>2.2000000000000002</v>
      </c>
      <c r="U496">
        <v>87</v>
      </c>
      <c r="V496" s="19" t="s">
        <v>2550</v>
      </c>
      <c r="W496" s="19" t="s">
        <v>1027</v>
      </c>
      <c r="X496">
        <v>150</v>
      </c>
      <c r="Y496">
        <v>132</v>
      </c>
      <c r="Z496">
        <v>53.2</v>
      </c>
      <c r="AA496">
        <v>22</v>
      </c>
      <c r="AB496">
        <v>57</v>
      </c>
      <c r="AC496">
        <v>9</v>
      </c>
      <c r="AD496">
        <v>16</v>
      </c>
      <c r="AE496" s="19" t="s">
        <v>60</v>
      </c>
    </row>
    <row r="497" spans="1:31" x14ac:dyDescent="0.2">
      <c r="A497">
        <v>482</v>
      </c>
      <c r="B497" s="19" t="s">
        <v>886</v>
      </c>
      <c r="C497">
        <v>32</v>
      </c>
      <c r="D497" s="19" t="s">
        <v>421</v>
      </c>
      <c r="E497" s="19" t="s">
        <v>348</v>
      </c>
      <c r="F497">
        <v>39</v>
      </c>
      <c r="G497">
        <v>1</v>
      </c>
      <c r="H497">
        <v>6</v>
      </c>
      <c r="I497">
        <v>7</v>
      </c>
      <c r="J497">
        <v>-2</v>
      </c>
      <c r="K497">
        <v>8</v>
      </c>
      <c r="L497">
        <v>1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1</v>
      </c>
      <c r="S497">
        <v>32</v>
      </c>
      <c r="T497">
        <v>3.1</v>
      </c>
      <c r="U497">
        <v>97</v>
      </c>
      <c r="V497" s="19" t="s">
        <v>2551</v>
      </c>
      <c r="W497" s="19" t="s">
        <v>1546</v>
      </c>
      <c r="X497">
        <v>0</v>
      </c>
      <c r="Y497">
        <v>0</v>
      </c>
      <c r="AA497">
        <v>49</v>
      </c>
      <c r="AB497">
        <v>19</v>
      </c>
      <c r="AC497">
        <v>8</v>
      </c>
      <c r="AD497">
        <v>33</v>
      </c>
      <c r="AE497" s="19" t="s">
        <v>60</v>
      </c>
    </row>
    <row r="498" spans="1:31" x14ac:dyDescent="0.2">
      <c r="A498">
        <v>483</v>
      </c>
      <c r="B498" s="19" t="s">
        <v>1000</v>
      </c>
      <c r="C498">
        <v>29</v>
      </c>
      <c r="D498" s="19" t="s">
        <v>398</v>
      </c>
      <c r="E498" s="19" t="s">
        <v>348</v>
      </c>
      <c r="F498">
        <v>33</v>
      </c>
      <c r="G498">
        <v>0</v>
      </c>
      <c r="H498">
        <v>7</v>
      </c>
      <c r="I498">
        <v>7</v>
      </c>
      <c r="J498">
        <v>6</v>
      </c>
      <c r="K498">
        <v>12</v>
      </c>
      <c r="L498">
        <v>0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44</v>
      </c>
      <c r="T498">
        <v>0</v>
      </c>
      <c r="U498">
        <v>123</v>
      </c>
      <c r="V498" s="19" t="s">
        <v>2552</v>
      </c>
      <c r="W498" s="19" t="s">
        <v>2553</v>
      </c>
      <c r="X498">
        <v>0</v>
      </c>
      <c r="Y498">
        <v>0</v>
      </c>
      <c r="AA498">
        <v>35</v>
      </c>
      <c r="AB498">
        <v>17</v>
      </c>
      <c r="AC498">
        <v>14</v>
      </c>
      <c r="AD498">
        <v>29</v>
      </c>
      <c r="AE498" s="19" t="s">
        <v>60</v>
      </c>
    </row>
    <row r="499" spans="1:31" x14ac:dyDescent="0.2">
      <c r="A499">
        <v>484</v>
      </c>
      <c r="B499" s="19" t="s">
        <v>889</v>
      </c>
      <c r="C499">
        <v>23</v>
      </c>
      <c r="D499" s="19" t="s">
        <v>329</v>
      </c>
      <c r="E499" s="19" t="s">
        <v>322</v>
      </c>
      <c r="F499">
        <v>40</v>
      </c>
      <c r="G499">
        <v>3</v>
      </c>
      <c r="H499">
        <v>4</v>
      </c>
      <c r="I499">
        <v>7</v>
      </c>
      <c r="J499">
        <v>-15</v>
      </c>
      <c r="K499">
        <v>45</v>
      </c>
      <c r="L499">
        <v>2</v>
      </c>
      <c r="M499">
        <v>1</v>
      </c>
      <c r="N499">
        <v>0</v>
      </c>
      <c r="O499">
        <v>1</v>
      </c>
      <c r="P499">
        <v>3</v>
      </c>
      <c r="Q499">
        <v>1</v>
      </c>
      <c r="R499">
        <v>0</v>
      </c>
      <c r="S499">
        <v>43</v>
      </c>
      <c r="T499">
        <v>7</v>
      </c>
      <c r="U499">
        <v>88</v>
      </c>
      <c r="V499" s="19" t="s">
        <v>2554</v>
      </c>
      <c r="W499" s="19" t="s">
        <v>986</v>
      </c>
      <c r="X499">
        <v>26</v>
      </c>
      <c r="Y499">
        <v>43</v>
      </c>
      <c r="Z499">
        <v>37.700000000000003</v>
      </c>
      <c r="AA499">
        <v>22</v>
      </c>
      <c r="AB499">
        <v>145</v>
      </c>
      <c r="AC499">
        <v>12</v>
      </c>
      <c r="AD499">
        <v>22</v>
      </c>
      <c r="AE499" s="19" t="s">
        <v>60</v>
      </c>
    </row>
    <row r="500" spans="1:31" x14ac:dyDescent="0.2">
      <c r="A500">
        <v>485</v>
      </c>
      <c r="B500" s="19" t="s">
        <v>837</v>
      </c>
      <c r="C500">
        <v>25</v>
      </c>
      <c r="D500" s="19" t="s">
        <v>363</v>
      </c>
      <c r="E500" s="19" t="s">
        <v>322</v>
      </c>
      <c r="F500">
        <v>15</v>
      </c>
      <c r="G500">
        <v>5</v>
      </c>
      <c r="H500">
        <v>2</v>
      </c>
      <c r="I500">
        <v>7</v>
      </c>
      <c r="J500">
        <v>-2</v>
      </c>
      <c r="K500">
        <v>16</v>
      </c>
      <c r="L500">
        <v>5</v>
      </c>
      <c r="M500">
        <v>0</v>
      </c>
      <c r="N500">
        <v>0</v>
      </c>
      <c r="O500">
        <v>0</v>
      </c>
      <c r="P500">
        <v>1</v>
      </c>
      <c r="Q500">
        <v>1</v>
      </c>
      <c r="R500">
        <v>0</v>
      </c>
      <c r="S500">
        <v>22</v>
      </c>
      <c r="T500">
        <v>22.7</v>
      </c>
      <c r="U500">
        <v>44</v>
      </c>
      <c r="V500" s="19" t="s">
        <v>838</v>
      </c>
      <c r="W500" s="19" t="s">
        <v>839</v>
      </c>
      <c r="X500">
        <v>46</v>
      </c>
      <c r="Y500">
        <v>61</v>
      </c>
      <c r="Z500">
        <v>43</v>
      </c>
      <c r="AA500">
        <v>15</v>
      </c>
      <c r="AB500">
        <v>21</v>
      </c>
      <c r="AC500">
        <v>8</v>
      </c>
      <c r="AD500">
        <v>8</v>
      </c>
      <c r="AE500" s="19" t="s">
        <v>60</v>
      </c>
    </row>
    <row r="501" spans="1:31" x14ac:dyDescent="0.2">
      <c r="A501">
        <v>486</v>
      </c>
      <c r="B501" s="19" t="s">
        <v>938</v>
      </c>
      <c r="C501">
        <v>21</v>
      </c>
      <c r="D501" s="19" t="s">
        <v>370</v>
      </c>
      <c r="E501" s="19" t="s">
        <v>322</v>
      </c>
      <c r="F501">
        <v>27</v>
      </c>
      <c r="G501">
        <v>2</v>
      </c>
      <c r="H501">
        <v>5</v>
      </c>
      <c r="I501">
        <v>7</v>
      </c>
      <c r="J501">
        <v>-6</v>
      </c>
      <c r="K501">
        <v>4</v>
      </c>
      <c r="L501">
        <v>2</v>
      </c>
      <c r="M501">
        <v>0</v>
      </c>
      <c r="N501">
        <v>0</v>
      </c>
      <c r="O501">
        <v>0</v>
      </c>
      <c r="P501">
        <v>2</v>
      </c>
      <c r="Q501">
        <v>3</v>
      </c>
      <c r="R501">
        <v>0</v>
      </c>
      <c r="S501">
        <v>31</v>
      </c>
      <c r="T501">
        <v>6.5</v>
      </c>
      <c r="U501">
        <v>58</v>
      </c>
      <c r="V501" s="19" t="s">
        <v>2555</v>
      </c>
      <c r="W501" s="19" t="s">
        <v>718</v>
      </c>
      <c r="X501">
        <v>54</v>
      </c>
      <c r="Y501">
        <v>89</v>
      </c>
      <c r="Z501">
        <v>37.799999999999997</v>
      </c>
      <c r="AA501">
        <v>9</v>
      </c>
      <c r="AB501">
        <v>8</v>
      </c>
      <c r="AC501">
        <v>8</v>
      </c>
      <c r="AD501">
        <v>17</v>
      </c>
      <c r="AE501" s="19" t="s">
        <v>60</v>
      </c>
    </row>
    <row r="502" spans="1:31" x14ac:dyDescent="0.2">
      <c r="A502">
        <v>487</v>
      </c>
      <c r="B502" s="19" t="s">
        <v>1146</v>
      </c>
      <c r="C502">
        <v>35</v>
      </c>
      <c r="D502" s="19" t="s">
        <v>333</v>
      </c>
      <c r="E502" s="19" t="s">
        <v>322</v>
      </c>
      <c r="F502">
        <v>16</v>
      </c>
      <c r="G502">
        <v>3</v>
      </c>
      <c r="H502">
        <v>4</v>
      </c>
      <c r="I502">
        <v>7</v>
      </c>
      <c r="J502">
        <v>-2</v>
      </c>
      <c r="K502">
        <v>2</v>
      </c>
      <c r="L502">
        <v>2</v>
      </c>
      <c r="M502">
        <v>1</v>
      </c>
      <c r="N502">
        <v>0</v>
      </c>
      <c r="O502">
        <v>1</v>
      </c>
      <c r="P502">
        <v>4</v>
      </c>
      <c r="Q502">
        <v>0</v>
      </c>
      <c r="R502">
        <v>0</v>
      </c>
      <c r="S502">
        <v>20</v>
      </c>
      <c r="T502">
        <v>15</v>
      </c>
      <c r="U502">
        <v>42</v>
      </c>
      <c r="V502" s="19" t="s">
        <v>2556</v>
      </c>
      <c r="W502" s="19" t="s">
        <v>2557</v>
      </c>
      <c r="X502">
        <v>53</v>
      </c>
      <c r="Y502">
        <v>49</v>
      </c>
      <c r="Z502">
        <v>52</v>
      </c>
      <c r="AA502">
        <v>9</v>
      </c>
      <c r="AB502">
        <v>5</v>
      </c>
      <c r="AC502">
        <v>4</v>
      </c>
      <c r="AD502">
        <v>12</v>
      </c>
      <c r="AE502" s="19" t="s">
        <v>60</v>
      </c>
    </row>
    <row r="503" spans="1:31" x14ac:dyDescent="0.2">
      <c r="A503">
        <v>488</v>
      </c>
      <c r="B503" s="19" t="s">
        <v>894</v>
      </c>
      <c r="C503">
        <v>25</v>
      </c>
      <c r="D503" s="19" t="s">
        <v>327</v>
      </c>
      <c r="E503" s="19" t="s">
        <v>348</v>
      </c>
      <c r="F503">
        <v>36</v>
      </c>
      <c r="G503">
        <v>1</v>
      </c>
      <c r="H503">
        <v>6</v>
      </c>
      <c r="I503">
        <v>7</v>
      </c>
      <c r="J503">
        <v>4</v>
      </c>
      <c r="K503">
        <v>10</v>
      </c>
      <c r="L503">
        <v>1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23</v>
      </c>
      <c r="T503">
        <v>4.3</v>
      </c>
      <c r="U503">
        <v>60</v>
      </c>
      <c r="V503" s="19" t="s">
        <v>2558</v>
      </c>
      <c r="W503" s="19" t="s">
        <v>1777</v>
      </c>
      <c r="X503">
        <v>0</v>
      </c>
      <c r="Y503">
        <v>0</v>
      </c>
      <c r="AA503">
        <v>64</v>
      </c>
      <c r="AB503">
        <v>52</v>
      </c>
      <c r="AC503">
        <v>8</v>
      </c>
      <c r="AD503">
        <v>26</v>
      </c>
      <c r="AE503" s="19" t="s">
        <v>60</v>
      </c>
    </row>
    <row r="504" spans="1:31" x14ac:dyDescent="0.2">
      <c r="A504">
        <v>489</v>
      </c>
      <c r="B504" s="19" t="s">
        <v>897</v>
      </c>
      <c r="C504">
        <v>38</v>
      </c>
      <c r="D504" s="19" t="s">
        <v>329</v>
      </c>
      <c r="E504" s="19" t="s">
        <v>339</v>
      </c>
      <c r="F504">
        <v>18</v>
      </c>
      <c r="G504">
        <v>1</v>
      </c>
      <c r="H504">
        <v>6</v>
      </c>
      <c r="I504">
        <v>7</v>
      </c>
      <c r="J504">
        <v>0</v>
      </c>
      <c r="K504">
        <v>18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1</v>
      </c>
      <c r="R504">
        <v>1</v>
      </c>
      <c r="S504">
        <v>22</v>
      </c>
      <c r="T504">
        <v>4.5</v>
      </c>
      <c r="U504">
        <v>36</v>
      </c>
      <c r="V504" s="19" t="s">
        <v>2559</v>
      </c>
      <c r="W504" s="19" t="s">
        <v>1842</v>
      </c>
      <c r="X504">
        <v>91</v>
      </c>
      <c r="Y504">
        <v>91</v>
      </c>
      <c r="Z504">
        <v>50</v>
      </c>
      <c r="AA504">
        <v>15</v>
      </c>
      <c r="AB504">
        <v>46</v>
      </c>
      <c r="AC504">
        <v>1</v>
      </c>
      <c r="AD504">
        <v>9</v>
      </c>
      <c r="AE504" s="19" t="s">
        <v>60</v>
      </c>
    </row>
    <row r="505" spans="1:31" x14ac:dyDescent="0.2">
      <c r="A505">
        <v>490</v>
      </c>
      <c r="B505" s="19" t="s">
        <v>898</v>
      </c>
      <c r="C505">
        <v>32</v>
      </c>
      <c r="D505" s="19" t="s">
        <v>351</v>
      </c>
      <c r="E505" s="19" t="s">
        <v>322</v>
      </c>
      <c r="F505">
        <v>33</v>
      </c>
      <c r="G505">
        <v>5</v>
      </c>
      <c r="H505">
        <v>2</v>
      </c>
      <c r="I505">
        <v>7</v>
      </c>
      <c r="J505">
        <v>-1</v>
      </c>
      <c r="K505">
        <v>12</v>
      </c>
      <c r="L505">
        <v>5</v>
      </c>
      <c r="M505">
        <v>0</v>
      </c>
      <c r="N505">
        <v>0</v>
      </c>
      <c r="O505">
        <v>0</v>
      </c>
      <c r="P505">
        <v>2</v>
      </c>
      <c r="Q505">
        <v>0</v>
      </c>
      <c r="R505">
        <v>0</v>
      </c>
      <c r="S505">
        <v>46</v>
      </c>
      <c r="T505">
        <v>10.9</v>
      </c>
      <c r="U505">
        <v>79</v>
      </c>
      <c r="V505" s="19" t="s">
        <v>2560</v>
      </c>
      <c r="W505" s="19" t="s">
        <v>553</v>
      </c>
      <c r="X505">
        <v>36</v>
      </c>
      <c r="Y505">
        <v>61</v>
      </c>
      <c r="Z505">
        <v>37.1</v>
      </c>
      <c r="AA505">
        <v>21</v>
      </c>
      <c r="AB505">
        <v>96</v>
      </c>
      <c r="AC505">
        <v>2</v>
      </c>
      <c r="AD505">
        <v>18</v>
      </c>
      <c r="AE505" s="19" t="s">
        <v>60</v>
      </c>
    </row>
    <row r="506" spans="1:31" x14ac:dyDescent="0.2">
      <c r="A506">
        <v>491</v>
      </c>
      <c r="B506" s="19" t="s">
        <v>944</v>
      </c>
      <c r="C506">
        <v>23</v>
      </c>
      <c r="D506" s="19" t="s">
        <v>351</v>
      </c>
      <c r="E506" s="19" t="s">
        <v>322</v>
      </c>
      <c r="F506">
        <v>25</v>
      </c>
      <c r="G506">
        <v>2</v>
      </c>
      <c r="H506">
        <v>5</v>
      </c>
      <c r="I506">
        <v>7</v>
      </c>
      <c r="J506">
        <v>-2</v>
      </c>
      <c r="K506">
        <v>4</v>
      </c>
      <c r="L506">
        <v>2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0</v>
      </c>
      <c r="S506">
        <v>25</v>
      </c>
      <c r="T506">
        <v>8</v>
      </c>
      <c r="U506">
        <v>62</v>
      </c>
      <c r="V506" s="19" t="s">
        <v>2561</v>
      </c>
      <c r="W506" s="19" t="s">
        <v>820</v>
      </c>
      <c r="X506">
        <v>66</v>
      </c>
      <c r="Y506">
        <v>78</v>
      </c>
      <c r="Z506">
        <v>45.8</v>
      </c>
      <c r="AA506">
        <v>11</v>
      </c>
      <c r="AB506">
        <v>36</v>
      </c>
      <c r="AC506">
        <v>6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1024</v>
      </c>
      <c r="C507">
        <v>27</v>
      </c>
      <c r="D507" s="19" t="s">
        <v>464</v>
      </c>
      <c r="E507" s="19" t="s">
        <v>322</v>
      </c>
      <c r="F507">
        <v>30</v>
      </c>
      <c r="G507">
        <v>3</v>
      </c>
      <c r="H507">
        <v>4</v>
      </c>
      <c r="I507">
        <v>7</v>
      </c>
      <c r="J507">
        <v>-8</v>
      </c>
      <c r="K507">
        <v>12</v>
      </c>
      <c r="L507">
        <v>3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31</v>
      </c>
      <c r="T507">
        <v>9.6999999999999993</v>
      </c>
      <c r="U507">
        <v>55</v>
      </c>
      <c r="V507" s="19" t="s">
        <v>2562</v>
      </c>
      <c r="W507" s="19" t="s">
        <v>1812</v>
      </c>
      <c r="X507">
        <v>16</v>
      </c>
      <c r="Y507">
        <v>21</v>
      </c>
      <c r="Z507">
        <v>43.2</v>
      </c>
      <c r="AA507">
        <v>8</v>
      </c>
      <c r="AB507">
        <v>38</v>
      </c>
      <c r="AC507">
        <v>9</v>
      </c>
      <c r="AD507">
        <v>10</v>
      </c>
      <c r="AE507" s="19" t="s">
        <v>60</v>
      </c>
    </row>
    <row r="508" spans="1:31" x14ac:dyDescent="0.2">
      <c r="A508">
        <v>493</v>
      </c>
      <c r="B508" s="19" t="s">
        <v>848</v>
      </c>
      <c r="C508">
        <v>33</v>
      </c>
      <c r="D508" s="19" t="s">
        <v>343</v>
      </c>
      <c r="E508" s="19" t="s">
        <v>322</v>
      </c>
      <c r="F508">
        <v>14</v>
      </c>
      <c r="G508">
        <v>4</v>
      </c>
      <c r="H508">
        <v>3</v>
      </c>
      <c r="I508">
        <v>7</v>
      </c>
      <c r="J508">
        <v>-1</v>
      </c>
      <c r="K508">
        <v>4</v>
      </c>
      <c r="L508">
        <v>2</v>
      </c>
      <c r="M508">
        <v>1</v>
      </c>
      <c r="N508">
        <v>1</v>
      </c>
      <c r="O508">
        <v>1</v>
      </c>
      <c r="P508">
        <v>3</v>
      </c>
      <c r="Q508">
        <v>0</v>
      </c>
      <c r="R508">
        <v>0</v>
      </c>
      <c r="S508">
        <v>30</v>
      </c>
      <c r="T508">
        <v>13.3</v>
      </c>
      <c r="U508">
        <v>48</v>
      </c>
      <c r="V508" s="19" t="s">
        <v>849</v>
      </c>
      <c r="W508" s="19" t="s">
        <v>712</v>
      </c>
      <c r="X508">
        <v>91</v>
      </c>
      <c r="Y508">
        <v>67</v>
      </c>
      <c r="Z508">
        <v>57.6</v>
      </c>
      <c r="AA508">
        <v>13</v>
      </c>
      <c r="AB508">
        <v>3</v>
      </c>
      <c r="AC508">
        <v>3</v>
      </c>
      <c r="AD508">
        <v>11</v>
      </c>
      <c r="AE508" s="19" t="s">
        <v>60</v>
      </c>
    </row>
    <row r="509" spans="1:31" x14ac:dyDescent="0.2">
      <c r="A509">
        <v>494</v>
      </c>
      <c r="B509" s="19" t="s">
        <v>1103</v>
      </c>
      <c r="C509">
        <v>23</v>
      </c>
      <c r="D509" s="19" t="s">
        <v>439</v>
      </c>
      <c r="E509" s="19" t="s">
        <v>348</v>
      </c>
      <c r="F509">
        <v>26</v>
      </c>
      <c r="G509">
        <v>2</v>
      </c>
      <c r="H509">
        <v>5</v>
      </c>
      <c r="I509">
        <v>7</v>
      </c>
      <c r="J509">
        <v>2</v>
      </c>
      <c r="K509">
        <v>18</v>
      </c>
      <c r="L509">
        <v>2</v>
      </c>
      <c r="M509">
        <v>0</v>
      </c>
      <c r="N509">
        <v>0</v>
      </c>
      <c r="O509">
        <v>1</v>
      </c>
      <c r="P509">
        <v>4</v>
      </c>
      <c r="Q509">
        <v>0</v>
      </c>
      <c r="R509">
        <v>1</v>
      </c>
      <c r="S509">
        <v>22</v>
      </c>
      <c r="T509">
        <v>9.1</v>
      </c>
      <c r="U509">
        <v>58</v>
      </c>
      <c r="V509" s="19" t="s">
        <v>2563</v>
      </c>
      <c r="W509" s="19" t="s">
        <v>1766</v>
      </c>
      <c r="X509">
        <v>0</v>
      </c>
      <c r="Y509">
        <v>0</v>
      </c>
      <c r="AA509">
        <v>39</v>
      </c>
      <c r="AB509">
        <v>40</v>
      </c>
      <c r="AC509">
        <v>4</v>
      </c>
      <c r="AD509">
        <v>22</v>
      </c>
      <c r="AE509" s="19" t="s">
        <v>60</v>
      </c>
    </row>
    <row r="510" spans="1:31" x14ac:dyDescent="0.2">
      <c r="A510">
        <v>495</v>
      </c>
      <c r="B510" s="19" t="s">
        <v>1107</v>
      </c>
      <c r="C510">
        <v>32</v>
      </c>
      <c r="D510" s="19" t="s">
        <v>345</v>
      </c>
      <c r="E510" s="19" t="s">
        <v>339</v>
      </c>
      <c r="F510">
        <v>27</v>
      </c>
      <c r="G510">
        <v>2</v>
      </c>
      <c r="H510">
        <v>5</v>
      </c>
      <c r="I510">
        <v>7</v>
      </c>
      <c r="J510">
        <v>1</v>
      </c>
      <c r="K510">
        <v>10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28</v>
      </c>
      <c r="T510">
        <v>7.1</v>
      </c>
      <c r="U510">
        <v>65</v>
      </c>
      <c r="V510" s="19" t="s">
        <v>2564</v>
      </c>
      <c r="W510" s="19" t="s">
        <v>910</v>
      </c>
      <c r="X510">
        <v>167</v>
      </c>
      <c r="Y510">
        <v>156</v>
      </c>
      <c r="Z510">
        <v>51.7</v>
      </c>
      <c r="AA510">
        <v>24</v>
      </c>
      <c r="AB510">
        <v>60</v>
      </c>
      <c r="AC510">
        <v>3</v>
      </c>
      <c r="AD510">
        <v>17</v>
      </c>
      <c r="AE510" s="19" t="s">
        <v>60</v>
      </c>
    </row>
    <row r="511" spans="1:31" x14ac:dyDescent="0.2">
      <c r="A511">
        <v>496</v>
      </c>
      <c r="B511" s="19" t="s">
        <v>959</v>
      </c>
      <c r="C511">
        <v>31</v>
      </c>
      <c r="D511" s="19" t="s">
        <v>333</v>
      </c>
      <c r="E511" s="19" t="s">
        <v>348</v>
      </c>
      <c r="F511">
        <v>29</v>
      </c>
      <c r="G511">
        <v>1</v>
      </c>
      <c r="H511">
        <v>6</v>
      </c>
      <c r="I511">
        <v>7</v>
      </c>
      <c r="J511">
        <v>2</v>
      </c>
      <c r="K511">
        <v>23</v>
      </c>
      <c r="L511">
        <v>1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18</v>
      </c>
      <c r="T511">
        <v>5.6</v>
      </c>
      <c r="U511">
        <v>37</v>
      </c>
      <c r="V511" s="19" t="s">
        <v>2565</v>
      </c>
      <c r="W511" s="19" t="s">
        <v>636</v>
      </c>
      <c r="X511">
        <v>0</v>
      </c>
      <c r="Y511">
        <v>0</v>
      </c>
      <c r="AA511">
        <v>54</v>
      </c>
      <c r="AB511">
        <v>45</v>
      </c>
      <c r="AC511">
        <v>5</v>
      </c>
      <c r="AD511">
        <v>27</v>
      </c>
      <c r="AE511" s="19" t="s">
        <v>60</v>
      </c>
    </row>
    <row r="512" spans="1:31" x14ac:dyDescent="0.2">
      <c r="A512">
        <v>497</v>
      </c>
      <c r="B512" s="19" t="s">
        <v>963</v>
      </c>
      <c r="C512">
        <v>30</v>
      </c>
      <c r="D512" s="19" t="s">
        <v>464</v>
      </c>
      <c r="E512" s="19" t="s">
        <v>334</v>
      </c>
      <c r="F512">
        <v>39</v>
      </c>
      <c r="G512">
        <v>1</v>
      </c>
      <c r="H512">
        <v>6</v>
      </c>
      <c r="I512">
        <v>7</v>
      </c>
      <c r="J512">
        <v>-9</v>
      </c>
      <c r="K512">
        <v>42</v>
      </c>
      <c r="L512">
        <v>1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52</v>
      </c>
      <c r="T512">
        <v>1.9</v>
      </c>
      <c r="U512">
        <v>96</v>
      </c>
      <c r="V512" s="19" t="s">
        <v>2566</v>
      </c>
      <c r="W512" s="19" t="s">
        <v>2567</v>
      </c>
      <c r="X512">
        <v>297</v>
      </c>
      <c r="Y512">
        <v>258</v>
      </c>
      <c r="Z512">
        <v>53.5</v>
      </c>
      <c r="AA512">
        <v>38</v>
      </c>
      <c r="AB512">
        <v>109</v>
      </c>
      <c r="AC512">
        <v>10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916</v>
      </c>
      <c r="C513">
        <v>29</v>
      </c>
      <c r="D513" s="19" t="s">
        <v>366</v>
      </c>
      <c r="E513" s="19" t="s">
        <v>339</v>
      </c>
      <c r="F513">
        <v>23</v>
      </c>
      <c r="G513">
        <v>4</v>
      </c>
      <c r="H513">
        <v>3</v>
      </c>
      <c r="I513">
        <v>7</v>
      </c>
      <c r="J513">
        <v>1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3</v>
      </c>
      <c r="Q513">
        <v>0</v>
      </c>
      <c r="R513">
        <v>0</v>
      </c>
      <c r="S513">
        <v>26</v>
      </c>
      <c r="T513">
        <v>15.4</v>
      </c>
      <c r="U513">
        <v>41</v>
      </c>
      <c r="V513" s="19" t="s">
        <v>1888</v>
      </c>
      <c r="W513" s="19" t="s">
        <v>1889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3</v>
      </c>
      <c r="AD513">
        <v>13</v>
      </c>
      <c r="AE513" s="19" t="s">
        <v>60</v>
      </c>
    </row>
    <row r="514" spans="1:31" x14ac:dyDescent="0.2">
      <c r="A514">
        <v>499</v>
      </c>
      <c r="B514" s="19" t="s">
        <v>1114</v>
      </c>
      <c r="C514">
        <v>32</v>
      </c>
      <c r="D514" s="19" t="s">
        <v>400</v>
      </c>
      <c r="E514" s="19" t="s">
        <v>334</v>
      </c>
      <c r="F514">
        <v>34</v>
      </c>
      <c r="G514">
        <v>3</v>
      </c>
      <c r="H514">
        <v>4</v>
      </c>
      <c r="I514">
        <v>7</v>
      </c>
      <c r="J514">
        <v>-10</v>
      </c>
      <c r="K514">
        <v>31</v>
      </c>
      <c r="L514">
        <v>2</v>
      </c>
      <c r="M514">
        <v>1</v>
      </c>
      <c r="N514">
        <v>0</v>
      </c>
      <c r="O514">
        <v>1</v>
      </c>
      <c r="P514">
        <v>2</v>
      </c>
      <c r="Q514">
        <v>2</v>
      </c>
      <c r="R514">
        <v>0</v>
      </c>
      <c r="S514">
        <v>47</v>
      </c>
      <c r="T514">
        <v>6.4</v>
      </c>
      <c r="U514">
        <v>84</v>
      </c>
      <c r="V514" s="19" t="s">
        <v>2568</v>
      </c>
      <c r="W514" s="19" t="s">
        <v>2296</v>
      </c>
      <c r="X514">
        <v>13</v>
      </c>
      <c r="Y514">
        <v>16</v>
      </c>
      <c r="Z514">
        <v>44.8</v>
      </c>
      <c r="AA514">
        <v>13</v>
      </c>
      <c r="AB514">
        <v>30</v>
      </c>
      <c r="AC514">
        <v>2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967</v>
      </c>
      <c r="C515">
        <v>33</v>
      </c>
      <c r="D515" s="19" t="s">
        <v>536</v>
      </c>
      <c r="E515" s="19" t="s">
        <v>348</v>
      </c>
      <c r="F515">
        <v>36</v>
      </c>
      <c r="G515">
        <v>3</v>
      </c>
      <c r="H515">
        <v>4</v>
      </c>
      <c r="I515">
        <v>7</v>
      </c>
      <c r="J515">
        <v>6</v>
      </c>
      <c r="K515">
        <v>10</v>
      </c>
      <c r="L515">
        <v>3</v>
      </c>
      <c r="M515">
        <v>0</v>
      </c>
      <c r="N515">
        <v>0</v>
      </c>
      <c r="O515">
        <v>1</v>
      </c>
      <c r="P515">
        <v>4</v>
      </c>
      <c r="Q515">
        <v>0</v>
      </c>
      <c r="R515">
        <v>0</v>
      </c>
      <c r="S515">
        <v>39</v>
      </c>
      <c r="T515">
        <v>7.7</v>
      </c>
      <c r="U515">
        <v>77</v>
      </c>
      <c r="V515" s="19" t="s">
        <v>2569</v>
      </c>
      <c r="W515" s="19" t="s">
        <v>2233</v>
      </c>
      <c r="X515">
        <v>0</v>
      </c>
      <c r="Y515">
        <v>0</v>
      </c>
      <c r="AA515">
        <v>59</v>
      </c>
      <c r="AB515">
        <v>49</v>
      </c>
      <c r="AC515">
        <v>13</v>
      </c>
      <c r="AD515">
        <v>36</v>
      </c>
      <c r="AE515" s="19" t="s">
        <v>60</v>
      </c>
    </row>
    <row r="516" spans="1:31" x14ac:dyDescent="0.2">
      <c r="A516">
        <v>501</v>
      </c>
      <c r="B516" s="19" t="s">
        <v>973</v>
      </c>
      <c r="C516">
        <v>30</v>
      </c>
      <c r="D516" s="19" t="s">
        <v>345</v>
      </c>
      <c r="E516" s="19" t="s">
        <v>348</v>
      </c>
      <c r="F516">
        <v>35</v>
      </c>
      <c r="G516">
        <v>2</v>
      </c>
      <c r="H516">
        <v>5</v>
      </c>
      <c r="I516">
        <v>7</v>
      </c>
      <c r="J516">
        <v>-2</v>
      </c>
      <c r="K516">
        <v>19</v>
      </c>
      <c r="L516">
        <v>1</v>
      </c>
      <c r="M516">
        <v>1</v>
      </c>
      <c r="N516">
        <v>0</v>
      </c>
      <c r="O516">
        <v>1</v>
      </c>
      <c r="P516">
        <v>4</v>
      </c>
      <c r="Q516">
        <v>1</v>
      </c>
      <c r="R516">
        <v>0</v>
      </c>
      <c r="S516">
        <v>71</v>
      </c>
      <c r="T516">
        <v>2.8</v>
      </c>
      <c r="U516">
        <v>160</v>
      </c>
      <c r="V516" s="19" t="s">
        <v>2570</v>
      </c>
      <c r="W516" s="19" t="s">
        <v>1626</v>
      </c>
      <c r="X516">
        <v>0</v>
      </c>
      <c r="Y516">
        <v>0</v>
      </c>
      <c r="AA516">
        <v>53</v>
      </c>
      <c r="AB516">
        <v>76</v>
      </c>
      <c r="AC516">
        <v>10</v>
      </c>
      <c r="AD516">
        <v>37</v>
      </c>
      <c r="AE516" s="19" t="s">
        <v>60</v>
      </c>
    </row>
    <row r="517" spans="1:31" x14ac:dyDescent="0.2">
      <c r="A517">
        <v>502</v>
      </c>
      <c r="B517" s="19" t="s">
        <v>1125</v>
      </c>
      <c r="C517">
        <v>24</v>
      </c>
      <c r="D517" s="19" t="s">
        <v>361</v>
      </c>
      <c r="E517" s="19" t="s">
        <v>348</v>
      </c>
      <c r="F517">
        <v>33</v>
      </c>
      <c r="G517">
        <v>2</v>
      </c>
      <c r="H517">
        <v>5</v>
      </c>
      <c r="I517">
        <v>7</v>
      </c>
      <c r="J517">
        <v>0</v>
      </c>
      <c r="K517">
        <v>18</v>
      </c>
      <c r="L517">
        <v>2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0</v>
      </c>
      <c r="S517">
        <v>30</v>
      </c>
      <c r="T517">
        <v>6.7</v>
      </c>
      <c r="U517">
        <v>94</v>
      </c>
      <c r="V517" s="19" t="s">
        <v>2571</v>
      </c>
      <c r="W517" s="19" t="s">
        <v>787</v>
      </c>
      <c r="X517">
        <v>0</v>
      </c>
      <c r="Y517">
        <v>0</v>
      </c>
      <c r="AA517">
        <v>39</v>
      </c>
      <c r="AB517">
        <v>50</v>
      </c>
      <c r="AC517">
        <v>0</v>
      </c>
      <c r="AD517">
        <v>21</v>
      </c>
      <c r="AE517" s="19" t="s">
        <v>60</v>
      </c>
    </row>
    <row r="518" spans="1:31" x14ac:dyDescent="0.2">
      <c r="A518">
        <v>503</v>
      </c>
      <c r="B518" s="19" t="s">
        <v>865</v>
      </c>
      <c r="C518">
        <v>22</v>
      </c>
      <c r="D518" s="19" t="s">
        <v>430</v>
      </c>
      <c r="E518" s="19" t="s">
        <v>334</v>
      </c>
      <c r="F518">
        <v>13</v>
      </c>
      <c r="G518">
        <v>3</v>
      </c>
      <c r="H518">
        <v>4</v>
      </c>
      <c r="I518">
        <v>7</v>
      </c>
      <c r="J518">
        <v>-3</v>
      </c>
      <c r="K518">
        <v>0</v>
      </c>
      <c r="L518">
        <v>3</v>
      </c>
      <c r="M518">
        <v>0</v>
      </c>
      <c r="N518">
        <v>0</v>
      </c>
      <c r="O518">
        <v>0</v>
      </c>
      <c r="P518">
        <v>2</v>
      </c>
      <c r="Q518">
        <v>2</v>
      </c>
      <c r="R518">
        <v>0</v>
      </c>
      <c r="S518">
        <v>14</v>
      </c>
      <c r="T518">
        <v>21.4</v>
      </c>
      <c r="U518">
        <v>35</v>
      </c>
      <c r="V518" s="19" t="s">
        <v>1850</v>
      </c>
      <c r="W518" s="19" t="s">
        <v>655</v>
      </c>
      <c r="X518">
        <v>1</v>
      </c>
      <c r="Y518">
        <v>0</v>
      </c>
      <c r="Z518">
        <v>100</v>
      </c>
      <c r="AA518">
        <v>9</v>
      </c>
      <c r="AB518">
        <v>6</v>
      </c>
      <c r="AC518">
        <v>4</v>
      </c>
      <c r="AD518">
        <v>10</v>
      </c>
      <c r="AE518" s="19" t="s">
        <v>60</v>
      </c>
    </row>
    <row r="519" spans="1:31" x14ac:dyDescent="0.2">
      <c r="A519">
        <v>504</v>
      </c>
      <c r="B519" s="19" t="s">
        <v>1050</v>
      </c>
      <c r="C519">
        <v>31</v>
      </c>
      <c r="D519" s="19" t="s">
        <v>984</v>
      </c>
      <c r="E519" s="19" t="s">
        <v>348</v>
      </c>
      <c r="F519">
        <v>27</v>
      </c>
      <c r="G519">
        <v>2</v>
      </c>
      <c r="H519">
        <v>5</v>
      </c>
      <c r="I519">
        <v>7</v>
      </c>
      <c r="J519">
        <v>12</v>
      </c>
      <c r="K519">
        <v>10</v>
      </c>
      <c r="L519">
        <v>2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22</v>
      </c>
      <c r="T519">
        <v>9.1</v>
      </c>
      <c r="U519">
        <v>64</v>
      </c>
      <c r="V519" s="19" t="s">
        <v>2572</v>
      </c>
      <c r="W519" s="19" t="s">
        <v>401</v>
      </c>
      <c r="X519">
        <v>0</v>
      </c>
      <c r="Y519">
        <v>0</v>
      </c>
      <c r="AA519">
        <v>24</v>
      </c>
      <c r="AB519">
        <v>14</v>
      </c>
      <c r="AC519">
        <v>7</v>
      </c>
      <c r="AD519">
        <v>31</v>
      </c>
      <c r="AE519" s="19" t="s">
        <v>60</v>
      </c>
    </row>
    <row r="520" spans="1:31" x14ac:dyDescent="0.2">
      <c r="A520">
        <v>504</v>
      </c>
      <c r="B520" s="19" t="s">
        <v>1050</v>
      </c>
      <c r="C520">
        <v>31</v>
      </c>
      <c r="D520" s="19" t="s">
        <v>327</v>
      </c>
      <c r="E520" s="19" t="s">
        <v>348</v>
      </c>
      <c r="F520">
        <v>6</v>
      </c>
      <c r="G520">
        <v>0</v>
      </c>
      <c r="H520">
        <v>0</v>
      </c>
      <c r="I520">
        <v>0</v>
      </c>
      <c r="J520">
        <v>0</v>
      </c>
      <c r="K520">
        <v>8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3</v>
      </c>
      <c r="T520">
        <v>0</v>
      </c>
      <c r="U520">
        <v>9</v>
      </c>
      <c r="V520" s="19" t="s">
        <v>1052</v>
      </c>
      <c r="W520" s="19" t="s">
        <v>1053</v>
      </c>
      <c r="X520">
        <v>0</v>
      </c>
      <c r="Y520">
        <v>0</v>
      </c>
      <c r="AA520">
        <v>3</v>
      </c>
      <c r="AB520">
        <v>2</v>
      </c>
      <c r="AC520">
        <v>2</v>
      </c>
      <c r="AD520">
        <v>8</v>
      </c>
      <c r="AE520" s="19" t="s">
        <v>60</v>
      </c>
    </row>
    <row r="521" spans="1:31" x14ac:dyDescent="0.2">
      <c r="A521">
        <v>504</v>
      </c>
      <c r="B521" s="19" t="s">
        <v>1050</v>
      </c>
      <c r="C521">
        <v>31</v>
      </c>
      <c r="D521" s="19" t="s">
        <v>359</v>
      </c>
      <c r="E521" s="19" t="s">
        <v>348</v>
      </c>
      <c r="F521">
        <v>21</v>
      </c>
      <c r="G521">
        <v>2</v>
      </c>
      <c r="H521">
        <v>5</v>
      </c>
      <c r="I521">
        <v>7</v>
      </c>
      <c r="J521">
        <v>12</v>
      </c>
      <c r="K521">
        <v>2</v>
      </c>
      <c r="L521">
        <v>2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19</v>
      </c>
      <c r="T521">
        <v>10.5</v>
      </c>
      <c r="U521">
        <v>55</v>
      </c>
      <c r="V521" s="19" t="s">
        <v>2573</v>
      </c>
      <c r="W521" s="19" t="s">
        <v>2041</v>
      </c>
      <c r="X521">
        <v>0</v>
      </c>
      <c r="Y521">
        <v>0</v>
      </c>
      <c r="AA521">
        <v>21</v>
      </c>
      <c r="AB521">
        <v>12</v>
      </c>
      <c r="AC521">
        <v>5</v>
      </c>
      <c r="AD521">
        <v>23</v>
      </c>
      <c r="AE521" s="19" t="s">
        <v>60</v>
      </c>
    </row>
    <row r="522" spans="1:31" x14ac:dyDescent="0.2">
      <c r="A522">
        <v>505</v>
      </c>
      <c r="B522" s="19" t="s">
        <v>1061</v>
      </c>
      <c r="C522">
        <v>22</v>
      </c>
      <c r="D522" s="19" t="s">
        <v>536</v>
      </c>
      <c r="E522" s="19" t="s">
        <v>322</v>
      </c>
      <c r="F522">
        <v>36</v>
      </c>
      <c r="G522">
        <v>3</v>
      </c>
      <c r="H522">
        <v>4</v>
      </c>
      <c r="I522">
        <v>7</v>
      </c>
      <c r="J522">
        <v>-1</v>
      </c>
      <c r="K522">
        <v>8</v>
      </c>
      <c r="L522">
        <v>3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35</v>
      </c>
      <c r="T522">
        <v>8.6</v>
      </c>
      <c r="U522">
        <v>70</v>
      </c>
      <c r="V522" s="19" t="s">
        <v>2574</v>
      </c>
      <c r="W522" s="19" t="s">
        <v>1812</v>
      </c>
      <c r="X522">
        <v>0</v>
      </c>
      <c r="Y522">
        <v>3</v>
      </c>
      <c r="Z522">
        <v>0</v>
      </c>
      <c r="AA522">
        <v>16</v>
      </c>
      <c r="AB522">
        <v>38</v>
      </c>
      <c r="AC522">
        <v>4</v>
      </c>
      <c r="AD522">
        <v>16</v>
      </c>
      <c r="AE522" s="19" t="s">
        <v>60</v>
      </c>
    </row>
    <row r="523" spans="1:31" x14ac:dyDescent="0.2">
      <c r="A523">
        <v>506</v>
      </c>
      <c r="B523" s="19" t="s">
        <v>1069</v>
      </c>
      <c r="C523">
        <v>29</v>
      </c>
      <c r="D523" s="19" t="s">
        <v>984</v>
      </c>
      <c r="E523" s="19" t="s">
        <v>339</v>
      </c>
      <c r="F523">
        <v>13</v>
      </c>
      <c r="G523">
        <v>3</v>
      </c>
      <c r="H523">
        <v>4</v>
      </c>
      <c r="I523">
        <v>7</v>
      </c>
      <c r="J523">
        <v>1</v>
      </c>
      <c r="K523">
        <v>6</v>
      </c>
      <c r="L523">
        <v>3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11</v>
      </c>
      <c r="T523">
        <v>27.3</v>
      </c>
      <c r="U523">
        <v>18</v>
      </c>
      <c r="V523" s="19" t="s">
        <v>2575</v>
      </c>
      <c r="W523" s="19" t="s">
        <v>2576</v>
      </c>
      <c r="X523">
        <v>1</v>
      </c>
      <c r="Y523">
        <v>2</v>
      </c>
      <c r="Z523">
        <v>33.299999999999997</v>
      </c>
      <c r="AA523">
        <v>8</v>
      </c>
      <c r="AB523">
        <v>49</v>
      </c>
      <c r="AC523">
        <v>1</v>
      </c>
      <c r="AD523">
        <v>2</v>
      </c>
      <c r="AE523" s="19" t="s">
        <v>60</v>
      </c>
    </row>
    <row r="524" spans="1:31" x14ac:dyDescent="0.2">
      <c r="A524">
        <v>506</v>
      </c>
      <c r="B524" s="19" t="s">
        <v>1069</v>
      </c>
      <c r="C524">
        <v>29</v>
      </c>
      <c r="D524" s="19" t="s">
        <v>359</v>
      </c>
      <c r="E524" s="19" t="s">
        <v>339</v>
      </c>
      <c r="F524">
        <v>8</v>
      </c>
      <c r="G524">
        <v>1</v>
      </c>
      <c r="H524">
        <v>2</v>
      </c>
      <c r="I524">
        <v>3</v>
      </c>
      <c r="J524">
        <v>-2</v>
      </c>
      <c r="K524">
        <v>4</v>
      </c>
      <c r="L524">
        <v>1</v>
      </c>
      <c r="M524">
        <v>0</v>
      </c>
      <c r="N524">
        <v>0</v>
      </c>
      <c r="O524">
        <v>0</v>
      </c>
      <c r="P524">
        <v>2</v>
      </c>
      <c r="Q524">
        <v>0</v>
      </c>
      <c r="R524">
        <v>0</v>
      </c>
      <c r="S524">
        <v>7</v>
      </c>
      <c r="T524">
        <v>14.3</v>
      </c>
      <c r="U524">
        <v>11</v>
      </c>
      <c r="V524" s="19" t="s">
        <v>1070</v>
      </c>
      <c r="W524" s="19" t="s">
        <v>1071</v>
      </c>
      <c r="X524">
        <v>1</v>
      </c>
      <c r="Y524">
        <v>0</v>
      </c>
      <c r="Z524">
        <v>100</v>
      </c>
      <c r="AA524">
        <v>5</v>
      </c>
      <c r="AB524">
        <v>28</v>
      </c>
      <c r="AC524">
        <v>1</v>
      </c>
      <c r="AD524">
        <v>2</v>
      </c>
      <c r="AE524" s="19" t="s">
        <v>60</v>
      </c>
    </row>
    <row r="525" spans="1:31" x14ac:dyDescent="0.2">
      <c r="A525">
        <v>506</v>
      </c>
      <c r="B525" s="19" t="s">
        <v>1069</v>
      </c>
      <c r="C525">
        <v>29</v>
      </c>
      <c r="D525" s="19" t="s">
        <v>363</v>
      </c>
      <c r="E525" s="19" t="s">
        <v>339</v>
      </c>
      <c r="F525">
        <v>5</v>
      </c>
      <c r="G525">
        <v>2</v>
      </c>
      <c r="H525">
        <v>2</v>
      </c>
      <c r="I525">
        <v>4</v>
      </c>
      <c r="J525">
        <v>3</v>
      </c>
      <c r="K525">
        <v>2</v>
      </c>
      <c r="L525">
        <v>2</v>
      </c>
      <c r="M525">
        <v>0</v>
      </c>
      <c r="N525">
        <v>0</v>
      </c>
      <c r="O525">
        <v>0</v>
      </c>
      <c r="P525">
        <v>2</v>
      </c>
      <c r="Q525">
        <v>0</v>
      </c>
      <c r="R525">
        <v>0</v>
      </c>
      <c r="S525">
        <v>4</v>
      </c>
      <c r="T525">
        <v>50</v>
      </c>
      <c r="U525">
        <v>7</v>
      </c>
      <c r="V525" s="19" t="s">
        <v>2577</v>
      </c>
      <c r="W525" s="19" t="s">
        <v>1246</v>
      </c>
      <c r="X525">
        <v>0</v>
      </c>
      <c r="Y525">
        <v>2</v>
      </c>
      <c r="Z525">
        <v>0</v>
      </c>
      <c r="AA525">
        <v>3</v>
      </c>
      <c r="AB525">
        <v>21</v>
      </c>
      <c r="AC525">
        <v>0</v>
      </c>
      <c r="AD525">
        <v>0</v>
      </c>
      <c r="AE525" s="19" t="s">
        <v>60</v>
      </c>
    </row>
    <row r="526" spans="1:31" x14ac:dyDescent="0.2">
      <c r="A526">
        <v>507</v>
      </c>
      <c r="B526" s="19" t="s">
        <v>1001</v>
      </c>
      <c r="C526">
        <v>24</v>
      </c>
      <c r="D526" s="19" t="s">
        <v>984</v>
      </c>
      <c r="E526" s="19" t="s">
        <v>334</v>
      </c>
      <c r="F526">
        <v>30</v>
      </c>
      <c r="G526">
        <v>3</v>
      </c>
      <c r="H526">
        <v>3</v>
      </c>
      <c r="I526">
        <v>6</v>
      </c>
      <c r="J526">
        <v>-7</v>
      </c>
      <c r="K526">
        <v>6</v>
      </c>
      <c r="L526">
        <v>3</v>
      </c>
      <c r="M526">
        <v>0</v>
      </c>
      <c r="N526">
        <v>0</v>
      </c>
      <c r="O526">
        <v>0</v>
      </c>
      <c r="P526">
        <v>3</v>
      </c>
      <c r="Q526">
        <v>0</v>
      </c>
      <c r="R526">
        <v>0</v>
      </c>
      <c r="S526">
        <v>37</v>
      </c>
      <c r="T526">
        <v>8.1</v>
      </c>
      <c r="U526">
        <v>82</v>
      </c>
      <c r="V526" s="19" t="s">
        <v>2578</v>
      </c>
      <c r="W526" s="19" t="s">
        <v>1915</v>
      </c>
      <c r="X526">
        <v>0</v>
      </c>
      <c r="Y526">
        <v>0</v>
      </c>
      <c r="AA526">
        <v>9</v>
      </c>
      <c r="AB526">
        <v>31</v>
      </c>
      <c r="AC526">
        <v>3</v>
      </c>
      <c r="AD526">
        <v>16</v>
      </c>
      <c r="AE526" s="19" t="s">
        <v>60</v>
      </c>
    </row>
    <row r="527" spans="1:31" x14ac:dyDescent="0.2">
      <c r="A527">
        <v>507</v>
      </c>
      <c r="B527" s="19" t="s">
        <v>1001</v>
      </c>
      <c r="C527">
        <v>24</v>
      </c>
      <c r="D527" s="19" t="s">
        <v>380</v>
      </c>
      <c r="E527" s="19" t="s">
        <v>334</v>
      </c>
      <c r="F527">
        <v>29</v>
      </c>
      <c r="G527">
        <v>3</v>
      </c>
      <c r="H527">
        <v>3</v>
      </c>
      <c r="I527">
        <v>6</v>
      </c>
      <c r="J527">
        <v>-6</v>
      </c>
      <c r="K527">
        <v>6</v>
      </c>
      <c r="L527">
        <v>3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36</v>
      </c>
      <c r="T527">
        <v>8.3000000000000007</v>
      </c>
      <c r="U527">
        <v>79</v>
      </c>
      <c r="V527" s="19" t="s">
        <v>1807</v>
      </c>
      <c r="W527" s="19" t="s">
        <v>1808</v>
      </c>
      <c r="X527">
        <v>0</v>
      </c>
      <c r="Y527">
        <v>0</v>
      </c>
      <c r="AA527">
        <v>8</v>
      </c>
      <c r="AB527">
        <v>28</v>
      </c>
      <c r="AC527">
        <v>3</v>
      </c>
      <c r="AD527">
        <v>15</v>
      </c>
      <c r="AE527" s="19" t="s">
        <v>60</v>
      </c>
    </row>
    <row r="528" spans="1:31" x14ac:dyDescent="0.2">
      <c r="A528">
        <v>507</v>
      </c>
      <c r="B528" s="19" t="s">
        <v>1001</v>
      </c>
      <c r="C528">
        <v>24</v>
      </c>
      <c r="D528" s="19" t="s">
        <v>375</v>
      </c>
      <c r="E528" s="19" t="s">
        <v>334</v>
      </c>
      <c r="F528">
        <v>1</v>
      </c>
      <c r="G528">
        <v>0</v>
      </c>
      <c r="H528">
        <v>0</v>
      </c>
      <c r="I528">
        <v>0</v>
      </c>
      <c r="J528">
        <v>-1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1</v>
      </c>
      <c r="T528">
        <v>0</v>
      </c>
      <c r="U528">
        <v>3</v>
      </c>
      <c r="V528" s="19" t="s">
        <v>2579</v>
      </c>
      <c r="W528" s="19" t="s">
        <v>2579</v>
      </c>
      <c r="X528">
        <v>0</v>
      </c>
      <c r="Y528">
        <v>0</v>
      </c>
      <c r="AA528">
        <v>1</v>
      </c>
      <c r="AB528">
        <v>3</v>
      </c>
      <c r="AC528">
        <v>0</v>
      </c>
      <c r="AD528">
        <v>1</v>
      </c>
      <c r="AE528" s="19" t="s">
        <v>60</v>
      </c>
    </row>
    <row r="529" spans="1:31" x14ac:dyDescent="0.2">
      <c r="A529">
        <v>508</v>
      </c>
      <c r="B529" s="19" t="s">
        <v>890</v>
      </c>
      <c r="C529">
        <v>28</v>
      </c>
      <c r="D529" s="19" t="s">
        <v>366</v>
      </c>
      <c r="E529" s="19" t="s">
        <v>334</v>
      </c>
      <c r="F529">
        <v>41</v>
      </c>
      <c r="G529">
        <v>4</v>
      </c>
      <c r="H529">
        <v>2</v>
      </c>
      <c r="I529">
        <v>6</v>
      </c>
      <c r="J529">
        <v>-3</v>
      </c>
      <c r="K529">
        <v>35</v>
      </c>
      <c r="L529">
        <v>3</v>
      </c>
      <c r="M529">
        <v>0</v>
      </c>
      <c r="N529">
        <v>1</v>
      </c>
      <c r="O529">
        <v>0</v>
      </c>
      <c r="P529">
        <v>2</v>
      </c>
      <c r="Q529">
        <v>0</v>
      </c>
      <c r="R529">
        <v>0</v>
      </c>
      <c r="S529">
        <v>28</v>
      </c>
      <c r="T529">
        <v>14.3</v>
      </c>
      <c r="U529">
        <v>67</v>
      </c>
      <c r="V529" s="19" t="s">
        <v>2580</v>
      </c>
      <c r="W529" s="19" t="s">
        <v>1614</v>
      </c>
      <c r="X529">
        <v>8</v>
      </c>
      <c r="Y529">
        <v>20</v>
      </c>
      <c r="Z529">
        <v>28.6</v>
      </c>
      <c r="AA529">
        <v>25</v>
      </c>
      <c r="AB529">
        <v>90</v>
      </c>
      <c r="AC529">
        <v>5</v>
      </c>
      <c r="AD529">
        <v>11</v>
      </c>
      <c r="AE529" s="19" t="s">
        <v>60</v>
      </c>
    </row>
    <row r="530" spans="1:31" x14ac:dyDescent="0.2">
      <c r="A530">
        <v>509</v>
      </c>
      <c r="B530" s="19" t="s">
        <v>893</v>
      </c>
      <c r="C530">
        <v>36</v>
      </c>
      <c r="D530" s="19" t="s">
        <v>418</v>
      </c>
      <c r="E530" s="19" t="s">
        <v>322</v>
      </c>
      <c r="F530">
        <v>28</v>
      </c>
      <c r="G530">
        <v>2</v>
      </c>
      <c r="H530">
        <v>4</v>
      </c>
      <c r="I530">
        <v>6</v>
      </c>
      <c r="J530">
        <v>-6</v>
      </c>
      <c r="K530">
        <v>6</v>
      </c>
      <c r="L530">
        <v>1</v>
      </c>
      <c r="M530">
        <v>0</v>
      </c>
      <c r="N530">
        <v>1</v>
      </c>
      <c r="O530">
        <v>0</v>
      </c>
      <c r="P530">
        <v>4</v>
      </c>
      <c r="Q530">
        <v>0</v>
      </c>
      <c r="R530">
        <v>0</v>
      </c>
      <c r="S530">
        <v>24</v>
      </c>
      <c r="T530">
        <v>8.3000000000000007</v>
      </c>
      <c r="U530">
        <v>52</v>
      </c>
      <c r="V530" s="19" t="s">
        <v>1650</v>
      </c>
      <c r="W530" s="19" t="s">
        <v>873</v>
      </c>
      <c r="X530">
        <v>158</v>
      </c>
      <c r="Y530">
        <v>103</v>
      </c>
      <c r="Z530">
        <v>60.5</v>
      </c>
      <c r="AA530">
        <v>18</v>
      </c>
      <c r="AB530">
        <v>21</v>
      </c>
      <c r="AC530">
        <v>4</v>
      </c>
      <c r="AD530">
        <v>14</v>
      </c>
      <c r="AE530" s="19" t="s">
        <v>60</v>
      </c>
    </row>
    <row r="531" spans="1:31" x14ac:dyDescent="0.2">
      <c r="A531">
        <v>510</v>
      </c>
      <c r="B531" s="19" t="s">
        <v>1007</v>
      </c>
      <c r="C531">
        <v>27</v>
      </c>
      <c r="D531" s="19" t="s">
        <v>380</v>
      </c>
      <c r="E531" s="19" t="s">
        <v>348</v>
      </c>
      <c r="F531">
        <v>39</v>
      </c>
      <c r="G531">
        <v>2</v>
      </c>
      <c r="H531">
        <v>4</v>
      </c>
      <c r="I531">
        <v>6</v>
      </c>
      <c r="J531">
        <v>-13</v>
      </c>
      <c r="K531">
        <v>10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39</v>
      </c>
      <c r="T531">
        <v>5.0999999999999996</v>
      </c>
      <c r="U531">
        <v>95</v>
      </c>
      <c r="V531" s="19" t="s">
        <v>2581</v>
      </c>
      <c r="W531" s="19" t="s">
        <v>2582</v>
      </c>
      <c r="X531">
        <v>0</v>
      </c>
      <c r="Y531">
        <v>0</v>
      </c>
      <c r="AA531">
        <v>73</v>
      </c>
      <c r="AB531">
        <v>34</v>
      </c>
      <c r="AC531">
        <v>11</v>
      </c>
      <c r="AD531">
        <v>30</v>
      </c>
      <c r="AE531" s="19" t="s">
        <v>60</v>
      </c>
    </row>
    <row r="532" spans="1:31" x14ac:dyDescent="0.2">
      <c r="A532">
        <v>511</v>
      </c>
      <c r="B532" s="19" t="s">
        <v>896</v>
      </c>
      <c r="C532">
        <v>29</v>
      </c>
      <c r="D532" s="19" t="s">
        <v>421</v>
      </c>
      <c r="E532" s="19" t="s">
        <v>339</v>
      </c>
      <c r="F532">
        <v>31</v>
      </c>
      <c r="G532">
        <v>5</v>
      </c>
      <c r="H532">
        <v>1</v>
      </c>
      <c r="I532">
        <v>6</v>
      </c>
      <c r="J532">
        <v>0</v>
      </c>
      <c r="K532">
        <v>14</v>
      </c>
      <c r="L532">
        <v>5</v>
      </c>
      <c r="M532">
        <v>0</v>
      </c>
      <c r="N532">
        <v>0</v>
      </c>
      <c r="O532">
        <v>1</v>
      </c>
      <c r="P532">
        <v>1</v>
      </c>
      <c r="Q532">
        <v>0</v>
      </c>
      <c r="R532">
        <v>0</v>
      </c>
      <c r="S532">
        <v>48</v>
      </c>
      <c r="T532">
        <v>10.4</v>
      </c>
      <c r="U532">
        <v>99</v>
      </c>
      <c r="V532" s="19" t="s">
        <v>2583</v>
      </c>
      <c r="W532" s="19" t="s">
        <v>2584</v>
      </c>
      <c r="X532">
        <v>6</v>
      </c>
      <c r="Y532">
        <v>11</v>
      </c>
      <c r="Z532">
        <v>35.299999999999997</v>
      </c>
      <c r="AA532">
        <v>7</v>
      </c>
      <c r="AB532">
        <v>37</v>
      </c>
      <c r="AC532">
        <v>5</v>
      </c>
      <c r="AD532">
        <v>34</v>
      </c>
      <c r="AE532" s="19" t="s">
        <v>60</v>
      </c>
    </row>
    <row r="533" spans="1:31" x14ac:dyDescent="0.2">
      <c r="A533">
        <v>512</v>
      </c>
      <c r="B533" s="19" t="s">
        <v>1156</v>
      </c>
      <c r="C533">
        <v>23</v>
      </c>
      <c r="D533" s="19" t="s">
        <v>418</v>
      </c>
      <c r="E533" s="19" t="s">
        <v>322</v>
      </c>
      <c r="F533">
        <v>15</v>
      </c>
      <c r="G533">
        <v>0</v>
      </c>
      <c r="H533">
        <v>6</v>
      </c>
      <c r="I533">
        <v>6</v>
      </c>
      <c r="J533">
        <v>-2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3</v>
      </c>
      <c r="Q533">
        <v>3</v>
      </c>
      <c r="R533">
        <v>0</v>
      </c>
      <c r="S533">
        <v>15</v>
      </c>
      <c r="T533">
        <v>0</v>
      </c>
      <c r="U533">
        <v>26</v>
      </c>
      <c r="V533" s="19" t="s">
        <v>2585</v>
      </c>
      <c r="W533" s="19" t="s">
        <v>2586</v>
      </c>
      <c r="X533">
        <v>21</v>
      </c>
      <c r="Y533">
        <v>33</v>
      </c>
      <c r="Z533">
        <v>38.9</v>
      </c>
      <c r="AA533">
        <v>6</v>
      </c>
      <c r="AB533">
        <v>19</v>
      </c>
      <c r="AC533">
        <v>1</v>
      </c>
      <c r="AD533">
        <v>10</v>
      </c>
      <c r="AE533" s="19" t="s">
        <v>60</v>
      </c>
    </row>
    <row r="534" spans="1:31" x14ac:dyDescent="0.2">
      <c r="A534">
        <v>513</v>
      </c>
      <c r="B534" s="19" t="s">
        <v>1016</v>
      </c>
      <c r="C534">
        <v>34</v>
      </c>
      <c r="D534" s="19" t="s">
        <v>439</v>
      </c>
      <c r="E534" s="19" t="s">
        <v>348</v>
      </c>
      <c r="F534">
        <v>37</v>
      </c>
      <c r="G534">
        <v>0</v>
      </c>
      <c r="H534">
        <v>6</v>
      </c>
      <c r="I534">
        <v>6</v>
      </c>
      <c r="J534">
        <v>0</v>
      </c>
      <c r="K534">
        <v>25</v>
      </c>
      <c r="L534">
        <v>0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26</v>
      </c>
      <c r="T534">
        <v>0</v>
      </c>
      <c r="U534">
        <v>70</v>
      </c>
      <c r="V534" s="19" t="s">
        <v>2587</v>
      </c>
      <c r="W534" s="19" t="s">
        <v>2588</v>
      </c>
      <c r="X534">
        <v>0</v>
      </c>
      <c r="Y534">
        <v>0</v>
      </c>
      <c r="AA534">
        <v>51</v>
      </c>
      <c r="AB534">
        <v>24</v>
      </c>
      <c r="AC534">
        <v>7</v>
      </c>
      <c r="AD534">
        <v>30</v>
      </c>
      <c r="AE534" s="19" t="s">
        <v>60</v>
      </c>
    </row>
    <row r="535" spans="1:31" x14ac:dyDescent="0.2">
      <c r="A535">
        <v>514</v>
      </c>
      <c r="B535" s="19" t="s">
        <v>943</v>
      </c>
      <c r="C535">
        <v>31</v>
      </c>
      <c r="D535" s="19" t="s">
        <v>357</v>
      </c>
      <c r="E535" s="19" t="s">
        <v>322</v>
      </c>
      <c r="F535">
        <v>28</v>
      </c>
      <c r="G535">
        <v>2</v>
      </c>
      <c r="H535">
        <v>4</v>
      </c>
      <c r="I535">
        <v>6</v>
      </c>
      <c r="J535">
        <v>-3</v>
      </c>
      <c r="K535">
        <v>4</v>
      </c>
      <c r="L535">
        <v>2</v>
      </c>
      <c r="M535">
        <v>0</v>
      </c>
      <c r="N535">
        <v>0</v>
      </c>
      <c r="O535">
        <v>1</v>
      </c>
      <c r="P535">
        <v>3</v>
      </c>
      <c r="Q535">
        <v>1</v>
      </c>
      <c r="R535">
        <v>0</v>
      </c>
      <c r="S535">
        <v>24</v>
      </c>
      <c r="T535">
        <v>8.3000000000000007</v>
      </c>
      <c r="U535">
        <v>56</v>
      </c>
      <c r="V535" s="19" t="s">
        <v>2589</v>
      </c>
      <c r="W535" s="19" t="s">
        <v>2590</v>
      </c>
      <c r="X535">
        <v>15</v>
      </c>
      <c r="Y535">
        <v>14</v>
      </c>
      <c r="Z535">
        <v>51.7</v>
      </c>
      <c r="AA535">
        <v>9</v>
      </c>
      <c r="AB535">
        <v>22</v>
      </c>
      <c r="AC535">
        <v>9</v>
      </c>
      <c r="AD535">
        <v>20</v>
      </c>
      <c r="AE535" s="19" t="s">
        <v>60</v>
      </c>
    </row>
    <row r="536" spans="1:31" x14ac:dyDescent="0.2">
      <c r="A536">
        <v>515</v>
      </c>
      <c r="B536" s="19" t="s">
        <v>1022</v>
      </c>
      <c r="C536">
        <v>31</v>
      </c>
      <c r="D536" s="19" t="s">
        <v>398</v>
      </c>
      <c r="E536" s="19" t="s">
        <v>322</v>
      </c>
      <c r="F536">
        <v>29</v>
      </c>
      <c r="G536">
        <v>2</v>
      </c>
      <c r="H536">
        <v>4</v>
      </c>
      <c r="I536">
        <v>6</v>
      </c>
      <c r="J536">
        <v>1</v>
      </c>
      <c r="K536">
        <v>12</v>
      </c>
      <c r="L536">
        <v>2</v>
      </c>
      <c r="M536">
        <v>0</v>
      </c>
      <c r="N536">
        <v>0</v>
      </c>
      <c r="O536">
        <v>1</v>
      </c>
      <c r="P536">
        <v>4</v>
      </c>
      <c r="Q536">
        <v>0</v>
      </c>
      <c r="R536">
        <v>0</v>
      </c>
      <c r="S536">
        <v>29</v>
      </c>
      <c r="T536">
        <v>6.9</v>
      </c>
      <c r="U536">
        <v>62</v>
      </c>
      <c r="V536" s="19" t="s">
        <v>2591</v>
      </c>
      <c r="W536" s="19" t="s">
        <v>1496</v>
      </c>
      <c r="X536">
        <v>158</v>
      </c>
      <c r="Y536">
        <v>129</v>
      </c>
      <c r="Z536">
        <v>55.1</v>
      </c>
      <c r="AA536">
        <v>20</v>
      </c>
      <c r="AB536">
        <v>21</v>
      </c>
      <c r="AC536">
        <v>5</v>
      </c>
      <c r="AD536">
        <v>16</v>
      </c>
      <c r="AE536" s="19" t="s">
        <v>60</v>
      </c>
    </row>
    <row r="537" spans="1:31" x14ac:dyDescent="0.2">
      <c r="A537">
        <v>516</v>
      </c>
      <c r="B537" s="19" t="s">
        <v>946</v>
      </c>
      <c r="C537">
        <v>33</v>
      </c>
      <c r="D537" s="19" t="s">
        <v>327</v>
      </c>
      <c r="E537" s="19" t="s">
        <v>322</v>
      </c>
      <c r="F537">
        <v>25</v>
      </c>
      <c r="G537">
        <v>1</v>
      </c>
      <c r="H537">
        <v>5</v>
      </c>
      <c r="I537">
        <v>6</v>
      </c>
      <c r="J537">
        <v>-5</v>
      </c>
      <c r="K537">
        <v>16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17</v>
      </c>
      <c r="T537">
        <v>5.9</v>
      </c>
      <c r="U537">
        <v>37</v>
      </c>
      <c r="V537" s="19" t="s">
        <v>2592</v>
      </c>
      <c r="W537" s="19" t="s">
        <v>1757</v>
      </c>
      <c r="X537">
        <v>6</v>
      </c>
      <c r="Y537">
        <v>11</v>
      </c>
      <c r="Z537">
        <v>35.299999999999997</v>
      </c>
      <c r="AA537">
        <v>9</v>
      </c>
      <c r="AB537">
        <v>10</v>
      </c>
      <c r="AC537">
        <v>3</v>
      </c>
      <c r="AD537">
        <v>8</v>
      </c>
      <c r="AE537" s="19" t="s">
        <v>60</v>
      </c>
    </row>
    <row r="538" spans="1:31" x14ac:dyDescent="0.2">
      <c r="A538">
        <v>517</v>
      </c>
      <c r="B538" s="19" t="s">
        <v>906</v>
      </c>
      <c r="C538">
        <v>26</v>
      </c>
      <c r="D538" s="19" t="s">
        <v>354</v>
      </c>
      <c r="E538" s="19" t="s">
        <v>348</v>
      </c>
      <c r="F538">
        <v>25</v>
      </c>
      <c r="G538">
        <v>0</v>
      </c>
      <c r="H538">
        <v>6</v>
      </c>
      <c r="I538">
        <v>6</v>
      </c>
      <c r="J538">
        <v>-5</v>
      </c>
      <c r="K538">
        <v>10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2</v>
      </c>
      <c r="R538">
        <v>0</v>
      </c>
      <c r="S538">
        <v>22</v>
      </c>
      <c r="T538">
        <v>0</v>
      </c>
      <c r="U538">
        <v>73</v>
      </c>
      <c r="V538" s="19" t="s">
        <v>907</v>
      </c>
      <c r="W538" s="19" t="s">
        <v>908</v>
      </c>
      <c r="X538">
        <v>0</v>
      </c>
      <c r="Y538">
        <v>0</v>
      </c>
      <c r="AA538">
        <v>19</v>
      </c>
      <c r="AB538">
        <v>13</v>
      </c>
      <c r="AC538">
        <v>4</v>
      </c>
      <c r="AD538">
        <v>31</v>
      </c>
      <c r="AE538" s="19" t="s">
        <v>60</v>
      </c>
    </row>
    <row r="539" spans="1:31" x14ac:dyDescent="0.2">
      <c r="A539">
        <v>518</v>
      </c>
      <c r="B539" s="19" t="s">
        <v>948</v>
      </c>
      <c r="C539">
        <v>24</v>
      </c>
      <c r="D539" s="19" t="s">
        <v>536</v>
      </c>
      <c r="E539" s="19" t="s">
        <v>325</v>
      </c>
      <c r="F539">
        <v>34</v>
      </c>
      <c r="G539">
        <v>2</v>
      </c>
      <c r="H539">
        <v>4</v>
      </c>
      <c r="I539">
        <v>6</v>
      </c>
      <c r="J539">
        <v>-7</v>
      </c>
      <c r="K539">
        <v>21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24</v>
      </c>
      <c r="T539">
        <v>8.3000000000000007</v>
      </c>
      <c r="U539">
        <v>61</v>
      </c>
      <c r="V539" s="19" t="s">
        <v>1956</v>
      </c>
      <c r="W539" s="19" t="s">
        <v>1813</v>
      </c>
      <c r="X539">
        <v>2</v>
      </c>
      <c r="Y539">
        <v>8</v>
      </c>
      <c r="Z539">
        <v>20</v>
      </c>
      <c r="AA539">
        <v>22</v>
      </c>
      <c r="AB539">
        <v>87</v>
      </c>
      <c r="AC539">
        <v>8</v>
      </c>
      <c r="AD539">
        <v>17</v>
      </c>
      <c r="AE539" s="19" t="s">
        <v>60</v>
      </c>
    </row>
    <row r="540" spans="1:31" x14ac:dyDescent="0.2">
      <c r="A540">
        <v>519</v>
      </c>
      <c r="B540" s="19" t="s">
        <v>1099</v>
      </c>
      <c r="C540">
        <v>21</v>
      </c>
      <c r="D540" s="19" t="s">
        <v>370</v>
      </c>
      <c r="E540" s="19" t="s">
        <v>322</v>
      </c>
      <c r="F540">
        <v>41</v>
      </c>
      <c r="G540">
        <v>3</v>
      </c>
      <c r="H540">
        <v>3</v>
      </c>
      <c r="I540">
        <v>6</v>
      </c>
      <c r="J540">
        <v>-14</v>
      </c>
      <c r="K540">
        <v>27</v>
      </c>
      <c r="L540">
        <v>2</v>
      </c>
      <c r="M540">
        <v>1</v>
      </c>
      <c r="N540">
        <v>0</v>
      </c>
      <c r="O540">
        <v>0</v>
      </c>
      <c r="P540">
        <v>2</v>
      </c>
      <c r="Q540">
        <v>1</v>
      </c>
      <c r="R540">
        <v>0</v>
      </c>
      <c r="S540">
        <v>61</v>
      </c>
      <c r="T540">
        <v>4.9000000000000004</v>
      </c>
      <c r="U540">
        <v>107</v>
      </c>
      <c r="V540" s="19" t="s">
        <v>2593</v>
      </c>
      <c r="W540" s="19" t="s">
        <v>2594</v>
      </c>
      <c r="X540">
        <v>136</v>
      </c>
      <c r="Y540">
        <v>142</v>
      </c>
      <c r="Z540">
        <v>48.9</v>
      </c>
      <c r="AA540">
        <v>26</v>
      </c>
      <c r="AB540">
        <v>90</v>
      </c>
      <c r="AC540">
        <v>6</v>
      </c>
      <c r="AD540">
        <v>27</v>
      </c>
      <c r="AE540" s="19" t="s">
        <v>60</v>
      </c>
    </row>
    <row r="541" spans="1:31" x14ac:dyDescent="0.2">
      <c r="A541">
        <v>520</v>
      </c>
      <c r="B541" s="19" t="s">
        <v>951</v>
      </c>
      <c r="C541">
        <v>27</v>
      </c>
      <c r="D541" s="19" t="s">
        <v>345</v>
      </c>
      <c r="E541" s="19" t="s">
        <v>339</v>
      </c>
      <c r="F541">
        <v>25</v>
      </c>
      <c r="G541">
        <v>2</v>
      </c>
      <c r="H541">
        <v>4</v>
      </c>
      <c r="I541">
        <v>6</v>
      </c>
      <c r="J541">
        <v>-2</v>
      </c>
      <c r="K541">
        <v>12</v>
      </c>
      <c r="L541">
        <v>2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33</v>
      </c>
      <c r="T541">
        <v>6.1</v>
      </c>
      <c r="U541">
        <v>63</v>
      </c>
      <c r="V541" s="19" t="s">
        <v>2595</v>
      </c>
      <c r="W541" s="19" t="s">
        <v>2596</v>
      </c>
      <c r="X541">
        <v>0</v>
      </c>
      <c r="Y541">
        <v>0</v>
      </c>
      <c r="AA541">
        <v>5</v>
      </c>
      <c r="AB541">
        <v>77</v>
      </c>
      <c r="AC541">
        <v>7</v>
      </c>
      <c r="AD541">
        <v>9</v>
      </c>
      <c r="AE541" s="19" t="s">
        <v>60</v>
      </c>
    </row>
    <row r="542" spans="1:31" x14ac:dyDescent="0.2">
      <c r="A542">
        <v>521</v>
      </c>
      <c r="B542" s="19" t="s">
        <v>1026</v>
      </c>
      <c r="C542">
        <v>28</v>
      </c>
      <c r="D542" s="19" t="s">
        <v>343</v>
      </c>
      <c r="E542" s="19" t="s">
        <v>334</v>
      </c>
      <c r="F542">
        <v>38</v>
      </c>
      <c r="G542">
        <v>0</v>
      </c>
      <c r="H542">
        <v>6</v>
      </c>
      <c r="I542">
        <v>6</v>
      </c>
      <c r="J542">
        <v>-10</v>
      </c>
      <c r="K542">
        <v>35</v>
      </c>
      <c r="L542">
        <v>0</v>
      </c>
      <c r="M542">
        <v>0</v>
      </c>
      <c r="N542">
        <v>0</v>
      </c>
      <c r="O542">
        <v>0</v>
      </c>
      <c r="P542">
        <v>6</v>
      </c>
      <c r="Q542">
        <v>0</v>
      </c>
      <c r="R542">
        <v>0</v>
      </c>
      <c r="S542">
        <v>32</v>
      </c>
      <c r="T542">
        <v>0</v>
      </c>
      <c r="U542">
        <v>58</v>
      </c>
      <c r="V542" s="19" t="s">
        <v>2597</v>
      </c>
      <c r="W542" s="19" t="s">
        <v>652</v>
      </c>
      <c r="X542">
        <v>8</v>
      </c>
      <c r="Y542">
        <v>10</v>
      </c>
      <c r="Z542">
        <v>44.4</v>
      </c>
      <c r="AA542">
        <v>26</v>
      </c>
      <c r="AB542">
        <v>115</v>
      </c>
      <c r="AC542">
        <v>2</v>
      </c>
      <c r="AD542">
        <v>16</v>
      </c>
      <c r="AE542" s="19" t="s">
        <v>60</v>
      </c>
    </row>
    <row r="543" spans="1:31" x14ac:dyDescent="0.2">
      <c r="A543">
        <v>522</v>
      </c>
      <c r="B543" s="19" t="s">
        <v>952</v>
      </c>
      <c r="C543">
        <v>25</v>
      </c>
      <c r="D543" s="19" t="s">
        <v>398</v>
      </c>
      <c r="E543" s="19" t="s">
        <v>322</v>
      </c>
      <c r="F543">
        <v>24</v>
      </c>
      <c r="G543">
        <v>2</v>
      </c>
      <c r="H543">
        <v>4</v>
      </c>
      <c r="I543">
        <v>6</v>
      </c>
      <c r="J543">
        <v>-1</v>
      </c>
      <c r="K543">
        <v>8</v>
      </c>
      <c r="L543">
        <v>2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28</v>
      </c>
      <c r="T543">
        <v>7.1</v>
      </c>
      <c r="U543">
        <v>47</v>
      </c>
      <c r="V543" s="19" t="s">
        <v>2598</v>
      </c>
      <c r="W543" s="19" t="s">
        <v>2590</v>
      </c>
      <c r="X543">
        <v>89</v>
      </c>
      <c r="Y543">
        <v>95</v>
      </c>
      <c r="Z543">
        <v>48.4</v>
      </c>
      <c r="AA543">
        <v>12</v>
      </c>
      <c r="AB543">
        <v>38</v>
      </c>
      <c r="AC543">
        <v>2</v>
      </c>
      <c r="AD543">
        <v>17</v>
      </c>
      <c r="AE543" s="19" t="s">
        <v>60</v>
      </c>
    </row>
    <row r="544" spans="1:31" x14ac:dyDescent="0.2">
      <c r="A544">
        <v>523</v>
      </c>
      <c r="B544" s="19" t="s">
        <v>956</v>
      </c>
      <c r="C544">
        <v>23</v>
      </c>
      <c r="D544" s="19" t="s">
        <v>366</v>
      </c>
      <c r="E544" s="19" t="s">
        <v>322</v>
      </c>
      <c r="F544">
        <v>38</v>
      </c>
      <c r="G544">
        <v>0</v>
      </c>
      <c r="H544">
        <v>6</v>
      </c>
      <c r="I544">
        <v>6</v>
      </c>
      <c r="J544">
        <v>1</v>
      </c>
      <c r="K544">
        <v>8</v>
      </c>
      <c r="L544">
        <v>0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28</v>
      </c>
      <c r="T544">
        <v>0</v>
      </c>
      <c r="U544">
        <v>59</v>
      </c>
      <c r="V544" s="19" t="s">
        <v>2599</v>
      </c>
      <c r="W544" s="19" t="s">
        <v>2600</v>
      </c>
      <c r="X544">
        <v>57</v>
      </c>
      <c r="Y544">
        <v>83</v>
      </c>
      <c r="Z544">
        <v>40.700000000000003</v>
      </c>
      <c r="AA544">
        <v>9</v>
      </c>
      <c r="AB544">
        <v>23</v>
      </c>
      <c r="AC544">
        <v>5</v>
      </c>
      <c r="AD544">
        <v>19</v>
      </c>
      <c r="AE544" s="19" t="s">
        <v>60</v>
      </c>
    </row>
    <row r="545" spans="1:31" x14ac:dyDescent="0.2">
      <c r="A545">
        <v>524</v>
      </c>
      <c r="B545" s="19" t="s">
        <v>1104</v>
      </c>
      <c r="C545">
        <v>31</v>
      </c>
      <c r="D545" s="19" t="s">
        <v>359</v>
      </c>
      <c r="E545" s="19" t="s">
        <v>322</v>
      </c>
      <c r="F545">
        <v>22</v>
      </c>
      <c r="G545">
        <v>4</v>
      </c>
      <c r="H545">
        <v>2</v>
      </c>
      <c r="I545">
        <v>6</v>
      </c>
      <c r="J545">
        <v>-1</v>
      </c>
      <c r="K545">
        <v>6</v>
      </c>
      <c r="L545">
        <v>3</v>
      </c>
      <c r="M545">
        <v>0</v>
      </c>
      <c r="N545">
        <v>1</v>
      </c>
      <c r="O545">
        <v>1</v>
      </c>
      <c r="P545">
        <v>2</v>
      </c>
      <c r="Q545">
        <v>0</v>
      </c>
      <c r="R545">
        <v>0</v>
      </c>
      <c r="S545">
        <v>28</v>
      </c>
      <c r="T545">
        <v>14.3</v>
      </c>
      <c r="U545">
        <v>49</v>
      </c>
      <c r="V545" s="19" t="s">
        <v>2601</v>
      </c>
      <c r="W545" s="19" t="s">
        <v>2342</v>
      </c>
      <c r="X545">
        <v>142</v>
      </c>
      <c r="Y545">
        <v>100</v>
      </c>
      <c r="Z545">
        <v>58.7</v>
      </c>
      <c r="AA545">
        <v>14</v>
      </c>
      <c r="AB545">
        <v>40</v>
      </c>
      <c r="AC545">
        <v>6</v>
      </c>
      <c r="AD545">
        <v>19</v>
      </c>
      <c r="AE545" s="19" t="s">
        <v>60</v>
      </c>
    </row>
    <row r="546" spans="1:31" x14ac:dyDescent="0.2">
      <c r="A546">
        <v>525</v>
      </c>
      <c r="B546" s="19" t="s">
        <v>1106</v>
      </c>
      <c r="C546">
        <v>27</v>
      </c>
      <c r="D546" s="19" t="s">
        <v>536</v>
      </c>
      <c r="E546" s="19" t="s">
        <v>348</v>
      </c>
      <c r="F546">
        <v>38</v>
      </c>
      <c r="G546">
        <v>1</v>
      </c>
      <c r="H546">
        <v>5</v>
      </c>
      <c r="I546">
        <v>6</v>
      </c>
      <c r="J546">
        <v>5</v>
      </c>
      <c r="K546">
        <v>41</v>
      </c>
      <c r="L546">
        <v>1</v>
      </c>
      <c r="M546">
        <v>0</v>
      </c>
      <c r="N546">
        <v>0</v>
      </c>
      <c r="O546">
        <v>1</v>
      </c>
      <c r="P546">
        <v>4</v>
      </c>
      <c r="Q546">
        <v>0</v>
      </c>
      <c r="R546">
        <v>1</v>
      </c>
      <c r="S546">
        <v>30</v>
      </c>
      <c r="T546">
        <v>3.3</v>
      </c>
      <c r="U546">
        <v>94</v>
      </c>
      <c r="V546" s="19" t="s">
        <v>2602</v>
      </c>
      <c r="W546" s="19" t="s">
        <v>441</v>
      </c>
      <c r="X546">
        <v>0</v>
      </c>
      <c r="Y546">
        <v>1</v>
      </c>
      <c r="Z546">
        <v>0</v>
      </c>
      <c r="AA546">
        <v>67</v>
      </c>
      <c r="AB546">
        <v>23</v>
      </c>
      <c r="AC546">
        <v>9</v>
      </c>
      <c r="AD546">
        <v>45</v>
      </c>
      <c r="AE546" s="19" t="s">
        <v>60</v>
      </c>
    </row>
    <row r="547" spans="1:31" x14ac:dyDescent="0.2">
      <c r="A547">
        <v>526</v>
      </c>
      <c r="B547" s="19" t="s">
        <v>961</v>
      </c>
      <c r="C547">
        <v>27</v>
      </c>
      <c r="D547" s="19" t="s">
        <v>430</v>
      </c>
      <c r="E547" s="19" t="s">
        <v>339</v>
      </c>
      <c r="F547">
        <v>38</v>
      </c>
      <c r="G547">
        <v>3</v>
      </c>
      <c r="H547">
        <v>3</v>
      </c>
      <c r="I547">
        <v>6</v>
      </c>
      <c r="J547">
        <v>-5</v>
      </c>
      <c r="K547">
        <v>20</v>
      </c>
      <c r="L547">
        <v>3</v>
      </c>
      <c r="M547">
        <v>0</v>
      </c>
      <c r="N547">
        <v>0</v>
      </c>
      <c r="O547">
        <v>0</v>
      </c>
      <c r="P547">
        <v>3</v>
      </c>
      <c r="Q547">
        <v>0</v>
      </c>
      <c r="R547">
        <v>0</v>
      </c>
      <c r="S547">
        <v>39</v>
      </c>
      <c r="T547">
        <v>7.7</v>
      </c>
      <c r="U547">
        <v>68</v>
      </c>
      <c r="V547" s="19" t="s">
        <v>2603</v>
      </c>
      <c r="W547" s="19" t="s">
        <v>2436</v>
      </c>
      <c r="X547">
        <v>1</v>
      </c>
      <c r="Y547">
        <v>3</v>
      </c>
      <c r="Z547">
        <v>25</v>
      </c>
      <c r="AA547">
        <v>41</v>
      </c>
      <c r="AB547">
        <v>135</v>
      </c>
      <c r="AC547">
        <v>5</v>
      </c>
      <c r="AD547">
        <v>17</v>
      </c>
      <c r="AE547" s="19" t="s">
        <v>60</v>
      </c>
    </row>
    <row r="548" spans="1:31" x14ac:dyDescent="0.2">
      <c r="A548">
        <v>527</v>
      </c>
      <c r="B548" s="19" t="s">
        <v>913</v>
      </c>
      <c r="C548">
        <v>24</v>
      </c>
      <c r="D548" s="19" t="s">
        <v>351</v>
      </c>
      <c r="E548" s="19" t="s">
        <v>348</v>
      </c>
      <c r="F548">
        <v>32</v>
      </c>
      <c r="G548">
        <v>2</v>
      </c>
      <c r="H548">
        <v>4</v>
      </c>
      <c r="I548">
        <v>6</v>
      </c>
      <c r="J548">
        <v>9</v>
      </c>
      <c r="K548">
        <v>43</v>
      </c>
      <c r="L548">
        <v>2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24</v>
      </c>
      <c r="T548">
        <v>8.3000000000000007</v>
      </c>
      <c r="U548">
        <v>62</v>
      </c>
      <c r="V548" s="19" t="s">
        <v>1686</v>
      </c>
      <c r="W548" s="19" t="s">
        <v>1615</v>
      </c>
      <c r="X548">
        <v>0</v>
      </c>
      <c r="Y548">
        <v>0</v>
      </c>
      <c r="AA548">
        <v>33</v>
      </c>
      <c r="AB548">
        <v>53</v>
      </c>
      <c r="AC548">
        <v>5</v>
      </c>
      <c r="AD548">
        <v>25</v>
      </c>
      <c r="AE548" s="19" t="s">
        <v>60</v>
      </c>
    </row>
    <row r="549" spans="1:31" x14ac:dyDescent="0.2">
      <c r="A549">
        <v>528</v>
      </c>
      <c r="B549" s="19" t="s">
        <v>1037</v>
      </c>
      <c r="C549">
        <v>29</v>
      </c>
      <c r="D549" s="19" t="s">
        <v>372</v>
      </c>
      <c r="E549" s="19" t="s">
        <v>348</v>
      </c>
      <c r="F549">
        <v>39</v>
      </c>
      <c r="G549">
        <v>1</v>
      </c>
      <c r="H549">
        <v>5</v>
      </c>
      <c r="I549">
        <v>6</v>
      </c>
      <c r="J549">
        <v>8</v>
      </c>
      <c r="K549">
        <v>35</v>
      </c>
      <c r="L549">
        <v>1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38</v>
      </c>
      <c r="T549">
        <v>2.6</v>
      </c>
      <c r="U549">
        <v>99</v>
      </c>
      <c r="V549" s="19" t="s">
        <v>2604</v>
      </c>
      <c r="W549" s="19" t="s">
        <v>413</v>
      </c>
      <c r="X549">
        <v>0</v>
      </c>
      <c r="Y549">
        <v>0</v>
      </c>
      <c r="AA549">
        <v>43</v>
      </c>
      <c r="AB549">
        <v>62</v>
      </c>
      <c r="AC549">
        <v>13</v>
      </c>
      <c r="AD549">
        <v>45</v>
      </c>
      <c r="AE549" s="19" t="s">
        <v>60</v>
      </c>
    </row>
    <row r="550" spans="1:31" x14ac:dyDescent="0.2">
      <c r="A550">
        <v>529</v>
      </c>
      <c r="B550" s="19" t="s">
        <v>1038</v>
      </c>
      <c r="C550">
        <v>24</v>
      </c>
      <c r="D550" s="19" t="s">
        <v>336</v>
      </c>
      <c r="E550" s="19" t="s">
        <v>348</v>
      </c>
      <c r="F550">
        <v>26</v>
      </c>
      <c r="G550">
        <v>2</v>
      </c>
      <c r="H550">
        <v>4</v>
      </c>
      <c r="I550">
        <v>6</v>
      </c>
      <c r="J550">
        <v>1</v>
      </c>
      <c r="K550">
        <v>14</v>
      </c>
      <c r="L550">
        <v>2</v>
      </c>
      <c r="M550">
        <v>0</v>
      </c>
      <c r="N550">
        <v>0</v>
      </c>
      <c r="O550">
        <v>1</v>
      </c>
      <c r="P550">
        <v>4</v>
      </c>
      <c r="Q550">
        <v>0</v>
      </c>
      <c r="R550">
        <v>0</v>
      </c>
      <c r="S550">
        <v>27</v>
      </c>
      <c r="T550">
        <v>7.4</v>
      </c>
      <c r="U550">
        <v>75</v>
      </c>
      <c r="V550" s="19" t="s">
        <v>2605</v>
      </c>
      <c r="W550" s="19" t="s">
        <v>2606</v>
      </c>
      <c r="X550">
        <v>0</v>
      </c>
      <c r="Y550">
        <v>0</v>
      </c>
      <c r="AA550">
        <v>51</v>
      </c>
      <c r="AB550">
        <v>11</v>
      </c>
      <c r="AC550">
        <v>10</v>
      </c>
      <c r="AD550">
        <v>24</v>
      </c>
      <c r="AE550" s="19" t="s">
        <v>60</v>
      </c>
    </row>
    <row r="551" spans="1:31" x14ac:dyDescent="0.2">
      <c r="A551">
        <v>530</v>
      </c>
      <c r="B551" s="19" t="s">
        <v>965</v>
      </c>
      <c r="C551">
        <v>24</v>
      </c>
      <c r="D551" s="19" t="s">
        <v>324</v>
      </c>
      <c r="E551" s="19" t="s">
        <v>348</v>
      </c>
      <c r="F551">
        <v>22</v>
      </c>
      <c r="G551">
        <v>2</v>
      </c>
      <c r="H551">
        <v>4</v>
      </c>
      <c r="I551">
        <v>6</v>
      </c>
      <c r="J551">
        <v>-1</v>
      </c>
      <c r="K551">
        <v>12</v>
      </c>
      <c r="L551">
        <v>2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18</v>
      </c>
      <c r="T551">
        <v>11.1</v>
      </c>
      <c r="U551">
        <v>48</v>
      </c>
      <c r="V551" s="19" t="s">
        <v>2607</v>
      </c>
      <c r="W551" s="19" t="s">
        <v>1848</v>
      </c>
      <c r="X551">
        <v>0</v>
      </c>
      <c r="Y551">
        <v>0</v>
      </c>
      <c r="AA551">
        <v>26</v>
      </c>
      <c r="AB551">
        <v>11</v>
      </c>
      <c r="AC551">
        <v>3</v>
      </c>
      <c r="AD551">
        <v>25</v>
      </c>
      <c r="AE551" s="19" t="s">
        <v>60</v>
      </c>
    </row>
    <row r="552" spans="1:31" x14ac:dyDescent="0.2">
      <c r="A552">
        <v>531</v>
      </c>
      <c r="B552" s="19" t="s">
        <v>1113</v>
      </c>
      <c r="C552">
        <v>32</v>
      </c>
      <c r="D552" s="19" t="s">
        <v>329</v>
      </c>
      <c r="E552" s="19" t="s">
        <v>348</v>
      </c>
      <c r="F552">
        <v>40</v>
      </c>
      <c r="G552">
        <v>0</v>
      </c>
      <c r="H552">
        <v>6</v>
      </c>
      <c r="I552">
        <v>6</v>
      </c>
      <c r="J552">
        <v>-4</v>
      </c>
      <c r="K552">
        <v>37</v>
      </c>
      <c r="L552">
        <v>0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35</v>
      </c>
      <c r="T552">
        <v>0</v>
      </c>
      <c r="U552">
        <v>79</v>
      </c>
      <c r="V552" s="19" t="s">
        <v>2608</v>
      </c>
      <c r="W552" s="19" t="s">
        <v>1883</v>
      </c>
      <c r="X552">
        <v>0</v>
      </c>
      <c r="Y552">
        <v>0</v>
      </c>
      <c r="AA552">
        <v>58</v>
      </c>
      <c r="AB552">
        <v>41</v>
      </c>
      <c r="AC552">
        <v>9</v>
      </c>
      <c r="AD552">
        <v>38</v>
      </c>
      <c r="AE552" s="19" t="s">
        <v>60</v>
      </c>
    </row>
    <row r="553" spans="1:31" x14ac:dyDescent="0.2">
      <c r="A553">
        <v>532</v>
      </c>
      <c r="B553" s="19" t="s">
        <v>1039</v>
      </c>
      <c r="C553">
        <v>21</v>
      </c>
      <c r="D553" s="19" t="s">
        <v>536</v>
      </c>
      <c r="E553" s="19" t="s">
        <v>334</v>
      </c>
      <c r="F553">
        <v>24</v>
      </c>
      <c r="G553">
        <v>4</v>
      </c>
      <c r="H553">
        <v>2</v>
      </c>
      <c r="I553">
        <v>6</v>
      </c>
      <c r="J553">
        <v>1</v>
      </c>
      <c r="K553">
        <v>6</v>
      </c>
      <c r="L553">
        <v>3</v>
      </c>
      <c r="M553">
        <v>1</v>
      </c>
      <c r="N553">
        <v>0</v>
      </c>
      <c r="O553">
        <v>0</v>
      </c>
      <c r="P553">
        <v>1</v>
      </c>
      <c r="Q553">
        <v>1</v>
      </c>
      <c r="R553">
        <v>0</v>
      </c>
      <c r="S553">
        <v>31</v>
      </c>
      <c r="T553">
        <v>12.9</v>
      </c>
      <c r="U553">
        <v>68</v>
      </c>
      <c r="V553" s="19" t="s">
        <v>1870</v>
      </c>
      <c r="W553" s="19" t="s">
        <v>1715</v>
      </c>
      <c r="X553">
        <v>2</v>
      </c>
      <c r="Y553">
        <v>4</v>
      </c>
      <c r="Z553">
        <v>33.299999999999997</v>
      </c>
      <c r="AA553">
        <v>4</v>
      </c>
      <c r="AB553">
        <v>20</v>
      </c>
      <c r="AC553">
        <v>1</v>
      </c>
      <c r="AD553">
        <v>13</v>
      </c>
      <c r="AE553" s="19" t="s">
        <v>60</v>
      </c>
    </row>
    <row r="554" spans="1:31" x14ac:dyDescent="0.2">
      <c r="A554">
        <v>533</v>
      </c>
      <c r="B554" s="19" t="s">
        <v>969</v>
      </c>
      <c r="C554">
        <v>33</v>
      </c>
      <c r="D554" s="19" t="s">
        <v>345</v>
      </c>
      <c r="E554" s="19" t="s">
        <v>339</v>
      </c>
      <c r="F554">
        <v>33</v>
      </c>
      <c r="G554">
        <v>4</v>
      </c>
      <c r="H554">
        <v>2</v>
      </c>
      <c r="I554">
        <v>6</v>
      </c>
      <c r="J554">
        <v>3</v>
      </c>
      <c r="K554">
        <v>23</v>
      </c>
      <c r="L554">
        <v>4</v>
      </c>
      <c r="M554">
        <v>0</v>
      </c>
      <c r="N554">
        <v>0</v>
      </c>
      <c r="O554">
        <v>1</v>
      </c>
      <c r="P554">
        <v>2</v>
      </c>
      <c r="Q554">
        <v>0</v>
      </c>
      <c r="R554">
        <v>0</v>
      </c>
      <c r="S554">
        <v>28</v>
      </c>
      <c r="T554">
        <v>14.3</v>
      </c>
      <c r="U554">
        <v>53</v>
      </c>
      <c r="V554" s="19" t="s">
        <v>2609</v>
      </c>
      <c r="W554" s="19" t="s">
        <v>2610</v>
      </c>
      <c r="X554">
        <v>4</v>
      </c>
      <c r="Y554">
        <v>6</v>
      </c>
      <c r="Z554">
        <v>40</v>
      </c>
      <c r="AA554">
        <v>20</v>
      </c>
      <c r="AB554">
        <v>40</v>
      </c>
      <c r="AC554">
        <v>3</v>
      </c>
      <c r="AD554">
        <v>18</v>
      </c>
      <c r="AE554" s="19" t="s">
        <v>60</v>
      </c>
    </row>
    <row r="555" spans="1:31" x14ac:dyDescent="0.2">
      <c r="A555">
        <v>534</v>
      </c>
      <c r="B555" s="19" t="s">
        <v>456</v>
      </c>
      <c r="C555">
        <v>21</v>
      </c>
      <c r="D555" s="19" t="s">
        <v>451</v>
      </c>
      <c r="E555" s="19" t="s">
        <v>348</v>
      </c>
      <c r="F555">
        <v>35</v>
      </c>
      <c r="G555">
        <v>1</v>
      </c>
      <c r="H555">
        <v>5</v>
      </c>
      <c r="I555">
        <v>6</v>
      </c>
      <c r="J555">
        <v>-2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20</v>
      </c>
      <c r="T555">
        <v>5</v>
      </c>
      <c r="U555">
        <v>73</v>
      </c>
      <c r="V555" s="19" t="s">
        <v>2611</v>
      </c>
      <c r="W555" s="19" t="s">
        <v>2612</v>
      </c>
      <c r="X555">
        <v>0</v>
      </c>
      <c r="Y555">
        <v>0</v>
      </c>
      <c r="AA555">
        <v>38</v>
      </c>
      <c r="AB555">
        <v>57</v>
      </c>
      <c r="AC555">
        <v>8</v>
      </c>
      <c r="AD555">
        <v>34</v>
      </c>
      <c r="AE555" s="19" t="s">
        <v>60</v>
      </c>
    </row>
    <row r="556" spans="1:31" x14ac:dyDescent="0.2">
      <c r="A556">
        <v>535</v>
      </c>
      <c r="B556" s="19" t="s">
        <v>974</v>
      </c>
      <c r="C556">
        <v>32</v>
      </c>
      <c r="D556" s="19" t="s">
        <v>398</v>
      </c>
      <c r="E556" s="19" t="s">
        <v>348</v>
      </c>
      <c r="F556">
        <v>27</v>
      </c>
      <c r="G556">
        <v>1</v>
      </c>
      <c r="H556">
        <v>5</v>
      </c>
      <c r="I556">
        <v>6</v>
      </c>
      <c r="J556">
        <v>6</v>
      </c>
      <c r="K556">
        <v>8</v>
      </c>
      <c r="L556">
        <v>0</v>
      </c>
      <c r="M556">
        <v>0</v>
      </c>
      <c r="N556">
        <v>1</v>
      </c>
      <c r="O556">
        <v>0</v>
      </c>
      <c r="P556">
        <v>5</v>
      </c>
      <c r="Q556">
        <v>0</v>
      </c>
      <c r="R556">
        <v>0</v>
      </c>
      <c r="S556">
        <v>43</v>
      </c>
      <c r="T556">
        <v>2.2999999999999998</v>
      </c>
      <c r="U556">
        <v>103</v>
      </c>
      <c r="V556" s="19" t="s">
        <v>2613</v>
      </c>
      <c r="W556" s="19" t="s">
        <v>1030</v>
      </c>
      <c r="X556">
        <v>0</v>
      </c>
      <c r="Y556">
        <v>0</v>
      </c>
      <c r="AA556">
        <v>25</v>
      </c>
      <c r="AB556">
        <v>13</v>
      </c>
      <c r="AC556">
        <v>3</v>
      </c>
      <c r="AD556">
        <v>18</v>
      </c>
      <c r="AE556" s="19" t="s">
        <v>60</v>
      </c>
    </row>
    <row r="557" spans="1:31" x14ac:dyDescent="0.2">
      <c r="A557">
        <v>536</v>
      </c>
      <c r="B557" s="19" t="s">
        <v>925</v>
      </c>
      <c r="C557">
        <v>31</v>
      </c>
      <c r="D557" s="19" t="s">
        <v>361</v>
      </c>
      <c r="E557" s="19" t="s">
        <v>348</v>
      </c>
      <c r="F557">
        <v>38</v>
      </c>
      <c r="G557">
        <v>3</v>
      </c>
      <c r="H557">
        <v>3</v>
      </c>
      <c r="I557">
        <v>6</v>
      </c>
      <c r="J557">
        <v>7</v>
      </c>
      <c r="K557">
        <v>14</v>
      </c>
      <c r="L557">
        <v>3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33</v>
      </c>
      <c r="T557">
        <v>9.1</v>
      </c>
      <c r="U557">
        <v>81</v>
      </c>
      <c r="V557" s="19" t="s">
        <v>2614</v>
      </c>
      <c r="W557" s="19" t="s">
        <v>2527</v>
      </c>
      <c r="X557">
        <v>0</v>
      </c>
      <c r="Y557">
        <v>0</v>
      </c>
      <c r="AA557">
        <v>50</v>
      </c>
      <c r="AB557">
        <v>58</v>
      </c>
      <c r="AC557">
        <v>10</v>
      </c>
      <c r="AD557">
        <v>37</v>
      </c>
      <c r="AE557" s="19" t="s">
        <v>60</v>
      </c>
    </row>
    <row r="558" spans="1:31" x14ac:dyDescent="0.2">
      <c r="A558">
        <v>537</v>
      </c>
      <c r="B558" s="19" t="s">
        <v>977</v>
      </c>
      <c r="C558">
        <v>32</v>
      </c>
      <c r="D558" s="19" t="s">
        <v>336</v>
      </c>
      <c r="E558" s="19" t="s">
        <v>322</v>
      </c>
      <c r="F558">
        <v>21</v>
      </c>
      <c r="G558">
        <v>2</v>
      </c>
      <c r="H558">
        <v>4</v>
      </c>
      <c r="I558">
        <v>6</v>
      </c>
      <c r="J558">
        <v>0</v>
      </c>
      <c r="K558">
        <v>14</v>
      </c>
      <c r="L558">
        <v>1</v>
      </c>
      <c r="M558">
        <v>1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25</v>
      </c>
      <c r="T558">
        <v>8</v>
      </c>
      <c r="U558">
        <v>54</v>
      </c>
      <c r="V558" s="19" t="s">
        <v>2615</v>
      </c>
      <c r="W558" s="19" t="s">
        <v>1841</v>
      </c>
      <c r="X558">
        <v>72</v>
      </c>
      <c r="Y558">
        <v>90</v>
      </c>
      <c r="Z558">
        <v>44.4</v>
      </c>
      <c r="AA558">
        <v>3</v>
      </c>
      <c r="AB558">
        <v>8</v>
      </c>
      <c r="AC558">
        <v>2</v>
      </c>
      <c r="AD558">
        <v>12</v>
      </c>
      <c r="AE558" s="19" t="s">
        <v>60</v>
      </c>
    </row>
    <row r="559" spans="1:31" x14ac:dyDescent="0.2">
      <c r="A559">
        <v>538</v>
      </c>
      <c r="B559" s="19" t="s">
        <v>1054</v>
      </c>
      <c r="C559">
        <v>24</v>
      </c>
      <c r="D559" s="19" t="s">
        <v>363</v>
      </c>
      <c r="E559" s="19" t="s">
        <v>348</v>
      </c>
      <c r="F559">
        <v>31</v>
      </c>
      <c r="G559">
        <v>0</v>
      </c>
      <c r="H559">
        <v>6</v>
      </c>
      <c r="I559">
        <v>6</v>
      </c>
      <c r="J559">
        <v>-5</v>
      </c>
      <c r="K559">
        <v>34</v>
      </c>
      <c r="L559">
        <v>0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11</v>
      </c>
      <c r="T559">
        <v>0</v>
      </c>
      <c r="U559">
        <v>51</v>
      </c>
      <c r="V559" s="19" t="s">
        <v>1919</v>
      </c>
      <c r="W559" s="19" t="s">
        <v>1080</v>
      </c>
      <c r="X559">
        <v>0</v>
      </c>
      <c r="Y559">
        <v>0</v>
      </c>
      <c r="AA559">
        <v>15</v>
      </c>
      <c r="AB559">
        <v>55</v>
      </c>
      <c r="AC559">
        <v>5</v>
      </c>
      <c r="AD559">
        <v>34</v>
      </c>
      <c r="AE559" s="19" t="s">
        <v>60</v>
      </c>
    </row>
    <row r="560" spans="1:31" x14ac:dyDescent="0.2">
      <c r="A560">
        <v>539</v>
      </c>
      <c r="B560" s="19" t="s">
        <v>1196</v>
      </c>
      <c r="C560">
        <v>30</v>
      </c>
      <c r="D560" s="19" t="s">
        <v>357</v>
      </c>
      <c r="E560" s="19" t="s">
        <v>322</v>
      </c>
      <c r="F560">
        <v>19</v>
      </c>
      <c r="G560">
        <v>2</v>
      </c>
      <c r="H560">
        <v>4</v>
      </c>
      <c r="I560">
        <v>6</v>
      </c>
      <c r="J560">
        <v>2</v>
      </c>
      <c r="K560">
        <v>2</v>
      </c>
      <c r="L560">
        <v>2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20</v>
      </c>
      <c r="T560">
        <v>10</v>
      </c>
      <c r="U560">
        <v>34</v>
      </c>
      <c r="V560" s="19" t="s">
        <v>2616</v>
      </c>
      <c r="W560" s="19" t="s">
        <v>1713</v>
      </c>
      <c r="X560">
        <v>86</v>
      </c>
      <c r="Y560">
        <v>81</v>
      </c>
      <c r="Z560">
        <v>51.5</v>
      </c>
      <c r="AA560">
        <v>10</v>
      </c>
      <c r="AB560">
        <v>21</v>
      </c>
      <c r="AC560">
        <v>3</v>
      </c>
      <c r="AD560">
        <v>7</v>
      </c>
      <c r="AE560" s="19" t="s">
        <v>60</v>
      </c>
    </row>
    <row r="561" spans="1:31" x14ac:dyDescent="0.2">
      <c r="A561">
        <v>540</v>
      </c>
      <c r="B561" s="19" t="s">
        <v>927</v>
      </c>
      <c r="C561">
        <v>27</v>
      </c>
      <c r="D561" s="19" t="s">
        <v>430</v>
      </c>
      <c r="E561" s="19" t="s">
        <v>348</v>
      </c>
      <c r="F561">
        <v>33</v>
      </c>
      <c r="G561">
        <v>0</v>
      </c>
      <c r="H561">
        <v>6</v>
      </c>
      <c r="I561">
        <v>6</v>
      </c>
      <c r="J561">
        <v>-11</v>
      </c>
      <c r="K561">
        <v>16</v>
      </c>
      <c r="L561">
        <v>0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33</v>
      </c>
      <c r="T561">
        <v>0</v>
      </c>
      <c r="U561">
        <v>90</v>
      </c>
      <c r="V561" s="19" t="s">
        <v>1733</v>
      </c>
      <c r="W561" s="19" t="s">
        <v>1155</v>
      </c>
      <c r="X561">
        <v>0</v>
      </c>
      <c r="Y561">
        <v>0</v>
      </c>
      <c r="AA561">
        <v>70</v>
      </c>
      <c r="AB561">
        <v>25</v>
      </c>
      <c r="AC561">
        <v>8</v>
      </c>
      <c r="AD561">
        <v>40</v>
      </c>
      <c r="AE561" s="19" t="s">
        <v>60</v>
      </c>
    </row>
    <row r="562" spans="1:31" x14ac:dyDescent="0.2">
      <c r="A562">
        <v>541</v>
      </c>
      <c r="B562" s="19" t="s">
        <v>1056</v>
      </c>
      <c r="C562">
        <v>25</v>
      </c>
      <c r="D562" s="19" t="s">
        <v>519</v>
      </c>
      <c r="E562" s="19" t="s">
        <v>348</v>
      </c>
      <c r="F562">
        <v>36</v>
      </c>
      <c r="G562">
        <v>1</v>
      </c>
      <c r="H562">
        <v>5</v>
      </c>
      <c r="I562">
        <v>6</v>
      </c>
      <c r="J562">
        <v>-6</v>
      </c>
      <c r="K562">
        <v>43</v>
      </c>
      <c r="L562">
        <v>1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38</v>
      </c>
      <c r="T562">
        <v>2.6</v>
      </c>
      <c r="U562">
        <v>84</v>
      </c>
      <c r="V562" s="19" t="s">
        <v>1731</v>
      </c>
      <c r="W562" s="19" t="s">
        <v>509</v>
      </c>
      <c r="X562">
        <v>0</v>
      </c>
      <c r="Y562">
        <v>0</v>
      </c>
      <c r="AA562">
        <v>27</v>
      </c>
      <c r="AB562">
        <v>42</v>
      </c>
      <c r="AC562">
        <v>4</v>
      </c>
      <c r="AD562">
        <v>32</v>
      </c>
      <c r="AE562" s="19" t="s">
        <v>60</v>
      </c>
    </row>
    <row r="563" spans="1:31" x14ac:dyDescent="0.2">
      <c r="A563">
        <v>542</v>
      </c>
      <c r="B563" s="19" t="s">
        <v>929</v>
      </c>
      <c r="C563">
        <v>24</v>
      </c>
      <c r="D563" s="19" t="s">
        <v>421</v>
      </c>
      <c r="E563" s="19" t="s">
        <v>322</v>
      </c>
      <c r="F563">
        <v>38</v>
      </c>
      <c r="G563">
        <v>2</v>
      </c>
      <c r="H563">
        <v>4</v>
      </c>
      <c r="I563">
        <v>6</v>
      </c>
      <c r="J563">
        <v>-6</v>
      </c>
      <c r="K563">
        <v>17</v>
      </c>
      <c r="L563">
        <v>2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5.6</v>
      </c>
      <c r="U563">
        <v>74</v>
      </c>
      <c r="V563" s="19" t="s">
        <v>1950</v>
      </c>
      <c r="W563" s="19" t="s">
        <v>2617</v>
      </c>
      <c r="X563">
        <v>159</v>
      </c>
      <c r="Y563">
        <v>126</v>
      </c>
      <c r="Z563">
        <v>55.8</v>
      </c>
      <c r="AA563">
        <v>18</v>
      </c>
      <c r="AB563">
        <v>16</v>
      </c>
      <c r="AC563">
        <v>6</v>
      </c>
      <c r="AD563">
        <v>18</v>
      </c>
      <c r="AE563" s="19" t="s">
        <v>60</v>
      </c>
    </row>
    <row r="564" spans="1:31" x14ac:dyDescent="0.2">
      <c r="A564">
        <v>543</v>
      </c>
      <c r="B564" s="19" t="s">
        <v>1057</v>
      </c>
      <c r="C564">
        <v>31</v>
      </c>
      <c r="D564" s="19" t="s">
        <v>336</v>
      </c>
      <c r="E564" s="19" t="s">
        <v>339</v>
      </c>
      <c r="F564">
        <v>38</v>
      </c>
      <c r="G564">
        <v>3</v>
      </c>
      <c r="H564">
        <v>3</v>
      </c>
      <c r="I564">
        <v>6</v>
      </c>
      <c r="J564">
        <v>-10</v>
      </c>
      <c r="K564">
        <v>36</v>
      </c>
      <c r="L564">
        <v>3</v>
      </c>
      <c r="M564">
        <v>0</v>
      </c>
      <c r="N564">
        <v>0</v>
      </c>
      <c r="O564">
        <v>1</v>
      </c>
      <c r="P564">
        <v>2</v>
      </c>
      <c r="Q564">
        <v>1</v>
      </c>
      <c r="R564">
        <v>0</v>
      </c>
      <c r="S564">
        <v>68</v>
      </c>
      <c r="T564">
        <v>4.4000000000000004</v>
      </c>
      <c r="U564">
        <v>118</v>
      </c>
      <c r="V564" s="19" t="s">
        <v>1928</v>
      </c>
      <c r="W564" s="19" t="s">
        <v>1021</v>
      </c>
      <c r="X564">
        <v>5</v>
      </c>
      <c r="Y564">
        <v>8</v>
      </c>
      <c r="Z564">
        <v>38.5</v>
      </c>
      <c r="AA564">
        <v>24</v>
      </c>
      <c r="AB564">
        <v>67</v>
      </c>
      <c r="AC564">
        <v>5</v>
      </c>
      <c r="AD564">
        <v>15</v>
      </c>
      <c r="AE564" s="19" t="s">
        <v>60</v>
      </c>
    </row>
    <row r="565" spans="1:31" x14ac:dyDescent="0.2">
      <c r="A565">
        <v>544</v>
      </c>
      <c r="B565" s="19" t="s">
        <v>1131</v>
      </c>
      <c r="C565">
        <v>25</v>
      </c>
      <c r="D565" s="19" t="s">
        <v>464</v>
      </c>
      <c r="E565" s="19" t="s">
        <v>348</v>
      </c>
      <c r="F565">
        <v>30</v>
      </c>
      <c r="G565">
        <v>1</v>
      </c>
      <c r="H565">
        <v>5</v>
      </c>
      <c r="I565">
        <v>6</v>
      </c>
      <c r="J565">
        <v>-1</v>
      </c>
      <c r="K565">
        <v>14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25</v>
      </c>
      <c r="T565">
        <v>4</v>
      </c>
      <c r="U565">
        <v>63</v>
      </c>
      <c r="V565" s="19" t="s">
        <v>2618</v>
      </c>
      <c r="W565" s="19" t="s">
        <v>1880</v>
      </c>
      <c r="X565">
        <v>0</v>
      </c>
      <c r="Y565">
        <v>0</v>
      </c>
      <c r="AA565">
        <v>24</v>
      </c>
      <c r="AB565">
        <v>12</v>
      </c>
      <c r="AC565">
        <v>8</v>
      </c>
      <c r="AD565">
        <v>25</v>
      </c>
      <c r="AE565" s="19" t="s">
        <v>60</v>
      </c>
    </row>
    <row r="566" spans="1:31" x14ac:dyDescent="0.2">
      <c r="A566">
        <v>545</v>
      </c>
      <c r="B566" s="19" t="s">
        <v>931</v>
      </c>
      <c r="C566">
        <v>25</v>
      </c>
      <c r="D566" s="19" t="s">
        <v>451</v>
      </c>
      <c r="E566" s="19" t="s">
        <v>325</v>
      </c>
      <c r="F566">
        <v>26</v>
      </c>
      <c r="G566">
        <v>1</v>
      </c>
      <c r="H566">
        <v>4</v>
      </c>
      <c r="I566">
        <v>5</v>
      </c>
      <c r="J566">
        <v>0</v>
      </c>
      <c r="K566">
        <v>12</v>
      </c>
      <c r="L566">
        <v>1</v>
      </c>
      <c r="M566">
        <v>0</v>
      </c>
      <c r="N566">
        <v>0</v>
      </c>
      <c r="O566">
        <v>0</v>
      </c>
      <c r="P566">
        <v>3</v>
      </c>
      <c r="Q566">
        <v>1</v>
      </c>
      <c r="R566">
        <v>0</v>
      </c>
      <c r="S566">
        <v>14</v>
      </c>
      <c r="T566">
        <v>7.1</v>
      </c>
      <c r="U566">
        <v>26</v>
      </c>
      <c r="V566" s="19" t="s">
        <v>1651</v>
      </c>
      <c r="W566" s="19" t="s">
        <v>847</v>
      </c>
      <c r="X566">
        <v>2</v>
      </c>
      <c r="Y566">
        <v>12</v>
      </c>
      <c r="Z566">
        <v>14.3</v>
      </c>
      <c r="AA566">
        <v>5</v>
      </c>
      <c r="AB566">
        <v>22</v>
      </c>
      <c r="AC566">
        <v>6</v>
      </c>
      <c r="AD566">
        <v>9</v>
      </c>
      <c r="AE566" s="19" t="s">
        <v>60</v>
      </c>
    </row>
    <row r="567" spans="1:31" x14ac:dyDescent="0.2">
      <c r="A567">
        <v>546</v>
      </c>
      <c r="B567" s="19" t="s">
        <v>933</v>
      </c>
      <c r="C567">
        <v>24</v>
      </c>
      <c r="D567" s="19" t="s">
        <v>321</v>
      </c>
      <c r="E567" s="19" t="s">
        <v>322</v>
      </c>
      <c r="F567">
        <v>26</v>
      </c>
      <c r="G567">
        <v>1</v>
      </c>
      <c r="H567">
        <v>4</v>
      </c>
      <c r="I567">
        <v>5</v>
      </c>
      <c r="J567">
        <v>3</v>
      </c>
      <c r="K567">
        <v>2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18</v>
      </c>
      <c r="T567">
        <v>5.6</v>
      </c>
      <c r="U567">
        <v>35</v>
      </c>
      <c r="V567" s="19" t="s">
        <v>2619</v>
      </c>
      <c r="W567" s="19" t="s">
        <v>2620</v>
      </c>
      <c r="X567">
        <v>54</v>
      </c>
      <c r="Y567">
        <v>75</v>
      </c>
      <c r="Z567">
        <v>41.9</v>
      </c>
      <c r="AA567">
        <v>10</v>
      </c>
      <c r="AB567">
        <v>23</v>
      </c>
      <c r="AC567">
        <v>3</v>
      </c>
      <c r="AD567">
        <v>15</v>
      </c>
      <c r="AE567" s="19" t="s">
        <v>60</v>
      </c>
    </row>
    <row r="568" spans="1:31" x14ac:dyDescent="0.2">
      <c r="A568">
        <v>547</v>
      </c>
      <c r="B568" s="19" t="s">
        <v>934</v>
      </c>
      <c r="C568">
        <v>33</v>
      </c>
      <c r="D568" s="19" t="s">
        <v>519</v>
      </c>
      <c r="E568" s="19" t="s">
        <v>322</v>
      </c>
      <c r="F568">
        <v>25</v>
      </c>
      <c r="G568">
        <v>4</v>
      </c>
      <c r="H568">
        <v>1</v>
      </c>
      <c r="I568">
        <v>5</v>
      </c>
      <c r="J568">
        <v>-4</v>
      </c>
      <c r="K568">
        <v>12</v>
      </c>
      <c r="L568">
        <v>4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39</v>
      </c>
      <c r="T568">
        <v>10.3</v>
      </c>
      <c r="U568">
        <v>64</v>
      </c>
      <c r="V568" s="19" t="s">
        <v>1613</v>
      </c>
      <c r="W568" s="19" t="s">
        <v>1614</v>
      </c>
      <c r="X568">
        <v>74</v>
      </c>
      <c r="Y568">
        <v>68</v>
      </c>
      <c r="Z568">
        <v>52.1</v>
      </c>
      <c r="AA568">
        <v>18</v>
      </c>
      <c r="AB568">
        <v>52</v>
      </c>
      <c r="AC568">
        <v>2</v>
      </c>
      <c r="AD568">
        <v>4</v>
      </c>
      <c r="AE568" s="19" t="s">
        <v>60</v>
      </c>
    </row>
    <row r="569" spans="1:31" x14ac:dyDescent="0.2">
      <c r="A569">
        <v>548</v>
      </c>
      <c r="B569" s="19" t="s">
        <v>936</v>
      </c>
      <c r="C569">
        <v>20</v>
      </c>
      <c r="D569" s="19" t="s">
        <v>536</v>
      </c>
      <c r="E569" s="19" t="s">
        <v>325</v>
      </c>
      <c r="F569">
        <v>25</v>
      </c>
      <c r="G569">
        <v>0</v>
      </c>
      <c r="H569">
        <v>5</v>
      </c>
      <c r="I569">
        <v>5</v>
      </c>
      <c r="J569">
        <v>-2</v>
      </c>
      <c r="K569">
        <v>8</v>
      </c>
      <c r="L569">
        <v>0</v>
      </c>
      <c r="M569">
        <v>0</v>
      </c>
      <c r="N569">
        <v>0</v>
      </c>
      <c r="O569">
        <v>0</v>
      </c>
      <c r="P569">
        <v>4</v>
      </c>
      <c r="Q569">
        <v>1</v>
      </c>
      <c r="R569">
        <v>0</v>
      </c>
      <c r="S569">
        <v>25</v>
      </c>
      <c r="T569">
        <v>0</v>
      </c>
      <c r="U569">
        <v>53</v>
      </c>
      <c r="V569" s="19" t="s">
        <v>2621</v>
      </c>
      <c r="W569" s="19" t="s">
        <v>2351</v>
      </c>
      <c r="X569">
        <v>27</v>
      </c>
      <c r="Y569">
        <v>34</v>
      </c>
      <c r="Z569">
        <v>44.3</v>
      </c>
      <c r="AA569">
        <v>16</v>
      </c>
      <c r="AB569">
        <v>3</v>
      </c>
      <c r="AC569">
        <v>7</v>
      </c>
      <c r="AD569">
        <v>12</v>
      </c>
      <c r="AE569" s="19" t="s">
        <v>60</v>
      </c>
    </row>
    <row r="570" spans="1:31" x14ac:dyDescent="0.2">
      <c r="A570">
        <v>549</v>
      </c>
      <c r="B570" s="19" t="s">
        <v>937</v>
      </c>
      <c r="C570">
        <v>32</v>
      </c>
      <c r="D570" s="19" t="s">
        <v>984</v>
      </c>
      <c r="E570" s="19" t="s">
        <v>322</v>
      </c>
      <c r="F570">
        <v>34</v>
      </c>
      <c r="G570">
        <v>0</v>
      </c>
      <c r="H570">
        <v>5</v>
      </c>
      <c r="I570">
        <v>5</v>
      </c>
      <c r="J570">
        <v>1</v>
      </c>
      <c r="K570">
        <v>6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1</v>
      </c>
      <c r="S570">
        <v>45</v>
      </c>
      <c r="T570">
        <v>0</v>
      </c>
      <c r="U570">
        <v>98</v>
      </c>
      <c r="V570" s="19" t="s">
        <v>2622</v>
      </c>
      <c r="W570" s="19" t="s">
        <v>1631</v>
      </c>
      <c r="X570">
        <v>256</v>
      </c>
      <c r="Y570">
        <v>222</v>
      </c>
      <c r="Z570">
        <v>53.6</v>
      </c>
      <c r="AA570">
        <v>12</v>
      </c>
      <c r="AB570">
        <v>28</v>
      </c>
      <c r="AC570">
        <v>5</v>
      </c>
      <c r="AD570">
        <v>28</v>
      </c>
      <c r="AE570" s="19" t="s">
        <v>60</v>
      </c>
    </row>
    <row r="571" spans="1:31" x14ac:dyDescent="0.2">
      <c r="A571">
        <v>549</v>
      </c>
      <c r="B571" s="19" t="s">
        <v>937</v>
      </c>
      <c r="C571">
        <v>32</v>
      </c>
      <c r="D571" s="19" t="s">
        <v>421</v>
      </c>
      <c r="E571" s="19" t="s">
        <v>322</v>
      </c>
      <c r="F571">
        <v>30</v>
      </c>
      <c r="G571">
        <v>0</v>
      </c>
      <c r="H571">
        <v>5</v>
      </c>
      <c r="I571">
        <v>5</v>
      </c>
      <c r="J571">
        <v>3</v>
      </c>
      <c r="K571">
        <v>6</v>
      </c>
      <c r="L571">
        <v>0</v>
      </c>
      <c r="M571">
        <v>0</v>
      </c>
      <c r="N571">
        <v>0</v>
      </c>
      <c r="O571">
        <v>0</v>
      </c>
      <c r="P571">
        <v>4</v>
      </c>
      <c r="Q571">
        <v>0</v>
      </c>
      <c r="R571">
        <v>1</v>
      </c>
      <c r="S571">
        <v>42</v>
      </c>
      <c r="T571">
        <v>0</v>
      </c>
      <c r="U571">
        <v>88</v>
      </c>
      <c r="V571" s="19" t="s">
        <v>1630</v>
      </c>
      <c r="W571" s="19" t="s">
        <v>1631</v>
      </c>
      <c r="X571">
        <v>219</v>
      </c>
      <c r="Y571">
        <v>195</v>
      </c>
      <c r="Z571">
        <v>52.9</v>
      </c>
      <c r="AA571">
        <v>11</v>
      </c>
      <c r="AB571">
        <v>22</v>
      </c>
      <c r="AC571">
        <v>4</v>
      </c>
      <c r="AD571">
        <v>25</v>
      </c>
      <c r="AE571" s="19" t="s">
        <v>60</v>
      </c>
    </row>
    <row r="572" spans="1:31" x14ac:dyDescent="0.2">
      <c r="A572">
        <v>549</v>
      </c>
      <c r="B572" s="19" t="s">
        <v>937</v>
      </c>
      <c r="C572">
        <v>32</v>
      </c>
      <c r="D572" s="19" t="s">
        <v>363</v>
      </c>
      <c r="E572" s="19" t="s">
        <v>322</v>
      </c>
      <c r="F572">
        <v>4</v>
      </c>
      <c r="G572">
        <v>0</v>
      </c>
      <c r="H572">
        <v>0</v>
      </c>
      <c r="I572">
        <v>0</v>
      </c>
      <c r="J572">
        <v>-2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3</v>
      </c>
      <c r="T572">
        <v>0</v>
      </c>
      <c r="U572">
        <v>10</v>
      </c>
      <c r="V572" s="19" t="s">
        <v>2623</v>
      </c>
      <c r="W572" s="19" t="s">
        <v>1780</v>
      </c>
      <c r="X572">
        <v>37</v>
      </c>
      <c r="Y572">
        <v>27</v>
      </c>
      <c r="Z572">
        <v>57.8</v>
      </c>
      <c r="AA572">
        <v>1</v>
      </c>
      <c r="AB572">
        <v>6</v>
      </c>
      <c r="AC572">
        <v>1</v>
      </c>
      <c r="AD572">
        <v>3</v>
      </c>
      <c r="AE572" s="19" t="s">
        <v>60</v>
      </c>
    </row>
    <row r="573" spans="1:31" x14ac:dyDescent="0.2">
      <c r="A573">
        <v>550</v>
      </c>
      <c r="B573" s="19" t="s">
        <v>1017</v>
      </c>
      <c r="C573">
        <v>33</v>
      </c>
      <c r="D573" s="19" t="s">
        <v>375</v>
      </c>
      <c r="E573" s="19" t="s">
        <v>334</v>
      </c>
      <c r="F573">
        <v>21</v>
      </c>
      <c r="G573">
        <v>3</v>
      </c>
      <c r="H573">
        <v>2</v>
      </c>
      <c r="I573">
        <v>5</v>
      </c>
      <c r="J573">
        <v>-4</v>
      </c>
      <c r="K573">
        <v>4</v>
      </c>
      <c r="L573">
        <v>3</v>
      </c>
      <c r="M573">
        <v>0</v>
      </c>
      <c r="N573">
        <v>0</v>
      </c>
      <c r="O573">
        <v>1</v>
      </c>
      <c r="P573">
        <v>2</v>
      </c>
      <c r="Q573">
        <v>0</v>
      </c>
      <c r="R573">
        <v>0</v>
      </c>
      <c r="S573">
        <v>37</v>
      </c>
      <c r="T573">
        <v>8.1</v>
      </c>
      <c r="U573">
        <v>59</v>
      </c>
      <c r="V573" s="19" t="s">
        <v>1890</v>
      </c>
      <c r="W573" s="19" t="s">
        <v>1597</v>
      </c>
      <c r="X573">
        <v>33</v>
      </c>
      <c r="Y573">
        <v>52</v>
      </c>
      <c r="Z573">
        <v>38.799999999999997</v>
      </c>
      <c r="AA573">
        <v>7</v>
      </c>
      <c r="AB573">
        <v>25</v>
      </c>
      <c r="AC573">
        <v>3</v>
      </c>
      <c r="AD573">
        <v>15</v>
      </c>
      <c r="AE573" s="19" t="s">
        <v>60</v>
      </c>
    </row>
    <row r="574" spans="1:31" x14ac:dyDescent="0.2">
      <c r="A574">
        <v>551</v>
      </c>
      <c r="B574" s="19" t="s">
        <v>1023</v>
      </c>
      <c r="C574">
        <v>34</v>
      </c>
      <c r="D574" s="19" t="s">
        <v>359</v>
      </c>
      <c r="E574" s="19" t="s">
        <v>322</v>
      </c>
      <c r="F574">
        <v>24</v>
      </c>
      <c r="G574">
        <v>5</v>
      </c>
      <c r="H574">
        <v>0</v>
      </c>
      <c r="I574">
        <v>5</v>
      </c>
      <c r="J574">
        <v>-7</v>
      </c>
      <c r="K574">
        <v>4</v>
      </c>
      <c r="L574">
        <v>5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24</v>
      </c>
      <c r="T574">
        <v>20.8</v>
      </c>
      <c r="U574">
        <v>35</v>
      </c>
      <c r="V574" s="19" t="s">
        <v>2624</v>
      </c>
      <c r="W574" s="19" t="s">
        <v>714</v>
      </c>
      <c r="X574">
        <v>8</v>
      </c>
      <c r="Y574">
        <v>4</v>
      </c>
      <c r="Z574">
        <v>66.7</v>
      </c>
      <c r="AA574">
        <v>3</v>
      </c>
      <c r="AB574">
        <v>16</v>
      </c>
      <c r="AC574">
        <v>2</v>
      </c>
      <c r="AD574">
        <v>7</v>
      </c>
      <c r="AE574" s="19" t="s">
        <v>60</v>
      </c>
    </row>
    <row r="575" spans="1:31" x14ac:dyDescent="0.2">
      <c r="A575">
        <v>552</v>
      </c>
      <c r="B575" s="19" t="s">
        <v>1096</v>
      </c>
      <c r="C575">
        <v>25</v>
      </c>
      <c r="D575" s="19" t="s">
        <v>370</v>
      </c>
      <c r="E575" s="19" t="s">
        <v>348</v>
      </c>
      <c r="F575">
        <v>42</v>
      </c>
      <c r="G575">
        <v>0</v>
      </c>
      <c r="H575">
        <v>5</v>
      </c>
      <c r="I575">
        <v>5</v>
      </c>
      <c r="J575">
        <v>-13</v>
      </c>
      <c r="K575">
        <v>4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29</v>
      </c>
      <c r="T575">
        <v>0</v>
      </c>
      <c r="U575">
        <v>94</v>
      </c>
      <c r="V575" s="19" t="s">
        <v>2625</v>
      </c>
      <c r="W575" s="19" t="s">
        <v>1797</v>
      </c>
      <c r="X575">
        <v>0</v>
      </c>
      <c r="Y575">
        <v>0</v>
      </c>
      <c r="AA575">
        <v>59</v>
      </c>
      <c r="AB575">
        <v>35</v>
      </c>
      <c r="AC575">
        <v>10</v>
      </c>
      <c r="AD575">
        <v>34</v>
      </c>
      <c r="AE575" s="19" t="s">
        <v>60</v>
      </c>
    </row>
    <row r="576" spans="1:31" x14ac:dyDescent="0.2">
      <c r="A576">
        <v>553</v>
      </c>
      <c r="B576" s="19" t="s">
        <v>1097</v>
      </c>
      <c r="C576">
        <v>28</v>
      </c>
      <c r="D576" s="19" t="s">
        <v>408</v>
      </c>
      <c r="E576" s="19" t="s">
        <v>348</v>
      </c>
      <c r="F576">
        <v>28</v>
      </c>
      <c r="G576">
        <v>1</v>
      </c>
      <c r="H576">
        <v>4</v>
      </c>
      <c r="I576">
        <v>5</v>
      </c>
      <c r="J576">
        <v>2</v>
      </c>
      <c r="K576">
        <v>8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19</v>
      </c>
      <c r="T576">
        <v>5.3</v>
      </c>
      <c r="U576">
        <v>46</v>
      </c>
      <c r="V576" s="19" t="s">
        <v>2626</v>
      </c>
      <c r="W576" s="19" t="s">
        <v>1874</v>
      </c>
      <c r="X576">
        <v>0</v>
      </c>
      <c r="Y576">
        <v>0</v>
      </c>
      <c r="AA576">
        <v>19</v>
      </c>
      <c r="AB576">
        <v>54</v>
      </c>
      <c r="AC576">
        <v>3</v>
      </c>
      <c r="AD576">
        <v>27</v>
      </c>
      <c r="AE576" s="19" t="s">
        <v>60</v>
      </c>
    </row>
    <row r="577" spans="1:31" x14ac:dyDescent="0.2">
      <c r="A577">
        <v>554</v>
      </c>
      <c r="B577" s="19" t="s">
        <v>1025</v>
      </c>
      <c r="C577">
        <v>24</v>
      </c>
      <c r="D577" s="19" t="s">
        <v>418</v>
      </c>
      <c r="E577" s="19" t="s">
        <v>348</v>
      </c>
      <c r="F577">
        <v>34</v>
      </c>
      <c r="G577">
        <v>0</v>
      </c>
      <c r="H577">
        <v>5</v>
      </c>
      <c r="I577">
        <v>5</v>
      </c>
      <c r="J577">
        <v>-13</v>
      </c>
      <c r="K577">
        <v>13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39</v>
      </c>
      <c r="T577">
        <v>0</v>
      </c>
      <c r="U577">
        <v>89</v>
      </c>
      <c r="V577" s="19" t="s">
        <v>2627</v>
      </c>
      <c r="W577" s="19" t="s">
        <v>1604</v>
      </c>
      <c r="X577">
        <v>0</v>
      </c>
      <c r="Y577">
        <v>0</v>
      </c>
      <c r="AA577">
        <v>50</v>
      </c>
      <c r="AB577">
        <v>45</v>
      </c>
      <c r="AC577">
        <v>10</v>
      </c>
      <c r="AD577">
        <v>38</v>
      </c>
      <c r="AE577" s="19" t="s">
        <v>60</v>
      </c>
    </row>
    <row r="578" spans="1:31" x14ac:dyDescent="0.2">
      <c r="A578">
        <v>555</v>
      </c>
      <c r="B578" s="19" t="s">
        <v>953</v>
      </c>
      <c r="C578">
        <v>21</v>
      </c>
      <c r="D578" s="19" t="s">
        <v>430</v>
      </c>
      <c r="E578" s="19" t="s">
        <v>322</v>
      </c>
      <c r="F578">
        <v>12</v>
      </c>
      <c r="G578">
        <v>3</v>
      </c>
      <c r="H578">
        <v>2</v>
      </c>
      <c r="I578">
        <v>5</v>
      </c>
      <c r="J578">
        <v>-4</v>
      </c>
      <c r="K578">
        <v>4</v>
      </c>
      <c r="L578">
        <v>3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20</v>
      </c>
      <c r="T578">
        <v>15</v>
      </c>
      <c r="U578">
        <v>43</v>
      </c>
      <c r="V578" s="19" t="s">
        <v>954</v>
      </c>
      <c r="W578" s="19" t="s">
        <v>955</v>
      </c>
      <c r="X578">
        <v>68</v>
      </c>
      <c r="Y578">
        <v>95</v>
      </c>
      <c r="Z578">
        <v>41.7</v>
      </c>
      <c r="AA578">
        <v>12</v>
      </c>
      <c r="AB578">
        <v>9</v>
      </c>
      <c r="AC578">
        <v>1</v>
      </c>
      <c r="AD578">
        <v>10</v>
      </c>
      <c r="AE578" s="19" t="s">
        <v>60</v>
      </c>
    </row>
    <row r="579" spans="1:31" x14ac:dyDescent="0.2">
      <c r="A579">
        <v>556</v>
      </c>
      <c r="B579" s="19" t="s">
        <v>1029</v>
      </c>
      <c r="C579">
        <v>28</v>
      </c>
      <c r="D579" s="19" t="s">
        <v>343</v>
      </c>
      <c r="E579" s="19" t="s">
        <v>348</v>
      </c>
      <c r="F579">
        <v>24</v>
      </c>
      <c r="G579">
        <v>0</v>
      </c>
      <c r="H579">
        <v>5</v>
      </c>
      <c r="I579">
        <v>5</v>
      </c>
      <c r="J579">
        <v>0</v>
      </c>
      <c r="K579">
        <v>37</v>
      </c>
      <c r="L579">
        <v>0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19</v>
      </c>
      <c r="T579">
        <v>0</v>
      </c>
      <c r="U579">
        <v>64</v>
      </c>
      <c r="V579" s="19" t="s">
        <v>2628</v>
      </c>
      <c r="W579" s="19" t="s">
        <v>1635</v>
      </c>
      <c r="X579">
        <v>0</v>
      </c>
      <c r="Y579">
        <v>0</v>
      </c>
      <c r="AA579">
        <v>39</v>
      </c>
      <c r="AB579">
        <v>84</v>
      </c>
      <c r="AC579">
        <v>4</v>
      </c>
      <c r="AD579">
        <v>16</v>
      </c>
      <c r="AE579" s="19" t="s">
        <v>60</v>
      </c>
    </row>
    <row r="580" spans="1:31" x14ac:dyDescent="0.2">
      <c r="A580">
        <v>557</v>
      </c>
      <c r="B580" s="19" t="s">
        <v>1280</v>
      </c>
      <c r="C580">
        <v>31</v>
      </c>
      <c r="D580" s="19" t="s">
        <v>439</v>
      </c>
      <c r="E580" s="19" t="s">
        <v>339</v>
      </c>
      <c r="F580">
        <v>36</v>
      </c>
      <c r="G580">
        <v>3</v>
      </c>
      <c r="H580">
        <v>2</v>
      </c>
      <c r="I580">
        <v>5</v>
      </c>
      <c r="J580">
        <v>3</v>
      </c>
      <c r="K580">
        <v>48</v>
      </c>
      <c r="L580">
        <v>3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35</v>
      </c>
      <c r="T580">
        <v>8.6</v>
      </c>
      <c r="U580">
        <v>61</v>
      </c>
      <c r="V580" s="19" t="s">
        <v>2629</v>
      </c>
      <c r="W580" s="19" t="s">
        <v>2630</v>
      </c>
      <c r="X580">
        <v>4</v>
      </c>
      <c r="Y580">
        <v>7</v>
      </c>
      <c r="Z580">
        <v>36.4</v>
      </c>
      <c r="AA580">
        <v>12</v>
      </c>
      <c r="AB580">
        <v>95</v>
      </c>
      <c r="AC580">
        <v>2</v>
      </c>
      <c r="AD580">
        <v>14</v>
      </c>
      <c r="AE580" s="19" t="s">
        <v>60</v>
      </c>
    </row>
    <row r="581" spans="1:31" x14ac:dyDescent="0.2">
      <c r="A581">
        <v>558</v>
      </c>
      <c r="B581" s="19" t="s">
        <v>958</v>
      </c>
      <c r="C581">
        <v>26</v>
      </c>
      <c r="D581" s="19" t="s">
        <v>380</v>
      </c>
      <c r="E581" s="19" t="s">
        <v>322</v>
      </c>
      <c r="F581">
        <v>35</v>
      </c>
      <c r="G581">
        <v>1</v>
      </c>
      <c r="H581">
        <v>4</v>
      </c>
      <c r="I581">
        <v>5</v>
      </c>
      <c r="J581">
        <v>-5</v>
      </c>
      <c r="K581">
        <v>4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30</v>
      </c>
      <c r="T581">
        <v>3.3</v>
      </c>
      <c r="U581">
        <v>49</v>
      </c>
      <c r="V581" s="19" t="s">
        <v>1871</v>
      </c>
      <c r="W581" s="19" t="s">
        <v>918</v>
      </c>
      <c r="X581">
        <v>94</v>
      </c>
      <c r="Y581">
        <v>81</v>
      </c>
      <c r="Z581">
        <v>53.7</v>
      </c>
      <c r="AA581">
        <v>16</v>
      </c>
      <c r="AB581">
        <v>13</v>
      </c>
      <c r="AC581">
        <v>3</v>
      </c>
      <c r="AD581">
        <v>23</v>
      </c>
      <c r="AE581" s="19" t="s">
        <v>60</v>
      </c>
    </row>
    <row r="582" spans="1:31" x14ac:dyDescent="0.2">
      <c r="A582">
        <v>559</v>
      </c>
      <c r="B582" s="19" t="s">
        <v>1109</v>
      </c>
      <c r="C582">
        <v>33</v>
      </c>
      <c r="D582" s="19" t="s">
        <v>383</v>
      </c>
      <c r="E582" s="19" t="s">
        <v>348</v>
      </c>
      <c r="F582">
        <v>39</v>
      </c>
      <c r="G582">
        <v>1</v>
      </c>
      <c r="H582">
        <v>4</v>
      </c>
      <c r="I582">
        <v>5</v>
      </c>
      <c r="J582">
        <v>0</v>
      </c>
      <c r="K582">
        <v>53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39</v>
      </c>
      <c r="T582">
        <v>2.6</v>
      </c>
      <c r="U582">
        <v>99</v>
      </c>
      <c r="V582" s="19" t="s">
        <v>2631</v>
      </c>
      <c r="W582" s="19" t="s">
        <v>1637</v>
      </c>
      <c r="X582">
        <v>0</v>
      </c>
      <c r="Y582">
        <v>0</v>
      </c>
      <c r="AA582">
        <v>52</v>
      </c>
      <c r="AB582">
        <v>36</v>
      </c>
      <c r="AC582">
        <v>6</v>
      </c>
      <c r="AD582">
        <v>35</v>
      </c>
      <c r="AE582" s="19" t="s">
        <v>60</v>
      </c>
    </row>
    <row r="583" spans="1:31" x14ac:dyDescent="0.2">
      <c r="A583">
        <v>560</v>
      </c>
      <c r="B583" s="19" t="s">
        <v>1110</v>
      </c>
      <c r="C583">
        <v>27</v>
      </c>
      <c r="D583" s="19" t="s">
        <v>536</v>
      </c>
      <c r="E583" s="19" t="s">
        <v>325</v>
      </c>
      <c r="F583">
        <v>20</v>
      </c>
      <c r="G583">
        <v>2</v>
      </c>
      <c r="H583">
        <v>3</v>
      </c>
      <c r="I583">
        <v>5</v>
      </c>
      <c r="J583">
        <v>-3</v>
      </c>
      <c r="K583">
        <v>2</v>
      </c>
      <c r="L583">
        <v>2</v>
      </c>
      <c r="M583">
        <v>0</v>
      </c>
      <c r="N583">
        <v>0</v>
      </c>
      <c r="O583">
        <v>1</v>
      </c>
      <c r="P583">
        <v>3</v>
      </c>
      <c r="Q583">
        <v>0</v>
      </c>
      <c r="R583">
        <v>0</v>
      </c>
      <c r="S583">
        <v>23</v>
      </c>
      <c r="T583">
        <v>8.6999999999999993</v>
      </c>
      <c r="U583">
        <v>47</v>
      </c>
      <c r="V583" s="19" t="s">
        <v>2632</v>
      </c>
      <c r="W583" s="19" t="s">
        <v>2633</v>
      </c>
      <c r="X583">
        <v>55</v>
      </c>
      <c r="Y583">
        <v>57</v>
      </c>
      <c r="Z583">
        <v>49.1</v>
      </c>
      <c r="AA583">
        <v>3</v>
      </c>
      <c r="AB583">
        <v>23</v>
      </c>
      <c r="AC583">
        <v>2</v>
      </c>
      <c r="AD583">
        <v>6</v>
      </c>
      <c r="AE583" s="19" t="s">
        <v>60</v>
      </c>
    </row>
    <row r="584" spans="1:31" x14ac:dyDescent="0.2">
      <c r="A584">
        <v>561</v>
      </c>
      <c r="B584" s="19" t="s">
        <v>1120</v>
      </c>
      <c r="C584">
        <v>31</v>
      </c>
      <c r="D584" s="19" t="s">
        <v>383</v>
      </c>
      <c r="E584" s="19" t="s">
        <v>348</v>
      </c>
      <c r="F584">
        <v>41</v>
      </c>
      <c r="G584">
        <v>2</v>
      </c>
      <c r="H584">
        <v>3</v>
      </c>
      <c r="I584">
        <v>5</v>
      </c>
      <c r="J584">
        <v>5</v>
      </c>
      <c r="K584">
        <v>20</v>
      </c>
      <c r="L584">
        <v>2</v>
      </c>
      <c r="M584">
        <v>0</v>
      </c>
      <c r="N584">
        <v>0</v>
      </c>
      <c r="O584">
        <v>2</v>
      </c>
      <c r="P584">
        <v>3</v>
      </c>
      <c r="Q584">
        <v>0</v>
      </c>
      <c r="R584">
        <v>0</v>
      </c>
      <c r="S584">
        <v>59</v>
      </c>
      <c r="T584">
        <v>3.4</v>
      </c>
      <c r="U584">
        <v>159</v>
      </c>
      <c r="V584" s="19" t="s">
        <v>2634</v>
      </c>
      <c r="W584" s="19" t="s">
        <v>457</v>
      </c>
      <c r="X584">
        <v>0</v>
      </c>
      <c r="Y584">
        <v>0</v>
      </c>
      <c r="AA584">
        <v>70</v>
      </c>
      <c r="AB584">
        <v>26</v>
      </c>
      <c r="AC584">
        <v>18</v>
      </c>
      <c r="AD584">
        <v>39</v>
      </c>
      <c r="AE584" s="19" t="s">
        <v>60</v>
      </c>
    </row>
    <row r="585" spans="1:31" x14ac:dyDescent="0.2">
      <c r="A585">
        <v>562</v>
      </c>
      <c r="B585" s="19" t="s">
        <v>1304</v>
      </c>
      <c r="C585">
        <v>20</v>
      </c>
      <c r="D585" s="19" t="s">
        <v>361</v>
      </c>
      <c r="E585" s="19" t="s">
        <v>334</v>
      </c>
      <c r="F585">
        <v>9</v>
      </c>
      <c r="G585">
        <v>1</v>
      </c>
      <c r="H585">
        <v>4</v>
      </c>
      <c r="I585">
        <v>5</v>
      </c>
      <c r="J585">
        <v>3</v>
      </c>
      <c r="K585">
        <v>2</v>
      </c>
      <c r="L585">
        <v>0</v>
      </c>
      <c r="M585">
        <v>1</v>
      </c>
      <c r="N585">
        <v>0</v>
      </c>
      <c r="O585">
        <v>0</v>
      </c>
      <c r="P585">
        <v>3</v>
      </c>
      <c r="Q585">
        <v>1</v>
      </c>
      <c r="R585">
        <v>0</v>
      </c>
      <c r="S585">
        <v>7</v>
      </c>
      <c r="T585">
        <v>14.3</v>
      </c>
      <c r="U585">
        <v>19</v>
      </c>
      <c r="V585" s="19" t="s">
        <v>2635</v>
      </c>
      <c r="W585" s="19" t="s">
        <v>1923</v>
      </c>
      <c r="X585">
        <v>2</v>
      </c>
      <c r="Y585">
        <v>0</v>
      </c>
      <c r="Z585">
        <v>100</v>
      </c>
      <c r="AA585">
        <v>9</v>
      </c>
      <c r="AB585">
        <v>5</v>
      </c>
      <c r="AC585">
        <v>2</v>
      </c>
      <c r="AD585">
        <v>8</v>
      </c>
      <c r="AE585" s="19" t="s">
        <v>60</v>
      </c>
    </row>
    <row r="586" spans="1:31" x14ac:dyDescent="0.2">
      <c r="A586">
        <v>563</v>
      </c>
      <c r="B586" s="19" t="s">
        <v>1044</v>
      </c>
      <c r="C586">
        <v>33</v>
      </c>
      <c r="D586" s="19" t="s">
        <v>343</v>
      </c>
      <c r="E586" s="19" t="s">
        <v>339</v>
      </c>
      <c r="F586">
        <v>35</v>
      </c>
      <c r="G586">
        <v>1</v>
      </c>
      <c r="H586">
        <v>4</v>
      </c>
      <c r="I586">
        <v>5</v>
      </c>
      <c r="J586">
        <v>-3</v>
      </c>
      <c r="K586">
        <v>14</v>
      </c>
      <c r="L586">
        <v>1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60</v>
      </c>
      <c r="T586">
        <v>1.7</v>
      </c>
      <c r="U586">
        <v>105</v>
      </c>
      <c r="V586" s="19" t="s">
        <v>2636</v>
      </c>
      <c r="W586" s="19" t="s">
        <v>607</v>
      </c>
      <c r="X586">
        <v>8</v>
      </c>
      <c r="Y586">
        <v>19</v>
      </c>
      <c r="Z586">
        <v>29.6</v>
      </c>
      <c r="AA586">
        <v>16</v>
      </c>
      <c r="AB586">
        <v>7</v>
      </c>
      <c r="AC586">
        <v>7</v>
      </c>
      <c r="AD586">
        <v>24</v>
      </c>
      <c r="AE586" s="19" t="s">
        <v>60</v>
      </c>
    </row>
    <row r="587" spans="1:31" x14ac:dyDescent="0.2">
      <c r="A587">
        <v>564</v>
      </c>
      <c r="B587" s="19" t="s">
        <v>1046</v>
      </c>
      <c r="C587">
        <v>27</v>
      </c>
      <c r="D587" s="19" t="s">
        <v>345</v>
      </c>
      <c r="E587" s="19" t="s">
        <v>348</v>
      </c>
      <c r="F587">
        <v>23</v>
      </c>
      <c r="G587">
        <v>0</v>
      </c>
      <c r="H587">
        <v>5</v>
      </c>
      <c r="I587">
        <v>5</v>
      </c>
      <c r="J587">
        <v>1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34</v>
      </c>
      <c r="T587">
        <v>0</v>
      </c>
      <c r="U587">
        <v>89</v>
      </c>
      <c r="V587" s="19" t="s">
        <v>2637</v>
      </c>
      <c r="W587" s="19" t="s">
        <v>2638</v>
      </c>
      <c r="X587">
        <v>0</v>
      </c>
      <c r="Y587">
        <v>0</v>
      </c>
      <c r="AA587">
        <v>41</v>
      </c>
      <c r="AB587">
        <v>22</v>
      </c>
      <c r="AC587">
        <v>13</v>
      </c>
      <c r="AD587">
        <v>29</v>
      </c>
      <c r="AE587" s="19" t="s">
        <v>60</v>
      </c>
    </row>
    <row r="588" spans="1:31" x14ac:dyDescent="0.2">
      <c r="A588">
        <v>565</v>
      </c>
      <c r="B588" s="19" t="s">
        <v>1127</v>
      </c>
      <c r="C588">
        <v>32</v>
      </c>
      <c r="D588" s="19" t="s">
        <v>343</v>
      </c>
      <c r="E588" s="19" t="s">
        <v>322</v>
      </c>
      <c r="F588">
        <v>34</v>
      </c>
      <c r="G588">
        <v>3</v>
      </c>
      <c r="H588">
        <v>2</v>
      </c>
      <c r="I588">
        <v>5</v>
      </c>
      <c r="J588">
        <v>-6</v>
      </c>
      <c r="K588">
        <v>15</v>
      </c>
      <c r="L588">
        <v>3</v>
      </c>
      <c r="M588">
        <v>0</v>
      </c>
      <c r="N588">
        <v>0</v>
      </c>
      <c r="O588">
        <v>1</v>
      </c>
      <c r="P588">
        <v>1</v>
      </c>
      <c r="Q588">
        <v>1</v>
      </c>
      <c r="R588">
        <v>0</v>
      </c>
      <c r="S588">
        <v>34</v>
      </c>
      <c r="T588">
        <v>8.8000000000000007</v>
      </c>
      <c r="U588">
        <v>67</v>
      </c>
      <c r="V588" s="19" t="s">
        <v>1922</v>
      </c>
      <c r="W588" s="19" t="s">
        <v>877</v>
      </c>
      <c r="X588">
        <v>199</v>
      </c>
      <c r="Y588">
        <v>163</v>
      </c>
      <c r="Z588">
        <v>55</v>
      </c>
      <c r="AA588">
        <v>22</v>
      </c>
      <c r="AB588">
        <v>48</v>
      </c>
      <c r="AC588">
        <v>4</v>
      </c>
      <c r="AD588">
        <v>17</v>
      </c>
      <c r="AE588" s="19" t="s">
        <v>60</v>
      </c>
    </row>
    <row r="589" spans="1:31" x14ac:dyDescent="0.2">
      <c r="A589">
        <v>566</v>
      </c>
      <c r="B589" s="19" t="s">
        <v>1128</v>
      </c>
      <c r="C589">
        <v>30</v>
      </c>
      <c r="D589" s="19" t="s">
        <v>464</v>
      </c>
      <c r="E589" s="19" t="s">
        <v>325</v>
      </c>
      <c r="F589">
        <v>21</v>
      </c>
      <c r="G589">
        <v>4</v>
      </c>
      <c r="H589">
        <v>1</v>
      </c>
      <c r="I589">
        <v>5</v>
      </c>
      <c r="J589">
        <v>-2</v>
      </c>
      <c r="K589">
        <v>14</v>
      </c>
      <c r="L589">
        <v>4</v>
      </c>
      <c r="M589">
        <v>0</v>
      </c>
      <c r="N589">
        <v>0</v>
      </c>
      <c r="O589">
        <v>1</v>
      </c>
      <c r="P589">
        <v>1</v>
      </c>
      <c r="Q589">
        <v>0</v>
      </c>
      <c r="R589">
        <v>0</v>
      </c>
      <c r="S589">
        <v>26</v>
      </c>
      <c r="T589">
        <v>15.4</v>
      </c>
      <c r="U589">
        <v>54</v>
      </c>
      <c r="V589" s="19" t="s">
        <v>2639</v>
      </c>
      <c r="W589" s="19" t="s">
        <v>1407</v>
      </c>
      <c r="X589">
        <v>1</v>
      </c>
      <c r="Y589">
        <v>6</v>
      </c>
      <c r="Z589">
        <v>14.3</v>
      </c>
      <c r="AA589">
        <v>6</v>
      </c>
      <c r="AB589">
        <v>64</v>
      </c>
      <c r="AC589">
        <v>3</v>
      </c>
      <c r="AD589">
        <v>8</v>
      </c>
      <c r="AE589" s="19" t="s">
        <v>60</v>
      </c>
    </row>
    <row r="590" spans="1:31" x14ac:dyDescent="0.2">
      <c r="A590">
        <v>567</v>
      </c>
      <c r="B590" s="19" t="s">
        <v>979</v>
      </c>
      <c r="C590">
        <v>29</v>
      </c>
      <c r="D590" s="19" t="s">
        <v>327</v>
      </c>
      <c r="E590" s="19" t="s">
        <v>325</v>
      </c>
      <c r="F590">
        <v>22</v>
      </c>
      <c r="G590">
        <v>3</v>
      </c>
      <c r="H590">
        <v>2</v>
      </c>
      <c r="I590">
        <v>5</v>
      </c>
      <c r="J590">
        <v>-6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2</v>
      </c>
      <c r="R590">
        <v>0</v>
      </c>
      <c r="S590">
        <v>30</v>
      </c>
      <c r="T590">
        <v>10</v>
      </c>
      <c r="U590">
        <v>52</v>
      </c>
      <c r="V590" s="19" t="s">
        <v>1687</v>
      </c>
      <c r="W590" s="19" t="s">
        <v>1688</v>
      </c>
      <c r="X590">
        <v>30</v>
      </c>
      <c r="Y590">
        <v>34</v>
      </c>
      <c r="Z590">
        <v>46.9</v>
      </c>
      <c r="AA590">
        <v>6</v>
      </c>
      <c r="AB590">
        <v>17</v>
      </c>
      <c r="AC590">
        <v>3</v>
      </c>
      <c r="AD590">
        <v>12</v>
      </c>
      <c r="AE590" s="19" t="s">
        <v>60</v>
      </c>
    </row>
    <row r="591" spans="1:31" x14ac:dyDescent="0.2">
      <c r="A591">
        <v>568</v>
      </c>
      <c r="B591" s="19" t="s">
        <v>980</v>
      </c>
      <c r="C591">
        <v>34</v>
      </c>
      <c r="D591" s="19" t="s">
        <v>366</v>
      </c>
      <c r="E591" s="19" t="s">
        <v>348</v>
      </c>
      <c r="F591">
        <v>31</v>
      </c>
      <c r="G591">
        <v>1</v>
      </c>
      <c r="H591">
        <v>4</v>
      </c>
      <c r="I591">
        <v>5</v>
      </c>
      <c r="J591">
        <v>-3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17</v>
      </c>
      <c r="T591">
        <v>5.9</v>
      </c>
      <c r="U591">
        <v>45</v>
      </c>
      <c r="V591" s="19" t="s">
        <v>2640</v>
      </c>
      <c r="W591" s="19" t="s">
        <v>1607</v>
      </c>
      <c r="X591">
        <v>0</v>
      </c>
      <c r="Y591">
        <v>0</v>
      </c>
      <c r="AA591">
        <v>42</v>
      </c>
      <c r="AB591">
        <v>3</v>
      </c>
      <c r="AC591">
        <v>8</v>
      </c>
      <c r="AD591">
        <v>20</v>
      </c>
      <c r="AE591" s="19" t="s">
        <v>60</v>
      </c>
    </row>
    <row r="592" spans="1:31" x14ac:dyDescent="0.2">
      <c r="A592">
        <v>569</v>
      </c>
      <c r="B592" s="19" t="s">
        <v>1130</v>
      </c>
      <c r="C592">
        <v>29</v>
      </c>
      <c r="D592" s="19" t="s">
        <v>343</v>
      </c>
      <c r="E592" s="19" t="s">
        <v>348</v>
      </c>
      <c r="F592">
        <v>38</v>
      </c>
      <c r="G592">
        <v>1</v>
      </c>
      <c r="H592">
        <v>4</v>
      </c>
      <c r="I592">
        <v>5</v>
      </c>
      <c r="J592">
        <v>-10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26</v>
      </c>
      <c r="T592">
        <v>3.8</v>
      </c>
      <c r="U592">
        <v>88</v>
      </c>
      <c r="V592" s="19" t="s">
        <v>2641</v>
      </c>
      <c r="W592" s="19" t="s">
        <v>1639</v>
      </c>
      <c r="X592">
        <v>0</v>
      </c>
      <c r="Y592">
        <v>0</v>
      </c>
      <c r="AA592">
        <v>49</v>
      </c>
      <c r="AB592">
        <v>63</v>
      </c>
      <c r="AC592">
        <v>6</v>
      </c>
      <c r="AD592">
        <v>32</v>
      </c>
      <c r="AE592" s="19" t="s">
        <v>60</v>
      </c>
    </row>
    <row r="593" spans="1:31" x14ac:dyDescent="0.2">
      <c r="A593">
        <v>570</v>
      </c>
      <c r="B593" s="19" t="s">
        <v>983</v>
      </c>
      <c r="C593">
        <v>23</v>
      </c>
      <c r="D593" s="19" t="s">
        <v>984</v>
      </c>
      <c r="E593" s="19" t="s">
        <v>339</v>
      </c>
      <c r="F593">
        <v>19</v>
      </c>
      <c r="G593">
        <v>2</v>
      </c>
      <c r="H593">
        <v>3</v>
      </c>
      <c r="I593">
        <v>5</v>
      </c>
      <c r="J593">
        <v>-4</v>
      </c>
      <c r="K593">
        <v>6</v>
      </c>
      <c r="L593">
        <v>2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15</v>
      </c>
      <c r="T593">
        <v>13.3</v>
      </c>
      <c r="U593">
        <v>36</v>
      </c>
      <c r="V593" s="19" t="s">
        <v>985</v>
      </c>
      <c r="W593" s="19" t="s">
        <v>986</v>
      </c>
      <c r="X593">
        <v>46</v>
      </c>
      <c r="Y593">
        <v>71</v>
      </c>
      <c r="Z593">
        <v>39.299999999999997</v>
      </c>
      <c r="AA593">
        <v>11</v>
      </c>
      <c r="AB593">
        <v>7</v>
      </c>
      <c r="AC593">
        <v>2</v>
      </c>
      <c r="AD593">
        <v>13</v>
      </c>
      <c r="AE593" s="19" t="s">
        <v>60</v>
      </c>
    </row>
    <row r="594" spans="1:31" x14ac:dyDescent="0.2">
      <c r="A594">
        <v>570</v>
      </c>
      <c r="B594" s="19" t="s">
        <v>983</v>
      </c>
      <c r="C594">
        <v>23</v>
      </c>
      <c r="D594" s="19" t="s">
        <v>329</v>
      </c>
      <c r="E594" s="19" t="s">
        <v>339</v>
      </c>
      <c r="F594">
        <v>5</v>
      </c>
      <c r="G594">
        <v>2</v>
      </c>
      <c r="H594">
        <v>2</v>
      </c>
      <c r="I594">
        <v>4</v>
      </c>
      <c r="J594">
        <v>1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6</v>
      </c>
      <c r="T594">
        <v>33.299999999999997</v>
      </c>
      <c r="U594">
        <v>10</v>
      </c>
      <c r="V594" s="19" t="s">
        <v>987</v>
      </c>
      <c r="W594" s="19" t="s">
        <v>988</v>
      </c>
      <c r="X594">
        <v>2</v>
      </c>
      <c r="Y594">
        <v>5</v>
      </c>
      <c r="Z594">
        <v>28.6</v>
      </c>
      <c r="AA594">
        <v>3</v>
      </c>
      <c r="AB594">
        <v>1</v>
      </c>
      <c r="AC594">
        <v>1</v>
      </c>
      <c r="AD594">
        <v>4</v>
      </c>
      <c r="AE594" s="19" t="s">
        <v>60</v>
      </c>
    </row>
    <row r="595" spans="1:31" x14ac:dyDescent="0.2">
      <c r="A595">
        <v>570</v>
      </c>
      <c r="B595" s="19" t="s">
        <v>983</v>
      </c>
      <c r="C595">
        <v>23</v>
      </c>
      <c r="D595" s="19" t="s">
        <v>451</v>
      </c>
      <c r="E595" s="19" t="s">
        <v>339</v>
      </c>
      <c r="F595">
        <v>14</v>
      </c>
      <c r="G595">
        <v>0</v>
      </c>
      <c r="H595">
        <v>1</v>
      </c>
      <c r="I595">
        <v>1</v>
      </c>
      <c r="J595">
        <v>-5</v>
      </c>
      <c r="K595">
        <v>4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9</v>
      </c>
      <c r="T595">
        <v>0</v>
      </c>
      <c r="U595">
        <v>26</v>
      </c>
      <c r="V595" s="19" t="s">
        <v>989</v>
      </c>
      <c r="W595" s="19" t="s">
        <v>990</v>
      </c>
      <c r="X595">
        <v>44</v>
      </c>
      <c r="Y595">
        <v>66</v>
      </c>
      <c r="Z595">
        <v>40</v>
      </c>
      <c r="AA595">
        <v>8</v>
      </c>
      <c r="AB595">
        <v>6</v>
      </c>
      <c r="AC595">
        <v>1</v>
      </c>
      <c r="AD595">
        <v>9</v>
      </c>
      <c r="AE595" s="19" t="s">
        <v>60</v>
      </c>
    </row>
    <row r="596" spans="1:31" x14ac:dyDescent="0.2">
      <c r="A596">
        <v>571</v>
      </c>
      <c r="B596" s="19" t="s">
        <v>993</v>
      </c>
      <c r="C596">
        <v>24</v>
      </c>
      <c r="D596" s="19" t="s">
        <v>464</v>
      </c>
      <c r="E596" s="19" t="s">
        <v>348</v>
      </c>
      <c r="F596">
        <v>19</v>
      </c>
      <c r="G596">
        <v>0</v>
      </c>
      <c r="H596">
        <v>4</v>
      </c>
      <c r="I596">
        <v>4</v>
      </c>
      <c r="J596">
        <v>-1</v>
      </c>
      <c r="K596">
        <v>6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15</v>
      </c>
      <c r="T596">
        <v>0</v>
      </c>
      <c r="U596">
        <v>43</v>
      </c>
      <c r="V596" s="19" t="s">
        <v>994</v>
      </c>
      <c r="W596" s="19" t="s">
        <v>995</v>
      </c>
      <c r="X596">
        <v>0</v>
      </c>
      <c r="Y596">
        <v>0</v>
      </c>
      <c r="AA596">
        <v>22</v>
      </c>
      <c r="AB596">
        <v>13</v>
      </c>
      <c r="AC596">
        <v>1</v>
      </c>
      <c r="AD596">
        <v>28</v>
      </c>
      <c r="AE596" s="19" t="s">
        <v>60</v>
      </c>
    </row>
    <row r="597" spans="1:31" x14ac:dyDescent="0.2">
      <c r="A597">
        <v>572</v>
      </c>
      <c r="B597" s="19" t="s">
        <v>996</v>
      </c>
      <c r="C597">
        <v>29</v>
      </c>
      <c r="D597" s="19" t="s">
        <v>361</v>
      </c>
      <c r="E597" s="19" t="s">
        <v>348</v>
      </c>
      <c r="F597">
        <v>35</v>
      </c>
      <c r="G597">
        <v>2</v>
      </c>
      <c r="H597">
        <v>2</v>
      </c>
      <c r="I597">
        <v>4</v>
      </c>
      <c r="J597">
        <v>2</v>
      </c>
      <c r="K597">
        <v>22</v>
      </c>
      <c r="L597">
        <v>2</v>
      </c>
      <c r="M597">
        <v>0</v>
      </c>
      <c r="N597">
        <v>0</v>
      </c>
      <c r="O597">
        <v>2</v>
      </c>
      <c r="P597">
        <v>2</v>
      </c>
      <c r="Q597">
        <v>0</v>
      </c>
      <c r="R597">
        <v>0</v>
      </c>
      <c r="S597">
        <v>36</v>
      </c>
      <c r="T597">
        <v>5.6</v>
      </c>
      <c r="U597">
        <v>92</v>
      </c>
      <c r="V597" s="19" t="s">
        <v>2642</v>
      </c>
      <c r="W597" s="19" t="s">
        <v>2643</v>
      </c>
      <c r="X597">
        <v>0</v>
      </c>
      <c r="Y597">
        <v>0</v>
      </c>
      <c r="AA597">
        <v>42</v>
      </c>
      <c r="AB597">
        <v>56</v>
      </c>
      <c r="AC597">
        <v>10</v>
      </c>
      <c r="AD597">
        <v>31</v>
      </c>
      <c r="AE597" s="19" t="s">
        <v>60</v>
      </c>
    </row>
    <row r="598" spans="1:31" x14ac:dyDescent="0.2">
      <c r="A598">
        <v>573</v>
      </c>
      <c r="B598" s="19" t="s">
        <v>1072</v>
      </c>
      <c r="C598">
        <v>28</v>
      </c>
      <c r="D598" s="19" t="s">
        <v>430</v>
      </c>
      <c r="E598" s="19" t="s">
        <v>348</v>
      </c>
      <c r="F598">
        <v>23</v>
      </c>
      <c r="G598">
        <v>1</v>
      </c>
      <c r="H598">
        <v>3</v>
      </c>
      <c r="I598">
        <v>4</v>
      </c>
      <c r="J598">
        <v>-3</v>
      </c>
      <c r="K598">
        <v>4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7</v>
      </c>
      <c r="T598">
        <v>14.3</v>
      </c>
      <c r="U598">
        <v>28</v>
      </c>
      <c r="V598" s="19" t="s">
        <v>1689</v>
      </c>
      <c r="W598" s="19" t="s">
        <v>1873</v>
      </c>
      <c r="X598">
        <v>0</v>
      </c>
      <c r="Y598">
        <v>0</v>
      </c>
      <c r="AA598">
        <v>10</v>
      </c>
      <c r="AB598">
        <v>6</v>
      </c>
      <c r="AC598">
        <v>2</v>
      </c>
      <c r="AD598">
        <v>8</v>
      </c>
      <c r="AE598" s="19" t="s">
        <v>60</v>
      </c>
    </row>
    <row r="599" spans="1:31" x14ac:dyDescent="0.2">
      <c r="A599">
        <v>574</v>
      </c>
      <c r="B599" s="19" t="s">
        <v>997</v>
      </c>
      <c r="C599">
        <v>28</v>
      </c>
      <c r="D599" s="19" t="s">
        <v>333</v>
      </c>
      <c r="E599" s="19" t="s">
        <v>348</v>
      </c>
      <c r="F599">
        <v>19</v>
      </c>
      <c r="G599">
        <v>1</v>
      </c>
      <c r="H599">
        <v>3</v>
      </c>
      <c r="I599">
        <v>4</v>
      </c>
      <c r="J599">
        <v>1</v>
      </c>
      <c r="K599">
        <v>6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12</v>
      </c>
      <c r="T599">
        <v>8.3000000000000007</v>
      </c>
      <c r="U599">
        <v>39</v>
      </c>
      <c r="V599" s="19" t="s">
        <v>1931</v>
      </c>
      <c r="W599" s="19" t="s">
        <v>945</v>
      </c>
      <c r="X599">
        <v>0</v>
      </c>
      <c r="Y599">
        <v>0</v>
      </c>
      <c r="AA599">
        <v>12</v>
      </c>
      <c r="AB599">
        <v>7</v>
      </c>
      <c r="AC599">
        <v>8</v>
      </c>
      <c r="AD599">
        <v>10</v>
      </c>
      <c r="AE599" s="19" t="s">
        <v>60</v>
      </c>
    </row>
    <row r="600" spans="1:31" x14ac:dyDescent="0.2">
      <c r="A600">
        <v>575</v>
      </c>
      <c r="B600" s="19" t="s">
        <v>999</v>
      </c>
      <c r="C600">
        <v>28</v>
      </c>
      <c r="D600" s="19" t="s">
        <v>351</v>
      </c>
      <c r="E600" s="19" t="s">
        <v>348</v>
      </c>
      <c r="F600">
        <v>21</v>
      </c>
      <c r="G600">
        <v>0</v>
      </c>
      <c r="H600">
        <v>4</v>
      </c>
      <c r="I600">
        <v>4</v>
      </c>
      <c r="J600">
        <v>1</v>
      </c>
      <c r="K600">
        <v>21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1</v>
      </c>
      <c r="S600">
        <v>13</v>
      </c>
      <c r="T600">
        <v>0</v>
      </c>
      <c r="U600">
        <v>39</v>
      </c>
      <c r="V600" s="19" t="s">
        <v>2644</v>
      </c>
      <c r="W600" s="19" t="s">
        <v>928</v>
      </c>
      <c r="X600">
        <v>0</v>
      </c>
      <c r="Y600">
        <v>0</v>
      </c>
      <c r="AA600">
        <v>44</v>
      </c>
      <c r="AB600">
        <v>45</v>
      </c>
      <c r="AC600">
        <v>4</v>
      </c>
      <c r="AD600">
        <v>18</v>
      </c>
      <c r="AE600" s="19" t="s">
        <v>60</v>
      </c>
    </row>
    <row r="601" spans="1:31" x14ac:dyDescent="0.2">
      <c r="A601">
        <v>576</v>
      </c>
      <c r="B601" s="19" t="s">
        <v>1144</v>
      </c>
      <c r="C601">
        <v>19</v>
      </c>
      <c r="D601" s="19" t="s">
        <v>324</v>
      </c>
      <c r="E601" s="19" t="s">
        <v>348</v>
      </c>
      <c r="F601">
        <v>31</v>
      </c>
      <c r="G601">
        <v>1</v>
      </c>
      <c r="H601">
        <v>3</v>
      </c>
      <c r="I601">
        <v>4</v>
      </c>
      <c r="J601">
        <v>-3</v>
      </c>
      <c r="K601">
        <v>6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28</v>
      </c>
      <c r="T601">
        <v>3.6</v>
      </c>
      <c r="U601">
        <v>68</v>
      </c>
      <c r="V601" s="19" t="s">
        <v>2645</v>
      </c>
      <c r="W601" s="19" t="s">
        <v>1450</v>
      </c>
      <c r="X601">
        <v>0</v>
      </c>
      <c r="Y601">
        <v>0</v>
      </c>
      <c r="AA601">
        <v>25</v>
      </c>
      <c r="AB601">
        <v>25</v>
      </c>
      <c r="AC601">
        <v>7</v>
      </c>
      <c r="AD601">
        <v>29</v>
      </c>
      <c r="AE601" s="19" t="s">
        <v>60</v>
      </c>
    </row>
    <row r="602" spans="1:31" x14ac:dyDescent="0.2">
      <c r="A602">
        <v>577</v>
      </c>
      <c r="B602" s="19" t="s">
        <v>1081</v>
      </c>
      <c r="C602">
        <v>27</v>
      </c>
      <c r="D602" s="19" t="s">
        <v>430</v>
      </c>
      <c r="E602" s="19" t="s">
        <v>322</v>
      </c>
      <c r="F602">
        <v>26</v>
      </c>
      <c r="G602">
        <v>1</v>
      </c>
      <c r="H602">
        <v>3</v>
      </c>
      <c r="I602">
        <v>4</v>
      </c>
      <c r="J602">
        <v>-3</v>
      </c>
      <c r="K602">
        <v>29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22</v>
      </c>
      <c r="T602">
        <v>4.5</v>
      </c>
      <c r="U602">
        <v>47</v>
      </c>
      <c r="V602" s="19" t="s">
        <v>2646</v>
      </c>
      <c r="W602" s="19" t="s">
        <v>1866</v>
      </c>
      <c r="X602">
        <v>34</v>
      </c>
      <c r="Y602">
        <v>43</v>
      </c>
      <c r="Z602">
        <v>44.2</v>
      </c>
      <c r="AA602">
        <v>12</v>
      </c>
      <c r="AB602">
        <v>29</v>
      </c>
      <c r="AC602">
        <v>5</v>
      </c>
      <c r="AD602">
        <v>14</v>
      </c>
      <c r="AE602" s="19" t="s">
        <v>60</v>
      </c>
    </row>
    <row r="603" spans="1:31" x14ac:dyDescent="0.2">
      <c r="A603">
        <v>578</v>
      </c>
      <c r="B603" s="19" t="s">
        <v>1004</v>
      </c>
      <c r="C603">
        <v>25</v>
      </c>
      <c r="D603" s="19" t="s">
        <v>361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5</v>
      </c>
      <c r="K603">
        <v>2</v>
      </c>
      <c r="L603">
        <v>2</v>
      </c>
      <c r="M603">
        <v>0</v>
      </c>
      <c r="N603">
        <v>0</v>
      </c>
      <c r="O603">
        <v>1</v>
      </c>
      <c r="P603">
        <v>2</v>
      </c>
      <c r="Q603">
        <v>0</v>
      </c>
      <c r="R603">
        <v>0</v>
      </c>
      <c r="S603">
        <v>21</v>
      </c>
      <c r="T603">
        <v>9.5</v>
      </c>
      <c r="U603">
        <v>35</v>
      </c>
      <c r="V603" s="19" t="s">
        <v>1005</v>
      </c>
      <c r="W603" s="19" t="s">
        <v>1006</v>
      </c>
      <c r="X603">
        <v>2</v>
      </c>
      <c r="Y603">
        <v>0</v>
      </c>
      <c r="Z603">
        <v>100</v>
      </c>
      <c r="AA603">
        <v>13</v>
      </c>
      <c r="AB603">
        <v>48</v>
      </c>
      <c r="AC603">
        <v>5</v>
      </c>
      <c r="AD603">
        <v>12</v>
      </c>
      <c r="AE603" s="19" t="s">
        <v>60</v>
      </c>
    </row>
    <row r="604" spans="1:31" x14ac:dyDescent="0.2">
      <c r="A604">
        <v>579</v>
      </c>
      <c r="B604" s="19" t="s">
        <v>1082</v>
      </c>
      <c r="C604">
        <v>30</v>
      </c>
      <c r="D604" s="19" t="s">
        <v>333</v>
      </c>
      <c r="E604" s="19" t="s">
        <v>339</v>
      </c>
      <c r="F604">
        <v>16</v>
      </c>
      <c r="G604">
        <v>3</v>
      </c>
      <c r="H604">
        <v>1</v>
      </c>
      <c r="I604">
        <v>4</v>
      </c>
      <c r="J604">
        <v>2</v>
      </c>
      <c r="K604">
        <v>2</v>
      </c>
      <c r="L604">
        <v>3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14</v>
      </c>
      <c r="T604">
        <v>21.4</v>
      </c>
      <c r="U604">
        <v>31</v>
      </c>
      <c r="V604" s="19" t="s">
        <v>1844</v>
      </c>
      <c r="W604" s="19" t="s">
        <v>1853</v>
      </c>
      <c r="X604">
        <v>2</v>
      </c>
      <c r="Y604">
        <v>3</v>
      </c>
      <c r="Z604">
        <v>40</v>
      </c>
      <c r="AA604">
        <v>8</v>
      </c>
      <c r="AB604">
        <v>53</v>
      </c>
      <c r="AC604">
        <v>1</v>
      </c>
      <c r="AD604">
        <v>4</v>
      </c>
      <c r="AE604" s="19" t="s">
        <v>60</v>
      </c>
    </row>
    <row r="605" spans="1:31" x14ac:dyDescent="0.2">
      <c r="A605">
        <v>580</v>
      </c>
      <c r="B605" s="19" t="s">
        <v>1089</v>
      </c>
      <c r="C605">
        <v>31</v>
      </c>
      <c r="D605" s="19" t="s">
        <v>380</v>
      </c>
      <c r="E605" s="19" t="s">
        <v>322</v>
      </c>
      <c r="F605">
        <v>15</v>
      </c>
      <c r="G605">
        <v>1</v>
      </c>
      <c r="H605">
        <v>3</v>
      </c>
      <c r="I605">
        <v>4</v>
      </c>
      <c r="J605">
        <v>-1</v>
      </c>
      <c r="K605">
        <v>10</v>
      </c>
      <c r="L605">
        <v>0</v>
      </c>
      <c r="M605">
        <v>0</v>
      </c>
      <c r="N605">
        <v>1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7.7</v>
      </c>
      <c r="U605">
        <v>29</v>
      </c>
      <c r="V605" s="19" t="s">
        <v>2647</v>
      </c>
      <c r="W605" s="19" t="s">
        <v>1812</v>
      </c>
      <c r="X605">
        <v>47</v>
      </c>
      <c r="Y605">
        <v>30</v>
      </c>
      <c r="Z605">
        <v>61</v>
      </c>
      <c r="AA605">
        <v>9</v>
      </c>
      <c r="AB605">
        <v>36</v>
      </c>
      <c r="AC605">
        <v>3</v>
      </c>
      <c r="AD605">
        <v>3</v>
      </c>
      <c r="AE605" s="19" t="s">
        <v>60</v>
      </c>
    </row>
    <row r="606" spans="1:31" x14ac:dyDescent="0.2">
      <c r="A606">
        <v>581</v>
      </c>
      <c r="B606" s="19" t="s">
        <v>1092</v>
      </c>
      <c r="C606">
        <v>28</v>
      </c>
      <c r="D606" s="19" t="s">
        <v>430</v>
      </c>
      <c r="E606" s="19" t="s">
        <v>339</v>
      </c>
      <c r="F606">
        <v>24</v>
      </c>
      <c r="G606">
        <v>1</v>
      </c>
      <c r="H606">
        <v>3</v>
      </c>
      <c r="I606">
        <v>4</v>
      </c>
      <c r="J606">
        <v>-9</v>
      </c>
      <c r="K606">
        <v>19</v>
      </c>
      <c r="L606">
        <v>1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25</v>
      </c>
      <c r="T606">
        <v>4</v>
      </c>
      <c r="U606">
        <v>51</v>
      </c>
      <c r="V606" s="19" t="s">
        <v>2648</v>
      </c>
      <c r="W606" s="19" t="s">
        <v>2649</v>
      </c>
      <c r="X606">
        <v>8</v>
      </c>
      <c r="Y606">
        <v>15</v>
      </c>
      <c r="Z606">
        <v>34.799999999999997</v>
      </c>
      <c r="AA606">
        <v>8</v>
      </c>
      <c r="AB606">
        <v>34</v>
      </c>
      <c r="AC606">
        <v>4</v>
      </c>
      <c r="AD606">
        <v>11</v>
      </c>
      <c r="AE606" s="19" t="s">
        <v>60</v>
      </c>
    </row>
    <row r="607" spans="1:31" x14ac:dyDescent="0.2">
      <c r="A607">
        <v>582</v>
      </c>
      <c r="B607" s="19" t="s">
        <v>1013</v>
      </c>
      <c r="C607">
        <v>25</v>
      </c>
      <c r="D607" s="19" t="s">
        <v>375</v>
      </c>
      <c r="E607" s="19" t="s">
        <v>322</v>
      </c>
      <c r="F607">
        <v>13</v>
      </c>
      <c r="G607">
        <v>1</v>
      </c>
      <c r="H607">
        <v>3</v>
      </c>
      <c r="I607">
        <v>4</v>
      </c>
      <c r="J607">
        <v>4</v>
      </c>
      <c r="K607">
        <v>2</v>
      </c>
      <c r="L607">
        <v>0</v>
      </c>
      <c r="M607">
        <v>0</v>
      </c>
      <c r="N607">
        <v>1</v>
      </c>
      <c r="O607">
        <v>1</v>
      </c>
      <c r="P607">
        <v>3</v>
      </c>
      <c r="Q607">
        <v>0</v>
      </c>
      <c r="R607">
        <v>0</v>
      </c>
      <c r="S607">
        <v>22</v>
      </c>
      <c r="T607">
        <v>4.5</v>
      </c>
      <c r="U607">
        <v>47</v>
      </c>
      <c r="V607" s="19" t="s">
        <v>1014</v>
      </c>
      <c r="W607" s="19" t="s">
        <v>1015</v>
      </c>
      <c r="X607">
        <v>0</v>
      </c>
      <c r="Y607">
        <v>2</v>
      </c>
      <c r="Z607">
        <v>0</v>
      </c>
      <c r="AA607">
        <v>5</v>
      </c>
      <c r="AB607">
        <v>3</v>
      </c>
      <c r="AC607">
        <v>2</v>
      </c>
      <c r="AD607">
        <v>12</v>
      </c>
      <c r="AE607" s="19" t="s">
        <v>60</v>
      </c>
    </row>
    <row r="608" spans="1:31" x14ac:dyDescent="0.2">
      <c r="A608">
        <v>583</v>
      </c>
      <c r="B608" s="19" t="s">
        <v>1019</v>
      </c>
      <c r="C608">
        <v>21</v>
      </c>
      <c r="D608" s="19" t="s">
        <v>439</v>
      </c>
      <c r="E608" s="19" t="s">
        <v>339</v>
      </c>
      <c r="F608">
        <v>18</v>
      </c>
      <c r="G608">
        <v>2</v>
      </c>
      <c r="H608">
        <v>2</v>
      </c>
      <c r="I608">
        <v>4</v>
      </c>
      <c r="J608">
        <v>1</v>
      </c>
      <c r="K608">
        <v>2</v>
      </c>
      <c r="L608">
        <v>2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22</v>
      </c>
      <c r="T608">
        <v>9.1</v>
      </c>
      <c r="U608">
        <v>42</v>
      </c>
      <c r="V608" s="19" t="s">
        <v>1020</v>
      </c>
      <c r="W608" s="19" t="s">
        <v>1021</v>
      </c>
      <c r="X608">
        <v>6</v>
      </c>
      <c r="Y608">
        <v>5</v>
      </c>
      <c r="Z608">
        <v>54.5</v>
      </c>
      <c r="AA608">
        <v>6</v>
      </c>
      <c r="AB608">
        <v>35</v>
      </c>
      <c r="AC608">
        <v>1</v>
      </c>
      <c r="AD608">
        <v>9</v>
      </c>
      <c r="AE608" s="19" t="s">
        <v>60</v>
      </c>
    </row>
    <row r="609" spans="1:31" x14ac:dyDescent="0.2">
      <c r="A609">
        <v>584</v>
      </c>
      <c r="B609" s="19" t="s">
        <v>1164</v>
      </c>
      <c r="C609">
        <v>29</v>
      </c>
      <c r="D609" s="19" t="s">
        <v>321</v>
      </c>
      <c r="E609" s="19" t="s">
        <v>325</v>
      </c>
      <c r="F609">
        <v>21</v>
      </c>
      <c r="G609">
        <v>1</v>
      </c>
      <c r="H609">
        <v>3</v>
      </c>
      <c r="I609">
        <v>4</v>
      </c>
      <c r="J609">
        <v>0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13</v>
      </c>
      <c r="T609">
        <v>7.7</v>
      </c>
      <c r="U609">
        <v>29</v>
      </c>
      <c r="V609" s="19" t="s">
        <v>2650</v>
      </c>
      <c r="W609" s="19" t="s">
        <v>1327</v>
      </c>
      <c r="X609">
        <v>3</v>
      </c>
      <c r="Y609">
        <v>3</v>
      </c>
      <c r="Z609">
        <v>50</v>
      </c>
      <c r="AA609">
        <v>5</v>
      </c>
      <c r="AB609">
        <v>30</v>
      </c>
      <c r="AC609">
        <v>1</v>
      </c>
      <c r="AD609">
        <v>8</v>
      </c>
      <c r="AE609" s="19" t="s">
        <v>60</v>
      </c>
    </row>
    <row r="610" spans="1:31" x14ac:dyDescent="0.2">
      <c r="A610">
        <v>585</v>
      </c>
      <c r="B610" s="19" t="s">
        <v>1100</v>
      </c>
      <c r="C610">
        <v>22</v>
      </c>
      <c r="D610" s="19" t="s">
        <v>375</v>
      </c>
      <c r="E610" s="19" t="s">
        <v>334</v>
      </c>
      <c r="F610">
        <v>26</v>
      </c>
      <c r="G610">
        <v>1</v>
      </c>
      <c r="H610">
        <v>3</v>
      </c>
      <c r="I610">
        <v>4</v>
      </c>
      <c r="J610">
        <v>-5</v>
      </c>
      <c r="K610">
        <v>8</v>
      </c>
      <c r="L610">
        <v>0</v>
      </c>
      <c r="M610">
        <v>1</v>
      </c>
      <c r="N610">
        <v>0</v>
      </c>
      <c r="O610">
        <v>0</v>
      </c>
      <c r="P610">
        <v>1</v>
      </c>
      <c r="Q610">
        <v>2</v>
      </c>
      <c r="R610">
        <v>0</v>
      </c>
      <c r="S610">
        <v>27</v>
      </c>
      <c r="T610">
        <v>3.7</v>
      </c>
      <c r="U610">
        <v>64</v>
      </c>
      <c r="V610" s="19" t="s">
        <v>2651</v>
      </c>
      <c r="W610" s="19" t="s">
        <v>2440</v>
      </c>
      <c r="X610">
        <v>0</v>
      </c>
      <c r="Y610">
        <v>0</v>
      </c>
      <c r="AA610">
        <v>11</v>
      </c>
      <c r="AB610">
        <v>3</v>
      </c>
      <c r="AC610">
        <v>5</v>
      </c>
      <c r="AD610">
        <v>12</v>
      </c>
      <c r="AE610" s="19" t="s">
        <v>60</v>
      </c>
    </row>
    <row r="611" spans="1:31" x14ac:dyDescent="0.2">
      <c r="A611">
        <v>586</v>
      </c>
      <c r="B611" s="19" t="s">
        <v>1028</v>
      </c>
      <c r="C611">
        <v>23</v>
      </c>
      <c r="D611" s="19" t="s">
        <v>430</v>
      </c>
      <c r="E611" s="19" t="s">
        <v>322</v>
      </c>
      <c r="F611">
        <v>24</v>
      </c>
      <c r="G611">
        <v>2</v>
      </c>
      <c r="H611">
        <v>2</v>
      </c>
      <c r="I611">
        <v>4</v>
      </c>
      <c r="J611">
        <v>-4</v>
      </c>
      <c r="K611">
        <v>2</v>
      </c>
      <c r="L611">
        <v>2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19</v>
      </c>
      <c r="T611">
        <v>10.5</v>
      </c>
      <c r="U611">
        <v>35</v>
      </c>
      <c r="V611" s="19" t="s">
        <v>1734</v>
      </c>
      <c r="W611" s="19" t="s">
        <v>1536</v>
      </c>
      <c r="X611">
        <v>120</v>
      </c>
      <c r="Y611">
        <v>126</v>
      </c>
      <c r="Z611">
        <v>48.8</v>
      </c>
      <c r="AA611">
        <v>23</v>
      </c>
      <c r="AB611">
        <v>62</v>
      </c>
      <c r="AC611">
        <v>7</v>
      </c>
      <c r="AD611">
        <v>13</v>
      </c>
      <c r="AE611" s="19" t="s">
        <v>60</v>
      </c>
    </row>
    <row r="612" spans="1:31" x14ac:dyDescent="0.2">
      <c r="A612">
        <v>587</v>
      </c>
      <c r="B612" s="19" t="s">
        <v>1717</v>
      </c>
      <c r="C612">
        <v>27</v>
      </c>
      <c r="D612" s="19" t="s">
        <v>370</v>
      </c>
      <c r="E612" s="19" t="s">
        <v>339</v>
      </c>
      <c r="F612">
        <v>7</v>
      </c>
      <c r="G612">
        <v>2</v>
      </c>
      <c r="H612">
        <v>2</v>
      </c>
      <c r="I612">
        <v>4</v>
      </c>
      <c r="J612">
        <v>-2</v>
      </c>
      <c r="K612">
        <v>0</v>
      </c>
      <c r="L612">
        <v>2</v>
      </c>
      <c r="M612">
        <v>0</v>
      </c>
      <c r="N612">
        <v>0</v>
      </c>
      <c r="O612">
        <v>0</v>
      </c>
      <c r="P612">
        <v>0</v>
      </c>
      <c r="Q612">
        <v>2</v>
      </c>
      <c r="R612">
        <v>0</v>
      </c>
      <c r="S612">
        <v>8</v>
      </c>
      <c r="T612">
        <v>25</v>
      </c>
      <c r="U612">
        <v>23</v>
      </c>
      <c r="V612" s="19" t="s">
        <v>1957</v>
      </c>
      <c r="W612" s="19" t="s">
        <v>888</v>
      </c>
      <c r="X612">
        <v>0</v>
      </c>
      <c r="Y612">
        <v>0</v>
      </c>
      <c r="AA612">
        <v>5</v>
      </c>
      <c r="AB612">
        <v>7</v>
      </c>
      <c r="AC612">
        <v>2</v>
      </c>
      <c r="AD612">
        <v>7</v>
      </c>
      <c r="AE612" s="19" t="s">
        <v>60</v>
      </c>
    </row>
    <row r="613" spans="1:31" x14ac:dyDescent="0.2">
      <c r="A613">
        <v>588</v>
      </c>
      <c r="B613" s="19" t="s">
        <v>1031</v>
      </c>
      <c r="C613">
        <v>26</v>
      </c>
      <c r="D613" s="19" t="s">
        <v>324</v>
      </c>
      <c r="E613" s="19" t="s">
        <v>348</v>
      </c>
      <c r="F613">
        <v>28</v>
      </c>
      <c r="G613">
        <v>0</v>
      </c>
      <c r="H613">
        <v>4</v>
      </c>
      <c r="I613">
        <v>4</v>
      </c>
      <c r="J613">
        <v>-10</v>
      </c>
      <c r="K613">
        <v>18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18</v>
      </c>
      <c r="T613">
        <v>0</v>
      </c>
      <c r="U613">
        <v>61</v>
      </c>
      <c r="V613" s="19" t="s">
        <v>1735</v>
      </c>
      <c r="W613" s="19" t="s">
        <v>389</v>
      </c>
      <c r="X613">
        <v>0</v>
      </c>
      <c r="Y613">
        <v>0</v>
      </c>
      <c r="AA613">
        <v>63</v>
      </c>
      <c r="AB613">
        <v>25</v>
      </c>
      <c r="AC613">
        <v>3</v>
      </c>
      <c r="AD613">
        <v>28</v>
      </c>
      <c r="AE613" s="19" t="s">
        <v>60</v>
      </c>
    </row>
    <row r="614" spans="1:31" x14ac:dyDescent="0.2">
      <c r="A614">
        <v>589</v>
      </c>
      <c r="B614" s="19" t="s">
        <v>1108</v>
      </c>
      <c r="C614">
        <v>25</v>
      </c>
      <c r="D614" s="19" t="s">
        <v>333</v>
      </c>
      <c r="E614" s="19" t="s">
        <v>348</v>
      </c>
      <c r="F614">
        <v>14</v>
      </c>
      <c r="G614">
        <v>2</v>
      </c>
      <c r="H614">
        <v>2</v>
      </c>
      <c r="I614">
        <v>4</v>
      </c>
      <c r="J614">
        <v>5</v>
      </c>
      <c r="K614">
        <v>4</v>
      </c>
      <c r="L614">
        <v>2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10</v>
      </c>
      <c r="T614">
        <v>20</v>
      </c>
      <c r="U614">
        <v>27</v>
      </c>
      <c r="V614" s="19" t="s">
        <v>2652</v>
      </c>
      <c r="W614" s="19" t="s">
        <v>1648</v>
      </c>
      <c r="X614">
        <v>0</v>
      </c>
      <c r="Y614">
        <v>0</v>
      </c>
      <c r="AA614">
        <v>20</v>
      </c>
      <c r="AB614">
        <v>11</v>
      </c>
      <c r="AC614">
        <v>4</v>
      </c>
      <c r="AD614">
        <v>21</v>
      </c>
      <c r="AE614" s="19" t="s">
        <v>60</v>
      </c>
    </row>
    <row r="615" spans="1:31" x14ac:dyDescent="0.2">
      <c r="A615">
        <v>590</v>
      </c>
      <c r="B615" s="19" t="s">
        <v>1033</v>
      </c>
      <c r="C615">
        <v>31</v>
      </c>
      <c r="D615" s="19" t="s">
        <v>451</v>
      </c>
      <c r="E615" s="19" t="s">
        <v>339</v>
      </c>
      <c r="F615">
        <v>8</v>
      </c>
      <c r="G615">
        <v>1</v>
      </c>
      <c r="H615">
        <v>3</v>
      </c>
      <c r="I615">
        <v>4</v>
      </c>
      <c r="J615">
        <v>0</v>
      </c>
      <c r="K615">
        <v>12</v>
      </c>
      <c r="L615">
        <v>1</v>
      </c>
      <c r="M615">
        <v>0</v>
      </c>
      <c r="N615">
        <v>0</v>
      </c>
      <c r="O615">
        <v>0</v>
      </c>
      <c r="P615">
        <v>3</v>
      </c>
      <c r="Q615">
        <v>0</v>
      </c>
      <c r="R615">
        <v>0</v>
      </c>
      <c r="S615">
        <v>6</v>
      </c>
      <c r="T615">
        <v>16.7</v>
      </c>
      <c r="U615">
        <v>10</v>
      </c>
      <c r="V615" s="19" t="s">
        <v>1034</v>
      </c>
      <c r="W615" s="19" t="s">
        <v>1035</v>
      </c>
      <c r="X615">
        <v>1</v>
      </c>
      <c r="Y615">
        <v>1</v>
      </c>
      <c r="Z615">
        <v>50</v>
      </c>
      <c r="AA615">
        <v>6</v>
      </c>
      <c r="AB615">
        <v>10</v>
      </c>
      <c r="AC615">
        <v>1</v>
      </c>
      <c r="AD615">
        <v>3</v>
      </c>
      <c r="AE615" s="19" t="s">
        <v>60</v>
      </c>
    </row>
    <row r="616" spans="1:31" x14ac:dyDescent="0.2">
      <c r="A616">
        <v>591</v>
      </c>
      <c r="B616" s="19" t="s">
        <v>1036</v>
      </c>
      <c r="C616">
        <v>27</v>
      </c>
      <c r="D616" s="19" t="s">
        <v>418</v>
      </c>
      <c r="E616" s="19" t="s">
        <v>348</v>
      </c>
      <c r="F616">
        <v>28</v>
      </c>
      <c r="G616">
        <v>0</v>
      </c>
      <c r="H616">
        <v>4</v>
      </c>
      <c r="I616">
        <v>4</v>
      </c>
      <c r="J616">
        <v>-1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19</v>
      </c>
      <c r="T616">
        <v>0</v>
      </c>
      <c r="U616">
        <v>62</v>
      </c>
      <c r="V616" s="19" t="s">
        <v>2653</v>
      </c>
      <c r="W616" s="19" t="s">
        <v>2033</v>
      </c>
      <c r="X616">
        <v>0</v>
      </c>
      <c r="Y616">
        <v>0</v>
      </c>
      <c r="AA616">
        <v>32</v>
      </c>
      <c r="AB616">
        <v>24</v>
      </c>
      <c r="AC616">
        <v>6</v>
      </c>
      <c r="AD616">
        <v>17</v>
      </c>
      <c r="AE616" s="19" t="s">
        <v>60</v>
      </c>
    </row>
    <row r="617" spans="1:31" x14ac:dyDescent="0.2">
      <c r="A617">
        <v>592</v>
      </c>
      <c r="B617" s="19" t="s">
        <v>1522</v>
      </c>
      <c r="C617">
        <v>22</v>
      </c>
      <c r="D617" s="19" t="s">
        <v>984</v>
      </c>
      <c r="E617" s="19" t="s">
        <v>339</v>
      </c>
      <c r="F617">
        <v>26</v>
      </c>
      <c r="G617">
        <v>2</v>
      </c>
      <c r="H617">
        <v>2</v>
      </c>
      <c r="I617">
        <v>4</v>
      </c>
      <c r="J617">
        <v>-4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32</v>
      </c>
      <c r="T617">
        <v>6.3</v>
      </c>
      <c r="U617">
        <v>64</v>
      </c>
      <c r="V617" s="19" t="s">
        <v>2654</v>
      </c>
      <c r="W617" s="19" t="s">
        <v>1926</v>
      </c>
      <c r="X617">
        <v>4</v>
      </c>
      <c r="Y617">
        <v>2</v>
      </c>
      <c r="Z617">
        <v>66.7</v>
      </c>
      <c r="AA617">
        <v>14</v>
      </c>
      <c r="AB617">
        <v>39</v>
      </c>
      <c r="AC617">
        <v>1</v>
      </c>
      <c r="AD617">
        <v>11</v>
      </c>
      <c r="AE617" s="19" t="s">
        <v>60</v>
      </c>
    </row>
    <row r="618" spans="1:31" x14ac:dyDescent="0.2">
      <c r="A618">
        <v>592</v>
      </c>
      <c r="B618" s="19" t="s">
        <v>1522</v>
      </c>
      <c r="C618">
        <v>22</v>
      </c>
      <c r="D618" s="19" t="s">
        <v>357</v>
      </c>
      <c r="E618" s="19" t="s">
        <v>339</v>
      </c>
      <c r="F618">
        <v>18</v>
      </c>
      <c r="G618">
        <v>0</v>
      </c>
      <c r="H618">
        <v>0</v>
      </c>
      <c r="I618">
        <v>0</v>
      </c>
      <c r="J618">
        <v>-3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18</v>
      </c>
      <c r="T618">
        <v>0</v>
      </c>
      <c r="U618">
        <v>40</v>
      </c>
      <c r="V618" s="19" t="s">
        <v>1669</v>
      </c>
      <c r="W618" s="19" t="s">
        <v>1469</v>
      </c>
      <c r="X618">
        <v>2</v>
      </c>
      <c r="Y618">
        <v>1</v>
      </c>
      <c r="Z618">
        <v>66.7</v>
      </c>
      <c r="AA618">
        <v>8</v>
      </c>
      <c r="AB618">
        <v>29</v>
      </c>
      <c r="AC618">
        <v>1</v>
      </c>
      <c r="AD618">
        <v>7</v>
      </c>
      <c r="AE618" s="19" t="s">
        <v>60</v>
      </c>
    </row>
    <row r="619" spans="1:31" x14ac:dyDescent="0.2">
      <c r="A619">
        <v>592</v>
      </c>
      <c r="B619" s="19" t="s">
        <v>1522</v>
      </c>
      <c r="C619">
        <v>22</v>
      </c>
      <c r="D619" s="19" t="s">
        <v>451</v>
      </c>
      <c r="E619" s="19" t="s">
        <v>339</v>
      </c>
      <c r="F619">
        <v>8</v>
      </c>
      <c r="G619">
        <v>2</v>
      </c>
      <c r="H619">
        <v>2</v>
      </c>
      <c r="I619">
        <v>4</v>
      </c>
      <c r="J619">
        <v>-1</v>
      </c>
      <c r="K619">
        <v>0</v>
      </c>
      <c r="L619">
        <v>2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14</v>
      </c>
      <c r="T619">
        <v>14.3</v>
      </c>
      <c r="U619">
        <v>24</v>
      </c>
      <c r="V619" s="19" t="s">
        <v>2655</v>
      </c>
      <c r="W619" s="19" t="s">
        <v>2656</v>
      </c>
      <c r="X619">
        <v>2</v>
      </c>
      <c r="Y619">
        <v>1</v>
      </c>
      <c r="Z619">
        <v>66.7</v>
      </c>
      <c r="AA619">
        <v>6</v>
      </c>
      <c r="AB619">
        <v>10</v>
      </c>
      <c r="AC619">
        <v>0</v>
      </c>
      <c r="AD619">
        <v>4</v>
      </c>
      <c r="AE619" s="19" t="s">
        <v>60</v>
      </c>
    </row>
    <row r="620" spans="1:31" x14ac:dyDescent="0.2">
      <c r="A620">
        <v>593</v>
      </c>
      <c r="B620" s="19" t="s">
        <v>1121</v>
      </c>
      <c r="C620">
        <v>31</v>
      </c>
      <c r="D620" s="19" t="s">
        <v>400</v>
      </c>
      <c r="E620" s="19" t="s">
        <v>348</v>
      </c>
      <c r="F620">
        <v>16</v>
      </c>
      <c r="G620">
        <v>1</v>
      </c>
      <c r="H620">
        <v>3</v>
      </c>
      <c r="I620">
        <v>4</v>
      </c>
      <c r="J620">
        <v>0</v>
      </c>
      <c r="K620">
        <v>2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21</v>
      </c>
      <c r="T620">
        <v>4.8</v>
      </c>
      <c r="U620">
        <v>40</v>
      </c>
      <c r="V620" s="19" t="s">
        <v>2657</v>
      </c>
      <c r="W620" s="19" t="s">
        <v>1730</v>
      </c>
      <c r="X620">
        <v>0</v>
      </c>
      <c r="Y620">
        <v>0</v>
      </c>
      <c r="AA620">
        <v>42</v>
      </c>
      <c r="AB620">
        <v>5</v>
      </c>
      <c r="AC620">
        <v>6</v>
      </c>
      <c r="AD620">
        <v>7</v>
      </c>
      <c r="AE620" s="19" t="s">
        <v>60</v>
      </c>
    </row>
    <row r="621" spans="1:31" x14ac:dyDescent="0.2">
      <c r="A621">
        <v>594</v>
      </c>
      <c r="B621" s="19" t="s">
        <v>1043</v>
      </c>
      <c r="C621">
        <v>25</v>
      </c>
      <c r="D621" s="19" t="s">
        <v>343</v>
      </c>
      <c r="E621" s="19" t="s">
        <v>339</v>
      </c>
      <c r="F621">
        <v>26</v>
      </c>
      <c r="G621">
        <v>1</v>
      </c>
      <c r="H621">
        <v>3</v>
      </c>
      <c r="I621">
        <v>4</v>
      </c>
      <c r="J621">
        <v>-4</v>
      </c>
      <c r="K621">
        <v>8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16</v>
      </c>
      <c r="T621">
        <v>6.3</v>
      </c>
      <c r="U621">
        <v>42</v>
      </c>
      <c r="V621" s="19" t="s">
        <v>1851</v>
      </c>
      <c r="W621" s="19" t="s">
        <v>1852</v>
      </c>
      <c r="X621">
        <v>3</v>
      </c>
      <c r="Y621">
        <v>4</v>
      </c>
      <c r="Z621">
        <v>42.9</v>
      </c>
      <c r="AA621">
        <v>4</v>
      </c>
      <c r="AB621">
        <v>46</v>
      </c>
      <c r="AC621">
        <v>2</v>
      </c>
      <c r="AD621">
        <v>13</v>
      </c>
      <c r="AE621" s="19" t="s">
        <v>60</v>
      </c>
    </row>
    <row r="622" spans="1:31" x14ac:dyDescent="0.2">
      <c r="A622">
        <v>595</v>
      </c>
      <c r="B622" s="19" t="s">
        <v>1315</v>
      </c>
      <c r="C622">
        <v>22</v>
      </c>
      <c r="D622" s="19" t="s">
        <v>464</v>
      </c>
      <c r="E622" s="19" t="s">
        <v>339</v>
      </c>
      <c r="F622">
        <v>17</v>
      </c>
      <c r="G622">
        <v>4</v>
      </c>
      <c r="H622">
        <v>0</v>
      </c>
      <c r="I622">
        <v>4</v>
      </c>
      <c r="J622">
        <v>-3</v>
      </c>
      <c r="K622">
        <v>11</v>
      </c>
      <c r="L622">
        <v>4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14</v>
      </c>
      <c r="T622">
        <v>28.6</v>
      </c>
      <c r="U622">
        <v>29</v>
      </c>
      <c r="V622" s="19" t="s">
        <v>2658</v>
      </c>
      <c r="W622" s="19" t="s">
        <v>2659</v>
      </c>
      <c r="X622">
        <v>0</v>
      </c>
      <c r="Y622">
        <v>0</v>
      </c>
      <c r="AA622">
        <v>16</v>
      </c>
      <c r="AB622">
        <v>44</v>
      </c>
      <c r="AC622">
        <v>1</v>
      </c>
      <c r="AD622">
        <v>6</v>
      </c>
      <c r="AE622" s="19" t="s">
        <v>60</v>
      </c>
    </row>
    <row r="623" spans="1:31" x14ac:dyDescent="0.2">
      <c r="A623">
        <v>596</v>
      </c>
      <c r="B623" s="19" t="s">
        <v>1047</v>
      </c>
      <c r="C623">
        <v>36</v>
      </c>
      <c r="D623" s="19" t="s">
        <v>345</v>
      </c>
      <c r="E623" s="19" t="s">
        <v>348</v>
      </c>
      <c r="F623">
        <v>27</v>
      </c>
      <c r="G623">
        <v>0</v>
      </c>
      <c r="H623">
        <v>4</v>
      </c>
      <c r="I623">
        <v>4</v>
      </c>
      <c r="J623">
        <v>-7</v>
      </c>
      <c r="K623">
        <v>21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22</v>
      </c>
      <c r="T623">
        <v>0</v>
      </c>
      <c r="U623">
        <v>58</v>
      </c>
      <c r="V623" s="19" t="s">
        <v>2660</v>
      </c>
      <c r="W623" s="19" t="s">
        <v>1914</v>
      </c>
      <c r="X623">
        <v>0</v>
      </c>
      <c r="Y623">
        <v>0</v>
      </c>
      <c r="AA623">
        <v>29</v>
      </c>
      <c r="AB623">
        <v>77</v>
      </c>
      <c r="AC623">
        <v>5</v>
      </c>
      <c r="AD623">
        <v>28</v>
      </c>
      <c r="AE623" s="19" t="s">
        <v>60</v>
      </c>
    </row>
    <row r="624" spans="1:31" x14ac:dyDescent="0.2">
      <c r="A624">
        <v>597</v>
      </c>
      <c r="B624" s="19" t="s">
        <v>1126</v>
      </c>
      <c r="C624">
        <v>32</v>
      </c>
      <c r="D624" s="19" t="s">
        <v>408</v>
      </c>
      <c r="E624" s="19" t="s">
        <v>348</v>
      </c>
      <c r="F624">
        <v>39</v>
      </c>
      <c r="G624">
        <v>0</v>
      </c>
      <c r="H624">
        <v>4</v>
      </c>
      <c r="I624">
        <v>4</v>
      </c>
      <c r="J624">
        <v>-5</v>
      </c>
      <c r="K624">
        <v>17</v>
      </c>
      <c r="L624">
        <v>0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51</v>
      </c>
      <c r="T624">
        <v>0</v>
      </c>
      <c r="U624">
        <v>135</v>
      </c>
      <c r="V624" s="19" t="s">
        <v>2661</v>
      </c>
      <c r="W624" s="19" t="s">
        <v>1773</v>
      </c>
      <c r="X624">
        <v>0</v>
      </c>
      <c r="Y624">
        <v>0</v>
      </c>
      <c r="AA624">
        <v>73</v>
      </c>
      <c r="AB624">
        <v>72</v>
      </c>
      <c r="AC624">
        <v>9</v>
      </c>
      <c r="AD624">
        <v>22</v>
      </c>
      <c r="AE624" s="19" t="s">
        <v>60</v>
      </c>
    </row>
    <row r="625" spans="1:31" x14ac:dyDescent="0.2">
      <c r="A625">
        <v>598</v>
      </c>
      <c r="B625" s="19" t="s">
        <v>1729</v>
      </c>
      <c r="C625">
        <v>20</v>
      </c>
      <c r="D625" s="19" t="s">
        <v>519</v>
      </c>
      <c r="E625" s="19" t="s">
        <v>322</v>
      </c>
      <c r="F625">
        <v>7</v>
      </c>
      <c r="G625">
        <v>0</v>
      </c>
      <c r="H625">
        <v>4</v>
      </c>
      <c r="I625">
        <v>4</v>
      </c>
      <c r="J625">
        <v>3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6</v>
      </c>
      <c r="T625">
        <v>0</v>
      </c>
      <c r="U625">
        <v>13</v>
      </c>
      <c r="V625" s="19" t="s">
        <v>2662</v>
      </c>
      <c r="W625" s="19" t="s">
        <v>1914</v>
      </c>
      <c r="X625">
        <v>3</v>
      </c>
      <c r="Y625">
        <v>3</v>
      </c>
      <c r="Z625">
        <v>50</v>
      </c>
      <c r="AA625">
        <v>6</v>
      </c>
      <c r="AB625">
        <v>13</v>
      </c>
      <c r="AC625">
        <v>2</v>
      </c>
      <c r="AD625">
        <v>2</v>
      </c>
      <c r="AE625" s="19" t="s">
        <v>60</v>
      </c>
    </row>
    <row r="626" spans="1:31" x14ac:dyDescent="0.2">
      <c r="A626">
        <v>599</v>
      </c>
      <c r="B626" s="19" t="s">
        <v>1577</v>
      </c>
      <c r="C626">
        <v>28</v>
      </c>
      <c r="D626" s="19" t="s">
        <v>400</v>
      </c>
      <c r="E626" s="19" t="s">
        <v>348</v>
      </c>
      <c r="F626">
        <v>20</v>
      </c>
      <c r="G626">
        <v>0</v>
      </c>
      <c r="H626">
        <v>4</v>
      </c>
      <c r="I626">
        <v>4</v>
      </c>
      <c r="J626">
        <v>6</v>
      </c>
      <c r="K626">
        <v>2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13</v>
      </c>
      <c r="T626">
        <v>0</v>
      </c>
      <c r="U626">
        <v>28</v>
      </c>
      <c r="V626" s="19" t="s">
        <v>2089</v>
      </c>
      <c r="W626" s="19" t="s">
        <v>1021</v>
      </c>
      <c r="X626">
        <v>0</v>
      </c>
      <c r="Y626">
        <v>0</v>
      </c>
      <c r="AA626">
        <v>16</v>
      </c>
      <c r="AB626">
        <v>20</v>
      </c>
      <c r="AC626">
        <v>3</v>
      </c>
      <c r="AD626">
        <v>21</v>
      </c>
      <c r="AE626" s="19" t="s">
        <v>60</v>
      </c>
    </row>
    <row r="627" spans="1:31" x14ac:dyDescent="0.2">
      <c r="A627">
        <v>600</v>
      </c>
      <c r="B627" s="19" t="s">
        <v>1058</v>
      </c>
      <c r="C627">
        <v>23</v>
      </c>
      <c r="D627" s="19" t="s">
        <v>464</v>
      </c>
      <c r="E627" s="19" t="s">
        <v>334</v>
      </c>
      <c r="F627">
        <v>24</v>
      </c>
      <c r="G627">
        <v>1</v>
      </c>
      <c r="H627">
        <v>3</v>
      </c>
      <c r="I627">
        <v>4</v>
      </c>
      <c r="J627">
        <v>-6</v>
      </c>
      <c r="K627">
        <v>30</v>
      </c>
      <c r="L627">
        <v>1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22</v>
      </c>
      <c r="T627">
        <v>4.5</v>
      </c>
      <c r="U627">
        <v>47</v>
      </c>
      <c r="V627" s="19" t="s">
        <v>1059</v>
      </c>
      <c r="W627" s="19" t="s">
        <v>1060</v>
      </c>
      <c r="X627">
        <v>0</v>
      </c>
      <c r="Y627">
        <v>4</v>
      </c>
      <c r="Z627">
        <v>0</v>
      </c>
      <c r="AA627">
        <v>10</v>
      </c>
      <c r="AB627">
        <v>60</v>
      </c>
      <c r="AC627">
        <v>5</v>
      </c>
      <c r="AD627">
        <v>11</v>
      </c>
      <c r="AE627" s="19" t="s">
        <v>60</v>
      </c>
    </row>
    <row r="628" spans="1:31" x14ac:dyDescent="0.2">
      <c r="A628">
        <v>601</v>
      </c>
      <c r="B628" s="19" t="s">
        <v>1062</v>
      </c>
      <c r="C628">
        <v>31</v>
      </c>
      <c r="D628" s="19" t="s">
        <v>380</v>
      </c>
      <c r="E628" s="19" t="s">
        <v>322</v>
      </c>
      <c r="F628">
        <v>20</v>
      </c>
      <c r="G628">
        <v>0</v>
      </c>
      <c r="H628">
        <v>3</v>
      </c>
      <c r="I628">
        <v>3</v>
      </c>
      <c r="J628">
        <v>-1</v>
      </c>
      <c r="K628">
        <v>8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15</v>
      </c>
      <c r="T628">
        <v>0</v>
      </c>
      <c r="U628">
        <v>26</v>
      </c>
      <c r="V628" s="19" t="s">
        <v>2663</v>
      </c>
      <c r="W628" s="19" t="s">
        <v>1313</v>
      </c>
      <c r="X628">
        <v>6</v>
      </c>
      <c r="Y628">
        <v>16</v>
      </c>
      <c r="Z628">
        <v>27.3</v>
      </c>
      <c r="AA628">
        <v>12</v>
      </c>
      <c r="AB628">
        <v>51</v>
      </c>
      <c r="AC628">
        <v>2</v>
      </c>
      <c r="AD628">
        <v>9</v>
      </c>
      <c r="AE628" s="19" t="s">
        <v>60</v>
      </c>
    </row>
    <row r="629" spans="1:31" x14ac:dyDescent="0.2">
      <c r="A629">
        <v>602</v>
      </c>
      <c r="B629" s="19" t="s">
        <v>1063</v>
      </c>
      <c r="C629">
        <v>28</v>
      </c>
      <c r="D629" s="19" t="s">
        <v>333</v>
      </c>
      <c r="E629" s="19" t="s">
        <v>334</v>
      </c>
      <c r="F629">
        <v>20</v>
      </c>
      <c r="G629">
        <v>3</v>
      </c>
      <c r="H629">
        <v>0</v>
      </c>
      <c r="I629">
        <v>3</v>
      </c>
      <c r="J629">
        <v>3</v>
      </c>
      <c r="K629">
        <v>10</v>
      </c>
      <c r="L629">
        <v>3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13</v>
      </c>
      <c r="T629">
        <v>23.1</v>
      </c>
      <c r="U629">
        <v>21</v>
      </c>
      <c r="V629" s="19" t="s">
        <v>1932</v>
      </c>
      <c r="W629" s="19" t="s">
        <v>1071</v>
      </c>
      <c r="X629">
        <v>0</v>
      </c>
      <c r="Y629">
        <v>0</v>
      </c>
      <c r="AA629">
        <v>5</v>
      </c>
      <c r="AB629">
        <v>48</v>
      </c>
      <c r="AC629">
        <v>1</v>
      </c>
      <c r="AD629">
        <v>5</v>
      </c>
      <c r="AE629" s="19" t="s">
        <v>60</v>
      </c>
    </row>
    <row r="630" spans="1:31" x14ac:dyDescent="0.2">
      <c r="A630">
        <v>603</v>
      </c>
      <c r="B630" s="19" t="s">
        <v>1065</v>
      </c>
      <c r="C630">
        <v>27</v>
      </c>
      <c r="D630" s="19" t="s">
        <v>359</v>
      </c>
      <c r="E630" s="19" t="s">
        <v>348</v>
      </c>
      <c r="F630">
        <v>35</v>
      </c>
      <c r="G630">
        <v>0</v>
      </c>
      <c r="H630">
        <v>3</v>
      </c>
      <c r="I630">
        <v>3</v>
      </c>
      <c r="J630">
        <v>-4</v>
      </c>
      <c r="K630">
        <v>23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20</v>
      </c>
      <c r="T630">
        <v>0</v>
      </c>
      <c r="U630">
        <v>64</v>
      </c>
      <c r="V630" s="19" t="s">
        <v>2664</v>
      </c>
      <c r="W630" s="19" t="s">
        <v>386</v>
      </c>
      <c r="X630">
        <v>0</v>
      </c>
      <c r="Y630">
        <v>0</v>
      </c>
      <c r="AA630">
        <v>54</v>
      </c>
      <c r="AB630">
        <v>88</v>
      </c>
      <c r="AC630">
        <v>6</v>
      </c>
      <c r="AD630">
        <v>37</v>
      </c>
      <c r="AE630" s="19" t="s">
        <v>60</v>
      </c>
    </row>
    <row r="631" spans="1:31" x14ac:dyDescent="0.2">
      <c r="A631">
        <v>604</v>
      </c>
      <c r="B631" s="19" t="s">
        <v>1066</v>
      </c>
      <c r="C631">
        <v>21</v>
      </c>
      <c r="D631" s="19" t="s">
        <v>333</v>
      </c>
      <c r="E631" s="19" t="s">
        <v>348</v>
      </c>
      <c r="F631">
        <v>26</v>
      </c>
      <c r="G631">
        <v>1</v>
      </c>
      <c r="H631">
        <v>2</v>
      </c>
      <c r="I631">
        <v>3</v>
      </c>
      <c r="J631">
        <v>6</v>
      </c>
      <c r="K631">
        <v>22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9</v>
      </c>
      <c r="T631">
        <v>11.1</v>
      </c>
      <c r="U631">
        <v>30</v>
      </c>
      <c r="V631" s="19" t="s">
        <v>1067</v>
      </c>
      <c r="W631" s="19" t="s">
        <v>1068</v>
      </c>
      <c r="X631">
        <v>0</v>
      </c>
      <c r="Y631">
        <v>0</v>
      </c>
      <c r="AA631">
        <v>24</v>
      </c>
      <c r="AB631">
        <v>85</v>
      </c>
      <c r="AC631">
        <v>4</v>
      </c>
      <c r="AD631">
        <v>23</v>
      </c>
      <c r="AE631" s="19" t="s">
        <v>60</v>
      </c>
    </row>
    <row r="632" spans="1:31" x14ac:dyDescent="0.2">
      <c r="A632">
        <v>605</v>
      </c>
      <c r="B632" s="19" t="s">
        <v>1214</v>
      </c>
      <c r="C632">
        <v>35</v>
      </c>
      <c r="D632" s="19" t="s">
        <v>357</v>
      </c>
      <c r="E632" s="19" t="s">
        <v>348</v>
      </c>
      <c r="F632">
        <v>21</v>
      </c>
      <c r="G632">
        <v>1</v>
      </c>
      <c r="H632">
        <v>2</v>
      </c>
      <c r="I632">
        <v>3</v>
      </c>
      <c r="J632">
        <v>8</v>
      </c>
      <c r="K632">
        <v>4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18</v>
      </c>
      <c r="T632">
        <v>5.6</v>
      </c>
      <c r="U632">
        <v>38</v>
      </c>
      <c r="V632" s="19" t="s">
        <v>2665</v>
      </c>
      <c r="W632" s="19" t="s">
        <v>795</v>
      </c>
      <c r="X632">
        <v>0</v>
      </c>
      <c r="Y632">
        <v>1</v>
      </c>
      <c r="Z632">
        <v>0</v>
      </c>
      <c r="AA632">
        <v>20</v>
      </c>
      <c r="AB632">
        <v>19</v>
      </c>
      <c r="AC632">
        <v>4</v>
      </c>
      <c r="AD632">
        <v>10</v>
      </c>
      <c r="AE632" s="19" t="s">
        <v>60</v>
      </c>
    </row>
    <row r="633" spans="1:31" x14ac:dyDescent="0.2">
      <c r="A633">
        <v>606</v>
      </c>
      <c r="B633" s="19" t="s">
        <v>1357</v>
      </c>
      <c r="C633">
        <v>20</v>
      </c>
      <c r="D633" s="19" t="s">
        <v>406</v>
      </c>
      <c r="E633" s="19" t="s">
        <v>339</v>
      </c>
      <c r="F633">
        <v>14</v>
      </c>
      <c r="G633">
        <v>1</v>
      </c>
      <c r="H633">
        <v>2</v>
      </c>
      <c r="I633">
        <v>3</v>
      </c>
      <c r="J633">
        <v>0</v>
      </c>
      <c r="K633">
        <v>4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25</v>
      </c>
      <c r="T633">
        <v>4</v>
      </c>
      <c r="U633">
        <v>51</v>
      </c>
      <c r="V633" s="19" t="s">
        <v>2666</v>
      </c>
      <c r="W633" s="19" t="s">
        <v>790</v>
      </c>
      <c r="X633">
        <v>3</v>
      </c>
      <c r="Y633">
        <v>6</v>
      </c>
      <c r="Z633">
        <v>33.299999999999997</v>
      </c>
      <c r="AA633">
        <v>8</v>
      </c>
      <c r="AB633">
        <v>7</v>
      </c>
      <c r="AC633">
        <v>2</v>
      </c>
      <c r="AD633">
        <v>7</v>
      </c>
      <c r="AE633" s="19" t="s">
        <v>60</v>
      </c>
    </row>
    <row r="634" spans="1:31" x14ac:dyDescent="0.2">
      <c r="A634">
        <v>607</v>
      </c>
      <c r="B634" s="19" t="s">
        <v>1222</v>
      </c>
      <c r="C634">
        <v>25</v>
      </c>
      <c r="D634" s="19" t="s">
        <v>351</v>
      </c>
      <c r="E634" s="19" t="s">
        <v>348</v>
      </c>
      <c r="F634">
        <v>19</v>
      </c>
      <c r="G634">
        <v>1</v>
      </c>
      <c r="H634">
        <v>2</v>
      </c>
      <c r="I634">
        <v>3</v>
      </c>
      <c r="J634">
        <v>0</v>
      </c>
      <c r="K634">
        <v>8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15</v>
      </c>
      <c r="T634">
        <v>6.7</v>
      </c>
      <c r="U634">
        <v>41</v>
      </c>
      <c r="V634" s="19" t="s">
        <v>2667</v>
      </c>
      <c r="W634" s="19" t="s">
        <v>2668</v>
      </c>
      <c r="X634">
        <v>0</v>
      </c>
      <c r="Y634">
        <v>0</v>
      </c>
      <c r="AA634">
        <v>16</v>
      </c>
      <c r="AB634">
        <v>22</v>
      </c>
      <c r="AC634">
        <v>3</v>
      </c>
      <c r="AD634">
        <v>9</v>
      </c>
      <c r="AE634" s="19" t="s">
        <v>60</v>
      </c>
    </row>
    <row r="635" spans="1:31" x14ac:dyDescent="0.2">
      <c r="A635">
        <v>608</v>
      </c>
      <c r="B635" s="19" t="s">
        <v>1140</v>
      </c>
      <c r="C635">
        <v>26</v>
      </c>
      <c r="D635" s="19" t="s">
        <v>366</v>
      </c>
      <c r="E635" s="19" t="s">
        <v>348</v>
      </c>
      <c r="F635">
        <v>15</v>
      </c>
      <c r="G635">
        <v>0</v>
      </c>
      <c r="H635">
        <v>3</v>
      </c>
      <c r="I635">
        <v>3</v>
      </c>
      <c r="J635">
        <v>0</v>
      </c>
      <c r="K635">
        <v>2</v>
      </c>
      <c r="L635">
        <v>0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12</v>
      </c>
      <c r="T635">
        <v>0</v>
      </c>
      <c r="U635">
        <v>32</v>
      </c>
      <c r="V635" s="19" t="s">
        <v>1892</v>
      </c>
      <c r="W635" s="19" t="s">
        <v>615</v>
      </c>
      <c r="X635">
        <v>0</v>
      </c>
      <c r="Y635">
        <v>0</v>
      </c>
      <c r="AA635">
        <v>13</v>
      </c>
      <c r="AB635">
        <v>5</v>
      </c>
      <c r="AC635">
        <v>4</v>
      </c>
      <c r="AD635">
        <v>17</v>
      </c>
      <c r="AE635" s="19" t="s">
        <v>60</v>
      </c>
    </row>
    <row r="636" spans="1:31" x14ac:dyDescent="0.2">
      <c r="A636">
        <v>609</v>
      </c>
      <c r="B636" s="19" t="s">
        <v>1073</v>
      </c>
      <c r="C636">
        <v>26</v>
      </c>
      <c r="D636" s="19" t="s">
        <v>451</v>
      </c>
      <c r="E636" s="19" t="s">
        <v>322</v>
      </c>
      <c r="F636">
        <v>6</v>
      </c>
      <c r="G636">
        <v>3</v>
      </c>
      <c r="H636">
        <v>0</v>
      </c>
      <c r="I636">
        <v>3</v>
      </c>
      <c r="J636">
        <v>0</v>
      </c>
      <c r="K636">
        <v>6</v>
      </c>
      <c r="L636">
        <v>3</v>
      </c>
      <c r="M636">
        <v>0</v>
      </c>
      <c r="N636">
        <v>0</v>
      </c>
      <c r="O636">
        <v>1</v>
      </c>
      <c r="P636">
        <v>0</v>
      </c>
      <c r="Q636">
        <v>0</v>
      </c>
      <c r="R636">
        <v>0</v>
      </c>
      <c r="S636">
        <v>15</v>
      </c>
      <c r="T636">
        <v>20</v>
      </c>
      <c r="U636">
        <v>22</v>
      </c>
      <c r="V636" s="19" t="s">
        <v>1074</v>
      </c>
      <c r="W636" s="19" t="s">
        <v>1075</v>
      </c>
      <c r="X636">
        <v>36</v>
      </c>
      <c r="Y636">
        <v>40</v>
      </c>
      <c r="Z636">
        <v>47.4</v>
      </c>
      <c r="AA636">
        <v>4</v>
      </c>
      <c r="AB636">
        <v>3</v>
      </c>
      <c r="AC636">
        <v>2</v>
      </c>
      <c r="AD636">
        <v>3</v>
      </c>
      <c r="AE636" s="19" t="s">
        <v>60</v>
      </c>
    </row>
    <row r="637" spans="1:31" x14ac:dyDescent="0.2">
      <c r="A637">
        <v>610</v>
      </c>
      <c r="B637" s="19" t="s">
        <v>1231</v>
      </c>
      <c r="C637">
        <v>29</v>
      </c>
      <c r="D637" s="19" t="s">
        <v>536</v>
      </c>
      <c r="E637" s="19" t="s">
        <v>3</v>
      </c>
      <c r="F637">
        <v>24</v>
      </c>
      <c r="G637">
        <v>0</v>
      </c>
      <c r="H637">
        <v>3</v>
      </c>
      <c r="I637">
        <v>3</v>
      </c>
      <c r="J637">
        <v>0</v>
      </c>
      <c r="K637">
        <v>2</v>
      </c>
      <c r="L637">
        <v>0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</v>
      </c>
      <c r="T637">
        <v>0</v>
      </c>
      <c r="U637">
        <v>3</v>
      </c>
      <c r="V637" s="19" t="s">
        <v>2669</v>
      </c>
      <c r="W637" s="19" t="s">
        <v>2670</v>
      </c>
      <c r="X637">
        <v>0</v>
      </c>
      <c r="Y637">
        <v>0</v>
      </c>
      <c r="AA637">
        <v>0</v>
      </c>
      <c r="AB637">
        <v>0</v>
      </c>
      <c r="AC637">
        <v>0</v>
      </c>
      <c r="AD637">
        <v>15</v>
      </c>
      <c r="AE637" s="19" t="s">
        <v>60</v>
      </c>
    </row>
    <row r="638" spans="1:31" x14ac:dyDescent="0.2">
      <c r="A638">
        <v>611</v>
      </c>
      <c r="B638" s="19" t="s">
        <v>1077</v>
      </c>
      <c r="C638">
        <v>31</v>
      </c>
      <c r="D638" s="19" t="s">
        <v>406</v>
      </c>
      <c r="E638" s="19" t="s">
        <v>348</v>
      </c>
      <c r="F638">
        <v>16</v>
      </c>
      <c r="G638">
        <v>2</v>
      </c>
      <c r="H638">
        <v>1</v>
      </c>
      <c r="I638">
        <v>3</v>
      </c>
      <c r="J638">
        <v>1</v>
      </c>
      <c r="K638">
        <v>2</v>
      </c>
      <c r="L638">
        <v>2</v>
      </c>
      <c r="M638">
        <v>0</v>
      </c>
      <c r="N638">
        <v>0</v>
      </c>
      <c r="O638">
        <v>1</v>
      </c>
      <c r="P638">
        <v>1</v>
      </c>
      <c r="Q638">
        <v>0</v>
      </c>
      <c r="R638">
        <v>0</v>
      </c>
      <c r="S638">
        <v>19</v>
      </c>
      <c r="T638">
        <v>10.5</v>
      </c>
      <c r="U638">
        <v>34</v>
      </c>
      <c r="V638" s="19" t="s">
        <v>2671</v>
      </c>
      <c r="W638" s="19" t="s">
        <v>662</v>
      </c>
      <c r="X638">
        <v>0</v>
      </c>
      <c r="Y638">
        <v>0</v>
      </c>
      <c r="AA638">
        <v>13</v>
      </c>
      <c r="AB638">
        <v>7</v>
      </c>
      <c r="AC638">
        <v>1</v>
      </c>
      <c r="AD638">
        <v>15</v>
      </c>
      <c r="AE638" s="19" t="s">
        <v>60</v>
      </c>
    </row>
    <row r="639" spans="1:31" x14ac:dyDescent="0.2">
      <c r="A639">
        <v>612</v>
      </c>
      <c r="B639" s="19" t="s">
        <v>1078</v>
      </c>
      <c r="C639">
        <v>31</v>
      </c>
      <c r="D639" s="19" t="s">
        <v>375</v>
      </c>
      <c r="E639" s="19" t="s">
        <v>348</v>
      </c>
      <c r="F639">
        <v>11</v>
      </c>
      <c r="G639">
        <v>1</v>
      </c>
      <c r="H639">
        <v>2</v>
      </c>
      <c r="I639">
        <v>3</v>
      </c>
      <c r="J639">
        <v>-5</v>
      </c>
      <c r="K639">
        <v>11</v>
      </c>
      <c r="L639">
        <v>1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7</v>
      </c>
      <c r="T639">
        <v>14.3</v>
      </c>
      <c r="U639">
        <v>26</v>
      </c>
      <c r="V639" s="19" t="s">
        <v>1079</v>
      </c>
      <c r="W639" s="19" t="s">
        <v>1080</v>
      </c>
      <c r="X639">
        <v>0</v>
      </c>
      <c r="Y639">
        <v>0</v>
      </c>
      <c r="AA639">
        <v>12</v>
      </c>
      <c r="AB639">
        <v>16</v>
      </c>
      <c r="AC639">
        <v>6</v>
      </c>
      <c r="AD639">
        <v>8</v>
      </c>
      <c r="AE639" s="19" t="s">
        <v>60</v>
      </c>
    </row>
    <row r="640" spans="1:31" x14ac:dyDescent="0.2">
      <c r="A640">
        <v>613</v>
      </c>
      <c r="B640" s="19" t="s">
        <v>1660</v>
      </c>
      <c r="C640">
        <v>30</v>
      </c>
      <c r="D640" s="19" t="s">
        <v>519</v>
      </c>
      <c r="E640" s="19" t="s">
        <v>322</v>
      </c>
      <c r="F640">
        <v>8</v>
      </c>
      <c r="G640">
        <v>0</v>
      </c>
      <c r="H640">
        <v>3</v>
      </c>
      <c r="I640">
        <v>3</v>
      </c>
      <c r="J640">
        <v>-2</v>
      </c>
      <c r="K640">
        <v>6</v>
      </c>
      <c r="L640">
        <v>0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9</v>
      </c>
      <c r="T640">
        <v>0</v>
      </c>
      <c r="U640">
        <v>17</v>
      </c>
      <c r="V640" s="19" t="s">
        <v>2672</v>
      </c>
      <c r="W640" s="19" t="s">
        <v>1796</v>
      </c>
      <c r="X640">
        <v>0</v>
      </c>
      <c r="Y640">
        <v>0</v>
      </c>
      <c r="AA640">
        <v>4</v>
      </c>
      <c r="AB640">
        <v>15</v>
      </c>
      <c r="AC640">
        <v>0</v>
      </c>
      <c r="AD640">
        <v>3</v>
      </c>
      <c r="AE640" s="19" t="s">
        <v>60</v>
      </c>
    </row>
    <row r="641" spans="1:31" x14ac:dyDescent="0.2">
      <c r="A641">
        <v>614</v>
      </c>
      <c r="B641" s="19" t="s">
        <v>1149</v>
      </c>
      <c r="C641">
        <v>23</v>
      </c>
      <c r="D641" s="19" t="s">
        <v>351</v>
      </c>
      <c r="E641" s="19" t="s">
        <v>322</v>
      </c>
      <c r="F641">
        <v>13</v>
      </c>
      <c r="G641">
        <v>2</v>
      </c>
      <c r="H641">
        <v>1</v>
      </c>
      <c r="I641">
        <v>3</v>
      </c>
      <c r="J641">
        <v>3</v>
      </c>
      <c r="K641">
        <v>12</v>
      </c>
      <c r="L641">
        <v>2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10</v>
      </c>
      <c r="T641">
        <v>20</v>
      </c>
      <c r="U641">
        <v>14</v>
      </c>
      <c r="V641" s="19" t="s">
        <v>1872</v>
      </c>
      <c r="W641" s="19" t="s">
        <v>1814</v>
      </c>
      <c r="X641">
        <v>59</v>
      </c>
      <c r="Y641">
        <v>62</v>
      </c>
      <c r="Z641">
        <v>48.8</v>
      </c>
      <c r="AA641">
        <v>1</v>
      </c>
      <c r="AB641">
        <v>19</v>
      </c>
      <c r="AC641">
        <v>0</v>
      </c>
      <c r="AD641">
        <v>4</v>
      </c>
      <c r="AE641" s="19" t="s">
        <v>60</v>
      </c>
    </row>
    <row r="642" spans="1:31" x14ac:dyDescent="0.2">
      <c r="A642">
        <v>615</v>
      </c>
      <c r="B642" s="19" t="s">
        <v>1151</v>
      </c>
      <c r="C642">
        <v>34</v>
      </c>
      <c r="D642" s="19" t="s">
        <v>357</v>
      </c>
      <c r="E642" s="19" t="s">
        <v>339</v>
      </c>
      <c r="F642">
        <v>31</v>
      </c>
      <c r="G642">
        <v>1</v>
      </c>
      <c r="H642">
        <v>2</v>
      </c>
      <c r="I642">
        <v>3</v>
      </c>
      <c r="J642">
        <v>-9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30</v>
      </c>
      <c r="T642">
        <v>3.3</v>
      </c>
      <c r="U642">
        <v>56</v>
      </c>
      <c r="V642" s="19" t="s">
        <v>2673</v>
      </c>
      <c r="W642" s="19" t="s">
        <v>1847</v>
      </c>
      <c r="X642">
        <v>3</v>
      </c>
      <c r="Y642">
        <v>4</v>
      </c>
      <c r="Z642">
        <v>42.9</v>
      </c>
      <c r="AA642">
        <v>28</v>
      </c>
      <c r="AB642">
        <v>100</v>
      </c>
      <c r="AC642">
        <v>4</v>
      </c>
      <c r="AD642">
        <v>12</v>
      </c>
      <c r="AE642" s="19" t="s">
        <v>60</v>
      </c>
    </row>
    <row r="643" spans="1:31" x14ac:dyDescent="0.2">
      <c r="A643">
        <v>616</v>
      </c>
      <c r="B643" s="19" t="s">
        <v>1083</v>
      </c>
      <c r="C643">
        <v>27</v>
      </c>
      <c r="D643" s="19" t="s">
        <v>327</v>
      </c>
      <c r="E643" s="19" t="s">
        <v>322</v>
      </c>
      <c r="F643">
        <v>40</v>
      </c>
      <c r="G643">
        <v>2</v>
      </c>
      <c r="H643">
        <v>1</v>
      </c>
      <c r="I643">
        <v>3</v>
      </c>
      <c r="J643">
        <v>-10</v>
      </c>
      <c r="K643">
        <v>32</v>
      </c>
      <c r="L643">
        <v>2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39</v>
      </c>
      <c r="T643">
        <v>5.0999999999999996</v>
      </c>
      <c r="U643">
        <v>71</v>
      </c>
      <c r="V643" s="19" t="s">
        <v>2674</v>
      </c>
      <c r="W643" s="19" t="s">
        <v>2675</v>
      </c>
      <c r="X643">
        <v>49</v>
      </c>
      <c r="Y643">
        <v>39</v>
      </c>
      <c r="Z643">
        <v>55.7</v>
      </c>
      <c r="AA643">
        <v>12</v>
      </c>
      <c r="AB643">
        <v>102</v>
      </c>
      <c r="AC643">
        <v>5</v>
      </c>
      <c r="AD643">
        <v>16</v>
      </c>
      <c r="AE643" s="19" t="s">
        <v>60</v>
      </c>
    </row>
    <row r="644" spans="1:31" x14ac:dyDescent="0.2">
      <c r="A644">
        <v>617</v>
      </c>
      <c r="B644" s="19" t="s">
        <v>1085</v>
      </c>
      <c r="C644">
        <v>27</v>
      </c>
      <c r="D644" s="19" t="s">
        <v>372</v>
      </c>
      <c r="E644" s="19" t="s">
        <v>339</v>
      </c>
      <c r="F644">
        <v>10</v>
      </c>
      <c r="G644">
        <v>0</v>
      </c>
      <c r="H644">
        <v>3</v>
      </c>
      <c r="I644">
        <v>3</v>
      </c>
      <c r="J644">
        <v>2</v>
      </c>
      <c r="K644">
        <v>7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8</v>
      </c>
      <c r="T644">
        <v>0</v>
      </c>
      <c r="U644">
        <v>12</v>
      </c>
      <c r="V644" s="19" t="s">
        <v>1086</v>
      </c>
      <c r="W644" s="19" t="s">
        <v>1087</v>
      </c>
      <c r="X644">
        <v>0</v>
      </c>
      <c r="Y644">
        <v>0</v>
      </c>
      <c r="AA644">
        <v>3</v>
      </c>
      <c r="AB644">
        <v>30</v>
      </c>
      <c r="AC644">
        <v>3</v>
      </c>
      <c r="AD644">
        <v>3</v>
      </c>
      <c r="AE644" s="19" t="s">
        <v>60</v>
      </c>
    </row>
    <row r="645" spans="1:31" x14ac:dyDescent="0.2">
      <c r="A645">
        <v>618</v>
      </c>
      <c r="B645" s="19" t="s">
        <v>1090</v>
      </c>
      <c r="C645">
        <v>36</v>
      </c>
      <c r="D645" s="19" t="s">
        <v>400</v>
      </c>
      <c r="E645" s="19" t="s">
        <v>322</v>
      </c>
      <c r="F645">
        <v>40</v>
      </c>
      <c r="G645">
        <v>0</v>
      </c>
      <c r="H645">
        <v>3</v>
      </c>
      <c r="I645">
        <v>3</v>
      </c>
      <c r="J645">
        <v>-5</v>
      </c>
      <c r="K645">
        <v>2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1</v>
      </c>
      <c r="S645">
        <v>21</v>
      </c>
      <c r="T645">
        <v>0</v>
      </c>
      <c r="U645">
        <v>40</v>
      </c>
      <c r="V645" s="19" t="s">
        <v>1067</v>
      </c>
      <c r="W645" s="19" t="s">
        <v>2676</v>
      </c>
      <c r="X645">
        <v>215</v>
      </c>
      <c r="Y645">
        <v>207</v>
      </c>
      <c r="Z645">
        <v>50.9</v>
      </c>
      <c r="AA645">
        <v>34</v>
      </c>
      <c r="AB645">
        <v>57</v>
      </c>
      <c r="AC645">
        <v>4</v>
      </c>
      <c r="AD645">
        <v>8</v>
      </c>
      <c r="AE645" s="19" t="s">
        <v>60</v>
      </c>
    </row>
    <row r="646" spans="1:31" x14ac:dyDescent="0.2">
      <c r="A646">
        <v>619</v>
      </c>
      <c r="B646" s="19" t="s">
        <v>1248</v>
      </c>
      <c r="C646">
        <v>27</v>
      </c>
      <c r="D646" s="19" t="s">
        <v>372</v>
      </c>
      <c r="E646" s="19" t="s">
        <v>322</v>
      </c>
      <c r="F646">
        <v>22</v>
      </c>
      <c r="G646">
        <v>1</v>
      </c>
      <c r="H646">
        <v>2</v>
      </c>
      <c r="I646">
        <v>3</v>
      </c>
      <c r="J646">
        <v>-5</v>
      </c>
      <c r="K646">
        <v>11</v>
      </c>
      <c r="L646">
        <v>1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19</v>
      </c>
      <c r="T646">
        <v>5.3</v>
      </c>
      <c r="U646">
        <v>39</v>
      </c>
      <c r="V646" s="19" t="s">
        <v>1893</v>
      </c>
      <c r="W646" s="19" t="s">
        <v>1071</v>
      </c>
      <c r="X646">
        <v>12</v>
      </c>
      <c r="Y646">
        <v>21</v>
      </c>
      <c r="Z646">
        <v>36.4</v>
      </c>
      <c r="AA646">
        <v>7</v>
      </c>
      <c r="AB646">
        <v>24</v>
      </c>
      <c r="AC646">
        <v>1</v>
      </c>
      <c r="AD646">
        <v>8</v>
      </c>
      <c r="AE646" s="19" t="s">
        <v>60</v>
      </c>
    </row>
    <row r="647" spans="1:31" x14ac:dyDescent="0.2">
      <c r="A647">
        <v>620</v>
      </c>
      <c r="B647" s="19" t="s">
        <v>1157</v>
      </c>
      <c r="C647">
        <v>28</v>
      </c>
      <c r="D647" s="19" t="s">
        <v>336</v>
      </c>
      <c r="E647" s="19" t="s">
        <v>322</v>
      </c>
      <c r="F647">
        <v>18</v>
      </c>
      <c r="G647">
        <v>3</v>
      </c>
      <c r="H647">
        <v>0</v>
      </c>
      <c r="I647">
        <v>3</v>
      </c>
      <c r="J647">
        <v>-3</v>
      </c>
      <c r="K647">
        <v>6</v>
      </c>
      <c r="L647">
        <v>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13</v>
      </c>
      <c r="T647">
        <v>23.1</v>
      </c>
      <c r="U647">
        <v>22</v>
      </c>
      <c r="V647" s="19" t="s">
        <v>2677</v>
      </c>
      <c r="W647" s="19" t="s">
        <v>1150</v>
      </c>
      <c r="X647">
        <v>58</v>
      </c>
      <c r="Y647">
        <v>57</v>
      </c>
      <c r="Z647">
        <v>50.4</v>
      </c>
      <c r="AA647">
        <v>12</v>
      </c>
      <c r="AB647">
        <v>55</v>
      </c>
      <c r="AC647">
        <v>2</v>
      </c>
      <c r="AD647">
        <v>7</v>
      </c>
      <c r="AE647" s="19" t="s">
        <v>60</v>
      </c>
    </row>
    <row r="648" spans="1:31" x14ac:dyDescent="0.2">
      <c r="A648">
        <v>621</v>
      </c>
      <c r="B648" s="19" t="s">
        <v>1093</v>
      </c>
      <c r="C648">
        <v>21</v>
      </c>
      <c r="D648" s="19" t="s">
        <v>327</v>
      </c>
      <c r="E648" s="19" t="s">
        <v>339</v>
      </c>
      <c r="F648">
        <v>17</v>
      </c>
      <c r="G648">
        <v>2</v>
      </c>
      <c r="H648">
        <v>1</v>
      </c>
      <c r="I648">
        <v>3</v>
      </c>
      <c r="J648">
        <v>-2</v>
      </c>
      <c r="K648">
        <v>10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19</v>
      </c>
      <c r="T648">
        <v>10.5</v>
      </c>
      <c r="U648">
        <v>40</v>
      </c>
      <c r="V648" s="19" t="s">
        <v>1094</v>
      </c>
      <c r="W648" s="19" t="s">
        <v>1095</v>
      </c>
      <c r="X648">
        <v>0</v>
      </c>
      <c r="Y648">
        <v>0</v>
      </c>
      <c r="AA648">
        <v>1</v>
      </c>
      <c r="AB648">
        <v>3</v>
      </c>
      <c r="AC648">
        <v>1</v>
      </c>
      <c r="AD648">
        <v>9</v>
      </c>
      <c r="AE648" s="19" t="s">
        <v>60</v>
      </c>
    </row>
    <row r="649" spans="1:31" x14ac:dyDescent="0.2">
      <c r="A649">
        <v>622</v>
      </c>
      <c r="B649" s="19" t="s">
        <v>1441</v>
      </c>
      <c r="C649">
        <v>23</v>
      </c>
      <c r="D649" s="19" t="s">
        <v>324</v>
      </c>
      <c r="E649" s="19" t="s">
        <v>348</v>
      </c>
      <c r="F649">
        <v>15</v>
      </c>
      <c r="G649">
        <v>0</v>
      </c>
      <c r="H649">
        <v>3</v>
      </c>
      <c r="I649">
        <v>3</v>
      </c>
      <c r="J649">
        <v>-3</v>
      </c>
      <c r="K649">
        <v>8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6</v>
      </c>
      <c r="T649">
        <v>0</v>
      </c>
      <c r="U649">
        <v>19</v>
      </c>
      <c r="V649" s="19" t="s">
        <v>2678</v>
      </c>
      <c r="W649" s="19" t="s">
        <v>1784</v>
      </c>
      <c r="X649">
        <v>0</v>
      </c>
      <c r="Y649">
        <v>0</v>
      </c>
      <c r="AA649">
        <v>19</v>
      </c>
      <c r="AB649">
        <v>9</v>
      </c>
      <c r="AC649">
        <v>1</v>
      </c>
      <c r="AD649">
        <v>12</v>
      </c>
      <c r="AE649" s="19" t="s">
        <v>60</v>
      </c>
    </row>
    <row r="650" spans="1:31" x14ac:dyDescent="0.2">
      <c r="A650">
        <v>623</v>
      </c>
      <c r="B650" s="19" t="s">
        <v>1449</v>
      </c>
      <c r="C650">
        <v>31</v>
      </c>
      <c r="D650" s="19" t="s">
        <v>451</v>
      </c>
      <c r="E650" s="19" t="s">
        <v>322</v>
      </c>
      <c r="F650">
        <v>18</v>
      </c>
      <c r="G650">
        <v>2</v>
      </c>
      <c r="H650">
        <v>1</v>
      </c>
      <c r="I650">
        <v>3</v>
      </c>
      <c r="J650">
        <v>-3</v>
      </c>
      <c r="K650">
        <v>4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14</v>
      </c>
      <c r="T650">
        <v>14.3</v>
      </c>
      <c r="U650">
        <v>24</v>
      </c>
      <c r="V650" s="19" t="s">
        <v>2679</v>
      </c>
      <c r="W650" s="19" t="s">
        <v>1608</v>
      </c>
      <c r="X650">
        <v>155</v>
      </c>
      <c r="Y650">
        <v>129</v>
      </c>
      <c r="Z650">
        <v>54.6</v>
      </c>
      <c r="AA650">
        <v>11</v>
      </c>
      <c r="AB650">
        <v>15</v>
      </c>
      <c r="AC650">
        <v>0</v>
      </c>
      <c r="AD650">
        <v>7</v>
      </c>
      <c r="AE650" s="19" t="s">
        <v>60</v>
      </c>
    </row>
    <row r="651" spans="1:31" x14ac:dyDescent="0.2">
      <c r="A651">
        <v>624</v>
      </c>
      <c r="B651" s="19" t="s">
        <v>1163</v>
      </c>
      <c r="C651">
        <v>25</v>
      </c>
      <c r="D651" s="19" t="s">
        <v>519</v>
      </c>
      <c r="E651" s="19" t="s">
        <v>348</v>
      </c>
      <c r="F651">
        <v>19</v>
      </c>
      <c r="G651">
        <v>2</v>
      </c>
      <c r="H651">
        <v>1</v>
      </c>
      <c r="I651">
        <v>3</v>
      </c>
      <c r="J651">
        <v>0</v>
      </c>
      <c r="K651">
        <v>4</v>
      </c>
      <c r="L651">
        <v>2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11</v>
      </c>
      <c r="T651">
        <v>18.2</v>
      </c>
      <c r="U651">
        <v>27</v>
      </c>
      <c r="V651" s="19" t="s">
        <v>2680</v>
      </c>
      <c r="W651" s="19" t="s">
        <v>1927</v>
      </c>
      <c r="X651">
        <v>0</v>
      </c>
      <c r="Y651">
        <v>0</v>
      </c>
      <c r="AA651">
        <v>10</v>
      </c>
      <c r="AB651">
        <v>7</v>
      </c>
      <c r="AC651">
        <v>1</v>
      </c>
      <c r="AD651">
        <v>10</v>
      </c>
      <c r="AE651" s="19" t="s">
        <v>60</v>
      </c>
    </row>
    <row r="652" spans="1:31" x14ac:dyDescent="0.2">
      <c r="A652">
        <v>625</v>
      </c>
      <c r="B652" s="19" t="s">
        <v>1101</v>
      </c>
      <c r="C652">
        <v>24</v>
      </c>
      <c r="D652" s="19" t="s">
        <v>984</v>
      </c>
      <c r="E652" s="19" t="s">
        <v>348</v>
      </c>
      <c r="F652">
        <v>13</v>
      </c>
      <c r="G652">
        <v>1</v>
      </c>
      <c r="H652">
        <v>2</v>
      </c>
      <c r="I652">
        <v>3</v>
      </c>
      <c r="J652">
        <v>2</v>
      </c>
      <c r="K652">
        <v>4</v>
      </c>
      <c r="L652">
        <v>1</v>
      </c>
      <c r="M652">
        <v>0</v>
      </c>
      <c r="N652">
        <v>0</v>
      </c>
      <c r="O652">
        <v>1</v>
      </c>
      <c r="P652">
        <v>2</v>
      </c>
      <c r="Q652">
        <v>0</v>
      </c>
      <c r="R652">
        <v>0</v>
      </c>
      <c r="S652">
        <v>12</v>
      </c>
      <c r="T652">
        <v>8.3000000000000007</v>
      </c>
      <c r="U652">
        <v>24</v>
      </c>
      <c r="V652" s="19" t="s">
        <v>1933</v>
      </c>
      <c r="W652" s="19" t="s">
        <v>1856</v>
      </c>
      <c r="X652">
        <v>0</v>
      </c>
      <c r="Y652">
        <v>0</v>
      </c>
      <c r="AA652">
        <v>13</v>
      </c>
      <c r="AB652">
        <v>5</v>
      </c>
      <c r="AC652">
        <v>3</v>
      </c>
      <c r="AD652">
        <v>4</v>
      </c>
      <c r="AE652" s="19" t="s">
        <v>60</v>
      </c>
    </row>
    <row r="653" spans="1:31" x14ac:dyDescent="0.2">
      <c r="A653">
        <v>625</v>
      </c>
      <c r="B653" s="19" t="s">
        <v>1101</v>
      </c>
      <c r="C653">
        <v>24</v>
      </c>
      <c r="D653" s="19" t="s">
        <v>333</v>
      </c>
      <c r="E653" s="19" t="s">
        <v>348</v>
      </c>
      <c r="F653">
        <v>11</v>
      </c>
      <c r="G653">
        <v>1</v>
      </c>
      <c r="H653">
        <v>2</v>
      </c>
      <c r="I653">
        <v>3</v>
      </c>
      <c r="J653">
        <v>3</v>
      </c>
      <c r="K653">
        <v>4</v>
      </c>
      <c r="L653">
        <v>1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10</v>
      </c>
      <c r="T653">
        <v>10</v>
      </c>
      <c r="U653">
        <v>19</v>
      </c>
      <c r="V653" s="19" t="s">
        <v>1653</v>
      </c>
      <c r="W653" s="19" t="s">
        <v>1009</v>
      </c>
      <c r="X653">
        <v>0</v>
      </c>
      <c r="Y653">
        <v>0</v>
      </c>
      <c r="AA653">
        <v>10</v>
      </c>
      <c r="AB653">
        <v>5</v>
      </c>
      <c r="AC653">
        <v>2</v>
      </c>
      <c r="AD653">
        <v>1</v>
      </c>
      <c r="AE653" s="19" t="s">
        <v>60</v>
      </c>
    </row>
    <row r="654" spans="1:31" x14ac:dyDescent="0.2">
      <c r="A654">
        <v>625</v>
      </c>
      <c r="B654" s="19" t="s">
        <v>1101</v>
      </c>
      <c r="C654">
        <v>24</v>
      </c>
      <c r="D654" s="19" t="s">
        <v>354</v>
      </c>
      <c r="E654" s="19" t="s">
        <v>348</v>
      </c>
      <c r="F654">
        <v>2</v>
      </c>
      <c r="G654">
        <v>0</v>
      </c>
      <c r="H654">
        <v>0</v>
      </c>
      <c r="I654">
        <v>0</v>
      </c>
      <c r="J654">
        <v>-1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2</v>
      </c>
      <c r="T654">
        <v>0</v>
      </c>
      <c r="U654">
        <v>5</v>
      </c>
      <c r="V654" s="19" t="s">
        <v>1838</v>
      </c>
      <c r="W654" s="19" t="s">
        <v>1392</v>
      </c>
      <c r="X654">
        <v>0</v>
      </c>
      <c r="Y654">
        <v>0</v>
      </c>
      <c r="AA654">
        <v>3</v>
      </c>
      <c r="AB654">
        <v>0</v>
      </c>
      <c r="AC654">
        <v>1</v>
      </c>
      <c r="AD654">
        <v>3</v>
      </c>
      <c r="AE654" s="19" t="s">
        <v>60</v>
      </c>
    </row>
    <row r="655" spans="1:31" x14ac:dyDescent="0.2">
      <c r="A655">
        <v>626</v>
      </c>
      <c r="B655" s="19" t="s">
        <v>1167</v>
      </c>
      <c r="C655">
        <v>28</v>
      </c>
      <c r="D655" s="19" t="s">
        <v>372</v>
      </c>
      <c r="E655" s="19" t="s">
        <v>322</v>
      </c>
      <c r="F655">
        <v>29</v>
      </c>
      <c r="G655">
        <v>2</v>
      </c>
      <c r="H655">
        <v>1</v>
      </c>
      <c r="I655">
        <v>3</v>
      </c>
      <c r="J655">
        <v>-5</v>
      </c>
      <c r="K655">
        <v>21</v>
      </c>
      <c r="L655">
        <v>2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23</v>
      </c>
      <c r="T655">
        <v>8.6999999999999993</v>
      </c>
      <c r="U655">
        <v>46</v>
      </c>
      <c r="V655" s="19" t="s">
        <v>2681</v>
      </c>
      <c r="W655" s="19" t="s">
        <v>2682</v>
      </c>
      <c r="X655">
        <v>89</v>
      </c>
      <c r="Y655">
        <v>83</v>
      </c>
      <c r="Z655">
        <v>51.7</v>
      </c>
      <c r="AA655">
        <v>24</v>
      </c>
      <c r="AB655">
        <v>57</v>
      </c>
      <c r="AC655">
        <v>1</v>
      </c>
      <c r="AD655">
        <v>11</v>
      </c>
      <c r="AE655" s="19" t="s">
        <v>60</v>
      </c>
    </row>
    <row r="656" spans="1:31" x14ac:dyDescent="0.2">
      <c r="A656">
        <v>627</v>
      </c>
      <c r="B656" s="19" t="s">
        <v>1105</v>
      </c>
      <c r="C656">
        <v>34</v>
      </c>
      <c r="D656" s="19" t="s">
        <v>324</v>
      </c>
      <c r="E656" s="19" t="s">
        <v>348</v>
      </c>
      <c r="F656">
        <v>15</v>
      </c>
      <c r="G656">
        <v>0</v>
      </c>
      <c r="H656">
        <v>3</v>
      </c>
      <c r="I656">
        <v>3</v>
      </c>
      <c r="J656">
        <v>-8</v>
      </c>
      <c r="K656">
        <v>6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6</v>
      </c>
      <c r="T656">
        <v>0</v>
      </c>
      <c r="U656">
        <v>14</v>
      </c>
      <c r="V656" s="19" t="s">
        <v>1894</v>
      </c>
      <c r="W656" s="19" t="s">
        <v>386</v>
      </c>
      <c r="X656">
        <v>0</v>
      </c>
      <c r="Y656">
        <v>0</v>
      </c>
      <c r="AA656">
        <v>20</v>
      </c>
      <c r="AB656">
        <v>2</v>
      </c>
      <c r="AC656">
        <v>4</v>
      </c>
      <c r="AD656">
        <v>10</v>
      </c>
      <c r="AE656" s="19" t="s">
        <v>60</v>
      </c>
    </row>
    <row r="657" spans="1:31" x14ac:dyDescent="0.2">
      <c r="A657">
        <v>628</v>
      </c>
      <c r="B657" s="19" t="s">
        <v>1176</v>
      </c>
      <c r="C657">
        <v>26</v>
      </c>
      <c r="D657" s="19" t="s">
        <v>383</v>
      </c>
      <c r="E657" s="19" t="s">
        <v>325</v>
      </c>
      <c r="F657">
        <v>26</v>
      </c>
      <c r="G657">
        <v>1</v>
      </c>
      <c r="H657">
        <v>2</v>
      </c>
      <c r="I657">
        <v>3</v>
      </c>
      <c r="J657">
        <v>-7</v>
      </c>
      <c r="K657">
        <v>25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21</v>
      </c>
      <c r="T657">
        <v>4.8</v>
      </c>
      <c r="U657">
        <v>33</v>
      </c>
      <c r="V657" s="19" t="s">
        <v>2683</v>
      </c>
      <c r="W657" s="19" t="s">
        <v>1813</v>
      </c>
      <c r="X657">
        <v>24</v>
      </c>
      <c r="Y657">
        <v>12</v>
      </c>
      <c r="Z657">
        <v>66.7</v>
      </c>
      <c r="AA657">
        <v>8</v>
      </c>
      <c r="AB657">
        <v>54</v>
      </c>
      <c r="AC657">
        <v>2</v>
      </c>
      <c r="AD657">
        <v>6</v>
      </c>
      <c r="AE657" s="19" t="s">
        <v>60</v>
      </c>
    </row>
    <row r="658" spans="1:31" x14ac:dyDescent="0.2">
      <c r="A658">
        <v>629</v>
      </c>
      <c r="B658" s="19" t="s">
        <v>1177</v>
      </c>
      <c r="C658">
        <v>27</v>
      </c>
      <c r="D658" s="19" t="s">
        <v>536</v>
      </c>
      <c r="E658" s="19" t="s">
        <v>348</v>
      </c>
      <c r="F658">
        <v>20</v>
      </c>
      <c r="G658">
        <v>1</v>
      </c>
      <c r="H658">
        <v>2</v>
      </c>
      <c r="I658">
        <v>3</v>
      </c>
      <c r="J658">
        <v>9</v>
      </c>
      <c r="K658">
        <v>16</v>
      </c>
      <c r="L658">
        <v>1</v>
      </c>
      <c r="M658">
        <v>0</v>
      </c>
      <c r="N658">
        <v>0</v>
      </c>
      <c r="O658">
        <v>1</v>
      </c>
      <c r="P658">
        <v>2</v>
      </c>
      <c r="Q658">
        <v>0</v>
      </c>
      <c r="R658">
        <v>0</v>
      </c>
      <c r="S658">
        <v>12</v>
      </c>
      <c r="T658">
        <v>8.3000000000000007</v>
      </c>
      <c r="U658">
        <v>33</v>
      </c>
      <c r="V658" s="19" t="s">
        <v>1895</v>
      </c>
      <c r="W658" s="19" t="s">
        <v>670</v>
      </c>
      <c r="X658">
        <v>0</v>
      </c>
      <c r="Y658">
        <v>0</v>
      </c>
      <c r="AA658">
        <v>32</v>
      </c>
      <c r="AB658">
        <v>22</v>
      </c>
      <c r="AC658">
        <v>2</v>
      </c>
      <c r="AD658">
        <v>11</v>
      </c>
      <c r="AE658" s="19" t="s">
        <v>60</v>
      </c>
    </row>
    <row r="659" spans="1:31" x14ac:dyDescent="0.2">
      <c r="A659">
        <v>630</v>
      </c>
      <c r="B659" s="19" t="s">
        <v>1178</v>
      </c>
      <c r="C659">
        <v>29</v>
      </c>
      <c r="D659" s="19" t="s">
        <v>421</v>
      </c>
      <c r="E659" s="19" t="s">
        <v>325</v>
      </c>
      <c r="F659">
        <v>23</v>
      </c>
      <c r="G659">
        <v>3</v>
      </c>
      <c r="H659">
        <v>0</v>
      </c>
      <c r="I659">
        <v>3</v>
      </c>
      <c r="J659">
        <v>-1</v>
      </c>
      <c r="K659">
        <v>23</v>
      </c>
      <c r="L659">
        <v>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19</v>
      </c>
      <c r="T659">
        <v>15.8</v>
      </c>
      <c r="U659">
        <v>45</v>
      </c>
      <c r="V659" s="19" t="s">
        <v>2684</v>
      </c>
      <c r="W659" s="19" t="s">
        <v>2685</v>
      </c>
      <c r="X659">
        <v>1</v>
      </c>
      <c r="Y659">
        <v>1</v>
      </c>
      <c r="Z659">
        <v>50</v>
      </c>
      <c r="AA659">
        <v>10</v>
      </c>
      <c r="AB659">
        <v>71</v>
      </c>
      <c r="AC659">
        <v>2</v>
      </c>
      <c r="AD659">
        <v>7</v>
      </c>
      <c r="AE659" s="19" t="s">
        <v>60</v>
      </c>
    </row>
    <row r="660" spans="1:31" x14ac:dyDescent="0.2">
      <c r="A660">
        <v>631</v>
      </c>
      <c r="B660" s="19" t="s">
        <v>1494</v>
      </c>
      <c r="C660">
        <v>21</v>
      </c>
      <c r="D660" s="19" t="s">
        <v>375</v>
      </c>
      <c r="E660" s="19" t="s">
        <v>334</v>
      </c>
      <c r="F660">
        <v>15</v>
      </c>
      <c r="G660">
        <v>2</v>
      </c>
      <c r="H660">
        <v>1</v>
      </c>
      <c r="I660">
        <v>3</v>
      </c>
      <c r="J660">
        <v>-5</v>
      </c>
      <c r="K660">
        <v>0</v>
      </c>
      <c r="L660">
        <v>2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27</v>
      </c>
      <c r="T660">
        <v>7.4</v>
      </c>
      <c r="U660">
        <v>41</v>
      </c>
      <c r="V660" s="19" t="s">
        <v>2686</v>
      </c>
      <c r="W660" s="19" t="s">
        <v>1619</v>
      </c>
      <c r="X660">
        <v>2</v>
      </c>
      <c r="Y660">
        <v>8</v>
      </c>
      <c r="Z660">
        <v>20</v>
      </c>
      <c r="AA660">
        <v>4</v>
      </c>
      <c r="AB660">
        <v>15</v>
      </c>
      <c r="AC660">
        <v>0</v>
      </c>
      <c r="AD660">
        <v>9</v>
      </c>
      <c r="AE660" s="19" t="s">
        <v>60</v>
      </c>
    </row>
    <row r="661" spans="1:31" x14ac:dyDescent="0.2">
      <c r="A661">
        <v>632</v>
      </c>
      <c r="B661" s="19" t="s">
        <v>1287</v>
      </c>
      <c r="C661">
        <v>35</v>
      </c>
      <c r="D661" s="19" t="s">
        <v>343</v>
      </c>
      <c r="E661" s="19" t="s">
        <v>348</v>
      </c>
      <c r="F661">
        <v>38</v>
      </c>
      <c r="G661">
        <v>2</v>
      </c>
      <c r="H661">
        <v>1</v>
      </c>
      <c r="I661">
        <v>3</v>
      </c>
      <c r="J661">
        <v>-5</v>
      </c>
      <c r="K661">
        <v>18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106</v>
      </c>
      <c r="V661" s="19" t="s">
        <v>2687</v>
      </c>
      <c r="W661" s="19" t="s">
        <v>1591</v>
      </c>
      <c r="X661">
        <v>0</v>
      </c>
      <c r="Y661">
        <v>0</v>
      </c>
      <c r="AA661">
        <v>98</v>
      </c>
      <c r="AB661">
        <v>63</v>
      </c>
      <c r="AC661">
        <v>13</v>
      </c>
      <c r="AD661">
        <v>29</v>
      </c>
      <c r="AE661" s="19" t="s">
        <v>60</v>
      </c>
    </row>
    <row r="662" spans="1:31" x14ac:dyDescent="0.2">
      <c r="A662">
        <v>633</v>
      </c>
      <c r="B662" s="19" t="s">
        <v>1111</v>
      </c>
      <c r="C662">
        <v>18</v>
      </c>
      <c r="D662" s="19" t="s">
        <v>324</v>
      </c>
      <c r="E662" s="19" t="s">
        <v>325</v>
      </c>
      <c r="F662">
        <v>7</v>
      </c>
      <c r="G662">
        <v>1</v>
      </c>
      <c r="H662">
        <v>2</v>
      </c>
      <c r="I662">
        <v>3</v>
      </c>
      <c r="J662">
        <v>-1</v>
      </c>
      <c r="K662">
        <v>2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13</v>
      </c>
      <c r="T662">
        <v>7.7</v>
      </c>
      <c r="U662">
        <v>22</v>
      </c>
      <c r="V662" s="19" t="s">
        <v>1112</v>
      </c>
      <c r="W662" s="19" t="s">
        <v>1084</v>
      </c>
      <c r="X662">
        <v>20</v>
      </c>
      <c r="Y662">
        <v>18</v>
      </c>
      <c r="Z662">
        <v>52.6</v>
      </c>
      <c r="AA662">
        <v>5</v>
      </c>
      <c r="AB662">
        <v>2</v>
      </c>
      <c r="AC662">
        <v>0</v>
      </c>
      <c r="AD662">
        <v>5</v>
      </c>
      <c r="AE662" s="19" t="s">
        <v>60</v>
      </c>
    </row>
    <row r="663" spans="1:31" x14ac:dyDescent="0.2">
      <c r="A663">
        <v>634</v>
      </c>
      <c r="B663" s="19" t="s">
        <v>1294</v>
      </c>
      <c r="C663">
        <v>23</v>
      </c>
      <c r="D663" s="19" t="s">
        <v>361</v>
      </c>
      <c r="E663" s="19" t="s">
        <v>348</v>
      </c>
      <c r="F663">
        <v>16</v>
      </c>
      <c r="G663">
        <v>0</v>
      </c>
      <c r="H663">
        <v>3</v>
      </c>
      <c r="I663">
        <v>3</v>
      </c>
      <c r="J663">
        <v>-1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1</v>
      </c>
      <c r="R663">
        <v>0</v>
      </c>
      <c r="S663">
        <v>15</v>
      </c>
      <c r="T663">
        <v>0</v>
      </c>
      <c r="U663">
        <v>54</v>
      </c>
      <c r="V663" s="19" t="s">
        <v>2688</v>
      </c>
      <c r="W663" s="19" t="s">
        <v>1793</v>
      </c>
      <c r="X663">
        <v>0</v>
      </c>
      <c r="Y663">
        <v>0</v>
      </c>
      <c r="AA663">
        <v>17</v>
      </c>
      <c r="AB663">
        <v>5</v>
      </c>
      <c r="AC663">
        <v>0</v>
      </c>
      <c r="AD663">
        <v>13</v>
      </c>
      <c r="AE663" s="19" t="s">
        <v>60</v>
      </c>
    </row>
    <row r="664" spans="1:31" x14ac:dyDescent="0.2">
      <c r="A664">
        <v>635</v>
      </c>
      <c r="B664" s="19" t="s">
        <v>1180</v>
      </c>
      <c r="C664">
        <v>31</v>
      </c>
      <c r="D664" s="19" t="s">
        <v>406</v>
      </c>
      <c r="E664" s="19" t="s">
        <v>322</v>
      </c>
      <c r="F664">
        <v>22</v>
      </c>
      <c r="G664">
        <v>2</v>
      </c>
      <c r="H664">
        <v>1</v>
      </c>
      <c r="I664">
        <v>3</v>
      </c>
      <c r="J664">
        <v>-4</v>
      </c>
      <c r="K664">
        <v>29</v>
      </c>
      <c r="L664">
        <v>2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22</v>
      </c>
      <c r="T664">
        <v>9.1</v>
      </c>
      <c r="U664">
        <v>53</v>
      </c>
      <c r="V664" s="19" t="s">
        <v>2689</v>
      </c>
      <c r="W664" s="19" t="s">
        <v>1896</v>
      </c>
      <c r="X664">
        <v>2</v>
      </c>
      <c r="Y664">
        <v>0</v>
      </c>
      <c r="Z664">
        <v>100</v>
      </c>
      <c r="AA664">
        <v>9</v>
      </c>
      <c r="AB664">
        <v>49</v>
      </c>
      <c r="AC664">
        <v>1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1116</v>
      </c>
      <c r="C665">
        <v>26</v>
      </c>
      <c r="D665" s="19" t="s">
        <v>439</v>
      </c>
      <c r="E665" s="19" t="s">
        <v>348</v>
      </c>
      <c r="F665">
        <v>21</v>
      </c>
      <c r="G665">
        <v>0</v>
      </c>
      <c r="H665">
        <v>3</v>
      </c>
      <c r="I665">
        <v>3</v>
      </c>
      <c r="J665">
        <v>0</v>
      </c>
      <c r="K665">
        <v>33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13</v>
      </c>
      <c r="T665">
        <v>0</v>
      </c>
      <c r="U665">
        <v>49</v>
      </c>
      <c r="V665" s="19" t="s">
        <v>1593</v>
      </c>
      <c r="W665" s="19" t="s">
        <v>1594</v>
      </c>
      <c r="X665">
        <v>0</v>
      </c>
      <c r="Y665">
        <v>0</v>
      </c>
      <c r="AA665">
        <v>18</v>
      </c>
      <c r="AB665">
        <v>45</v>
      </c>
      <c r="AC665">
        <v>5</v>
      </c>
      <c r="AD665">
        <v>17</v>
      </c>
      <c r="AE665" s="19" t="s">
        <v>60</v>
      </c>
    </row>
    <row r="666" spans="1:31" x14ac:dyDescent="0.2">
      <c r="A666">
        <v>637</v>
      </c>
      <c r="B666" s="19" t="s">
        <v>1117</v>
      </c>
      <c r="C666">
        <v>24</v>
      </c>
      <c r="D666" s="19" t="s">
        <v>361</v>
      </c>
      <c r="E666" s="19" t="s">
        <v>322</v>
      </c>
      <c r="F666">
        <v>14</v>
      </c>
      <c r="G666">
        <v>2</v>
      </c>
      <c r="H666">
        <v>1</v>
      </c>
      <c r="I666">
        <v>3</v>
      </c>
      <c r="J666">
        <v>3</v>
      </c>
      <c r="K666">
        <v>2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12</v>
      </c>
      <c r="T666">
        <v>16.7</v>
      </c>
      <c r="U666">
        <v>21</v>
      </c>
      <c r="V666" s="19" t="s">
        <v>1118</v>
      </c>
      <c r="W666" s="19" t="s">
        <v>1119</v>
      </c>
      <c r="X666">
        <v>14</v>
      </c>
      <c r="Y666">
        <v>15</v>
      </c>
      <c r="Z666">
        <v>48.3</v>
      </c>
      <c r="AA666">
        <v>9</v>
      </c>
      <c r="AB666">
        <v>20</v>
      </c>
      <c r="AC666">
        <v>3</v>
      </c>
      <c r="AD666">
        <v>6</v>
      </c>
      <c r="AE666" s="19" t="s">
        <v>60</v>
      </c>
    </row>
    <row r="667" spans="1:31" x14ac:dyDescent="0.2">
      <c r="A667">
        <v>638</v>
      </c>
      <c r="B667" s="19" t="s">
        <v>1122</v>
      </c>
      <c r="C667">
        <v>27</v>
      </c>
      <c r="D667" s="19" t="s">
        <v>327</v>
      </c>
      <c r="E667" s="19" t="s">
        <v>325</v>
      </c>
      <c r="F667">
        <v>15</v>
      </c>
      <c r="G667">
        <v>2</v>
      </c>
      <c r="H667">
        <v>1</v>
      </c>
      <c r="I667">
        <v>3</v>
      </c>
      <c r="J667">
        <v>-7</v>
      </c>
      <c r="K667">
        <v>4</v>
      </c>
      <c r="L667">
        <v>2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12</v>
      </c>
      <c r="T667">
        <v>16.7</v>
      </c>
      <c r="U667">
        <v>19</v>
      </c>
      <c r="V667" s="19" t="s">
        <v>1123</v>
      </c>
      <c r="W667" s="19" t="s">
        <v>1124</v>
      </c>
      <c r="X667">
        <v>58</v>
      </c>
      <c r="Y667">
        <v>44</v>
      </c>
      <c r="Z667">
        <v>56.9</v>
      </c>
      <c r="AA667">
        <v>2</v>
      </c>
      <c r="AB667">
        <v>24</v>
      </c>
      <c r="AC667">
        <v>4</v>
      </c>
      <c r="AD667">
        <v>7</v>
      </c>
      <c r="AE667" s="19" t="s">
        <v>60</v>
      </c>
    </row>
    <row r="668" spans="1:31" x14ac:dyDescent="0.2">
      <c r="A668">
        <v>639</v>
      </c>
      <c r="B668" s="19" t="s">
        <v>1181</v>
      </c>
      <c r="C668">
        <v>39</v>
      </c>
      <c r="D668" s="19" t="s">
        <v>324</v>
      </c>
      <c r="E668" s="19" t="s">
        <v>334</v>
      </c>
      <c r="F668">
        <v>34</v>
      </c>
      <c r="G668">
        <v>3</v>
      </c>
      <c r="H668">
        <v>0</v>
      </c>
      <c r="I668">
        <v>3</v>
      </c>
      <c r="J668">
        <v>-7</v>
      </c>
      <c r="K668">
        <v>21</v>
      </c>
      <c r="L668">
        <v>3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20</v>
      </c>
      <c r="T668">
        <v>15</v>
      </c>
      <c r="U668">
        <v>41</v>
      </c>
      <c r="V668" s="19" t="s">
        <v>2690</v>
      </c>
      <c r="W668" s="19" t="s">
        <v>2691</v>
      </c>
      <c r="X668">
        <v>0</v>
      </c>
      <c r="Y668">
        <v>2</v>
      </c>
      <c r="Z668">
        <v>0</v>
      </c>
      <c r="AA668">
        <v>12</v>
      </c>
      <c r="AB668">
        <v>116</v>
      </c>
      <c r="AC668">
        <v>5</v>
      </c>
      <c r="AD668">
        <v>13</v>
      </c>
      <c r="AE668" s="19" t="s">
        <v>60</v>
      </c>
    </row>
    <row r="669" spans="1:31" x14ac:dyDescent="0.2">
      <c r="A669">
        <v>640</v>
      </c>
      <c r="B669" s="19" t="s">
        <v>1547</v>
      </c>
      <c r="C669">
        <v>25</v>
      </c>
      <c r="D669" s="19" t="s">
        <v>327</v>
      </c>
      <c r="E669" s="19" t="s">
        <v>348</v>
      </c>
      <c r="F669">
        <v>24</v>
      </c>
      <c r="G669">
        <v>0</v>
      </c>
      <c r="H669">
        <v>3</v>
      </c>
      <c r="I669">
        <v>3</v>
      </c>
      <c r="J669">
        <v>-12</v>
      </c>
      <c r="K669">
        <v>31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14</v>
      </c>
      <c r="T669">
        <v>0</v>
      </c>
      <c r="U669">
        <v>38</v>
      </c>
      <c r="V669" s="19" t="s">
        <v>2692</v>
      </c>
      <c r="W669" s="19" t="s">
        <v>2239</v>
      </c>
      <c r="X669">
        <v>0</v>
      </c>
      <c r="Y669">
        <v>0</v>
      </c>
      <c r="AA669">
        <v>34</v>
      </c>
      <c r="AB669">
        <v>14</v>
      </c>
      <c r="AC669">
        <v>6</v>
      </c>
      <c r="AD669">
        <v>27</v>
      </c>
      <c r="AE669" s="19" t="s">
        <v>60</v>
      </c>
    </row>
    <row r="670" spans="1:31" x14ac:dyDescent="0.2">
      <c r="A670">
        <v>641</v>
      </c>
      <c r="B670" s="19" t="s">
        <v>1185</v>
      </c>
      <c r="C670">
        <v>33</v>
      </c>
      <c r="D670" s="19" t="s">
        <v>351</v>
      </c>
      <c r="E670" s="19" t="s">
        <v>325</v>
      </c>
      <c r="F670">
        <v>9</v>
      </c>
      <c r="G670">
        <v>1</v>
      </c>
      <c r="H670">
        <v>2</v>
      </c>
      <c r="I670">
        <v>3</v>
      </c>
      <c r="J670">
        <v>0</v>
      </c>
      <c r="K670">
        <v>63</v>
      </c>
      <c r="L670">
        <v>1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5</v>
      </c>
      <c r="T670">
        <v>20</v>
      </c>
      <c r="U670">
        <v>11</v>
      </c>
      <c r="V670" s="19" t="s">
        <v>1958</v>
      </c>
      <c r="W670" s="19" t="s">
        <v>1831</v>
      </c>
      <c r="X670">
        <v>0</v>
      </c>
      <c r="Y670">
        <v>2</v>
      </c>
      <c r="Z670">
        <v>0</v>
      </c>
      <c r="AA670">
        <v>4</v>
      </c>
      <c r="AB670">
        <v>15</v>
      </c>
      <c r="AC670">
        <v>0</v>
      </c>
      <c r="AD670">
        <v>4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28</v>
      </c>
      <c r="D671" s="19" t="s">
        <v>400</v>
      </c>
      <c r="E671" s="19" t="s">
        <v>348</v>
      </c>
      <c r="F671">
        <v>40</v>
      </c>
      <c r="G671">
        <v>0</v>
      </c>
      <c r="H671">
        <v>3</v>
      </c>
      <c r="I671">
        <v>3</v>
      </c>
      <c r="J671">
        <v>-7</v>
      </c>
      <c r="K671">
        <v>29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1</v>
      </c>
      <c r="S671">
        <v>36</v>
      </c>
      <c r="T671">
        <v>0</v>
      </c>
      <c r="U671">
        <v>86</v>
      </c>
      <c r="V671" s="19" t="s">
        <v>2693</v>
      </c>
      <c r="W671" s="19" t="s">
        <v>2553</v>
      </c>
      <c r="X671">
        <v>0</v>
      </c>
      <c r="Y671">
        <v>0</v>
      </c>
      <c r="AA671">
        <v>69</v>
      </c>
      <c r="AB671">
        <v>55</v>
      </c>
      <c r="AC671">
        <v>15</v>
      </c>
      <c r="AD671">
        <v>53</v>
      </c>
      <c r="AE671" s="19" t="s">
        <v>60</v>
      </c>
    </row>
    <row r="672" spans="1:31" x14ac:dyDescent="0.2">
      <c r="A672">
        <v>643</v>
      </c>
      <c r="B672" s="19" t="s">
        <v>1320</v>
      </c>
      <c r="C672">
        <v>24</v>
      </c>
      <c r="D672" s="19" t="s">
        <v>370</v>
      </c>
      <c r="E672" s="19" t="s">
        <v>334</v>
      </c>
      <c r="F672">
        <v>25</v>
      </c>
      <c r="G672">
        <v>2</v>
      </c>
      <c r="H672">
        <v>1</v>
      </c>
      <c r="I672">
        <v>3</v>
      </c>
      <c r="J672">
        <v>-3</v>
      </c>
      <c r="K672">
        <v>8</v>
      </c>
      <c r="L672">
        <v>2</v>
      </c>
      <c r="M672">
        <v>0</v>
      </c>
      <c r="N672">
        <v>0</v>
      </c>
      <c r="O672">
        <v>1</v>
      </c>
      <c r="P672">
        <v>1</v>
      </c>
      <c r="Q672">
        <v>0</v>
      </c>
      <c r="R672">
        <v>0</v>
      </c>
      <c r="S672">
        <v>26</v>
      </c>
      <c r="T672">
        <v>7.7</v>
      </c>
      <c r="U672">
        <v>61</v>
      </c>
      <c r="V672" s="19" t="s">
        <v>1934</v>
      </c>
      <c r="W672" s="19" t="s">
        <v>1873</v>
      </c>
      <c r="X672">
        <v>1</v>
      </c>
      <c r="Y672">
        <v>0</v>
      </c>
      <c r="Z672">
        <v>100</v>
      </c>
      <c r="AA672">
        <v>6</v>
      </c>
      <c r="AB672">
        <v>38</v>
      </c>
      <c r="AC672">
        <v>4</v>
      </c>
      <c r="AD672">
        <v>17</v>
      </c>
      <c r="AE672" s="19" t="s">
        <v>60</v>
      </c>
    </row>
    <row r="673" spans="1:31" x14ac:dyDescent="0.2">
      <c r="A673">
        <v>644</v>
      </c>
      <c r="B673" s="19" t="s">
        <v>1129</v>
      </c>
      <c r="C673">
        <v>27</v>
      </c>
      <c r="D673" s="19" t="s">
        <v>361</v>
      </c>
      <c r="E673" s="19" t="s">
        <v>348</v>
      </c>
      <c r="F673">
        <v>19</v>
      </c>
      <c r="G673">
        <v>0</v>
      </c>
      <c r="H673">
        <v>3</v>
      </c>
      <c r="I673">
        <v>3</v>
      </c>
      <c r="J673">
        <v>-1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12</v>
      </c>
      <c r="T673">
        <v>0</v>
      </c>
      <c r="U673">
        <v>40</v>
      </c>
      <c r="V673" s="19" t="s">
        <v>1854</v>
      </c>
      <c r="W673" s="19" t="s">
        <v>1855</v>
      </c>
      <c r="X673">
        <v>0</v>
      </c>
      <c r="Y673">
        <v>0</v>
      </c>
      <c r="AA673">
        <v>13</v>
      </c>
      <c r="AB673">
        <v>6</v>
      </c>
      <c r="AC673">
        <v>3</v>
      </c>
      <c r="AD673">
        <v>13</v>
      </c>
      <c r="AE673" s="19" t="s">
        <v>60</v>
      </c>
    </row>
    <row r="674" spans="1:31" x14ac:dyDescent="0.2">
      <c r="A674">
        <v>645</v>
      </c>
      <c r="B674" s="19" t="s">
        <v>1333</v>
      </c>
      <c r="C674">
        <v>26</v>
      </c>
      <c r="D674" s="19" t="s">
        <v>363</v>
      </c>
      <c r="E674" s="19" t="s">
        <v>322</v>
      </c>
      <c r="F674">
        <v>35</v>
      </c>
      <c r="G674">
        <v>2</v>
      </c>
      <c r="H674">
        <v>1</v>
      </c>
      <c r="I674">
        <v>3</v>
      </c>
      <c r="J674">
        <v>-7</v>
      </c>
      <c r="K674">
        <v>13</v>
      </c>
      <c r="L674">
        <v>2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36</v>
      </c>
      <c r="T674">
        <v>5.6</v>
      </c>
      <c r="U674">
        <v>62</v>
      </c>
      <c r="V674" s="19" t="s">
        <v>2694</v>
      </c>
      <c r="W674" s="19" t="s">
        <v>1809</v>
      </c>
      <c r="X674">
        <v>116</v>
      </c>
      <c r="Y674">
        <v>111</v>
      </c>
      <c r="Z674">
        <v>51.1</v>
      </c>
      <c r="AA674">
        <v>22</v>
      </c>
      <c r="AB674">
        <v>77</v>
      </c>
      <c r="AC674">
        <v>5</v>
      </c>
      <c r="AD674">
        <v>12</v>
      </c>
      <c r="AE674" s="19" t="s">
        <v>60</v>
      </c>
    </row>
    <row r="675" spans="1:31" x14ac:dyDescent="0.2">
      <c r="A675">
        <v>646</v>
      </c>
      <c r="B675" s="19" t="s">
        <v>1200</v>
      </c>
      <c r="C675">
        <v>24</v>
      </c>
      <c r="D675" s="19" t="s">
        <v>383</v>
      </c>
      <c r="E675" s="19" t="s">
        <v>348</v>
      </c>
      <c r="F675">
        <v>8</v>
      </c>
      <c r="G675">
        <v>0</v>
      </c>
      <c r="H675">
        <v>3</v>
      </c>
      <c r="I675">
        <v>3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7</v>
      </c>
      <c r="T675">
        <v>0</v>
      </c>
      <c r="U675">
        <v>19</v>
      </c>
      <c r="V675" s="19" t="s">
        <v>2695</v>
      </c>
      <c r="W675" s="19" t="s">
        <v>1929</v>
      </c>
      <c r="X675">
        <v>0</v>
      </c>
      <c r="Y675">
        <v>0</v>
      </c>
      <c r="AA675">
        <v>5</v>
      </c>
      <c r="AB675">
        <v>7</v>
      </c>
      <c r="AC675">
        <v>1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1202</v>
      </c>
      <c r="C676">
        <v>24</v>
      </c>
      <c r="D676" s="19" t="s">
        <v>984</v>
      </c>
      <c r="E676" s="19" t="s">
        <v>322</v>
      </c>
      <c r="F676">
        <v>24</v>
      </c>
      <c r="G676">
        <v>1</v>
      </c>
      <c r="H676">
        <v>2</v>
      </c>
      <c r="I676">
        <v>3</v>
      </c>
      <c r="J676">
        <v>-5</v>
      </c>
      <c r="K676">
        <v>12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1</v>
      </c>
      <c r="S676">
        <v>21</v>
      </c>
      <c r="T676">
        <v>4.8</v>
      </c>
      <c r="U676">
        <v>42</v>
      </c>
      <c r="V676" s="19" t="s">
        <v>2696</v>
      </c>
      <c r="W676" s="19" t="s">
        <v>2697</v>
      </c>
      <c r="X676">
        <v>42</v>
      </c>
      <c r="Y676">
        <v>57</v>
      </c>
      <c r="Z676">
        <v>42.4</v>
      </c>
      <c r="AA676">
        <v>18</v>
      </c>
      <c r="AB676">
        <v>18</v>
      </c>
      <c r="AC676">
        <v>2</v>
      </c>
      <c r="AD676">
        <v>8</v>
      </c>
      <c r="AE676" s="19" t="s">
        <v>60</v>
      </c>
    </row>
    <row r="677" spans="1:31" x14ac:dyDescent="0.2">
      <c r="A677">
        <v>647</v>
      </c>
      <c r="B677" s="19" t="s">
        <v>1202</v>
      </c>
      <c r="C677">
        <v>24</v>
      </c>
      <c r="D677" s="19" t="s">
        <v>354</v>
      </c>
      <c r="E677" s="19" t="s">
        <v>322</v>
      </c>
      <c r="F677">
        <v>6</v>
      </c>
      <c r="G677">
        <v>1</v>
      </c>
      <c r="H677">
        <v>0</v>
      </c>
      <c r="I677">
        <v>1</v>
      </c>
      <c r="J677">
        <v>-1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</v>
      </c>
      <c r="T677">
        <v>16.7</v>
      </c>
      <c r="U677">
        <v>10</v>
      </c>
      <c r="V677" s="19" t="s">
        <v>1203</v>
      </c>
      <c r="W677" s="19" t="s">
        <v>1204</v>
      </c>
      <c r="X677">
        <v>0</v>
      </c>
      <c r="Y677">
        <v>3</v>
      </c>
      <c r="Z677">
        <v>0</v>
      </c>
      <c r="AA677">
        <v>4</v>
      </c>
      <c r="AB677">
        <v>7</v>
      </c>
      <c r="AC677">
        <v>0</v>
      </c>
      <c r="AD677">
        <v>1</v>
      </c>
      <c r="AE677" s="19" t="s">
        <v>60</v>
      </c>
    </row>
    <row r="678" spans="1:31" x14ac:dyDescent="0.2">
      <c r="A678">
        <v>647</v>
      </c>
      <c r="B678" s="19" t="s">
        <v>1202</v>
      </c>
      <c r="C678">
        <v>24</v>
      </c>
      <c r="D678" s="19" t="s">
        <v>439</v>
      </c>
      <c r="E678" s="19" t="s">
        <v>322</v>
      </c>
      <c r="F678">
        <v>18</v>
      </c>
      <c r="G678">
        <v>0</v>
      </c>
      <c r="H678">
        <v>2</v>
      </c>
      <c r="I678">
        <v>2</v>
      </c>
      <c r="J678">
        <v>-4</v>
      </c>
      <c r="K678">
        <v>12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15</v>
      </c>
      <c r="T678">
        <v>0</v>
      </c>
      <c r="U678">
        <v>32</v>
      </c>
      <c r="V678" s="19" t="s">
        <v>2698</v>
      </c>
      <c r="W678" s="19" t="s">
        <v>2699</v>
      </c>
      <c r="X678">
        <v>42</v>
      </c>
      <c r="Y678">
        <v>54</v>
      </c>
      <c r="Z678">
        <v>43.8</v>
      </c>
      <c r="AA678">
        <v>14</v>
      </c>
      <c r="AB678">
        <v>11</v>
      </c>
      <c r="AC678">
        <v>2</v>
      </c>
      <c r="AD678">
        <v>7</v>
      </c>
      <c r="AE678" s="19" t="s">
        <v>60</v>
      </c>
    </row>
    <row r="679" spans="1:31" x14ac:dyDescent="0.2">
      <c r="A679">
        <v>648</v>
      </c>
      <c r="B679" s="19" t="s">
        <v>1166</v>
      </c>
      <c r="C679">
        <v>32</v>
      </c>
      <c r="D679" s="19" t="s">
        <v>984</v>
      </c>
      <c r="E679" s="19" t="s">
        <v>348</v>
      </c>
      <c r="F679">
        <v>39</v>
      </c>
      <c r="G679">
        <v>0</v>
      </c>
      <c r="H679">
        <v>3</v>
      </c>
      <c r="I679">
        <v>3</v>
      </c>
      <c r="J679">
        <v>-6</v>
      </c>
      <c r="K679">
        <v>14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38</v>
      </c>
      <c r="T679">
        <v>0</v>
      </c>
      <c r="U679">
        <v>105</v>
      </c>
      <c r="V679" s="19" t="s">
        <v>2700</v>
      </c>
      <c r="W679" s="19" t="s">
        <v>1788</v>
      </c>
      <c r="X679">
        <v>0</v>
      </c>
      <c r="Y679">
        <v>0</v>
      </c>
      <c r="AA679">
        <v>52</v>
      </c>
      <c r="AB679">
        <v>6</v>
      </c>
      <c r="AC679">
        <v>5</v>
      </c>
      <c r="AD679">
        <v>30</v>
      </c>
      <c r="AE679" s="19" t="s">
        <v>60</v>
      </c>
    </row>
    <row r="680" spans="1:31" x14ac:dyDescent="0.2">
      <c r="A680">
        <v>648</v>
      </c>
      <c r="B680" s="19" t="s">
        <v>1166</v>
      </c>
      <c r="C680">
        <v>32</v>
      </c>
      <c r="D680" s="19" t="s">
        <v>327</v>
      </c>
      <c r="E680" s="19" t="s">
        <v>348</v>
      </c>
      <c r="F680">
        <v>31</v>
      </c>
      <c r="G680">
        <v>0</v>
      </c>
      <c r="H680">
        <v>2</v>
      </c>
      <c r="I680">
        <v>2</v>
      </c>
      <c r="J680">
        <v>-7</v>
      </c>
      <c r="K680">
        <v>10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33</v>
      </c>
      <c r="T680">
        <v>0</v>
      </c>
      <c r="U680">
        <v>87</v>
      </c>
      <c r="V680" s="19" t="s">
        <v>1655</v>
      </c>
      <c r="W680" s="19" t="s">
        <v>1656</v>
      </c>
      <c r="X680">
        <v>0</v>
      </c>
      <c r="Y680">
        <v>0</v>
      </c>
      <c r="AA680">
        <v>38</v>
      </c>
      <c r="AB680">
        <v>4</v>
      </c>
      <c r="AC680">
        <v>5</v>
      </c>
      <c r="AD680">
        <v>18</v>
      </c>
      <c r="AE680" s="19" t="s">
        <v>60</v>
      </c>
    </row>
    <row r="681" spans="1:31" x14ac:dyDescent="0.2">
      <c r="A681">
        <v>648</v>
      </c>
      <c r="B681" s="19" t="s">
        <v>1166</v>
      </c>
      <c r="C681">
        <v>32</v>
      </c>
      <c r="D681" s="19" t="s">
        <v>375</v>
      </c>
      <c r="E681" s="19" t="s">
        <v>348</v>
      </c>
      <c r="F681">
        <v>8</v>
      </c>
      <c r="G681">
        <v>0</v>
      </c>
      <c r="H681">
        <v>1</v>
      </c>
      <c r="I681">
        <v>1</v>
      </c>
      <c r="J681">
        <v>1</v>
      </c>
      <c r="K681">
        <v>4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5</v>
      </c>
      <c r="T681">
        <v>0</v>
      </c>
      <c r="U681">
        <v>18</v>
      </c>
      <c r="V681" s="19" t="s">
        <v>2701</v>
      </c>
      <c r="W681" s="19" t="s">
        <v>1311</v>
      </c>
      <c r="X681">
        <v>0</v>
      </c>
      <c r="Y681">
        <v>0</v>
      </c>
      <c r="AA681">
        <v>14</v>
      </c>
      <c r="AB681">
        <v>2</v>
      </c>
      <c r="AC681">
        <v>0</v>
      </c>
      <c r="AD681">
        <v>12</v>
      </c>
      <c r="AE681" s="19" t="s">
        <v>60</v>
      </c>
    </row>
    <row r="682" spans="1:31" x14ac:dyDescent="0.2">
      <c r="A682">
        <v>649</v>
      </c>
      <c r="B682" s="19" t="s">
        <v>1208</v>
      </c>
      <c r="C682">
        <v>26</v>
      </c>
      <c r="D682" s="19" t="s">
        <v>354</v>
      </c>
      <c r="E682" s="19" t="s">
        <v>348</v>
      </c>
      <c r="F682">
        <v>21</v>
      </c>
      <c r="G682">
        <v>2</v>
      </c>
      <c r="H682">
        <v>0</v>
      </c>
      <c r="I682">
        <v>2</v>
      </c>
      <c r="J682">
        <v>10</v>
      </c>
      <c r="K682">
        <v>15</v>
      </c>
      <c r="L682">
        <v>2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16</v>
      </c>
      <c r="T682">
        <v>12.5</v>
      </c>
      <c r="U682">
        <v>37</v>
      </c>
      <c r="V682" s="19" t="s">
        <v>2702</v>
      </c>
      <c r="W682" s="19" t="s">
        <v>433</v>
      </c>
      <c r="X682">
        <v>0</v>
      </c>
      <c r="Y682">
        <v>0</v>
      </c>
      <c r="AA682">
        <v>28</v>
      </c>
      <c r="AB682">
        <v>34</v>
      </c>
      <c r="AC682">
        <v>3</v>
      </c>
      <c r="AD682">
        <v>20</v>
      </c>
      <c r="AE682" s="19" t="s">
        <v>60</v>
      </c>
    </row>
    <row r="683" spans="1:31" x14ac:dyDescent="0.2">
      <c r="A683">
        <v>650</v>
      </c>
      <c r="B683" s="19" t="s">
        <v>1815</v>
      </c>
      <c r="C683">
        <v>20</v>
      </c>
      <c r="D683" s="19" t="s">
        <v>408</v>
      </c>
      <c r="E683" s="19" t="s">
        <v>322</v>
      </c>
      <c r="F683">
        <v>6</v>
      </c>
      <c r="G683">
        <v>0</v>
      </c>
      <c r="H683">
        <v>2</v>
      </c>
      <c r="I683">
        <v>2</v>
      </c>
      <c r="J683">
        <v>-1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1</v>
      </c>
      <c r="R683">
        <v>0</v>
      </c>
      <c r="S683">
        <v>8</v>
      </c>
      <c r="T683">
        <v>0</v>
      </c>
      <c r="U683">
        <v>14</v>
      </c>
      <c r="V683" s="19" t="s">
        <v>2703</v>
      </c>
      <c r="W683" s="19" t="s">
        <v>990</v>
      </c>
      <c r="X683">
        <v>1</v>
      </c>
      <c r="Y683">
        <v>5</v>
      </c>
      <c r="Z683">
        <v>16.7</v>
      </c>
      <c r="AA683">
        <v>7</v>
      </c>
      <c r="AB683">
        <v>6</v>
      </c>
      <c r="AC683">
        <v>0</v>
      </c>
      <c r="AD683">
        <v>3</v>
      </c>
      <c r="AE683" s="19" t="s">
        <v>60</v>
      </c>
    </row>
    <row r="684" spans="1:31" x14ac:dyDescent="0.2">
      <c r="A684">
        <v>651</v>
      </c>
      <c r="B684" s="19" t="s">
        <v>1135</v>
      </c>
      <c r="C684">
        <v>27</v>
      </c>
      <c r="D684" s="19" t="s">
        <v>439</v>
      </c>
      <c r="E684" s="19" t="s">
        <v>348</v>
      </c>
      <c r="F684">
        <v>16</v>
      </c>
      <c r="G684">
        <v>1</v>
      </c>
      <c r="H684">
        <v>1</v>
      </c>
      <c r="I684">
        <v>2</v>
      </c>
      <c r="J684">
        <v>-7</v>
      </c>
      <c r="K684">
        <v>16</v>
      </c>
      <c r="L684">
        <v>1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16</v>
      </c>
      <c r="T684">
        <v>6.3</v>
      </c>
      <c r="U684">
        <v>44</v>
      </c>
      <c r="V684" s="19" t="s">
        <v>1136</v>
      </c>
      <c r="W684" s="19" t="s">
        <v>1137</v>
      </c>
      <c r="X684">
        <v>0</v>
      </c>
      <c r="Y684">
        <v>0</v>
      </c>
      <c r="AA684">
        <v>29</v>
      </c>
      <c r="AB684">
        <v>3</v>
      </c>
      <c r="AC684">
        <v>5</v>
      </c>
      <c r="AD684">
        <v>15</v>
      </c>
      <c r="AE684" s="19" t="s">
        <v>60</v>
      </c>
    </row>
    <row r="685" spans="1:31" x14ac:dyDescent="0.2">
      <c r="A685">
        <v>652</v>
      </c>
      <c r="B685" s="19" t="s">
        <v>1138</v>
      </c>
      <c r="C685">
        <v>29</v>
      </c>
      <c r="D685" s="19" t="s">
        <v>359</v>
      </c>
      <c r="E685" s="19" t="s">
        <v>348</v>
      </c>
      <c r="F685">
        <v>18</v>
      </c>
      <c r="G685">
        <v>0</v>
      </c>
      <c r="H685">
        <v>2</v>
      </c>
      <c r="I685">
        <v>2</v>
      </c>
      <c r="J685">
        <v>2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23</v>
      </c>
      <c r="T685">
        <v>0</v>
      </c>
      <c r="U685">
        <v>49</v>
      </c>
      <c r="V685" s="19" t="s">
        <v>1139</v>
      </c>
      <c r="W685" s="19" t="s">
        <v>413</v>
      </c>
      <c r="X685">
        <v>0</v>
      </c>
      <c r="Y685">
        <v>0</v>
      </c>
      <c r="AA685">
        <v>34</v>
      </c>
      <c r="AB685">
        <v>12</v>
      </c>
      <c r="AC685">
        <v>1</v>
      </c>
      <c r="AD685">
        <v>20</v>
      </c>
      <c r="AE685" s="19" t="s">
        <v>60</v>
      </c>
    </row>
    <row r="686" spans="1:31" x14ac:dyDescent="0.2">
      <c r="A686">
        <v>653</v>
      </c>
      <c r="B686" s="19" t="s">
        <v>1142</v>
      </c>
      <c r="C686">
        <v>29</v>
      </c>
      <c r="D686" s="19" t="s">
        <v>324</v>
      </c>
      <c r="E686" s="19" t="s">
        <v>348</v>
      </c>
      <c r="F686">
        <v>20</v>
      </c>
      <c r="G686">
        <v>0</v>
      </c>
      <c r="H686">
        <v>2</v>
      </c>
      <c r="I686">
        <v>2</v>
      </c>
      <c r="J686">
        <v>1</v>
      </c>
      <c r="K686">
        <v>32</v>
      </c>
      <c r="L686">
        <v>0</v>
      </c>
      <c r="M686">
        <v>0</v>
      </c>
      <c r="N686">
        <v>0</v>
      </c>
      <c r="O686">
        <v>0</v>
      </c>
      <c r="P686">
        <v>2</v>
      </c>
      <c r="Q686">
        <v>0</v>
      </c>
      <c r="R686">
        <v>0</v>
      </c>
      <c r="S686">
        <v>12</v>
      </c>
      <c r="T686">
        <v>0</v>
      </c>
      <c r="U686">
        <v>33</v>
      </c>
      <c r="V686" s="19" t="s">
        <v>1143</v>
      </c>
      <c r="W686" s="19" t="s">
        <v>636</v>
      </c>
      <c r="X686">
        <v>0</v>
      </c>
      <c r="Y686">
        <v>0</v>
      </c>
      <c r="AA686">
        <v>34</v>
      </c>
      <c r="AB686">
        <v>28</v>
      </c>
      <c r="AC686">
        <v>2</v>
      </c>
      <c r="AD686">
        <v>16</v>
      </c>
      <c r="AE686" s="19" t="s">
        <v>60</v>
      </c>
    </row>
    <row r="687" spans="1:31" x14ac:dyDescent="0.2">
      <c r="A687">
        <v>654</v>
      </c>
      <c r="B687" s="19" t="s">
        <v>1145</v>
      </c>
      <c r="C687">
        <v>25</v>
      </c>
      <c r="D687" s="19" t="s">
        <v>351</v>
      </c>
      <c r="E687" s="19" t="s">
        <v>322</v>
      </c>
      <c r="F687">
        <v>27</v>
      </c>
      <c r="G687">
        <v>0</v>
      </c>
      <c r="H687">
        <v>2</v>
      </c>
      <c r="I687">
        <v>2</v>
      </c>
      <c r="J687">
        <v>1</v>
      </c>
      <c r="K687">
        <v>75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31</v>
      </c>
      <c r="V687" s="19" t="s">
        <v>1935</v>
      </c>
      <c r="W687" s="19" t="s">
        <v>1936</v>
      </c>
      <c r="X687">
        <v>2</v>
      </c>
      <c r="Y687">
        <v>2</v>
      </c>
      <c r="Z687">
        <v>50</v>
      </c>
      <c r="AA687">
        <v>6</v>
      </c>
      <c r="AB687">
        <v>29</v>
      </c>
      <c r="AC687">
        <v>3</v>
      </c>
      <c r="AD687">
        <v>9</v>
      </c>
      <c r="AE687" s="19" t="s">
        <v>60</v>
      </c>
    </row>
    <row r="688" spans="1:31" x14ac:dyDescent="0.2">
      <c r="A688">
        <v>655</v>
      </c>
      <c r="B688" s="19" t="s">
        <v>1240</v>
      </c>
      <c r="C688">
        <v>26</v>
      </c>
      <c r="D688" s="19" t="s">
        <v>383</v>
      </c>
      <c r="E688" s="19" t="s">
        <v>325</v>
      </c>
      <c r="F688">
        <v>14</v>
      </c>
      <c r="G688">
        <v>1</v>
      </c>
      <c r="H688">
        <v>1</v>
      </c>
      <c r="I688">
        <v>2</v>
      </c>
      <c r="J688">
        <v>0</v>
      </c>
      <c r="K688">
        <v>2</v>
      </c>
      <c r="L688">
        <v>1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19</v>
      </c>
      <c r="T688">
        <v>5.3</v>
      </c>
      <c r="U688">
        <v>27</v>
      </c>
      <c r="V688" s="19" t="s">
        <v>2704</v>
      </c>
      <c r="W688" s="19" t="s">
        <v>834</v>
      </c>
      <c r="X688">
        <v>0</v>
      </c>
      <c r="Y688">
        <v>1</v>
      </c>
      <c r="Z688">
        <v>0</v>
      </c>
      <c r="AA688">
        <v>7</v>
      </c>
      <c r="AB688">
        <v>72</v>
      </c>
      <c r="AC688">
        <v>3</v>
      </c>
      <c r="AD688">
        <v>3</v>
      </c>
      <c r="AE688" s="19" t="s">
        <v>60</v>
      </c>
    </row>
    <row r="689" spans="1:31" x14ac:dyDescent="0.2">
      <c r="A689">
        <v>656</v>
      </c>
      <c r="B689" s="19" t="s">
        <v>1153</v>
      </c>
      <c r="C689">
        <v>24</v>
      </c>
      <c r="D689" s="19" t="s">
        <v>363</v>
      </c>
      <c r="E689" s="19" t="s">
        <v>348</v>
      </c>
      <c r="F689">
        <v>5</v>
      </c>
      <c r="G689">
        <v>1</v>
      </c>
      <c r="H689">
        <v>1</v>
      </c>
      <c r="I689">
        <v>2</v>
      </c>
      <c r="J689">
        <v>1</v>
      </c>
      <c r="K689">
        <v>7</v>
      </c>
      <c r="L689">
        <v>1</v>
      </c>
      <c r="M689">
        <v>0</v>
      </c>
      <c r="N689">
        <v>0</v>
      </c>
      <c r="O689">
        <v>1</v>
      </c>
      <c r="P689">
        <v>1</v>
      </c>
      <c r="Q689">
        <v>0</v>
      </c>
      <c r="R689">
        <v>0</v>
      </c>
      <c r="S689">
        <v>7</v>
      </c>
      <c r="T689">
        <v>14.3</v>
      </c>
      <c r="U689">
        <v>13</v>
      </c>
      <c r="V689" s="19" t="s">
        <v>1154</v>
      </c>
      <c r="W689" s="19" t="s">
        <v>1155</v>
      </c>
      <c r="X689">
        <v>0</v>
      </c>
      <c r="Y689">
        <v>0</v>
      </c>
      <c r="AA689">
        <v>5</v>
      </c>
      <c r="AB689">
        <v>16</v>
      </c>
      <c r="AC689">
        <v>3</v>
      </c>
      <c r="AD689">
        <v>7</v>
      </c>
      <c r="AE689" s="19" t="s">
        <v>60</v>
      </c>
    </row>
    <row r="690" spans="1:31" x14ac:dyDescent="0.2">
      <c r="A690">
        <v>657</v>
      </c>
      <c r="B690" s="19" t="s">
        <v>1158</v>
      </c>
      <c r="C690">
        <v>25</v>
      </c>
      <c r="D690" s="19" t="s">
        <v>354</v>
      </c>
      <c r="E690" s="19" t="s">
        <v>348</v>
      </c>
      <c r="F690">
        <v>5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9</v>
      </c>
      <c r="T690">
        <v>11.1</v>
      </c>
      <c r="U690">
        <v>12</v>
      </c>
      <c r="V690" s="19" t="s">
        <v>1159</v>
      </c>
      <c r="W690" s="19" t="s">
        <v>1075</v>
      </c>
      <c r="X690">
        <v>0</v>
      </c>
      <c r="Y690">
        <v>0</v>
      </c>
      <c r="AA690">
        <v>3</v>
      </c>
      <c r="AB690">
        <v>4</v>
      </c>
      <c r="AC690">
        <v>1</v>
      </c>
      <c r="AD690">
        <v>5</v>
      </c>
      <c r="AE690" s="19" t="s">
        <v>60</v>
      </c>
    </row>
    <row r="691" spans="1:31" x14ac:dyDescent="0.2">
      <c r="A691">
        <v>658</v>
      </c>
      <c r="B691" s="19" t="s">
        <v>1256</v>
      </c>
      <c r="C691">
        <v>30</v>
      </c>
      <c r="D691" s="19" t="s">
        <v>375</v>
      </c>
      <c r="E691" s="19" t="s">
        <v>322</v>
      </c>
      <c r="F691">
        <v>13</v>
      </c>
      <c r="G691">
        <v>1</v>
      </c>
      <c r="H691">
        <v>1</v>
      </c>
      <c r="I691">
        <v>2</v>
      </c>
      <c r="J691">
        <v>1</v>
      </c>
      <c r="K691">
        <v>8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14</v>
      </c>
      <c r="T691">
        <v>7.1</v>
      </c>
      <c r="U691">
        <v>35</v>
      </c>
      <c r="V691" s="19" t="s">
        <v>1736</v>
      </c>
      <c r="W691" s="19" t="s">
        <v>1330</v>
      </c>
      <c r="X691">
        <v>5</v>
      </c>
      <c r="Y691">
        <v>11</v>
      </c>
      <c r="Z691">
        <v>31.3</v>
      </c>
      <c r="AA691">
        <v>10</v>
      </c>
      <c r="AB691">
        <v>16</v>
      </c>
      <c r="AC691">
        <v>2</v>
      </c>
      <c r="AD691">
        <v>4</v>
      </c>
      <c r="AE691" s="19" t="s">
        <v>60</v>
      </c>
    </row>
    <row r="692" spans="1:31" x14ac:dyDescent="0.2">
      <c r="A692">
        <v>659</v>
      </c>
      <c r="B692" s="19" t="s">
        <v>1436</v>
      </c>
      <c r="C692">
        <v>24</v>
      </c>
      <c r="D692" s="19" t="s">
        <v>343</v>
      </c>
      <c r="E692" s="19" t="s">
        <v>334</v>
      </c>
      <c r="F692">
        <v>12</v>
      </c>
      <c r="G692">
        <v>1</v>
      </c>
      <c r="H692">
        <v>1</v>
      </c>
      <c r="I692">
        <v>2</v>
      </c>
      <c r="J692">
        <v>-1</v>
      </c>
      <c r="K692">
        <v>8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15</v>
      </c>
      <c r="T692">
        <v>6.7</v>
      </c>
      <c r="U692">
        <v>33</v>
      </c>
      <c r="V692" s="19" t="s">
        <v>2705</v>
      </c>
      <c r="W692" s="19" t="s">
        <v>1757</v>
      </c>
      <c r="X692">
        <v>1</v>
      </c>
      <c r="Y692">
        <v>6</v>
      </c>
      <c r="Z692">
        <v>14.3</v>
      </c>
      <c r="AA692">
        <v>5</v>
      </c>
      <c r="AB692">
        <v>2</v>
      </c>
      <c r="AC692">
        <v>1</v>
      </c>
      <c r="AD692">
        <v>8</v>
      </c>
      <c r="AE692" s="19" t="s">
        <v>60</v>
      </c>
    </row>
    <row r="693" spans="1:31" x14ac:dyDescent="0.2">
      <c r="A693">
        <v>660</v>
      </c>
      <c r="B693" s="19" t="s">
        <v>1257</v>
      </c>
      <c r="C693">
        <v>23</v>
      </c>
      <c r="D693" s="19" t="s">
        <v>357</v>
      </c>
      <c r="E693" s="19" t="s">
        <v>348</v>
      </c>
      <c r="F693">
        <v>12</v>
      </c>
      <c r="G693">
        <v>0</v>
      </c>
      <c r="H693">
        <v>2</v>
      </c>
      <c r="I693">
        <v>2</v>
      </c>
      <c r="J693">
        <v>3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3</v>
      </c>
      <c r="T693">
        <v>0</v>
      </c>
      <c r="U693">
        <v>14</v>
      </c>
      <c r="V693" s="19" t="s">
        <v>1714</v>
      </c>
      <c r="W693" s="19" t="s">
        <v>1645</v>
      </c>
      <c r="X693">
        <v>0</v>
      </c>
      <c r="Y693">
        <v>0</v>
      </c>
      <c r="AA693">
        <v>18</v>
      </c>
      <c r="AB693">
        <v>11</v>
      </c>
      <c r="AC693">
        <v>1</v>
      </c>
      <c r="AD693">
        <v>7</v>
      </c>
      <c r="AE693" s="19" t="s">
        <v>60</v>
      </c>
    </row>
    <row r="694" spans="1:31" x14ac:dyDescent="0.2">
      <c r="A694">
        <v>661</v>
      </c>
      <c r="B694" s="19" t="s">
        <v>1704</v>
      </c>
      <c r="C694">
        <v>27</v>
      </c>
      <c r="D694" s="19" t="s">
        <v>327</v>
      </c>
      <c r="E694" s="19" t="s">
        <v>339</v>
      </c>
      <c r="F694">
        <v>8</v>
      </c>
      <c r="G694">
        <v>1</v>
      </c>
      <c r="H694">
        <v>1</v>
      </c>
      <c r="I694">
        <v>2</v>
      </c>
      <c r="J694">
        <v>0</v>
      </c>
      <c r="K694">
        <v>5</v>
      </c>
      <c r="L694">
        <v>1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12</v>
      </c>
      <c r="T694">
        <v>8.3000000000000007</v>
      </c>
      <c r="U694">
        <v>15</v>
      </c>
      <c r="V694" s="19" t="s">
        <v>2706</v>
      </c>
      <c r="W694" s="19" t="s">
        <v>1182</v>
      </c>
      <c r="X694">
        <v>0</v>
      </c>
      <c r="Y694">
        <v>0</v>
      </c>
      <c r="AA694">
        <v>2</v>
      </c>
      <c r="AB694">
        <v>20</v>
      </c>
      <c r="AC694">
        <v>2</v>
      </c>
      <c r="AD694">
        <v>4</v>
      </c>
      <c r="AE694" s="19" t="s">
        <v>60</v>
      </c>
    </row>
    <row r="695" spans="1:31" x14ac:dyDescent="0.2">
      <c r="A695">
        <v>662</v>
      </c>
      <c r="B695" s="19" t="s">
        <v>1160</v>
      </c>
      <c r="C695">
        <v>29</v>
      </c>
      <c r="D695" s="19" t="s">
        <v>327</v>
      </c>
      <c r="E695" s="19" t="s">
        <v>334</v>
      </c>
      <c r="F695">
        <v>6</v>
      </c>
      <c r="G695">
        <v>0</v>
      </c>
      <c r="H695">
        <v>2</v>
      </c>
      <c r="I695">
        <v>2</v>
      </c>
      <c r="J695">
        <v>-2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4</v>
      </c>
      <c r="T695">
        <v>0</v>
      </c>
      <c r="U695">
        <v>10</v>
      </c>
      <c r="V695" s="19" t="s">
        <v>1161</v>
      </c>
      <c r="W695" s="19" t="s">
        <v>1162</v>
      </c>
      <c r="X695">
        <v>0</v>
      </c>
      <c r="Y695">
        <v>1</v>
      </c>
      <c r="Z695">
        <v>0</v>
      </c>
      <c r="AA695">
        <v>4</v>
      </c>
      <c r="AB695">
        <v>16</v>
      </c>
      <c r="AC695">
        <v>1</v>
      </c>
      <c r="AD695">
        <v>4</v>
      </c>
      <c r="AE695" s="19" t="s">
        <v>60</v>
      </c>
    </row>
    <row r="696" spans="1:31" x14ac:dyDescent="0.2">
      <c r="A696">
        <v>663</v>
      </c>
      <c r="B696" s="19" t="s">
        <v>1272</v>
      </c>
      <c r="C696">
        <v>30</v>
      </c>
      <c r="D696" s="19" t="s">
        <v>329</v>
      </c>
      <c r="E696" s="19" t="s">
        <v>322</v>
      </c>
      <c r="F696">
        <v>17</v>
      </c>
      <c r="G696">
        <v>1</v>
      </c>
      <c r="H696">
        <v>1</v>
      </c>
      <c r="I696">
        <v>2</v>
      </c>
      <c r="J696">
        <v>2</v>
      </c>
      <c r="K696">
        <v>14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16.7</v>
      </c>
      <c r="U696">
        <v>15</v>
      </c>
      <c r="V696" s="19" t="s">
        <v>1959</v>
      </c>
      <c r="W696" s="19" t="s">
        <v>1896</v>
      </c>
      <c r="X696">
        <v>10</v>
      </c>
      <c r="Y696">
        <v>10</v>
      </c>
      <c r="Z696">
        <v>50</v>
      </c>
      <c r="AA696">
        <v>1</v>
      </c>
      <c r="AB696">
        <v>20</v>
      </c>
      <c r="AC696">
        <v>1</v>
      </c>
      <c r="AD696">
        <v>9</v>
      </c>
      <c r="AE696" s="19" t="s">
        <v>60</v>
      </c>
    </row>
    <row r="697" spans="1:31" x14ac:dyDescent="0.2">
      <c r="A697">
        <v>664</v>
      </c>
      <c r="B697" s="19" t="s">
        <v>1472</v>
      </c>
      <c r="C697">
        <v>30</v>
      </c>
      <c r="D697" s="19" t="s">
        <v>400</v>
      </c>
      <c r="E697" s="19" t="s">
        <v>334</v>
      </c>
      <c r="F697">
        <v>19</v>
      </c>
      <c r="G697">
        <v>0</v>
      </c>
      <c r="H697">
        <v>2</v>
      </c>
      <c r="I697">
        <v>2</v>
      </c>
      <c r="J697">
        <v>-1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15</v>
      </c>
      <c r="T697">
        <v>0</v>
      </c>
      <c r="U697">
        <v>24</v>
      </c>
      <c r="V697" s="19" t="s">
        <v>1755</v>
      </c>
      <c r="W697" s="19" t="s">
        <v>1165</v>
      </c>
      <c r="X697">
        <v>52</v>
      </c>
      <c r="Y697">
        <v>55</v>
      </c>
      <c r="Z697">
        <v>48.6</v>
      </c>
      <c r="AA697">
        <v>13</v>
      </c>
      <c r="AB697">
        <v>28</v>
      </c>
      <c r="AC697">
        <v>2</v>
      </c>
      <c r="AD697">
        <v>4</v>
      </c>
      <c r="AE697" s="19" t="s">
        <v>60</v>
      </c>
    </row>
    <row r="698" spans="1:31" x14ac:dyDescent="0.2">
      <c r="A698">
        <v>665</v>
      </c>
      <c r="B698" s="19" t="s">
        <v>1695</v>
      </c>
      <c r="C698">
        <v>20</v>
      </c>
      <c r="D698" s="19" t="s">
        <v>329</v>
      </c>
      <c r="E698" s="19" t="s">
        <v>339</v>
      </c>
      <c r="F698">
        <v>9</v>
      </c>
      <c r="G698">
        <v>2</v>
      </c>
      <c r="H698">
        <v>0</v>
      </c>
      <c r="I698">
        <v>2</v>
      </c>
      <c r="J698">
        <v>-1</v>
      </c>
      <c r="K698">
        <v>4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14</v>
      </c>
      <c r="T698">
        <v>14.3</v>
      </c>
      <c r="U698">
        <v>33</v>
      </c>
      <c r="V698" s="19" t="s">
        <v>2707</v>
      </c>
      <c r="W698" s="19" t="s">
        <v>2708</v>
      </c>
      <c r="X698">
        <v>0</v>
      </c>
      <c r="Y698">
        <v>0</v>
      </c>
      <c r="AA698">
        <v>2</v>
      </c>
      <c r="AB698">
        <v>17</v>
      </c>
      <c r="AC698">
        <v>1</v>
      </c>
      <c r="AD698">
        <v>4</v>
      </c>
      <c r="AE698" s="19" t="s">
        <v>60</v>
      </c>
    </row>
    <row r="699" spans="1:31" x14ac:dyDescent="0.2">
      <c r="A699">
        <v>666</v>
      </c>
      <c r="B699" s="19" t="s">
        <v>1169</v>
      </c>
      <c r="C699">
        <v>30</v>
      </c>
      <c r="D699" s="19" t="s">
        <v>327</v>
      </c>
      <c r="E699" s="19" t="s">
        <v>322</v>
      </c>
      <c r="F699">
        <v>20</v>
      </c>
      <c r="G699">
        <v>2</v>
      </c>
      <c r="H699">
        <v>0</v>
      </c>
      <c r="I699">
        <v>2</v>
      </c>
      <c r="J699">
        <v>-3</v>
      </c>
      <c r="K699">
        <v>2</v>
      </c>
      <c r="L699">
        <v>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7</v>
      </c>
      <c r="T699">
        <v>28.6</v>
      </c>
      <c r="U699">
        <v>25</v>
      </c>
      <c r="V699" s="19" t="s">
        <v>2709</v>
      </c>
      <c r="W699" s="19" t="s">
        <v>2710</v>
      </c>
      <c r="X699">
        <v>64</v>
      </c>
      <c r="Y699">
        <v>51</v>
      </c>
      <c r="Z699">
        <v>55.7</v>
      </c>
      <c r="AA699">
        <v>12</v>
      </c>
      <c r="AB699">
        <v>43</v>
      </c>
      <c r="AC699">
        <v>1</v>
      </c>
      <c r="AD699">
        <v>0</v>
      </c>
      <c r="AE699" s="19" t="s">
        <v>60</v>
      </c>
    </row>
    <row r="700" spans="1:31" x14ac:dyDescent="0.2">
      <c r="A700">
        <v>667</v>
      </c>
      <c r="B700" s="19" t="s">
        <v>1171</v>
      </c>
      <c r="C700">
        <v>22</v>
      </c>
      <c r="D700" s="19" t="s">
        <v>398</v>
      </c>
      <c r="E700" s="19" t="s">
        <v>348</v>
      </c>
      <c r="F700">
        <v>8</v>
      </c>
      <c r="G700">
        <v>1</v>
      </c>
      <c r="H700">
        <v>1</v>
      </c>
      <c r="I700">
        <v>2</v>
      </c>
      <c r="J700">
        <v>4</v>
      </c>
      <c r="K700">
        <v>10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10</v>
      </c>
      <c r="T700">
        <v>10</v>
      </c>
      <c r="U700">
        <v>24</v>
      </c>
      <c r="V700" s="19" t="s">
        <v>1172</v>
      </c>
      <c r="W700" s="19" t="s">
        <v>751</v>
      </c>
      <c r="X700">
        <v>0</v>
      </c>
      <c r="Y700">
        <v>0</v>
      </c>
      <c r="AA700">
        <v>6</v>
      </c>
      <c r="AB700">
        <v>9</v>
      </c>
      <c r="AC700">
        <v>4</v>
      </c>
      <c r="AD700">
        <v>8</v>
      </c>
      <c r="AE700" s="19" t="s">
        <v>60</v>
      </c>
    </row>
    <row r="701" spans="1:31" x14ac:dyDescent="0.2">
      <c r="A701">
        <v>668</v>
      </c>
      <c r="B701" s="19" t="s">
        <v>1173</v>
      </c>
      <c r="C701">
        <v>21</v>
      </c>
      <c r="D701" s="19" t="s">
        <v>451</v>
      </c>
      <c r="E701" s="19" t="s">
        <v>334</v>
      </c>
      <c r="F701">
        <v>8</v>
      </c>
      <c r="G701">
        <v>1</v>
      </c>
      <c r="H701">
        <v>1</v>
      </c>
      <c r="I701">
        <v>2</v>
      </c>
      <c r="J701">
        <v>0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4</v>
      </c>
      <c r="T701">
        <v>25</v>
      </c>
      <c r="U701">
        <v>13</v>
      </c>
      <c r="V701" s="19" t="s">
        <v>1174</v>
      </c>
      <c r="W701" s="19" t="s">
        <v>1175</v>
      </c>
      <c r="X701">
        <v>0</v>
      </c>
      <c r="Y701">
        <v>0</v>
      </c>
      <c r="AA701">
        <v>3</v>
      </c>
      <c r="AB701">
        <v>6</v>
      </c>
      <c r="AC701">
        <v>0</v>
      </c>
      <c r="AD701">
        <v>6</v>
      </c>
      <c r="AE701" s="19" t="s">
        <v>60</v>
      </c>
    </row>
    <row r="702" spans="1:31" x14ac:dyDescent="0.2">
      <c r="A702">
        <v>669</v>
      </c>
      <c r="B702" s="19" t="s">
        <v>1281</v>
      </c>
      <c r="C702">
        <v>26</v>
      </c>
      <c r="D702" s="19" t="s">
        <v>418</v>
      </c>
      <c r="E702" s="19" t="s">
        <v>334</v>
      </c>
      <c r="F702">
        <v>7</v>
      </c>
      <c r="G702">
        <v>1</v>
      </c>
      <c r="H702">
        <v>1</v>
      </c>
      <c r="I702">
        <v>2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7</v>
      </c>
      <c r="T702">
        <v>14.3</v>
      </c>
      <c r="U702">
        <v>10</v>
      </c>
      <c r="V702" s="19" t="s">
        <v>1816</v>
      </c>
      <c r="W702" s="19" t="s">
        <v>1473</v>
      </c>
      <c r="X702">
        <v>0</v>
      </c>
      <c r="Y702">
        <v>0</v>
      </c>
      <c r="AA702">
        <v>4</v>
      </c>
      <c r="AB702">
        <v>4</v>
      </c>
      <c r="AC702">
        <v>1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1283</v>
      </c>
      <c r="C703">
        <v>22</v>
      </c>
      <c r="D703" s="19" t="s">
        <v>519</v>
      </c>
      <c r="E703" s="19" t="s">
        <v>348</v>
      </c>
      <c r="F703">
        <v>27</v>
      </c>
      <c r="G703">
        <v>1</v>
      </c>
      <c r="H703">
        <v>1</v>
      </c>
      <c r="I703">
        <v>2</v>
      </c>
      <c r="J703">
        <v>-20</v>
      </c>
      <c r="K703">
        <v>29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29</v>
      </c>
      <c r="T703">
        <v>3.4</v>
      </c>
      <c r="U703">
        <v>63</v>
      </c>
      <c r="V703" s="19" t="s">
        <v>2711</v>
      </c>
      <c r="W703" s="19" t="s">
        <v>1594</v>
      </c>
      <c r="X703">
        <v>0</v>
      </c>
      <c r="Y703">
        <v>0</v>
      </c>
      <c r="AA703">
        <v>18</v>
      </c>
      <c r="AB703">
        <v>32</v>
      </c>
      <c r="AC703">
        <v>4</v>
      </c>
      <c r="AD703">
        <v>23</v>
      </c>
      <c r="AE703" s="19" t="s">
        <v>60</v>
      </c>
    </row>
    <row r="704" spans="1:31" x14ac:dyDescent="0.2">
      <c r="A704">
        <v>671</v>
      </c>
      <c r="B704" s="19" t="s">
        <v>1179</v>
      </c>
      <c r="C704">
        <v>36</v>
      </c>
      <c r="D704" s="19" t="s">
        <v>400</v>
      </c>
      <c r="E704" s="19" t="s">
        <v>3</v>
      </c>
      <c r="F704">
        <v>20</v>
      </c>
      <c r="G704">
        <v>0</v>
      </c>
      <c r="H704">
        <v>2</v>
      </c>
      <c r="I704">
        <v>2</v>
      </c>
      <c r="J704">
        <v>0</v>
      </c>
      <c r="K704">
        <v>6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U704">
        <v>0</v>
      </c>
      <c r="V704" s="19" t="s">
        <v>2712</v>
      </c>
      <c r="W704" s="19" t="s">
        <v>2713</v>
      </c>
      <c r="X704">
        <v>0</v>
      </c>
      <c r="Y704">
        <v>0</v>
      </c>
      <c r="AA704">
        <v>0</v>
      </c>
      <c r="AB704">
        <v>0</v>
      </c>
      <c r="AC704">
        <v>0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1661</v>
      </c>
      <c r="C705">
        <v>27</v>
      </c>
      <c r="D705" s="19" t="s">
        <v>519</v>
      </c>
      <c r="E705" s="19" t="s">
        <v>339</v>
      </c>
      <c r="F705">
        <v>3</v>
      </c>
      <c r="G705">
        <v>1</v>
      </c>
      <c r="H705">
        <v>1</v>
      </c>
      <c r="I705">
        <v>2</v>
      </c>
      <c r="J705">
        <v>0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4</v>
      </c>
      <c r="T705">
        <v>25</v>
      </c>
      <c r="U705">
        <v>5</v>
      </c>
      <c r="V705" s="19" t="s">
        <v>1708</v>
      </c>
      <c r="W705" s="19" t="s">
        <v>868</v>
      </c>
      <c r="X705">
        <v>4</v>
      </c>
      <c r="Y705">
        <v>1</v>
      </c>
      <c r="Z705">
        <v>80</v>
      </c>
      <c r="AA705">
        <v>2</v>
      </c>
      <c r="AB705">
        <v>0</v>
      </c>
      <c r="AC705">
        <v>1</v>
      </c>
      <c r="AD705">
        <v>2</v>
      </c>
      <c r="AE705" s="19" t="s">
        <v>60</v>
      </c>
    </row>
    <row r="706" spans="1:31" x14ac:dyDescent="0.2">
      <c r="A706">
        <v>673</v>
      </c>
      <c r="B706" s="19" t="s">
        <v>1705</v>
      </c>
      <c r="C706">
        <v>22</v>
      </c>
      <c r="D706" s="19" t="s">
        <v>536</v>
      </c>
      <c r="E706" s="19" t="s">
        <v>334</v>
      </c>
      <c r="F706">
        <v>9</v>
      </c>
      <c r="G706">
        <v>0</v>
      </c>
      <c r="H706">
        <v>2</v>
      </c>
      <c r="I706">
        <v>2</v>
      </c>
      <c r="J706">
        <v>-2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7</v>
      </c>
      <c r="T706">
        <v>0</v>
      </c>
      <c r="U706">
        <v>20</v>
      </c>
      <c r="V706" s="19" t="s">
        <v>2714</v>
      </c>
      <c r="W706" s="19" t="s">
        <v>1891</v>
      </c>
      <c r="X706">
        <v>1</v>
      </c>
      <c r="Y706">
        <v>0</v>
      </c>
      <c r="Z706">
        <v>100</v>
      </c>
      <c r="AA706">
        <v>3</v>
      </c>
      <c r="AB706">
        <v>39</v>
      </c>
      <c r="AC706">
        <v>1</v>
      </c>
      <c r="AD706">
        <v>6</v>
      </c>
      <c r="AE706" s="19" t="s">
        <v>60</v>
      </c>
    </row>
    <row r="707" spans="1:31" x14ac:dyDescent="0.2">
      <c r="A707">
        <v>674</v>
      </c>
      <c r="B707" s="19" t="s">
        <v>1295</v>
      </c>
      <c r="C707">
        <v>29</v>
      </c>
      <c r="D707" s="19" t="s">
        <v>359</v>
      </c>
      <c r="E707" s="19" t="s">
        <v>348</v>
      </c>
      <c r="F707">
        <v>21</v>
      </c>
      <c r="G707">
        <v>0</v>
      </c>
      <c r="H707">
        <v>2</v>
      </c>
      <c r="I707">
        <v>2</v>
      </c>
      <c r="J707">
        <v>-8</v>
      </c>
      <c r="K707">
        <v>12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21</v>
      </c>
      <c r="T707">
        <v>0</v>
      </c>
      <c r="U707">
        <v>50</v>
      </c>
      <c r="V707" s="19" t="s">
        <v>2715</v>
      </c>
      <c r="W707" s="19" t="s">
        <v>1045</v>
      </c>
      <c r="X707">
        <v>0</v>
      </c>
      <c r="Y707">
        <v>0</v>
      </c>
      <c r="AA707">
        <v>27</v>
      </c>
      <c r="AB707">
        <v>34</v>
      </c>
      <c r="AC707">
        <v>2</v>
      </c>
      <c r="AD707">
        <v>15</v>
      </c>
      <c r="AE707" s="19" t="s">
        <v>60</v>
      </c>
    </row>
    <row r="708" spans="1:31" x14ac:dyDescent="0.2">
      <c r="A708">
        <v>675</v>
      </c>
      <c r="B708" s="19" t="s">
        <v>1296</v>
      </c>
      <c r="C708">
        <v>20</v>
      </c>
      <c r="D708" s="19" t="s">
        <v>398</v>
      </c>
      <c r="E708" s="19" t="s">
        <v>339</v>
      </c>
      <c r="F708">
        <v>8</v>
      </c>
      <c r="G708">
        <v>2</v>
      </c>
      <c r="H708">
        <v>0</v>
      </c>
      <c r="I708">
        <v>2</v>
      </c>
      <c r="J708">
        <v>-2</v>
      </c>
      <c r="K708">
        <v>0</v>
      </c>
      <c r="L708">
        <v>1</v>
      </c>
      <c r="M708">
        <v>1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8</v>
      </c>
      <c r="T708">
        <v>25</v>
      </c>
      <c r="U708">
        <v>22</v>
      </c>
      <c r="V708" s="19" t="s">
        <v>1897</v>
      </c>
      <c r="W708" s="19" t="s">
        <v>1841</v>
      </c>
      <c r="X708">
        <v>0</v>
      </c>
      <c r="Y708">
        <v>1</v>
      </c>
      <c r="Z708">
        <v>0</v>
      </c>
      <c r="AA708">
        <v>4</v>
      </c>
      <c r="AB708">
        <v>12</v>
      </c>
      <c r="AC708">
        <v>0</v>
      </c>
      <c r="AD708">
        <v>7</v>
      </c>
      <c r="AE708" s="19" t="s">
        <v>60</v>
      </c>
    </row>
    <row r="709" spans="1:31" x14ac:dyDescent="0.2">
      <c r="A709">
        <v>676</v>
      </c>
      <c r="B709" s="19" t="s">
        <v>1523</v>
      </c>
      <c r="C709">
        <v>22</v>
      </c>
      <c r="D709" s="19" t="s">
        <v>324</v>
      </c>
      <c r="E709" s="19" t="s">
        <v>322</v>
      </c>
      <c r="F709">
        <v>18</v>
      </c>
      <c r="G709">
        <v>1</v>
      </c>
      <c r="H709">
        <v>1</v>
      </c>
      <c r="I709">
        <v>2</v>
      </c>
      <c r="J709">
        <v>0</v>
      </c>
      <c r="K709">
        <v>2</v>
      </c>
      <c r="L709">
        <v>1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13</v>
      </c>
      <c r="T709">
        <v>7.7</v>
      </c>
      <c r="U709">
        <v>20</v>
      </c>
      <c r="V709" s="19" t="s">
        <v>2716</v>
      </c>
      <c r="W709" s="19" t="s">
        <v>1937</v>
      </c>
      <c r="X709">
        <v>76</v>
      </c>
      <c r="Y709">
        <v>72</v>
      </c>
      <c r="Z709">
        <v>51.4</v>
      </c>
      <c r="AA709">
        <v>3</v>
      </c>
      <c r="AB709">
        <v>51</v>
      </c>
      <c r="AC709">
        <v>3</v>
      </c>
      <c r="AD709">
        <v>6</v>
      </c>
      <c r="AE709" s="19" t="s">
        <v>60</v>
      </c>
    </row>
    <row r="710" spans="1:31" x14ac:dyDescent="0.2">
      <c r="A710">
        <v>677</v>
      </c>
      <c r="B710" s="19" t="s">
        <v>1183</v>
      </c>
      <c r="C710">
        <v>26</v>
      </c>
      <c r="D710" s="19" t="s">
        <v>324</v>
      </c>
      <c r="E710" s="19" t="s">
        <v>325</v>
      </c>
      <c r="F710">
        <v>3</v>
      </c>
      <c r="G710">
        <v>2</v>
      </c>
      <c r="H710">
        <v>0</v>
      </c>
      <c r="I710">
        <v>2</v>
      </c>
      <c r="J710">
        <v>-2</v>
      </c>
      <c r="K710">
        <v>2</v>
      </c>
      <c r="L710">
        <v>0</v>
      </c>
      <c r="M710">
        <v>2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8</v>
      </c>
      <c r="T710">
        <v>25</v>
      </c>
      <c r="U710">
        <v>11</v>
      </c>
      <c r="V710" s="19" t="s">
        <v>2717</v>
      </c>
      <c r="W710" s="19" t="s">
        <v>2342</v>
      </c>
      <c r="X710">
        <v>1</v>
      </c>
      <c r="Y710">
        <v>1</v>
      </c>
      <c r="Z710">
        <v>50</v>
      </c>
      <c r="AA710">
        <v>1</v>
      </c>
      <c r="AB710">
        <v>4</v>
      </c>
      <c r="AC710">
        <v>0</v>
      </c>
      <c r="AD710">
        <v>0</v>
      </c>
      <c r="AE710" s="19" t="s">
        <v>60</v>
      </c>
    </row>
    <row r="711" spans="1:31" x14ac:dyDescent="0.2">
      <c r="A711">
        <v>678</v>
      </c>
      <c r="B711" s="19" t="s">
        <v>1726</v>
      </c>
      <c r="C711">
        <v>31</v>
      </c>
      <c r="D711" s="19" t="s">
        <v>408</v>
      </c>
      <c r="E711" s="19" t="s">
        <v>348</v>
      </c>
      <c r="F711">
        <v>8</v>
      </c>
      <c r="G711">
        <v>0</v>
      </c>
      <c r="H711">
        <v>2</v>
      </c>
      <c r="I711">
        <v>2</v>
      </c>
      <c r="J711">
        <v>0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1</v>
      </c>
      <c r="S711">
        <v>13</v>
      </c>
      <c r="T711">
        <v>0</v>
      </c>
      <c r="U711">
        <v>25</v>
      </c>
      <c r="V711" s="19" t="s">
        <v>2718</v>
      </c>
      <c r="W711" s="19" t="s">
        <v>2719</v>
      </c>
      <c r="X711">
        <v>0</v>
      </c>
      <c r="Y711">
        <v>0</v>
      </c>
      <c r="AA711">
        <v>14</v>
      </c>
      <c r="AB711">
        <v>12</v>
      </c>
      <c r="AC711">
        <v>2</v>
      </c>
      <c r="AD711">
        <v>4</v>
      </c>
      <c r="AE711" s="19" t="s">
        <v>60</v>
      </c>
    </row>
    <row r="712" spans="1:31" x14ac:dyDescent="0.2">
      <c r="A712">
        <v>679</v>
      </c>
      <c r="B712" s="19" t="s">
        <v>1186</v>
      </c>
      <c r="C712">
        <v>24</v>
      </c>
      <c r="D712" s="19" t="s">
        <v>372</v>
      </c>
      <c r="E712" s="19" t="s">
        <v>334</v>
      </c>
      <c r="F712">
        <v>10</v>
      </c>
      <c r="G712">
        <v>2</v>
      </c>
      <c r="H712">
        <v>0</v>
      </c>
      <c r="I712">
        <v>2</v>
      </c>
      <c r="J712">
        <v>0</v>
      </c>
      <c r="K712">
        <v>0</v>
      </c>
      <c r="L712">
        <v>2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7</v>
      </c>
      <c r="T712">
        <v>28.6</v>
      </c>
      <c r="U712">
        <v>14</v>
      </c>
      <c r="V712" s="19" t="s">
        <v>1187</v>
      </c>
      <c r="W712" s="19" t="s">
        <v>1188</v>
      </c>
      <c r="X712">
        <v>27</v>
      </c>
      <c r="Y712">
        <v>38</v>
      </c>
      <c r="Z712">
        <v>41.5</v>
      </c>
      <c r="AA712">
        <v>6</v>
      </c>
      <c r="AB712">
        <v>9</v>
      </c>
      <c r="AC712">
        <v>2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1189</v>
      </c>
      <c r="C713">
        <v>24</v>
      </c>
      <c r="D713" s="19" t="s">
        <v>984</v>
      </c>
      <c r="E713" s="19" t="s">
        <v>348</v>
      </c>
      <c r="F713">
        <v>12</v>
      </c>
      <c r="G713">
        <v>0</v>
      </c>
      <c r="H713">
        <v>2</v>
      </c>
      <c r="I713">
        <v>2</v>
      </c>
      <c r="J713">
        <v>0</v>
      </c>
      <c r="K713">
        <v>14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8</v>
      </c>
      <c r="T713">
        <v>0</v>
      </c>
      <c r="U713">
        <v>24</v>
      </c>
      <c r="V713" s="19" t="s">
        <v>1190</v>
      </c>
      <c r="W713" s="19" t="s">
        <v>587</v>
      </c>
      <c r="X713">
        <v>0</v>
      </c>
      <c r="Y713">
        <v>0</v>
      </c>
      <c r="AA713">
        <v>11</v>
      </c>
      <c r="AB713">
        <v>18</v>
      </c>
      <c r="AC713">
        <v>2</v>
      </c>
      <c r="AD713">
        <v>11</v>
      </c>
      <c r="AE713" s="19" t="s">
        <v>60</v>
      </c>
    </row>
    <row r="714" spans="1:31" x14ac:dyDescent="0.2">
      <c r="A714">
        <v>680</v>
      </c>
      <c r="B714" s="19" t="s">
        <v>1189</v>
      </c>
      <c r="C714">
        <v>24</v>
      </c>
      <c r="D714" s="19" t="s">
        <v>418</v>
      </c>
      <c r="E714" s="19" t="s">
        <v>348</v>
      </c>
      <c r="F714">
        <v>2</v>
      </c>
      <c r="G714">
        <v>0</v>
      </c>
      <c r="H714">
        <v>0</v>
      </c>
      <c r="I714">
        <v>0</v>
      </c>
      <c r="J714">
        <v>-1</v>
      </c>
      <c r="K714">
        <v>5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1</v>
      </c>
      <c r="T714">
        <v>0</v>
      </c>
      <c r="U714">
        <v>5</v>
      </c>
      <c r="V714" s="19" t="s">
        <v>1191</v>
      </c>
      <c r="W714" s="19" t="s">
        <v>1192</v>
      </c>
      <c r="X714">
        <v>0</v>
      </c>
      <c r="Y714">
        <v>0</v>
      </c>
      <c r="AA714">
        <v>0</v>
      </c>
      <c r="AB714">
        <v>1</v>
      </c>
      <c r="AC714">
        <v>0</v>
      </c>
      <c r="AD714">
        <v>1</v>
      </c>
      <c r="AE714" s="19" t="s">
        <v>60</v>
      </c>
    </row>
    <row r="715" spans="1:31" x14ac:dyDescent="0.2">
      <c r="A715">
        <v>680</v>
      </c>
      <c r="B715" s="19" t="s">
        <v>1189</v>
      </c>
      <c r="C715">
        <v>24</v>
      </c>
      <c r="D715" s="19" t="s">
        <v>372</v>
      </c>
      <c r="E715" s="19" t="s">
        <v>348</v>
      </c>
      <c r="F715">
        <v>10</v>
      </c>
      <c r="G715">
        <v>0</v>
      </c>
      <c r="H715">
        <v>2</v>
      </c>
      <c r="I715">
        <v>2</v>
      </c>
      <c r="J715">
        <v>1</v>
      </c>
      <c r="K715">
        <v>9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7</v>
      </c>
      <c r="T715">
        <v>0</v>
      </c>
      <c r="U715">
        <v>19</v>
      </c>
      <c r="V715" s="19" t="s">
        <v>1193</v>
      </c>
      <c r="W715" s="19" t="s">
        <v>720</v>
      </c>
      <c r="X715">
        <v>0</v>
      </c>
      <c r="Y715">
        <v>0</v>
      </c>
      <c r="AA715">
        <v>11</v>
      </c>
      <c r="AB715">
        <v>17</v>
      </c>
      <c r="AC715">
        <v>2</v>
      </c>
      <c r="AD715">
        <v>10</v>
      </c>
      <c r="AE715" s="19" t="s">
        <v>60</v>
      </c>
    </row>
    <row r="716" spans="1:31" x14ac:dyDescent="0.2">
      <c r="A716">
        <v>681</v>
      </c>
      <c r="B716" s="19" t="s">
        <v>1316</v>
      </c>
      <c r="C716">
        <v>24</v>
      </c>
      <c r="D716" s="19" t="s">
        <v>375</v>
      </c>
      <c r="E716" s="19" t="s">
        <v>3</v>
      </c>
      <c r="F716">
        <v>18</v>
      </c>
      <c r="G716">
        <v>0</v>
      </c>
      <c r="H716">
        <v>2</v>
      </c>
      <c r="I716">
        <v>2</v>
      </c>
      <c r="J716">
        <v>0</v>
      </c>
      <c r="K716">
        <v>2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1</v>
      </c>
      <c r="R716">
        <v>0</v>
      </c>
      <c r="S716">
        <v>0</v>
      </c>
      <c r="U716">
        <v>0</v>
      </c>
      <c r="V716" s="19" t="s">
        <v>2720</v>
      </c>
      <c r="W716" s="19" t="s">
        <v>1965</v>
      </c>
      <c r="X716">
        <v>0</v>
      </c>
      <c r="Y716">
        <v>0</v>
      </c>
      <c r="AA716">
        <v>0</v>
      </c>
      <c r="AB716">
        <v>0</v>
      </c>
      <c r="AC716">
        <v>0</v>
      </c>
      <c r="AD716">
        <v>8</v>
      </c>
      <c r="AE716" s="19" t="s">
        <v>60</v>
      </c>
    </row>
    <row r="717" spans="1:31" x14ac:dyDescent="0.2">
      <c r="A717">
        <v>682</v>
      </c>
      <c r="B717" s="19" t="s">
        <v>1319</v>
      </c>
      <c r="C717">
        <v>23</v>
      </c>
      <c r="D717" s="19" t="s">
        <v>329</v>
      </c>
      <c r="E717" s="19" t="s">
        <v>339</v>
      </c>
      <c r="F717">
        <v>14</v>
      </c>
      <c r="G717">
        <v>1</v>
      </c>
      <c r="H717">
        <v>1</v>
      </c>
      <c r="I717">
        <v>2</v>
      </c>
      <c r="J717">
        <v>2</v>
      </c>
      <c r="K717">
        <v>12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8.3000000000000007</v>
      </c>
      <c r="U717">
        <v>26</v>
      </c>
      <c r="V717" s="19" t="s">
        <v>2721</v>
      </c>
      <c r="W717" s="19" t="s">
        <v>1865</v>
      </c>
      <c r="X717">
        <v>0</v>
      </c>
      <c r="Y717">
        <v>0</v>
      </c>
      <c r="AA717">
        <v>5</v>
      </c>
      <c r="AB717">
        <v>26</v>
      </c>
      <c r="AC717">
        <v>2</v>
      </c>
      <c r="AD717">
        <v>5</v>
      </c>
      <c r="AE717" s="19" t="s">
        <v>60</v>
      </c>
    </row>
    <row r="718" spans="1:31" x14ac:dyDescent="0.2">
      <c r="A718">
        <v>683</v>
      </c>
      <c r="B718" s="19" t="s">
        <v>1195</v>
      </c>
      <c r="C718">
        <v>36</v>
      </c>
      <c r="D718" s="19" t="s">
        <v>380</v>
      </c>
      <c r="E718" s="19" t="s">
        <v>348</v>
      </c>
      <c r="F718">
        <v>15</v>
      </c>
      <c r="G718">
        <v>0</v>
      </c>
      <c r="H718">
        <v>2</v>
      </c>
      <c r="I718">
        <v>2</v>
      </c>
      <c r="J718">
        <v>-1</v>
      </c>
      <c r="K718">
        <v>11</v>
      </c>
      <c r="L718">
        <v>0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10</v>
      </c>
      <c r="T718">
        <v>0</v>
      </c>
      <c r="U718">
        <v>21</v>
      </c>
      <c r="V718" s="19" t="s">
        <v>2722</v>
      </c>
      <c r="W718" s="19" t="s">
        <v>2610</v>
      </c>
      <c r="X718">
        <v>0</v>
      </c>
      <c r="Y718">
        <v>0</v>
      </c>
      <c r="AA718">
        <v>11</v>
      </c>
      <c r="AB718">
        <v>12</v>
      </c>
      <c r="AC718">
        <v>5</v>
      </c>
      <c r="AD718">
        <v>15</v>
      </c>
      <c r="AE718" s="19" t="s">
        <v>60</v>
      </c>
    </row>
    <row r="719" spans="1:31" x14ac:dyDescent="0.2">
      <c r="A719">
        <v>684</v>
      </c>
      <c r="B719" s="19" t="s">
        <v>1728</v>
      </c>
      <c r="C719">
        <v>26</v>
      </c>
      <c r="D719" s="19" t="s">
        <v>375</v>
      </c>
      <c r="E719" s="19" t="s">
        <v>348</v>
      </c>
      <c r="F719">
        <v>7</v>
      </c>
      <c r="G719">
        <v>0</v>
      </c>
      <c r="H719">
        <v>2</v>
      </c>
      <c r="I719">
        <v>2</v>
      </c>
      <c r="J719">
        <v>2</v>
      </c>
      <c r="K719">
        <v>4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10</v>
      </c>
      <c r="T719">
        <v>0</v>
      </c>
      <c r="U719">
        <v>19</v>
      </c>
      <c r="V719" s="19" t="s">
        <v>2723</v>
      </c>
      <c r="W719" s="19" t="s">
        <v>573</v>
      </c>
      <c r="X719">
        <v>0</v>
      </c>
      <c r="Y719">
        <v>0</v>
      </c>
      <c r="AA719">
        <v>11</v>
      </c>
      <c r="AB719">
        <v>24</v>
      </c>
      <c r="AC719">
        <v>1</v>
      </c>
      <c r="AD719">
        <v>5</v>
      </c>
      <c r="AE719" s="19" t="s">
        <v>60</v>
      </c>
    </row>
    <row r="720" spans="1:31" x14ac:dyDescent="0.2">
      <c r="A720">
        <v>685</v>
      </c>
      <c r="B720" s="19" t="s">
        <v>1197</v>
      </c>
      <c r="C720">
        <v>36</v>
      </c>
      <c r="D720" s="19" t="s">
        <v>359</v>
      </c>
      <c r="E720" s="19" t="s">
        <v>348</v>
      </c>
      <c r="F720">
        <v>11</v>
      </c>
      <c r="G720">
        <v>0</v>
      </c>
      <c r="H720">
        <v>2</v>
      </c>
      <c r="I720">
        <v>2</v>
      </c>
      <c r="J720">
        <v>8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8</v>
      </c>
      <c r="T720">
        <v>0</v>
      </c>
      <c r="U720">
        <v>18</v>
      </c>
      <c r="V720" s="19" t="s">
        <v>1960</v>
      </c>
      <c r="W720" s="19" t="s">
        <v>1839</v>
      </c>
      <c r="X720">
        <v>0</v>
      </c>
      <c r="Y720">
        <v>0</v>
      </c>
      <c r="AA720">
        <v>15</v>
      </c>
      <c r="AB720">
        <v>2</v>
      </c>
      <c r="AC720">
        <v>5</v>
      </c>
      <c r="AD720">
        <v>8</v>
      </c>
      <c r="AE720" s="19" t="s">
        <v>60</v>
      </c>
    </row>
    <row r="721" spans="1:31" x14ac:dyDescent="0.2">
      <c r="A721">
        <v>686</v>
      </c>
      <c r="B721" s="19" t="s">
        <v>1198</v>
      </c>
      <c r="C721">
        <v>26</v>
      </c>
      <c r="D721" s="19" t="s">
        <v>519</v>
      </c>
      <c r="E721" s="19" t="s">
        <v>334</v>
      </c>
      <c r="F721">
        <v>25</v>
      </c>
      <c r="G721">
        <v>1</v>
      </c>
      <c r="H721">
        <v>1</v>
      </c>
      <c r="I721">
        <v>2</v>
      </c>
      <c r="J721">
        <v>-8</v>
      </c>
      <c r="K721">
        <v>17</v>
      </c>
      <c r="L721">
        <v>0</v>
      </c>
      <c r="M721">
        <v>0</v>
      </c>
      <c r="N721">
        <v>1</v>
      </c>
      <c r="O721">
        <v>0</v>
      </c>
      <c r="P721">
        <v>1</v>
      </c>
      <c r="Q721">
        <v>0</v>
      </c>
      <c r="R721">
        <v>0</v>
      </c>
      <c r="S721">
        <v>23</v>
      </c>
      <c r="T721">
        <v>4.3</v>
      </c>
      <c r="U721">
        <v>42</v>
      </c>
      <c r="V721" s="19" t="s">
        <v>2724</v>
      </c>
      <c r="W721" s="19" t="s">
        <v>1809</v>
      </c>
      <c r="X721">
        <v>1</v>
      </c>
      <c r="Y721">
        <v>1</v>
      </c>
      <c r="Z721">
        <v>50</v>
      </c>
      <c r="AA721">
        <v>26</v>
      </c>
      <c r="AB721">
        <v>53</v>
      </c>
      <c r="AC721">
        <v>2</v>
      </c>
      <c r="AD721">
        <v>15</v>
      </c>
      <c r="AE721" s="19" t="s">
        <v>60</v>
      </c>
    </row>
    <row r="722" spans="1:31" x14ac:dyDescent="0.2">
      <c r="A722">
        <v>687</v>
      </c>
      <c r="B722" s="19" t="s">
        <v>1335</v>
      </c>
      <c r="C722">
        <v>25</v>
      </c>
      <c r="D722" s="19" t="s">
        <v>363</v>
      </c>
      <c r="E722" s="19" t="s">
        <v>348</v>
      </c>
      <c r="F722">
        <v>36</v>
      </c>
      <c r="G722">
        <v>1</v>
      </c>
      <c r="H722">
        <v>1</v>
      </c>
      <c r="I722">
        <v>2</v>
      </c>
      <c r="J722">
        <v>-6</v>
      </c>
      <c r="K722">
        <v>71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26</v>
      </c>
      <c r="T722">
        <v>3.8</v>
      </c>
      <c r="U722">
        <v>77</v>
      </c>
      <c r="V722" s="19" t="s">
        <v>2725</v>
      </c>
      <c r="W722" s="19" t="s">
        <v>1927</v>
      </c>
      <c r="X722">
        <v>0</v>
      </c>
      <c r="Y722">
        <v>0</v>
      </c>
      <c r="AA722">
        <v>27</v>
      </c>
      <c r="AB722">
        <v>86</v>
      </c>
      <c r="AC722">
        <v>2</v>
      </c>
      <c r="AD722">
        <v>22</v>
      </c>
      <c r="AE722" s="19" t="s">
        <v>60</v>
      </c>
    </row>
    <row r="723" spans="1:31" x14ac:dyDescent="0.2">
      <c r="A723">
        <v>688</v>
      </c>
      <c r="B723" s="19" t="s">
        <v>1206</v>
      </c>
      <c r="C723">
        <v>28</v>
      </c>
      <c r="D723" s="19" t="s">
        <v>321</v>
      </c>
      <c r="E723" s="19" t="s">
        <v>348</v>
      </c>
      <c r="F723">
        <v>6</v>
      </c>
      <c r="G723">
        <v>0</v>
      </c>
      <c r="H723">
        <v>1</v>
      </c>
      <c r="I723">
        <v>1</v>
      </c>
      <c r="J723">
        <v>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2</v>
      </c>
      <c r="T723">
        <v>0</v>
      </c>
      <c r="U723">
        <v>8</v>
      </c>
      <c r="V723" s="19" t="s">
        <v>1207</v>
      </c>
      <c r="W723" s="19" t="s">
        <v>864</v>
      </c>
      <c r="X723">
        <v>0</v>
      </c>
      <c r="Y723">
        <v>0</v>
      </c>
      <c r="AA723">
        <v>4</v>
      </c>
      <c r="AB723">
        <v>5</v>
      </c>
      <c r="AC723">
        <v>0</v>
      </c>
      <c r="AD723">
        <v>2</v>
      </c>
      <c r="AE723" s="19" t="s">
        <v>60</v>
      </c>
    </row>
    <row r="724" spans="1:31" x14ac:dyDescent="0.2">
      <c r="A724">
        <v>689</v>
      </c>
      <c r="B724" s="19" t="s">
        <v>1691</v>
      </c>
      <c r="C724">
        <v>29</v>
      </c>
      <c r="D724" s="19" t="s">
        <v>357</v>
      </c>
      <c r="E724" s="19" t="s">
        <v>334</v>
      </c>
      <c r="F724">
        <v>4</v>
      </c>
      <c r="G724">
        <v>0</v>
      </c>
      <c r="H724">
        <v>1</v>
      </c>
      <c r="I724">
        <v>1</v>
      </c>
      <c r="J724">
        <v>1</v>
      </c>
      <c r="K724">
        <v>6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0</v>
      </c>
      <c r="U724">
        <v>10</v>
      </c>
      <c r="V724" s="19" t="s">
        <v>1737</v>
      </c>
      <c r="W724" s="19" t="s">
        <v>1201</v>
      </c>
      <c r="X724">
        <v>0</v>
      </c>
      <c r="Y724">
        <v>5</v>
      </c>
      <c r="Z724">
        <v>0</v>
      </c>
      <c r="AA724">
        <v>4</v>
      </c>
      <c r="AB724">
        <v>4</v>
      </c>
      <c r="AC724">
        <v>1</v>
      </c>
      <c r="AD724">
        <v>1</v>
      </c>
      <c r="AE724" s="19" t="s">
        <v>60</v>
      </c>
    </row>
    <row r="725" spans="1:31" x14ac:dyDescent="0.2">
      <c r="A725">
        <v>690</v>
      </c>
      <c r="B725" s="19" t="s">
        <v>1351</v>
      </c>
      <c r="C725">
        <v>21</v>
      </c>
      <c r="D725" s="19" t="s">
        <v>363</v>
      </c>
      <c r="E725" s="19" t="s">
        <v>322</v>
      </c>
      <c r="F725">
        <v>9</v>
      </c>
      <c r="G725">
        <v>1</v>
      </c>
      <c r="H725">
        <v>0</v>
      </c>
      <c r="I725">
        <v>1</v>
      </c>
      <c r="J725">
        <v>4</v>
      </c>
      <c r="K725">
        <v>4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8</v>
      </c>
      <c r="T725">
        <v>12.5</v>
      </c>
      <c r="U725">
        <v>15</v>
      </c>
      <c r="V725" s="19" t="s">
        <v>1858</v>
      </c>
      <c r="W725" s="19" t="s">
        <v>1095</v>
      </c>
      <c r="X725">
        <v>34</v>
      </c>
      <c r="Y725">
        <v>21</v>
      </c>
      <c r="Z725">
        <v>61.8</v>
      </c>
      <c r="AA725">
        <v>6</v>
      </c>
      <c r="AB725">
        <v>18</v>
      </c>
      <c r="AC725">
        <v>0</v>
      </c>
      <c r="AD725">
        <v>5</v>
      </c>
      <c r="AE725" s="19" t="s">
        <v>60</v>
      </c>
    </row>
    <row r="726" spans="1:31" x14ac:dyDescent="0.2">
      <c r="A726">
        <v>691</v>
      </c>
      <c r="B726" s="19" t="s">
        <v>1209</v>
      </c>
      <c r="C726">
        <v>25</v>
      </c>
      <c r="D726" s="19" t="s">
        <v>370</v>
      </c>
      <c r="E726" s="19" t="s">
        <v>348</v>
      </c>
      <c r="F726">
        <v>26</v>
      </c>
      <c r="G726">
        <v>0</v>
      </c>
      <c r="H726">
        <v>1</v>
      </c>
      <c r="I726">
        <v>1</v>
      </c>
      <c r="J726">
        <v>0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22</v>
      </c>
      <c r="T726">
        <v>0</v>
      </c>
      <c r="U726">
        <v>47</v>
      </c>
      <c r="V726" s="19" t="s">
        <v>2726</v>
      </c>
      <c r="W726" s="19" t="s">
        <v>2727</v>
      </c>
      <c r="X726">
        <v>0</v>
      </c>
      <c r="Y726">
        <v>0</v>
      </c>
      <c r="AA726">
        <v>39</v>
      </c>
      <c r="AB726">
        <v>35</v>
      </c>
      <c r="AC726">
        <v>6</v>
      </c>
      <c r="AD726">
        <v>22</v>
      </c>
      <c r="AE726" s="19" t="s">
        <v>60</v>
      </c>
    </row>
    <row r="727" spans="1:31" x14ac:dyDescent="0.2">
      <c r="A727">
        <v>692</v>
      </c>
      <c r="B727" s="19" t="s">
        <v>1210</v>
      </c>
      <c r="C727">
        <v>32</v>
      </c>
      <c r="D727" s="19" t="s">
        <v>519</v>
      </c>
      <c r="E727" s="19" t="s">
        <v>3</v>
      </c>
      <c r="F727">
        <v>24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U727">
        <v>0</v>
      </c>
      <c r="V727" s="19" t="s">
        <v>2728</v>
      </c>
      <c r="W727" s="19" t="s">
        <v>2729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13</v>
      </c>
      <c r="AE727" s="19" t="s">
        <v>60</v>
      </c>
    </row>
    <row r="728" spans="1:31" x14ac:dyDescent="0.2">
      <c r="A728">
        <v>693</v>
      </c>
      <c r="B728" s="19" t="s">
        <v>1211</v>
      </c>
      <c r="C728">
        <v>31</v>
      </c>
      <c r="D728" s="19" t="s">
        <v>451</v>
      </c>
      <c r="E728" s="19" t="s">
        <v>322</v>
      </c>
      <c r="F728">
        <v>2</v>
      </c>
      <c r="G728">
        <v>1</v>
      </c>
      <c r="H728">
        <v>0</v>
      </c>
      <c r="I728">
        <v>1</v>
      </c>
      <c r="J728">
        <v>0</v>
      </c>
      <c r="K728">
        <v>0</v>
      </c>
      <c r="L728">
        <v>1</v>
      </c>
      <c r="M728">
        <v>0</v>
      </c>
      <c r="N728">
        <v>0</v>
      </c>
      <c r="O728">
        <v>1</v>
      </c>
      <c r="P728">
        <v>0</v>
      </c>
      <c r="Q728">
        <v>0</v>
      </c>
      <c r="R728">
        <v>0</v>
      </c>
      <c r="S728">
        <v>2</v>
      </c>
      <c r="T728">
        <v>50</v>
      </c>
      <c r="U728">
        <v>2</v>
      </c>
      <c r="V728" s="19" t="s">
        <v>1212</v>
      </c>
      <c r="W728" s="19" t="s">
        <v>708</v>
      </c>
      <c r="X728">
        <v>9</v>
      </c>
      <c r="Y728">
        <v>17</v>
      </c>
      <c r="Z728">
        <v>34.6</v>
      </c>
      <c r="AA728">
        <v>3</v>
      </c>
      <c r="AB728">
        <v>3</v>
      </c>
      <c r="AC728">
        <v>0</v>
      </c>
      <c r="AD728">
        <v>1</v>
      </c>
      <c r="AE728" s="19" t="s">
        <v>60</v>
      </c>
    </row>
    <row r="729" spans="1:31" x14ac:dyDescent="0.2">
      <c r="A729">
        <v>694</v>
      </c>
      <c r="B729" s="19" t="s">
        <v>1213</v>
      </c>
      <c r="C729">
        <v>37</v>
      </c>
      <c r="D729" s="19" t="s">
        <v>372</v>
      </c>
      <c r="E729" s="19" t="s">
        <v>3</v>
      </c>
      <c r="F729">
        <v>27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U729">
        <v>0</v>
      </c>
      <c r="V729" s="19" t="s">
        <v>2730</v>
      </c>
      <c r="W729" s="19" t="s">
        <v>2731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14</v>
      </c>
      <c r="AE729" s="19" t="s">
        <v>60</v>
      </c>
    </row>
    <row r="730" spans="1:31" x14ac:dyDescent="0.2">
      <c r="A730">
        <v>695</v>
      </c>
      <c r="B730" s="19" t="s">
        <v>1215</v>
      </c>
      <c r="C730">
        <v>25</v>
      </c>
      <c r="D730" s="19" t="s">
        <v>383</v>
      </c>
      <c r="E730" s="19" t="s">
        <v>348</v>
      </c>
      <c r="F730">
        <v>12</v>
      </c>
      <c r="G730">
        <v>0</v>
      </c>
      <c r="H730">
        <v>1</v>
      </c>
      <c r="I730">
        <v>1</v>
      </c>
      <c r="J730">
        <v>-1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5</v>
      </c>
      <c r="T730">
        <v>0</v>
      </c>
      <c r="U730">
        <v>18</v>
      </c>
      <c r="V730" s="19" t="s">
        <v>1756</v>
      </c>
      <c r="W730" s="19" t="s">
        <v>1757</v>
      </c>
      <c r="X730">
        <v>0</v>
      </c>
      <c r="Y730">
        <v>0</v>
      </c>
      <c r="AA730">
        <v>12</v>
      </c>
      <c r="AB730">
        <v>4</v>
      </c>
      <c r="AC730">
        <v>1</v>
      </c>
      <c r="AD730">
        <v>7</v>
      </c>
      <c r="AE730" s="19" t="s">
        <v>60</v>
      </c>
    </row>
    <row r="731" spans="1:31" x14ac:dyDescent="0.2">
      <c r="A731">
        <v>696</v>
      </c>
      <c r="B731" s="19" t="s">
        <v>1216</v>
      </c>
      <c r="C731">
        <v>20</v>
      </c>
      <c r="D731" s="19" t="s">
        <v>370</v>
      </c>
      <c r="E731" s="19" t="s">
        <v>325</v>
      </c>
      <c r="F731">
        <v>9</v>
      </c>
      <c r="G731">
        <v>0</v>
      </c>
      <c r="H731">
        <v>1</v>
      </c>
      <c r="I731">
        <v>1</v>
      </c>
      <c r="J731">
        <v>-5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14</v>
      </c>
      <c r="T731">
        <v>0</v>
      </c>
      <c r="U731">
        <v>35</v>
      </c>
      <c r="V731" s="19" t="s">
        <v>1217</v>
      </c>
      <c r="W731" s="19" t="s">
        <v>998</v>
      </c>
      <c r="X731">
        <v>0</v>
      </c>
      <c r="Y731">
        <v>0</v>
      </c>
      <c r="AA731">
        <v>3</v>
      </c>
      <c r="AB731">
        <v>28</v>
      </c>
      <c r="AC731">
        <v>2</v>
      </c>
      <c r="AD731">
        <v>10</v>
      </c>
      <c r="AE731" s="19" t="s">
        <v>60</v>
      </c>
    </row>
    <row r="732" spans="1:31" x14ac:dyDescent="0.2">
      <c r="A732">
        <v>697</v>
      </c>
      <c r="B732" s="19" t="s">
        <v>1218</v>
      </c>
      <c r="C732">
        <v>19</v>
      </c>
      <c r="D732" s="19" t="s">
        <v>375</v>
      </c>
      <c r="E732" s="19" t="s">
        <v>348</v>
      </c>
      <c r="F732">
        <v>9</v>
      </c>
      <c r="G732">
        <v>1</v>
      </c>
      <c r="H732">
        <v>0</v>
      </c>
      <c r="I732">
        <v>1</v>
      </c>
      <c r="J732">
        <v>-4</v>
      </c>
      <c r="K732">
        <v>6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8</v>
      </c>
      <c r="T732">
        <v>12.5</v>
      </c>
      <c r="U732">
        <v>22</v>
      </c>
      <c r="V732" s="19" t="s">
        <v>978</v>
      </c>
      <c r="W732" s="19" t="s">
        <v>1219</v>
      </c>
      <c r="X732">
        <v>0</v>
      </c>
      <c r="Y732">
        <v>0</v>
      </c>
      <c r="AA732">
        <v>13</v>
      </c>
      <c r="AB732">
        <v>4</v>
      </c>
      <c r="AC732">
        <v>1</v>
      </c>
      <c r="AD732">
        <v>14</v>
      </c>
      <c r="AE732" s="19" t="s">
        <v>60</v>
      </c>
    </row>
    <row r="733" spans="1:31" x14ac:dyDescent="0.2">
      <c r="A733">
        <v>698</v>
      </c>
      <c r="B733" s="19" t="s">
        <v>1220</v>
      </c>
      <c r="C733">
        <v>27</v>
      </c>
      <c r="D733" s="19" t="s">
        <v>398</v>
      </c>
      <c r="E733" s="19" t="s">
        <v>3</v>
      </c>
      <c r="F733">
        <v>16</v>
      </c>
      <c r="G733">
        <v>0</v>
      </c>
      <c r="H733">
        <v>1</v>
      </c>
      <c r="I733">
        <v>1</v>
      </c>
      <c r="J733">
        <v>0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2732</v>
      </c>
      <c r="W733" s="19" t="s">
        <v>2733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12</v>
      </c>
      <c r="AE733" s="19" t="s">
        <v>60</v>
      </c>
    </row>
    <row r="734" spans="1:31" x14ac:dyDescent="0.2">
      <c r="A734">
        <v>699</v>
      </c>
      <c r="B734" s="19" t="s">
        <v>1221</v>
      </c>
      <c r="C734">
        <v>23</v>
      </c>
      <c r="D734" s="19" t="s">
        <v>324</v>
      </c>
      <c r="E734" s="19" t="s">
        <v>334</v>
      </c>
      <c r="F734">
        <v>7</v>
      </c>
      <c r="G734">
        <v>1</v>
      </c>
      <c r="H734">
        <v>0</v>
      </c>
      <c r="I734">
        <v>1</v>
      </c>
      <c r="J734">
        <v>-3</v>
      </c>
      <c r="K734">
        <v>2</v>
      </c>
      <c r="L734">
        <v>1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6</v>
      </c>
      <c r="T734">
        <v>16.7</v>
      </c>
      <c r="U734">
        <v>19</v>
      </c>
      <c r="V734" s="19" t="s">
        <v>1898</v>
      </c>
      <c r="W734" s="19" t="s">
        <v>1899</v>
      </c>
      <c r="X734">
        <v>0</v>
      </c>
      <c r="Y734">
        <v>0</v>
      </c>
      <c r="AA734">
        <v>1</v>
      </c>
      <c r="AB734">
        <v>9</v>
      </c>
      <c r="AC734">
        <v>3</v>
      </c>
      <c r="AD734">
        <v>5</v>
      </c>
      <c r="AE734" s="19" t="s">
        <v>60</v>
      </c>
    </row>
    <row r="735" spans="1:31" x14ac:dyDescent="0.2">
      <c r="A735">
        <v>700</v>
      </c>
      <c r="B735" s="19" t="s">
        <v>1224</v>
      </c>
      <c r="C735">
        <v>27</v>
      </c>
      <c r="D735" s="19" t="s">
        <v>400</v>
      </c>
      <c r="E735" s="19" t="s">
        <v>348</v>
      </c>
      <c r="F735">
        <v>15</v>
      </c>
      <c r="G735">
        <v>0</v>
      </c>
      <c r="H735">
        <v>1</v>
      </c>
      <c r="I735">
        <v>1</v>
      </c>
      <c r="J735">
        <v>-5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10</v>
      </c>
      <c r="T735">
        <v>0</v>
      </c>
      <c r="U735">
        <v>22</v>
      </c>
      <c r="V735" s="19" t="s">
        <v>1702</v>
      </c>
      <c r="W735" s="19" t="s">
        <v>769</v>
      </c>
      <c r="X735">
        <v>0</v>
      </c>
      <c r="Y735">
        <v>0</v>
      </c>
      <c r="AA735">
        <v>15</v>
      </c>
      <c r="AB735">
        <v>3</v>
      </c>
      <c r="AC735">
        <v>4</v>
      </c>
      <c r="AD735">
        <v>15</v>
      </c>
      <c r="AE735" s="19" t="s">
        <v>60</v>
      </c>
    </row>
    <row r="736" spans="1:31" x14ac:dyDescent="0.2">
      <c r="A736">
        <v>701</v>
      </c>
      <c r="B736" s="19" t="s">
        <v>1225</v>
      </c>
      <c r="C736">
        <v>26</v>
      </c>
      <c r="D736" s="19" t="s">
        <v>380</v>
      </c>
      <c r="E736" s="19" t="s">
        <v>348</v>
      </c>
      <c r="F736">
        <v>23</v>
      </c>
      <c r="G736">
        <v>0</v>
      </c>
      <c r="H736">
        <v>1</v>
      </c>
      <c r="I736">
        <v>1</v>
      </c>
      <c r="J736">
        <v>-8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0</v>
      </c>
      <c r="U736">
        <v>51</v>
      </c>
      <c r="V736" s="19" t="s">
        <v>2734</v>
      </c>
      <c r="W736" s="19" t="s">
        <v>1165</v>
      </c>
      <c r="X736">
        <v>0</v>
      </c>
      <c r="Y736">
        <v>0</v>
      </c>
      <c r="AA736">
        <v>7</v>
      </c>
      <c r="AB736">
        <v>18</v>
      </c>
      <c r="AC736">
        <v>0</v>
      </c>
      <c r="AD736">
        <v>9</v>
      </c>
      <c r="AE736" s="19" t="s">
        <v>60</v>
      </c>
    </row>
    <row r="737" spans="1:31" x14ac:dyDescent="0.2">
      <c r="A737">
        <v>702</v>
      </c>
      <c r="B737" s="19" t="s">
        <v>1226</v>
      </c>
      <c r="C737">
        <v>20</v>
      </c>
      <c r="D737" s="19" t="s">
        <v>327</v>
      </c>
      <c r="E737" s="19" t="s">
        <v>325</v>
      </c>
      <c r="F737">
        <v>5</v>
      </c>
      <c r="G737">
        <v>1</v>
      </c>
      <c r="H737">
        <v>0</v>
      </c>
      <c r="I737">
        <v>1</v>
      </c>
      <c r="J737">
        <v>1</v>
      </c>
      <c r="K737">
        <v>13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3</v>
      </c>
      <c r="T737">
        <v>33.299999999999997</v>
      </c>
      <c r="U737">
        <v>7</v>
      </c>
      <c r="V737" s="19" t="s">
        <v>1227</v>
      </c>
      <c r="W737" s="19" t="s">
        <v>1228</v>
      </c>
      <c r="X737">
        <v>0</v>
      </c>
      <c r="Y737">
        <v>0</v>
      </c>
      <c r="AA737">
        <v>3</v>
      </c>
      <c r="AB737">
        <v>17</v>
      </c>
      <c r="AC737">
        <v>0</v>
      </c>
      <c r="AD737">
        <v>4</v>
      </c>
      <c r="AE737" s="19" t="s">
        <v>60</v>
      </c>
    </row>
    <row r="738" spans="1:31" x14ac:dyDescent="0.2">
      <c r="A738">
        <v>703</v>
      </c>
      <c r="B738" s="19" t="s">
        <v>1229</v>
      </c>
      <c r="C738">
        <v>24</v>
      </c>
      <c r="D738" s="19" t="s">
        <v>336</v>
      </c>
      <c r="E738" s="19" t="s">
        <v>334</v>
      </c>
      <c r="F738">
        <v>7</v>
      </c>
      <c r="G738">
        <v>1</v>
      </c>
      <c r="H738">
        <v>0</v>
      </c>
      <c r="I738">
        <v>1</v>
      </c>
      <c r="J738">
        <v>-3</v>
      </c>
      <c r="K738">
        <v>4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3</v>
      </c>
      <c r="T738">
        <v>33.299999999999997</v>
      </c>
      <c r="U738">
        <v>11</v>
      </c>
      <c r="V738" s="19" t="s">
        <v>1230</v>
      </c>
      <c r="W738" s="19" t="s">
        <v>834</v>
      </c>
      <c r="X738">
        <v>1</v>
      </c>
      <c r="Y738">
        <v>1</v>
      </c>
      <c r="Z738">
        <v>50</v>
      </c>
      <c r="AA738">
        <v>1</v>
      </c>
      <c r="AB738">
        <v>9</v>
      </c>
      <c r="AC738">
        <v>0</v>
      </c>
      <c r="AD738">
        <v>6</v>
      </c>
      <c r="AE738" s="19" t="s">
        <v>60</v>
      </c>
    </row>
    <row r="739" spans="1:31" x14ac:dyDescent="0.2">
      <c r="A739">
        <v>704</v>
      </c>
      <c r="B739" s="19" t="s">
        <v>1373</v>
      </c>
      <c r="C739">
        <v>26</v>
      </c>
      <c r="D739" s="19" t="s">
        <v>400</v>
      </c>
      <c r="E739" s="19" t="s">
        <v>339</v>
      </c>
      <c r="F739">
        <v>8</v>
      </c>
      <c r="G739">
        <v>1</v>
      </c>
      <c r="H739">
        <v>0</v>
      </c>
      <c r="I739">
        <v>1</v>
      </c>
      <c r="J739">
        <v>1</v>
      </c>
      <c r="K739">
        <v>4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4</v>
      </c>
      <c r="T739">
        <v>25</v>
      </c>
      <c r="U739">
        <v>9</v>
      </c>
      <c r="V739" s="19" t="s">
        <v>1758</v>
      </c>
      <c r="W739" s="19" t="s">
        <v>1759</v>
      </c>
      <c r="X739">
        <v>1</v>
      </c>
      <c r="Y739">
        <v>2</v>
      </c>
      <c r="Z739">
        <v>33.299999999999997</v>
      </c>
      <c r="AA739">
        <v>7</v>
      </c>
      <c r="AB739">
        <v>5</v>
      </c>
      <c r="AC739">
        <v>0</v>
      </c>
      <c r="AD739">
        <v>2</v>
      </c>
      <c r="AE739" s="19" t="s">
        <v>60</v>
      </c>
    </row>
    <row r="740" spans="1:31" x14ac:dyDescent="0.2">
      <c r="A740">
        <v>705</v>
      </c>
      <c r="B740" s="19" t="s">
        <v>1233</v>
      </c>
      <c r="C740">
        <v>23</v>
      </c>
      <c r="D740" s="19" t="s">
        <v>363</v>
      </c>
      <c r="E740" s="19" t="s">
        <v>322</v>
      </c>
      <c r="F740">
        <v>10</v>
      </c>
      <c r="G740">
        <v>0</v>
      </c>
      <c r="H740">
        <v>1</v>
      </c>
      <c r="I740">
        <v>1</v>
      </c>
      <c r="J740">
        <v>-4</v>
      </c>
      <c r="K740">
        <v>10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19</v>
      </c>
      <c r="V740" s="19" t="s">
        <v>1657</v>
      </c>
      <c r="W740" s="19" t="s">
        <v>1595</v>
      </c>
      <c r="X740">
        <v>0</v>
      </c>
      <c r="Y740">
        <v>1</v>
      </c>
      <c r="Z740">
        <v>0</v>
      </c>
      <c r="AA740">
        <v>1</v>
      </c>
      <c r="AB740">
        <v>18</v>
      </c>
      <c r="AC740">
        <v>1</v>
      </c>
      <c r="AD740">
        <v>5</v>
      </c>
      <c r="AE740" s="19" t="s">
        <v>60</v>
      </c>
    </row>
    <row r="741" spans="1:31" x14ac:dyDescent="0.2">
      <c r="A741">
        <v>706</v>
      </c>
      <c r="B741" s="19" t="s">
        <v>1234</v>
      </c>
      <c r="C741">
        <v>22</v>
      </c>
      <c r="D741" s="19" t="s">
        <v>380</v>
      </c>
      <c r="E741" s="19" t="s">
        <v>322</v>
      </c>
      <c r="F741">
        <v>13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11</v>
      </c>
      <c r="T741">
        <v>0</v>
      </c>
      <c r="U741">
        <v>16</v>
      </c>
      <c r="V741" s="19" t="s">
        <v>1875</v>
      </c>
      <c r="W741" s="19" t="s">
        <v>1403</v>
      </c>
      <c r="X741">
        <v>23</v>
      </c>
      <c r="Y741">
        <v>37</v>
      </c>
      <c r="Z741">
        <v>38.299999999999997</v>
      </c>
      <c r="AA741">
        <v>10</v>
      </c>
      <c r="AB741">
        <v>2</v>
      </c>
      <c r="AC741">
        <v>2</v>
      </c>
      <c r="AD741">
        <v>1</v>
      </c>
      <c r="AE741" s="19" t="s">
        <v>60</v>
      </c>
    </row>
    <row r="742" spans="1:31" x14ac:dyDescent="0.2">
      <c r="A742">
        <v>707</v>
      </c>
      <c r="B742" s="19" t="s">
        <v>1381</v>
      </c>
      <c r="C742">
        <v>30</v>
      </c>
      <c r="D742" s="19" t="s">
        <v>451</v>
      </c>
      <c r="E742" s="19" t="s">
        <v>3</v>
      </c>
      <c r="F742">
        <v>17</v>
      </c>
      <c r="G742">
        <v>0</v>
      </c>
      <c r="H742">
        <v>1</v>
      </c>
      <c r="I742">
        <v>1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U742">
        <v>0</v>
      </c>
      <c r="V742" s="19" t="s">
        <v>2735</v>
      </c>
      <c r="W742" s="19" t="s">
        <v>2736</v>
      </c>
      <c r="X742">
        <v>0</v>
      </c>
      <c r="Y742">
        <v>0</v>
      </c>
      <c r="AA742">
        <v>0</v>
      </c>
      <c r="AB742">
        <v>0</v>
      </c>
      <c r="AC742">
        <v>0</v>
      </c>
      <c r="AD742">
        <v>8</v>
      </c>
      <c r="AE742" s="19" t="s">
        <v>60</v>
      </c>
    </row>
    <row r="743" spans="1:31" x14ac:dyDescent="0.2">
      <c r="A743">
        <v>708</v>
      </c>
      <c r="B743" s="19" t="s">
        <v>1235</v>
      </c>
      <c r="C743">
        <v>25</v>
      </c>
      <c r="D743" s="19" t="s">
        <v>430</v>
      </c>
      <c r="E743" s="19" t="s">
        <v>3</v>
      </c>
      <c r="F743">
        <v>8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0</v>
      </c>
      <c r="U743">
        <v>0</v>
      </c>
      <c r="V743" s="19" t="s">
        <v>1658</v>
      </c>
      <c r="W743" s="19" t="s">
        <v>1659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7</v>
      </c>
      <c r="AE743" s="19" t="s">
        <v>60</v>
      </c>
    </row>
    <row r="744" spans="1:31" x14ac:dyDescent="0.2">
      <c r="A744">
        <v>709</v>
      </c>
      <c r="B744" s="19" t="s">
        <v>1236</v>
      </c>
      <c r="C744">
        <v>27</v>
      </c>
      <c r="D744" s="19" t="s">
        <v>536</v>
      </c>
      <c r="E744" s="19" t="s">
        <v>348</v>
      </c>
      <c r="F744">
        <v>8</v>
      </c>
      <c r="G744">
        <v>0</v>
      </c>
      <c r="H744">
        <v>1</v>
      </c>
      <c r="I744">
        <v>1</v>
      </c>
      <c r="J744">
        <v>2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10</v>
      </c>
      <c r="T744">
        <v>0</v>
      </c>
      <c r="U744">
        <v>23</v>
      </c>
      <c r="V744" s="19" t="s">
        <v>2737</v>
      </c>
      <c r="W744" s="19" t="s">
        <v>2096</v>
      </c>
      <c r="X744">
        <v>0</v>
      </c>
      <c r="Y744">
        <v>0</v>
      </c>
      <c r="AA744">
        <v>5</v>
      </c>
      <c r="AB744">
        <v>10</v>
      </c>
      <c r="AC744">
        <v>1</v>
      </c>
      <c r="AD744">
        <v>5</v>
      </c>
      <c r="AE744" s="19" t="s">
        <v>60</v>
      </c>
    </row>
    <row r="745" spans="1:31" x14ac:dyDescent="0.2">
      <c r="A745">
        <v>710</v>
      </c>
      <c r="B745" s="19" t="s">
        <v>1237</v>
      </c>
      <c r="C745">
        <v>25</v>
      </c>
      <c r="D745" s="19" t="s">
        <v>345</v>
      </c>
      <c r="E745" s="19" t="s">
        <v>325</v>
      </c>
      <c r="F745">
        <v>11</v>
      </c>
      <c r="G745">
        <v>0</v>
      </c>
      <c r="H745">
        <v>1</v>
      </c>
      <c r="I745">
        <v>1</v>
      </c>
      <c r="J745">
        <v>-2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7</v>
      </c>
      <c r="T745">
        <v>0</v>
      </c>
      <c r="U745">
        <v>20</v>
      </c>
      <c r="V745" s="19" t="s">
        <v>1238</v>
      </c>
      <c r="W745" s="19" t="s">
        <v>1239</v>
      </c>
      <c r="X745">
        <v>29</v>
      </c>
      <c r="Y745">
        <v>36</v>
      </c>
      <c r="Z745">
        <v>44.6</v>
      </c>
      <c r="AA745">
        <v>11</v>
      </c>
      <c r="AB745">
        <v>20</v>
      </c>
      <c r="AC745">
        <v>2</v>
      </c>
      <c r="AD745">
        <v>1</v>
      </c>
      <c r="AE745" s="19" t="s">
        <v>60</v>
      </c>
    </row>
    <row r="746" spans="1:31" x14ac:dyDescent="0.2">
      <c r="A746">
        <v>711</v>
      </c>
      <c r="B746" s="19" t="s">
        <v>1241</v>
      </c>
      <c r="C746">
        <v>21</v>
      </c>
      <c r="D746" s="19" t="s">
        <v>351</v>
      </c>
      <c r="E746" s="19" t="s">
        <v>322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5</v>
      </c>
      <c r="T746">
        <v>0</v>
      </c>
      <c r="U746">
        <v>12</v>
      </c>
      <c r="V746" s="19" t="s">
        <v>1242</v>
      </c>
      <c r="W746" s="19" t="s">
        <v>1124</v>
      </c>
      <c r="X746">
        <v>8</v>
      </c>
      <c r="Y746">
        <v>13</v>
      </c>
      <c r="Z746">
        <v>38.1</v>
      </c>
      <c r="AA746">
        <v>5</v>
      </c>
      <c r="AB746">
        <v>15</v>
      </c>
      <c r="AC746">
        <v>0</v>
      </c>
      <c r="AD746">
        <v>5</v>
      </c>
      <c r="AE746" s="19" t="s">
        <v>60</v>
      </c>
    </row>
    <row r="747" spans="1:31" x14ac:dyDescent="0.2">
      <c r="A747">
        <v>712</v>
      </c>
      <c r="B747" s="19" t="s">
        <v>1243</v>
      </c>
      <c r="C747">
        <v>32</v>
      </c>
      <c r="D747" s="19" t="s">
        <v>370</v>
      </c>
      <c r="E747" s="19" t="s">
        <v>3</v>
      </c>
      <c r="F747">
        <v>23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U747">
        <v>0</v>
      </c>
      <c r="V747" s="19" t="s">
        <v>2738</v>
      </c>
      <c r="W747" s="19" t="s">
        <v>2739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713</v>
      </c>
      <c r="B748" s="19" t="s">
        <v>1244</v>
      </c>
      <c r="C748">
        <v>26</v>
      </c>
      <c r="D748" s="19" t="s">
        <v>324</v>
      </c>
      <c r="E748" s="19" t="s">
        <v>325</v>
      </c>
      <c r="F748">
        <v>3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2</v>
      </c>
      <c r="T748">
        <v>0</v>
      </c>
      <c r="U748">
        <v>5</v>
      </c>
      <c r="V748" s="19" t="s">
        <v>1245</v>
      </c>
      <c r="W748" s="19" t="s">
        <v>1246</v>
      </c>
      <c r="X748">
        <v>9</v>
      </c>
      <c r="Y748">
        <v>6</v>
      </c>
      <c r="Z748">
        <v>60</v>
      </c>
      <c r="AA748">
        <v>2</v>
      </c>
      <c r="AB748">
        <v>3</v>
      </c>
      <c r="AC748">
        <v>0</v>
      </c>
      <c r="AD748">
        <v>1</v>
      </c>
      <c r="AE748" s="19" t="s">
        <v>60</v>
      </c>
    </row>
    <row r="749" spans="1:31" x14ac:dyDescent="0.2">
      <c r="A749">
        <v>714</v>
      </c>
      <c r="B749" s="19" t="s">
        <v>1247</v>
      </c>
      <c r="C749">
        <v>30</v>
      </c>
      <c r="D749" s="19" t="s">
        <v>375</v>
      </c>
      <c r="E749" s="19" t="s">
        <v>348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8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19</v>
      </c>
      <c r="T749">
        <v>5.3</v>
      </c>
      <c r="U749">
        <v>57</v>
      </c>
      <c r="V749" s="19" t="s">
        <v>1703</v>
      </c>
      <c r="W749" s="19" t="s">
        <v>683</v>
      </c>
      <c r="X749">
        <v>0</v>
      </c>
      <c r="Y749">
        <v>0</v>
      </c>
      <c r="AA749">
        <v>31</v>
      </c>
      <c r="AB749">
        <v>13</v>
      </c>
      <c r="AC749">
        <v>5</v>
      </c>
      <c r="AD749">
        <v>11</v>
      </c>
      <c r="AE749" s="19" t="s">
        <v>60</v>
      </c>
    </row>
    <row r="750" spans="1:31" x14ac:dyDescent="0.2">
      <c r="A750">
        <v>715</v>
      </c>
      <c r="B750" s="19" t="s">
        <v>1249</v>
      </c>
      <c r="C750">
        <v>19</v>
      </c>
      <c r="D750" s="19" t="s">
        <v>439</v>
      </c>
      <c r="E750" s="19" t="s">
        <v>325</v>
      </c>
      <c r="F750">
        <v>4</v>
      </c>
      <c r="G750">
        <v>1</v>
      </c>
      <c r="H750">
        <v>0</v>
      </c>
      <c r="I750">
        <v>1</v>
      </c>
      <c r="J750">
        <v>-3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9</v>
      </c>
      <c r="T750">
        <v>11.1</v>
      </c>
      <c r="U750">
        <v>15</v>
      </c>
      <c r="V750" s="19" t="s">
        <v>1250</v>
      </c>
      <c r="W750" s="19" t="s">
        <v>1251</v>
      </c>
      <c r="X750">
        <v>0</v>
      </c>
      <c r="Y750">
        <v>4</v>
      </c>
      <c r="Z750">
        <v>0</v>
      </c>
      <c r="AA750">
        <v>3</v>
      </c>
      <c r="AB750">
        <v>1</v>
      </c>
      <c r="AC750">
        <v>2</v>
      </c>
      <c r="AD750">
        <v>6</v>
      </c>
      <c r="AE750" s="19" t="s">
        <v>60</v>
      </c>
    </row>
    <row r="751" spans="1:31" x14ac:dyDescent="0.2">
      <c r="A751">
        <v>716</v>
      </c>
      <c r="B751" s="19" t="s">
        <v>1961</v>
      </c>
      <c r="C751">
        <v>24</v>
      </c>
      <c r="D751" s="19" t="s">
        <v>351</v>
      </c>
      <c r="E751" s="19" t="s">
        <v>334</v>
      </c>
      <c r="F751">
        <v>1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</v>
      </c>
      <c r="T751">
        <v>0</v>
      </c>
      <c r="U751">
        <v>1</v>
      </c>
      <c r="V751" s="19" t="s">
        <v>1796</v>
      </c>
      <c r="W751" s="19" t="s">
        <v>1796</v>
      </c>
      <c r="X751">
        <v>0</v>
      </c>
      <c r="Y751">
        <v>0</v>
      </c>
      <c r="AA751">
        <v>1</v>
      </c>
      <c r="AB751">
        <v>0</v>
      </c>
      <c r="AC751">
        <v>0</v>
      </c>
      <c r="AD751">
        <v>1</v>
      </c>
      <c r="AE751" s="19" t="s">
        <v>60</v>
      </c>
    </row>
    <row r="752" spans="1:31" x14ac:dyDescent="0.2">
      <c r="A752">
        <v>717</v>
      </c>
      <c r="B752" s="19" t="s">
        <v>1252</v>
      </c>
      <c r="C752">
        <v>27</v>
      </c>
      <c r="D752" s="19" t="s">
        <v>400</v>
      </c>
      <c r="E752" s="19" t="s">
        <v>325</v>
      </c>
      <c r="F752">
        <v>9</v>
      </c>
      <c r="G752">
        <v>1</v>
      </c>
      <c r="H752">
        <v>0</v>
      </c>
      <c r="I752">
        <v>1</v>
      </c>
      <c r="J752">
        <v>-1</v>
      </c>
      <c r="K752">
        <v>5</v>
      </c>
      <c r="L752">
        <v>1</v>
      </c>
      <c r="M752">
        <v>0</v>
      </c>
      <c r="N752">
        <v>0</v>
      </c>
      <c r="O752">
        <v>1</v>
      </c>
      <c r="P752">
        <v>0</v>
      </c>
      <c r="Q752">
        <v>0</v>
      </c>
      <c r="R752">
        <v>0</v>
      </c>
      <c r="S752">
        <v>4</v>
      </c>
      <c r="T752">
        <v>25</v>
      </c>
      <c r="U752">
        <v>11</v>
      </c>
      <c r="V752" s="19" t="s">
        <v>1253</v>
      </c>
      <c r="W752" s="19" t="s">
        <v>1254</v>
      </c>
      <c r="X752">
        <v>0</v>
      </c>
      <c r="Y752">
        <v>0</v>
      </c>
      <c r="AA752">
        <v>2</v>
      </c>
      <c r="AB752">
        <v>18</v>
      </c>
      <c r="AC752">
        <v>2</v>
      </c>
      <c r="AD752">
        <v>2</v>
      </c>
      <c r="AE752" s="19" t="s">
        <v>60</v>
      </c>
    </row>
    <row r="753" spans="1:31" x14ac:dyDescent="0.2">
      <c r="A753">
        <v>718</v>
      </c>
      <c r="B753" s="19" t="s">
        <v>1255</v>
      </c>
      <c r="C753">
        <v>35</v>
      </c>
      <c r="D753" s="19" t="s">
        <v>370</v>
      </c>
      <c r="E753" s="19" t="s">
        <v>348</v>
      </c>
      <c r="F753">
        <v>19</v>
      </c>
      <c r="G753">
        <v>0</v>
      </c>
      <c r="H753">
        <v>1</v>
      </c>
      <c r="I753">
        <v>1</v>
      </c>
      <c r="J753">
        <v>-11</v>
      </c>
      <c r="K753">
        <v>18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16</v>
      </c>
      <c r="T753">
        <v>0</v>
      </c>
      <c r="U753">
        <v>32</v>
      </c>
      <c r="V753" s="19" t="s">
        <v>1859</v>
      </c>
      <c r="W753" s="19" t="s">
        <v>1806</v>
      </c>
      <c r="X753">
        <v>0</v>
      </c>
      <c r="Y753">
        <v>0</v>
      </c>
      <c r="AA753">
        <v>26</v>
      </c>
      <c r="AB753">
        <v>19</v>
      </c>
      <c r="AC753">
        <v>4</v>
      </c>
      <c r="AD753">
        <v>17</v>
      </c>
      <c r="AE753" s="19" t="s">
        <v>60</v>
      </c>
    </row>
    <row r="754" spans="1:31" x14ac:dyDescent="0.2">
      <c r="A754">
        <v>719</v>
      </c>
      <c r="B754" s="19" t="s">
        <v>1725</v>
      </c>
      <c r="C754">
        <v>24</v>
      </c>
      <c r="D754" s="19" t="s">
        <v>327</v>
      </c>
      <c r="E754" s="19" t="s">
        <v>325</v>
      </c>
      <c r="F754">
        <v>3</v>
      </c>
      <c r="G754">
        <v>1</v>
      </c>
      <c r="H754">
        <v>0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3</v>
      </c>
      <c r="T754">
        <v>33.299999999999997</v>
      </c>
      <c r="U754">
        <v>6</v>
      </c>
      <c r="V754" s="19" t="s">
        <v>1802</v>
      </c>
      <c r="W754" s="19" t="s">
        <v>1182</v>
      </c>
      <c r="X754">
        <v>0</v>
      </c>
      <c r="Y754">
        <v>1</v>
      </c>
      <c r="Z754">
        <v>0</v>
      </c>
      <c r="AA754">
        <v>1</v>
      </c>
      <c r="AB754">
        <v>0</v>
      </c>
      <c r="AC754">
        <v>0</v>
      </c>
      <c r="AD754">
        <v>2</v>
      </c>
      <c r="AE754" s="19" t="s">
        <v>60</v>
      </c>
    </row>
    <row r="755" spans="1:31" x14ac:dyDescent="0.2">
      <c r="A755">
        <v>720</v>
      </c>
      <c r="B755" s="19" t="s">
        <v>1863</v>
      </c>
      <c r="C755">
        <v>28</v>
      </c>
      <c r="D755" s="19" t="s">
        <v>327</v>
      </c>
      <c r="E755" s="19" t="s">
        <v>3</v>
      </c>
      <c r="F755">
        <v>4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0</v>
      </c>
      <c r="V755" s="19" t="s">
        <v>2740</v>
      </c>
      <c r="W755" s="19" t="s">
        <v>1945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2</v>
      </c>
      <c r="AE755" s="19" t="s">
        <v>60</v>
      </c>
    </row>
    <row r="756" spans="1:31" x14ac:dyDescent="0.2">
      <c r="A756">
        <v>721</v>
      </c>
      <c r="B756" s="19" t="s">
        <v>1258</v>
      </c>
      <c r="C756">
        <v>23</v>
      </c>
      <c r="D756" s="19" t="s">
        <v>321</v>
      </c>
      <c r="E756" s="19" t="s">
        <v>325</v>
      </c>
      <c r="F756">
        <v>3</v>
      </c>
      <c r="G756">
        <v>0</v>
      </c>
      <c r="H756">
        <v>1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3</v>
      </c>
      <c r="T756">
        <v>0</v>
      </c>
      <c r="U756">
        <v>3</v>
      </c>
      <c r="V756" s="19" t="s">
        <v>1259</v>
      </c>
      <c r="W756" s="19" t="s">
        <v>1260</v>
      </c>
      <c r="X756">
        <v>0</v>
      </c>
      <c r="Y756">
        <v>0</v>
      </c>
      <c r="AA756">
        <v>1</v>
      </c>
      <c r="AB756">
        <v>1</v>
      </c>
      <c r="AC756">
        <v>0</v>
      </c>
      <c r="AD756">
        <v>1</v>
      </c>
      <c r="AE756" s="19" t="s">
        <v>60</v>
      </c>
    </row>
    <row r="757" spans="1:31" x14ac:dyDescent="0.2">
      <c r="A757">
        <v>722</v>
      </c>
      <c r="B757" s="19" t="s">
        <v>1261</v>
      </c>
      <c r="C757">
        <v>28</v>
      </c>
      <c r="D757" s="19" t="s">
        <v>375</v>
      </c>
      <c r="E757" s="19" t="s">
        <v>348</v>
      </c>
      <c r="F757">
        <v>7</v>
      </c>
      <c r="G757">
        <v>0</v>
      </c>
      <c r="H757">
        <v>1</v>
      </c>
      <c r="I757">
        <v>1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5</v>
      </c>
      <c r="T757">
        <v>0</v>
      </c>
      <c r="U757">
        <v>17</v>
      </c>
      <c r="V757" s="19" t="s">
        <v>1262</v>
      </c>
      <c r="W757" s="19" t="s">
        <v>1263</v>
      </c>
      <c r="X757">
        <v>0</v>
      </c>
      <c r="Y757">
        <v>0</v>
      </c>
      <c r="AA757">
        <v>15</v>
      </c>
      <c r="AB757">
        <v>10</v>
      </c>
      <c r="AC757">
        <v>1</v>
      </c>
      <c r="AD757">
        <v>4</v>
      </c>
      <c r="AE757" s="19" t="s">
        <v>60</v>
      </c>
    </row>
    <row r="758" spans="1:31" x14ac:dyDescent="0.2">
      <c r="A758">
        <v>723</v>
      </c>
      <c r="B758" s="19" t="s">
        <v>1264</v>
      </c>
      <c r="C758">
        <v>26</v>
      </c>
      <c r="D758" s="19" t="s">
        <v>451</v>
      </c>
      <c r="E758" s="19" t="s">
        <v>348</v>
      </c>
      <c r="F758">
        <v>12</v>
      </c>
      <c r="G758">
        <v>0</v>
      </c>
      <c r="H758">
        <v>1</v>
      </c>
      <c r="I758">
        <v>1</v>
      </c>
      <c r="J758">
        <v>-4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10</v>
      </c>
      <c r="T758">
        <v>0</v>
      </c>
      <c r="U758">
        <v>23</v>
      </c>
      <c r="V758" s="19" t="s">
        <v>2741</v>
      </c>
      <c r="W758" s="19" t="s">
        <v>2411</v>
      </c>
      <c r="X758">
        <v>0</v>
      </c>
      <c r="Y758">
        <v>0</v>
      </c>
      <c r="AA758">
        <v>10</v>
      </c>
      <c r="AB758">
        <v>5</v>
      </c>
      <c r="AC758">
        <v>3</v>
      </c>
      <c r="AD758">
        <v>4</v>
      </c>
      <c r="AE758" s="19" t="s">
        <v>60</v>
      </c>
    </row>
    <row r="759" spans="1:31" x14ac:dyDescent="0.2">
      <c r="A759">
        <v>724</v>
      </c>
      <c r="B759" s="19" t="s">
        <v>1266</v>
      </c>
      <c r="C759">
        <v>24</v>
      </c>
      <c r="D759" s="19" t="s">
        <v>418</v>
      </c>
      <c r="E759" s="19" t="s">
        <v>334</v>
      </c>
      <c r="F759">
        <v>2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4</v>
      </c>
      <c r="T759">
        <v>0</v>
      </c>
      <c r="U759">
        <v>8</v>
      </c>
      <c r="V759" s="19" t="s">
        <v>880</v>
      </c>
      <c r="W759" s="19" t="s">
        <v>836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2</v>
      </c>
      <c r="AE759" s="19" t="s">
        <v>60</v>
      </c>
    </row>
    <row r="760" spans="1:31" x14ac:dyDescent="0.2">
      <c r="A760">
        <v>725</v>
      </c>
      <c r="B760" s="19" t="s">
        <v>1761</v>
      </c>
      <c r="C760">
        <v>31</v>
      </c>
      <c r="D760" s="19" t="s">
        <v>406</v>
      </c>
      <c r="E760" s="19" t="s">
        <v>322</v>
      </c>
      <c r="F760">
        <v>5</v>
      </c>
      <c r="G760">
        <v>1</v>
      </c>
      <c r="H760">
        <v>0</v>
      </c>
      <c r="I760">
        <v>1</v>
      </c>
      <c r="J760">
        <v>-2</v>
      </c>
      <c r="K760">
        <v>4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11</v>
      </c>
      <c r="V760" s="19" t="s">
        <v>2742</v>
      </c>
      <c r="W760" s="19" t="s">
        <v>868</v>
      </c>
      <c r="X760">
        <v>10</v>
      </c>
      <c r="Y760">
        <v>13</v>
      </c>
      <c r="Z760">
        <v>43.5</v>
      </c>
      <c r="AA760">
        <v>5</v>
      </c>
      <c r="AB760">
        <v>3</v>
      </c>
      <c r="AC760">
        <v>1</v>
      </c>
      <c r="AD760">
        <v>2</v>
      </c>
      <c r="AE760" s="19" t="s">
        <v>60</v>
      </c>
    </row>
    <row r="761" spans="1:31" x14ac:dyDescent="0.2">
      <c r="A761">
        <v>726</v>
      </c>
      <c r="B761" s="19" t="s">
        <v>1694</v>
      </c>
      <c r="C761">
        <v>27</v>
      </c>
      <c r="D761" s="19" t="s">
        <v>357</v>
      </c>
      <c r="E761" s="19" t="s">
        <v>348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4</v>
      </c>
      <c r="T761">
        <v>0</v>
      </c>
      <c r="U761">
        <v>5</v>
      </c>
      <c r="V761" s="19" t="s">
        <v>1739</v>
      </c>
      <c r="W761" s="19" t="s">
        <v>1683</v>
      </c>
      <c r="X761">
        <v>0</v>
      </c>
      <c r="Y761">
        <v>0</v>
      </c>
      <c r="AA761">
        <v>5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727</v>
      </c>
      <c r="B762" s="19" t="s">
        <v>1267</v>
      </c>
      <c r="C762">
        <v>29</v>
      </c>
      <c r="D762" s="19" t="s">
        <v>439</v>
      </c>
      <c r="E762" s="19" t="s">
        <v>339</v>
      </c>
      <c r="F762">
        <v>10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16</v>
      </c>
      <c r="V762" s="19" t="s">
        <v>1821</v>
      </c>
      <c r="W762" s="19" t="s">
        <v>1095</v>
      </c>
      <c r="X762">
        <v>38</v>
      </c>
      <c r="Y762">
        <v>33</v>
      </c>
      <c r="Z762">
        <v>53.5</v>
      </c>
      <c r="AA762">
        <v>5</v>
      </c>
      <c r="AB762">
        <v>15</v>
      </c>
      <c r="AC762">
        <v>1</v>
      </c>
      <c r="AD762">
        <v>4</v>
      </c>
      <c r="AE762" s="19" t="s">
        <v>60</v>
      </c>
    </row>
    <row r="763" spans="1:31" x14ac:dyDescent="0.2">
      <c r="A763">
        <v>728</v>
      </c>
      <c r="B763" s="19" t="s">
        <v>1268</v>
      </c>
      <c r="C763">
        <v>24</v>
      </c>
      <c r="D763" s="19" t="s">
        <v>329</v>
      </c>
      <c r="E763" s="19" t="s">
        <v>3</v>
      </c>
      <c r="F763">
        <v>28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0</v>
      </c>
      <c r="V763" s="19" t="s">
        <v>2743</v>
      </c>
      <c r="W763" s="19" t="s">
        <v>2744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21</v>
      </c>
      <c r="AE763" s="19" t="s">
        <v>60</v>
      </c>
    </row>
    <row r="764" spans="1:31" x14ac:dyDescent="0.2">
      <c r="A764">
        <v>729</v>
      </c>
      <c r="B764" s="19" t="s">
        <v>1269</v>
      </c>
      <c r="C764">
        <v>27</v>
      </c>
      <c r="D764" s="19" t="s">
        <v>375</v>
      </c>
      <c r="E764" s="19" t="s">
        <v>339</v>
      </c>
      <c r="F764">
        <v>10</v>
      </c>
      <c r="G764">
        <v>0</v>
      </c>
      <c r="H764">
        <v>1</v>
      </c>
      <c r="I764">
        <v>1</v>
      </c>
      <c r="J764">
        <v>-1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6</v>
      </c>
      <c r="T764">
        <v>0</v>
      </c>
      <c r="U764">
        <v>16</v>
      </c>
      <c r="V764" s="19" t="s">
        <v>1270</v>
      </c>
      <c r="W764" s="19" t="s">
        <v>1271</v>
      </c>
      <c r="X764">
        <v>12</v>
      </c>
      <c r="Y764">
        <v>13</v>
      </c>
      <c r="Z764">
        <v>48</v>
      </c>
      <c r="AA764">
        <v>4</v>
      </c>
      <c r="AB764">
        <v>9</v>
      </c>
      <c r="AC764">
        <v>2</v>
      </c>
      <c r="AD764">
        <v>4</v>
      </c>
      <c r="AE764" s="19" t="s">
        <v>60</v>
      </c>
    </row>
    <row r="765" spans="1:31" x14ac:dyDescent="0.2">
      <c r="A765">
        <v>730</v>
      </c>
      <c r="B765" s="19" t="s">
        <v>1273</v>
      </c>
      <c r="C765">
        <v>27</v>
      </c>
      <c r="D765" s="19" t="s">
        <v>363</v>
      </c>
      <c r="E765" s="19" t="s">
        <v>334</v>
      </c>
      <c r="F765">
        <v>5</v>
      </c>
      <c r="G765">
        <v>0</v>
      </c>
      <c r="H765">
        <v>1</v>
      </c>
      <c r="I765">
        <v>1</v>
      </c>
      <c r="J765">
        <v>-3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6</v>
      </c>
      <c r="T765">
        <v>0</v>
      </c>
      <c r="U765">
        <v>20</v>
      </c>
      <c r="V765" s="19" t="s">
        <v>1274</v>
      </c>
      <c r="W765" s="19" t="s">
        <v>901</v>
      </c>
      <c r="X765">
        <v>2</v>
      </c>
      <c r="Y765">
        <v>1</v>
      </c>
      <c r="Z765">
        <v>66.7</v>
      </c>
      <c r="AA765">
        <v>0</v>
      </c>
      <c r="AB765">
        <v>2</v>
      </c>
      <c r="AC765">
        <v>0</v>
      </c>
      <c r="AD765">
        <v>2</v>
      </c>
      <c r="AE765" s="19" t="s">
        <v>60</v>
      </c>
    </row>
    <row r="766" spans="1:31" x14ac:dyDescent="0.2">
      <c r="A766">
        <v>731</v>
      </c>
      <c r="B766" s="19" t="s">
        <v>1275</v>
      </c>
      <c r="C766">
        <v>22</v>
      </c>
      <c r="D766" s="19" t="s">
        <v>345</v>
      </c>
      <c r="E766" s="19" t="s">
        <v>322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2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1276</v>
      </c>
      <c r="W766" s="19" t="s">
        <v>1150</v>
      </c>
      <c r="X766">
        <v>0</v>
      </c>
      <c r="Y766">
        <v>1</v>
      </c>
      <c r="Z766">
        <v>0</v>
      </c>
      <c r="AA766">
        <v>1</v>
      </c>
      <c r="AB766">
        <v>3</v>
      </c>
      <c r="AC766">
        <v>0</v>
      </c>
      <c r="AD766">
        <v>3</v>
      </c>
      <c r="AE766" s="19" t="s">
        <v>60</v>
      </c>
    </row>
    <row r="767" spans="1:31" x14ac:dyDescent="0.2">
      <c r="A767">
        <v>732</v>
      </c>
      <c r="B767" s="19" t="s">
        <v>1277</v>
      </c>
      <c r="C767">
        <v>22</v>
      </c>
      <c r="D767" s="19" t="s">
        <v>406</v>
      </c>
      <c r="E767" s="19" t="s">
        <v>348</v>
      </c>
      <c r="F767">
        <v>5</v>
      </c>
      <c r="G767">
        <v>0</v>
      </c>
      <c r="H767">
        <v>1</v>
      </c>
      <c r="I767">
        <v>1</v>
      </c>
      <c r="J767">
        <v>4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4</v>
      </c>
      <c r="T767">
        <v>0</v>
      </c>
      <c r="U767">
        <v>10</v>
      </c>
      <c r="V767" s="19" t="s">
        <v>1632</v>
      </c>
      <c r="W767" s="19" t="s">
        <v>1585</v>
      </c>
      <c r="X767">
        <v>0</v>
      </c>
      <c r="Y767">
        <v>0</v>
      </c>
      <c r="AA767">
        <v>9</v>
      </c>
      <c r="AB767">
        <v>11</v>
      </c>
      <c r="AC767">
        <v>2</v>
      </c>
      <c r="AD767">
        <v>4</v>
      </c>
      <c r="AE767" s="19" t="s">
        <v>60</v>
      </c>
    </row>
    <row r="768" spans="1:31" x14ac:dyDescent="0.2">
      <c r="A768">
        <v>733</v>
      </c>
      <c r="B768" s="19" t="s">
        <v>1278</v>
      </c>
      <c r="C768">
        <v>30</v>
      </c>
      <c r="D768" s="19" t="s">
        <v>451</v>
      </c>
      <c r="E768" s="19" t="s">
        <v>3</v>
      </c>
      <c r="F768">
        <v>19</v>
      </c>
      <c r="G768">
        <v>0</v>
      </c>
      <c r="H768">
        <v>1</v>
      </c>
      <c r="I768">
        <v>1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1</v>
      </c>
      <c r="R768">
        <v>0</v>
      </c>
      <c r="S768">
        <v>0</v>
      </c>
      <c r="U768">
        <v>0</v>
      </c>
      <c r="V768" s="19" t="s">
        <v>2745</v>
      </c>
      <c r="W768" s="19" t="s">
        <v>2746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5</v>
      </c>
      <c r="AE768" s="19" t="s">
        <v>60</v>
      </c>
    </row>
    <row r="769" spans="1:31" x14ac:dyDescent="0.2">
      <c r="A769">
        <v>734</v>
      </c>
      <c r="B769" s="19" t="s">
        <v>1279</v>
      </c>
      <c r="C769">
        <v>32</v>
      </c>
      <c r="D769" s="19" t="s">
        <v>366</v>
      </c>
      <c r="E769" s="19" t="s">
        <v>3</v>
      </c>
      <c r="F769">
        <v>13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2747</v>
      </c>
      <c r="W769" s="19" t="s">
        <v>2748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10</v>
      </c>
      <c r="AE769" s="19" t="s">
        <v>60</v>
      </c>
    </row>
    <row r="770" spans="1:31" x14ac:dyDescent="0.2">
      <c r="A770">
        <v>735</v>
      </c>
      <c r="B770" s="19" t="s">
        <v>1481</v>
      </c>
      <c r="C770">
        <v>28</v>
      </c>
      <c r="D770" s="19" t="s">
        <v>519</v>
      </c>
      <c r="E770" s="19" t="s">
        <v>334</v>
      </c>
      <c r="F770">
        <v>5</v>
      </c>
      <c r="G770">
        <v>1</v>
      </c>
      <c r="H770">
        <v>0</v>
      </c>
      <c r="I770">
        <v>1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5</v>
      </c>
      <c r="T770">
        <v>20</v>
      </c>
      <c r="U770">
        <v>7</v>
      </c>
      <c r="V770" s="19" t="s">
        <v>1740</v>
      </c>
      <c r="W770" s="19" t="s">
        <v>1586</v>
      </c>
      <c r="X770">
        <v>0</v>
      </c>
      <c r="Y770">
        <v>0</v>
      </c>
      <c r="AA770">
        <v>4</v>
      </c>
      <c r="AB770">
        <v>8</v>
      </c>
      <c r="AC770">
        <v>2</v>
      </c>
      <c r="AD770">
        <v>0</v>
      </c>
      <c r="AE770" s="19" t="s">
        <v>60</v>
      </c>
    </row>
    <row r="771" spans="1:31" x14ac:dyDescent="0.2">
      <c r="A771">
        <v>736</v>
      </c>
      <c r="B771" s="19" t="s">
        <v>1483</v>
      </c>
      <c r="C771">
        <v>33</v>
      </c>
      <c r="D771" s="19" t="s">
        <v>430</v>
      </c>
      <c r="E771" s="19" t="s">
        <v>3</v>
      </c>
      <c r="F771">
        <v>21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2749</v>
      </c>
      <c r="W771" s="19" t="s">
        <v>2750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737</v>
      </c>
      <c r="B772" s="19" t="s">
        <v>1282</v>
      </c>
      <c r="C772">
        <v>31</v>
      </c>
      <c r="D772" s="19" t="s">
        <v>406</v>
      </c>
      <c r="E772" s="19" t="s">
        <v>348</v>
      </c>
      <c r="F772">
        <v>19</v>
      </c>
      <c r="G772">
        <v>0</v>
      </c>
      <c r="H772">
        <v>1</v>
      </c>
      <c r="I772">
        <v>1</v>
      </c>
      <c r="J772">
        <v>-4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9</v>
      </c>
      <c r="T772">
        <v>0</v>
      </c>
      <c r="U772">
        <v>22</v>
      </c>
      <c r="V772" s="19" t="s">
        <v>1718</v>
      </c>
      <c r="W772" s="19" t="s">
        <v>1684</v>
      </c>
      <c r="X772">
        <v>0</v>
      </c>
      <c r="Y772">
        <v>0</v>
      </c>
      <c r="AA772">
        <v>16</v>
      </c>
      <c r="AB772">
        <v>1</v>
      </c>
      <c r="AC772">
        <v>2</v>
      </c>
      <c r="AD772">
        <v>14</v>
      </c>
      <c r="AE772" s="19" t="s">
        <v>60</v>
      </c>
    </row>
    <row r="773" spans="1:31" x14ac:dyDescent="0.2">
      <c r="A773">
        <v>738</v>
      </c>
      <c r="B773" s="19" t="s">
        <v>1484</v>
      </c>
      <c r="C773">
        <v>31</v>
      </c>
      <c r="D773" s="19" t="s">
        <v>418</v>
      </c>
      <c r="E773" s="19" t="s">
        <v>339</v>
      </c>
      <c r="F773">
        <v>16</v>
      </c>
      <c r="G773">
        <v>0</v>
      </c>
      <c r="H773">
        <v>1</v>
      </c>
      <c r="I773">
        <v>1</v>
      </c>
      <c r="J773">
        <v>-3</v>
      </c>
      <c r="K773">
        <v>33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2751</v>
      </c>
      <c r="W773" s="19" t="s">
        <v>2752</v>
      </c>
      <c r="X773">
        <v>0</v>
      </c>
      <c r="Y773">
        <v>0</v>
      </c>
      <c r="AA773">
        <v>5</v>
      </c>
      <c r="AB773">
        <v>13</v>
      </c>
      <c r="AC773">
        <v>0</v>
      </c>
      <c r="AD773">
        <v>2</v>
      </c>
      <c r="AE773" s="19" t="s">
        <v>60</v>
      </c>
    </row>
    <row r="774" spans="1:31" x14ac:dyDescent="0.2">
      <c r="A774">
        <v>739</v>
      </c>
      <c r="B774" s="19" t="s">
        <v>1284</v>
      </c>
      <c r="C774">
        <v>18</v>
      </c>
      <c r="D774" s="19" t="s">
        <v>464</v>
      </c>
      <c r="E774" s="19" t="s">
        <v>322</v>
      </c>
      <c r="F774">
        <v>3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2</v>
      </c>
      <c r="T774">
        <v>0</v>
      </c>
      <c r="U774">
        <v>3</v>
      </c>
      <c r="V774" s="19" t="s">
        <v>1285</v>
      </c>
      <c r="W774" s="19" t="s">
        <v>1286</v>
      </c>
      <c r="X774">
        <v>5</v>
      </c>
      <c r="Y774">
        <v>11</v>
      </c>
      <c r="Z774">
        <v>31.3</v>
      </c>
      <c r="AA774">
        <v>2</v>
      </c>
      <c r="AB774">
        <v>0</v>
      </c>
      <c r="AC774">
        <v>0</v>
      </c>
      <c r="AD774">
        <v>4</v>
      </c>
      <c r="AE774" s="19" t="s">
        <v>60</v>
      </c>
    </row>
    <row r="775" spans="1:31" x14ac:dyDescent="0.2">
      <c r="A775">
        <v>740</v>
      </c>
      <c r="B775" s="19" t="s">
        <v>1493</v>
      </c>
      <c r="C775">
        <v>29</v>
      </c>
      <c r="D775" s="19" t="s">
        <v>380</v>
      </c>
      <c r="E775" s="19" t="s">
        <v>348</v>
      </c>
      <c r="F775">
        <v>2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6</v>
      </c>
      <c r="V775" s="19" t="s">
        <v>2753</v>
      </c>
      <c r="W775" s="19" t="s">
        <v>2754</v>
      </c>
      <c r="X775">
        <v>0</v>
      </c>
      <c r="Y775">
        <v>0</v>
      </c>
      <c r="AA775">
        <v>1</v>
      </c>
      <c r="AB775">
        <v>0</v>
      </c>
      <c r="AC775">
        <v>0</v>
      </c>
      <c r="AD775">
        <v>0</v>
      </c>
      <c r="AE775" s="19" t="s">
        <v>60</v>
      </c>
    </row>
    <row r="776" spans="1:31" x14ac:dyDescent="0.2">
      <c r="A776">
        <v>741</v>
      </c>
      <c r="B776" s="19" t="s">
        <v>1288</v>
      </c>
      <c r="C776">
        <v>32</v>
      </c>
      <c r="D776" s="19" t="s">
        <v>359</v>
      </c>
      <c r="E776" s="19" t="s">
        <v>348</v>
      </c>
      <c r="F776">
        <v>11</v>
      </c>
      <c r="G776">
        <v>1</v>
      </c>
      <c r="H776">
        <v>0</v>
      </c>
      <c r="I776">
        <v>1</v>
      </c>
      <c r="J776">
        <v>-3</v>
      </c>
      <c r="K776">
        <v>11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5</v>
      </c>
      <c r="T776">
        <v>20</v>
      </c>
      <c r="U776">
        <v>15</v>
      </c>
      <c r="V776" s="19" t="s">
        <v>1596</v>
      </c>
      <c r="W776" s="19" t="s">
        <v>1597</v>
      </c>
      <c r="X776">
        <v>0</v>
      </c>
      <c r="Y776">
        <v>0</v>
      </c>
      <c r="AA776">
        <v>9</v>
      </c>
      <c r="AB776">
        <v>8</v>
      </c>
      <c r="AC776">
        <v>2</v>
      </c>
      <c r="AD776">
        <v>8</v>
      </c>
      <c r="AE776" s="19" t="s">
        <v>60</v>
      </c>
    </row>
    <row r="777" spans="1:31" x14ac:dyDescent="0.2">
      <c r="A777">
        <v>742</v>
      </c>
      <c r="B777" s="19" t="s">
        <v>1289</v>
      </c>
      <c r="C777">
        <v>31</v>
      </c>
      <c r="D777" s="19" t="s">
        <v>380</v>
      </c>
      <c r="E777" s="19" t="s">
        <v>3</v>
      </c>
      <c r="F777">
        <v>14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1819</v>
      </c>
      <c r="W777" s="19" t="s">
        <v>1820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6</v>
      </c>
      <c r="AE777" s="19" t="s">
        <v>60</v>
      </c>
    </row>
    <row r="778" spans="1:31" x14ac:dyDescent="0.2">
      <c r="A778">
        <v>743</v>
      </c>
      <c r="B778" s="19" t="s">
        <v>1509</v>
      </c>
      <c r="C778">
        <v>26</v>
      </c>
      <c r="D778" s="19" t="s">
        <v>383</v>
      </c>
      <c r="E778" s="19" t="s">
        <v>348</v>
      </c>
      <c r="F778">
        <v>9</v>
      </c>
      <c r="G778">
        <v>1</v>
      </c>
      <c r="H778">
        <v>0</v>
      </c>
      <c r="I778">
        <v>1</v>
      </c>
      <c r="J778">
        <v>0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4</v>
      </c>
      <c r="T778">
        <v>25</v>
      </c>
      <c r="U778">
        <v>13</v>
      </c>
      <c r="V778" s="19" t="s">
        <v>1719</v>
      </c>
      <c r="W778" s="19" t="s">
        <v>962</v>
      </c>
      <c r="X778">
        <v>0</v>
      </c>
      <c r="Y778">
        <v>0</v>
      </c>
      <c r="AA778">
        <v>6</v>
      </c>
      <c r="AB778">
        <v>13</v>
      </c>
      <c r="AC778">
        <v>0</v>
      </c>
      <c r="AD778">
        <v>6</v>
      </c>
      <c r="AE778" s="19" t="s">
        <v>60</v>
      </c>
    </row>
    <row r="779" spans="1:31" x14ac:dyDescent="0.2">
      <c r="A779">
        <v>744</v>
      </c>
      <c r="B779" s="19" t="s">
        <v>1291</v>
      </c>
      <c r="C779">
        <v>20</v>
      </c>
      <c r="D779" s="19" t="s">
        <v>536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</v>
      </c>
      <c r="T779">
        <v>0</v>
      </c>
      <c r="U779">
        <v>2</v>
      </c>
      <c r="V779" s="19" t="s">
        <v>1292</v>
      </c>
      <c r="W779" s="19" t="s">
        <v>1293</v>
      </c>
      <c r="X779">
        <v>5</v>
      </c>
      <c r="Y779">
        <v>2</v>
      </c>
      <c r="Z779">
        <v>71.400000000000006</v>
      </c>
      <c r="AA779">
        <v>0</v>
      </c>
      <c r="AB779">
        <v>1</v>
      </c>
      <c r="AC779">
        <v>1</v>
      </c>
      <c r="AD779">
        <v>1</v>
      </c>
      <c r="AE779" s="19" t="s">
        <v>60</v>
      </c>
    </row>
    <row r="780" spans="1:31" x14ac:dyDescent="0.2">
      <c r="A780">
        <v>745</v>
      </c>
      <c r="B780" s="19" t="s">
        <v>1297</v>
      </c>
      <c r="C780">
        <v>30</v>
      </c>
      <c r="D780" s="19" t="s">
        <v>324</v>
      </c>
      <c r="E780" s="19" t="s">
        <v>3</v>
      </c>
      <c r="F780">
        <v>17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0</v>
      </c>
      <c r="V780" s="19" t="s">
        <v>1900</v>
      </c>
      <c r="W780" s="19" t="s">
        <v>1832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10</v>
      </c>
      <c r="AE780" s="19" t="s">
        <v>60</v>
      </c>
    </row>
    <row r="781" spans="1:31" x14ac:dyDescent="0.2">
      <c r="A781">
        <v>746</v>
      </c>
      <c r="B781" s="19" t="s">
        <v>1298</v>
      </c>
      <c r="C781">
        <v>25</v>
      </c>
      <c r="D781" s="19" t="s">
        <v>321</v>
      </c>
      <c r="E781" s="19" t="s">
        <v>325</v>
      </c>
      <c r="F781">
        <v>4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3</v>
      </c>
      <c r="T781">
        <v>0</v>
      </c>
      <c r="U781">
        <v>6</v>
      </c>
      <c r="V781" s="19" t="s">
        <v>1299</v>
      </c>
      <c r="W781" s="19" t="s">
        <v>1300</v>
      </c>
      <c r="X781">
        <v>0</v>
      </c>
      <c r="Y781">
        <v>0</v>
      </c>
      <c r="AA781">
        <v>1</v>
      </c>
      <c r="AB781">
        <v>9</v>
      </c>
      <c r="AC781">
        <v>0</v>
      </c>
      <c r="AD781">
        <v>2</v>
      </c>
      <c r="AE781" s="19" t="s">
        <v>60</v>
      </c>
    </row>
    <row r="782" spans="1:31" x14ac:dyDescent="0.2">
      <c r="A782">
        <v>747</v>
      </c>
      <c r="B782" s="19" t="s">
        <v>1521</v>
      </c>
      <c r="C782">
        <v>27</v>
      </c>
      <c r="D782" s="19" t="s">
        <v>333</v>
      </c>
      <c r="E782" s="19" t="s">
        <v>3</v>
      </c>
      <c r="F782">
        <v>26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2755</v>
      </c>
      <c r="W782" s="19" t="s">
        <v>2756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7</v>
      </c>
      <c r="AE782" s="19" t="s">
        <v>60</v>
      </c>
    </row>
    <row r="783" spans="1:31" x14ac:dyDescent="0.2">
      <c r="A783">
        <v>748</v>
      </c>
      <c r="B783" s="19" t="s">
        <v>1301</v>
      </c>
      <c r="C783">
        <v>19</v>
      </c>
      <c r="D783" s="19" t="s">
        <v>439</v>
      </c>
      <c r="E783" s="19" t="s">
        <v>348</v>
      </c>
      <c r="F783">
        <v>11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11</v>
      </c>
      <c r="T783">
        <v>0</v>
      </c>
      <c r="U783">
        <v>35</v>
      </c>
      <c r="V783" s="19" t="s">
        <v>1302</v>
      </c>
      <c r="W783" s="19" t="s">
        <v>1303</v>
      </c>
      <c r="X783">
        <v>0</v>
      </c>
      <c r="Y783">
        <v>0</v>
      </c>
      <c r="AA783">
        <v>5</v>
      </c>
      <c r="AB783">
        <v>5</v>
      </c>
      <c r="AC783">
        <v>3</v>
      </c>
      <c r="AD783">
        <v>17</v>
      </c>
      <c r="AE783" s="19" t="s">
        <v>60</v>
      </c>
    </row>
    <row r="784" spans="1:31" x14ac:dyDescent="0.2">
      <c r="A784">
        <v>749</v>
      </c>
      <c r="B784" s="19" t="s">
        <v>1534</v>
      </c>
      <c r="C784">
        <v>34</v>
      </c>
      <c r="D784" s="19" t="s">
        <v>357</v>
      </c>
      <c r="E784" s="19" t="s">
        <v>322</v>
      </c>
      <c r="F784">
        <v>23</v>
      </c>
      <c r="G784">
        <v>1</v>
      </c>
      <c r="H784">
        <v>0</v>
      </c>
      <c r="I784">
        <v>1</v>
      </c>
      <c r="J784">
        <v>-1</v>
      </c>
      <c r="K784">
        <v>24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19</v>
      </c>
      <c r="T784">
        <v>5.3</v>
      </c>
      <c r="U784">
        <v>34</v>
      </c>
      <c r="V784" s="19" t="s">
        <v>1742</v>
      </c>
      <c r="W784" s="19" t="s">
        <v>1743</v>
      </c>
      <c r="X784">
        <v>0</v>
      </c>
      <c r="Y784">
        <v>3</v>
      </c>
      <c r="Z784">
        <v>0</v>
      </c>
      <c r="AA784">
        <v>13</v>
      </c>
      <c r="AB784">
        <v>58</v>
      </c>
      <c r="AC784">
        <v>4</v>
      </c>
      <c r="AD784">
        <v>6</v>
      </c>
      <c r="AE784" s="19" t="s">
        <v>60</v>
      </c>
    </row>
    <row r="785" spans="1:31" x14ac:dyDescent="0.2">
      <c r="A785">
        <v>750</v>
      </c>
      <c r="B785" s="19" t="s">
        <v>1305</v>
      </c>
      <c r="C785">
        <v>23</v>
      </c>
      <c r="D785" s="19" t="s">
        <v>361</v>
      </c>
      <c r="E785" s="19" t="s">
        <v>322</v>
      </c>
      <c r="F785">
        <v>17</v>
      </c>
      <c r="G785">
        <v>1</v>
      </c>
      <c r="H785">
        <v>0</v>
      </c>
      <c r="I785">
        <v>1</v>
      </c>
      <c r="J785">
        <v>0</v>
      </c>
      <c r="K785">
        <v>7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12</v>
      </c>
      <c r="T785">
        <v>8.3000000000000007</v>
      </c>
      <c r="U785">
        <v>25</v>
      </c>
      <c r="V785" s="19" t="s">
        <v>2757</v>
      </c>
      <c r="W785" s="19" t="s">
        <v>2758</v>
      </c>
      <c r="X785">
        <v>3</v>
      </c>
      <c r="Y785">
        <v>3</v>
      </c>
      <c r="Z785">
        <v>50</v>
      </c>
      <c r="AA785">
        <v>2</v>
      </c>
      <c r="AB785">
        <v>53</v>
      </c>
      <c r="AC785">
        <v>2</v>
      </c>
      <c r="AD785">
        <v>5</v>
      </c>
      <c r="AE785" s="19" t="s">
        <v>60</v>
      </c>
    </row>
    <row r="786" spans="1:31" x14ac:dyDescent="0.2">
      <c r="A786">
        <v>751</v>
      </c>
      <c r="B786" s="19" t="s">
        <v>1306</v>
      </c>
      <c r="C786">
        <v>22</v>
      </c>
      <c r="D786" s="19" t="s">
        <v>398</v>
      </c>
      <c r="E786" s="19" t="s">
        <v>322</v>
      </c>
      <c r="F786">
        <v>2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3</v>
      </c>
      <c r="V786" s="19" t="s">
        <v>1307</v>
      </c>
      <c r="W786" s="19" t="s">
        <v>1308</v>
      </c>
      <c r="X786">
        <v>12</v>
      </c>
      <c r="Y786">
        <v>12</v>
      </c>
      <c r="Z786">
        <v>50</v>
      </c>
      <c r="AA786">
        <v>1</v>
      </c>
      <c r="AB786">
        <v>3</v>
      </c>
      <c r="AC786">
        <v>0</v>
      </c>
      <c r="AD786">
        <v>1</v>
      </c>
      <c r="AE786" s="19" t="s">
        <v>60</v>
      </c>
    </row>
    <row r="787" spans="1:31" x14ac:dyDescent="0.2">
      <c r="A787">
        <v>752</v>
      </c>
      <c r="B787" s="19" t="s">
        <v>1309</v>
      </c>
      <c r="C787">
        <v>26</v>
      </c>
      <c r="D787" s="19" t="s">
        <v>383</v>
      </c>
      <c r="E787" s="19" t="s">
        <v>348</v>
      </c>
      <c r="F787">
        <v>15</v>
      </c>
      <c r="G787">
        <v>0</v>
      </c>
      <c r="H787">
        <v>1</v>
      </c>
      <c r="I787">
        <v>1</v>
      </c>
      <c r="J787">
        <v>-7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17</v>
      </c>
      <c r="T787">
        <v>0</v>
      </c>
      <c r="U787">
        <v>38</v>
      </c>
      <c r="V787" s="19" t="s">
        <v>1310</v>
      </c>
      <c r="W787" s="19" t="s">
        <v>1311</v>
      </c>
      <c r="X787">
        <v>0</v>
      </c>
      <c r="Y787">
        <v>0</v>
      </c>
      <c r="AA787">
        <v>31</v>
      </c>
      <c r="AB787">
        <v>31</v>
      </c>
      <c r="AC787">
        <v>4</v>
      </c>
      <c r="AD787">
        <v>18</v>
      </c>
      <c r="AE787" s="19" t="s">
        <v>60</v>
      </c>
    </row>
    <row r="788" spans="1:31" x14ac:dyDescent="0.2">
      <c r="A788">
        <v>753</v>
      </c>
      <c r="B788" s="19" t="s">
        <v>1312</v>
      </c>
      <c r="C788">
        <v>32</v>
      </c>
      <c r="D788" s="19" t="s">
        <v>406</v>
      </c>
      <c r="E788" s="19" t="s">
        <v>322</v>
      </c>
      <c r="F788">
        <v>1</v>
      </c>
      <c r="G788">
        <v>1</v>
      </c>
      <c r="H788">
        <v>0</v>
      </c>
      <c r="I788">
        <v>1</v>
      </c>
      <c r="J788">
        <v>1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</v>
      </c>
      <c r="T788">
        <v>100</v>
      </c>
      <c r="U788">
        <v>3</v>
      </c>
      <c r="V788" s="19" t="s">
        <v>1313</v>
      </c>
      <c r="W788" s="19" t="s">
        <v>1313</v>
      </c>
      <c r="X788">
        <v>2</v>
      </c>
      <c r="Y788">
        <v>6</v>
      </c>
      <c r="Z788">
        <v>25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754</v>
      </c>
      <c r="B789" s="19" t="s">
        <v>1314</v>
      </c>
      <c r="C789">
        <v>30</v>
      </c>
      <c r="D789" s="19" t="s">
        <v>351</v>
      </c>
      <c r="E789" s="19" t="s">
        <v>348</v>
      </c>
      <c r="F789">
        <v>9</v>
      </c>
      <c r="G789">
        <v>0</v>
      </c>
      <c r="H789">
        <v>1</v>
      </c>
      <c r="I789">
        <v>1</v>
      </c>
      <c r="J789">
        <v>1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3</v>
      </c>
      <c r="T789">
        <v>0</v>
      </c>
      <c r="U789">
        <v>16</v>
      </c>
      <c r="V789" s="19" t="s">
        <v>1938</v>
      </c>
      <c r="W789" s="19" t="s">
        <v>1811</v>
      </c>
      <c r="X789">
        <v>0</v>
      </c>
      <c r="Y789">
        <v>0</v>
      </c>
      <c r="AA789">
        <v>6</v>
      </c>
      <c r="AB789">
        <v>7</v>
      </c>
      <c r="AC789">
        <v>0</v>
      </c>
      <c r="AD789">
        <v>4</v>
      </c>
      <c r="AE789" s="19" t="s">
        <v>60</v>
      </c>
    </row>
    <row r="790" spans="1:31" x14ac:dyDescent="0.2">
      <c r="A790">
        <v>755</v>
      </c>
      <c r="B790" s="19" t="s">
        <v>1317</v>
      </c>
      <c r="C790">
        <v>20</v>
      </c>
      <c r="D790" s="19" t="s">
        <v>406</v>
      </c>
      <c r="E790" s="19" t="s">
        <v>348</v>
      </c>
      <c r="F790">
        <v>24</v>
      </c>
      <c r="G790">
        <v>0</v>
      </c>
      <c r="H790">
        <v>1</v>
      </c>
      <c r="I790">
        <v>1</v>
      </c>
      <c r="J790">
        <v>-9</v>
      </c>
      <c r="K790">
        <v>18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23</v>
      </c>
      <c r="T790">
        <v>0</v>
      </c>
      <c r="U790">
        <v>42</v>
      </c>
      <c r="V790" s="19" t="s">
        <v>1318</v>
      </c>
      <c r="W790" s="19" t="s">
        <v>546</v>
      </c>
      <c r="X790">
        <v>0</v>
      </c>
      <c r="Y790">
        <v>0</v>
      </c>
      <c r="AA790">
        <v>26</v>
      </c>
      <c r="AB790">
        <v>8</v>
      </c>
      <c r="AC790">
        <v>1</v>
      </c>
      <c r="AD790">
        <v>26</v>
      </c>
      <c r="AE790" s="19" t="s">
        <v>60</v>
      </c>
    </row>
    <row r="791" spans="1:31" x14ac:dyDescent="0.2">
      <c r="A791">
        <v>756</v>
      </c>
      <c r="B791" s="19" t="s">
        <v>1560</v>
      </c>
      <c r="C791">
        <v>24</v>
      </c>
      <c r="D791" s="19" t="s">
        <v>354</v>
      </c>
      <c r="E791" s="19" t="s">
        <v>348</v>
      </c>
      <c r="F791">
        <v>8</v>
      </c>
      <c r="G791">
        <v>0</v>
      </c>
      <c r="H791">
        <v>1</v>
      </c>
      <c r="I791">
        <v>1</v>
      </c>
      <c r="J791">
        <v>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8</v>
      </c>
      <c r="T791">
        <v>0</v>
      </c>
      <c r="U791">
        <v>15</v>
      </c>
      <c r="V791" s="19" t="s">
        <v>1860</v>
      </c>
      <c r="W791" s="19" t="s">
        <v>1861</v>
      </c>
      <c r="X791">
        <v>0</v>
      </c>
      <c r="Y791">
        <v>0</v>
      </c>
      <c r="AA791">
        <v>10</v>
      </c>
      <c r="AB791">
        <v>1</v>
      </c>
      <c r="AC791">
        <v>2</v>
      </c>
      <c r="AD791">
        <v>11</v>
      </c>
      <c r="AE791" s="19" t="s">
        <v>60</v>
      </c>
    </row>
    <row r="792" spans="1:31" x14ac:dyDescent="0.2">
      <c r="A792">
        <v>757</v>
      </c>
      <c r="B792" s="19" t="s">
        <v>1321</v>
      </c>
      <c r="C792">
        <v>38</v>
      </c>
      <c r="D792" s="19" t="s">
        <v>370</v>
      </c>
      <c r="E792" s="19" t="s">
        <v>3</v>
      </c>
      <c r="F792">
        <v>21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2759</v>
      </c>
      <c r="W792" s="19" t="s">
        <v>1433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16</v>
      </c>
      <c r="AE792" s="19" t="s">
        <v>60</v>
      </c>
    </row>
    <row r="793" spans="1:31" x14ac:dyDescent="0.2">
      <c r="A793">
        <v>758</v>
      </c>
      <c r="B793" s="19" t="s">
        <v>1322</v>
      </c>
      <c r="C793">
        <v>34</v>
      </c>
      <c r="D793" s="19" t="s">
        <v>406</v>
      </c>
      <c r="E793" s="19" t="s">
        <v>339</v>
      </c>
      <c r="F793">
        <v>29</v>
      </c>
      <c r="G793">
        <v>0</v>
      </c>
      <c r="H793">
        <v>1</v>
      </c>
      <c r="I793">
        <v>1</v>
      </c>
      <c r="J793">
        <v>-9</v>
      </c>
      <c r="K793">
        <v>10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18</v>
      </c>
      <c r="T793">
        <v>0</v>
      </c>
      <c r="U793">
        <v>36</v>
      </c>
      <c r="V793" s="19" t="s">
        <v>1633</v>
      </c>
      <c r="W793" s="19" t="s">
        <v>1239</v>
      </c>
      <c r="X793">
        <v>3</v>
      </c>
      <c r="Y793">
        <v>11</v>
      </c>
      <c r="Z793">
        <v>21.4</v>
      </c>
      <c r="AA793">
        <v>13</v>
      </c>
      <c r="AB793">
        <v>76</v>
      </c>
      <c r="AC793">
        <v>2</v>
      </c>
      <c r="AD793">
        <v>18</v>
      </c>
      <c r="AE793" s="19" t="s">
        <v>60</v>
      </c>
    </row>
    <row r="794" spans="1:31" x14ac:dyDescent="0.2">
      <c r="A794">
        <v>759</v>
      </c>
      <c r="B794" s="19" t="s">
        <v>1323</v>
      </c>
      <c r="C794">
        <v>28</v>
      </c>
      <c r="D794" s="19" t="s">
        <v>366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2760</v>
      </c>
      <c r="W794" s="19" t="s">
        <v>1833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14</v>
      </c>
      <c r="AE794" s="19" t="s">
        <v>60</v>
      </c>
    </row>
    <row r="795" spans="1:31" x14ac:dyDescent="0.2">
      <c r="A795">
        <v>760</v>
      </c>
      <c r="B795" s="19" t="s">
        <v>1324</v>
      </c>
      <c r="C795">
        <v>24</v>
      </c>
      <c r="D795" s="19" t="s">
        <v>375</v>
      </c>
      <c r="E795" s="19" t="s">
        <v>322</v>
      </c>
      <c r="F795">
        <v>9</v>
      </c>
      <c r="G795">
        <v>0</v>
      </c>
      <c r="H795">
        <v>1</v>
      </c>
      <c r="I795">
        <v>1</v>
      </c>
      <c r="J795">
        <v>-2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21</v>
      </c>
      <c r="V795" s="19" t="s">
        <v>1325</v>
      </c>
      <c r="W795" s="19" t="s">
        <v>816</v>
      </c>
      <c r="X795">
        <v>2</v>
      </c>
      <c r="Y795">
        <v>2</v>
      </c>
      <c r="Z795">
        <v>50</v>
      </c>
      <c r="AA795">
        <v>7</v>
      </c>
      <c r="AB795">
        <v>11</v>
      </c>
      <c r="AC795">
        <v>0</v>
      </c>
      <c r="AD795">
        <v>3</v>
      </c>
      <c r="AE795" s="19" t="s">
        <v>60</v>
      </c>
    </row>
    <row r="796" spans="1:31" x14ac:dyDescent="0.2">
      <c r="A796">
        <v>761</v>
      </c>
      <c r="B796" s="19" t="s">
        <v>1698</v>
      </c>
      <c r="C796">
        <v>31</v>
      </c>
      <c r="D796" s="19" t="s">
        <v>329</v>
      </c>
      <c r="E796" s="19" t="s">
        <v>322</v>
      </c>
      <c r="F796">
        <v>5</v>
      </c>
      <c r="G796">
        <v>0</v>
      </c>
      <c r="H796">
        <v>1</v>
      </c>
      <c r="I796">
        <v>1</v>
      </c>
      <c r="J796">
        <v>1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6</v>
      </c>
      <c r="T796">
        <v>0</v>
      </c>
      <c r="U796">
        <v>11</v>
      </c>
      <c r="V796" s="19" t="s">
        <v>1939</v>
      </c>
      <c r="W796" s="19" t="s">
        <v>1366</v>
      </c>
      <c r="X796">
        <v>10</v>
      </c>
      <c r="Y796">
        <v>12</v>
      </c>
      <c r="Z796">
        <v>45.5</v>
      </c>
      <c r="AA796">
        <v>0</v>
      </c>
      <c r="AB796">
        <v>10</v>
      </c>
      <c r="AC796">
        <v>1</v>
      </c>
      <c r="AD796">
        <v>2</v>
      </c>
      <c r="AE796" s="19" t="s">
        <v>60</v>
      </c>
    </row>
    <row r="797" spans="1:31" x14ac:dyDescent="0.2">
      <c r="A797">
        <v>762</v>
      </c>
      <c r="B797" s="19" t="s">
        <v>1326</v>
      </c>
      <c r="C797">
        <v>27</v>
      </c>
      <c r="D797" s="19" t="s">
        <v>383</v>
      </c>
      <c r="E797" s="19" t="s">
        <v>325</v>
      </c>
      <c r="F797">
        <v>22</v>
      </c>
      <c r="G797">
        <v>1</v>
      </c>
      <c r="H797">
        <v>0</v>
      </c>
      <c r="I797">
        <v>1</v>
      </c>
      <c r="J797">
        <v>-7</v>
      </c>
      <c r="K797">
        <v>2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17</v>
      </c>
      <c r="T797">
        <v>5.9</v>
      </c>
      <c r="U797">
        <v>41</v>
      </c>
      <c r="V797" s="19" t="s">
        <v>2761</v>
      </c>
      <c r="W797" s="19" t="s">
        <v>2762</v>
      </c>
      <c r="X797">
        <v>6</v>
      </c>
      <c r="Y797">
        <v>7</v>
      </c>
      <c r="Z797">
        <v>46.2</v>
      </c>
      <c r="AA797">
        <v>4</v>
      </c>
      <c r="AB797">
        <v>41</v>
      </c>
      <c r="AC797">
        <v>3</v>
      </c>
      <c r="AD797">
        <v>15</v>
      </c>
      <c r="AE797" s="19" t="s">
        <v>60</v>
      </c>
    </row>
    <row r="798" spans="1:31" x14ac:dyDescent="0.2">
      <c r="A798">
        <v>763</v>
      </c>
      <c r="B798" s="19" t="s">
        <v>1328</v>
      </c>
      <c r="C798">
        <v>27</v>
      </c>
      <c r="D798" s="19" t="s">
        <v>354</v>
      </c>
      <c r="E798" s="19" t="s">
        <v>339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4</v>
      </c>
      <c r="T798">
        <v>25</v>
      </c>
      <c r="U798">
        <v>8</v>
      </c>
      <c r="V798" s="19" t="s">
        <v>1329</v>
      </c>
      <c r="W798" s="19" t="s">
        <v>1330</v>
      </c>
      <c r="X798">
        <v>0</v>
      </c>
      <c r="Y798">
        <v>0</v>
      </c>
      <c r="AA798">
        <v>1</v>
      </c>
      <c r="AB798">
        <v>7</v>
      </c>
      <c r="AC798">
        <v>0</v>
      </c>
      <c r="AD798">
        <v>1</v>
      </c>
      <c r="AE798" s="19" t="s">
        <v>60</v>
      </c>
    </row>
    <row r="799" spans="1:31" x14ac:dyDescent="0.2">
      <c r="A799">
        <v>764</v>
      </c>
      <c r="B799" s="19" t="s">
        <v>1331</v>
      </c>
      <c r="C799">
        <v>30</v>
      </c>
      <c r="D799" s="19" t="s">
        <v>406</v>
      </c>
      <c r="E799" s="19" t="s">
        <v>3</v>
      </c>
      <c r="F799">
        <v>12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2763</v>
      </c>
      <c r="W799" s="19" t="s">
        <v>1901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7</v>
      </c>
      <c r="AE799" s="19" t="s">
        <v>60</v>
      </c>
    </row>
    <row r="800" spans="1:31" x14ac:dyDescent="0.2">
      <c r="A800">
        <v>765</v>
      </c>
      <c r="B800" s="19" t="s">
        <v>1573</v>
      </c>
      <c r="C800">
        <v>31</v>
      </c>
      <c r="D800" s="19" t="s">
        <v>351</v>
      </c>
      <c r="E800" s="19" t="s">
        <v>3</v>
      </c>
      <c r="F800">
        <v>24</v>
      </c>
      <c r="G800">
        <v>0</v>
      </c>
      <c r="H800">
        <v>1</v>
      </c>
      <c r="I800">
        <v>1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2764</v>
      </c>
      <c r="W800" s="19" t="s">
        <v>2765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8</v>
      </c>
      <c r="AE800" s="19" t="s">
        <v>60</v>
      </c>
    </row>
    <row r="801" spans="1:31" x14ac:dyDescent="0.2">
      <c r="A801">
        <v>766</v>
      </c>
      <c r="B801" s="19" t="s">
        <v>1332</v>
      </c>
      <c r="C801">
        <v>29</v>
      </c>
      <c r="D801" s="19" t="s">
        <v>406</v>
      </c>
      <c r="E801" s="19" t="s">
        <v>3</v>
      </c>
      <c r="F801">
        <v>30</v>
      </c>
      <c r="G801">
        <v>0</v>
      </c>
      <c r="H801">
        <v>1</v>
      </c>
      <c r="I801">
        <v>1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0</v>
      </c>
      <c r="V801" s="19" t="s">
        <v>2766</v>
      </c>
      <c r="W801" s="19" t="s">
        <v>1901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767</v>
      </c>
      <c r="B802" s="19" t="s">
        <v>1334</v>
      </c>
      <c r="C802">
        <v>33</v>
      </c>
      <c r="D802" s="19" t="s">
        <v>321</v>
      </c>
      <c r="E802" s="19" t="s">
        <v>3</v>
      </c>
      <c r="F802">
        <v>24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0</v>
      </c>
      <c r="S802">
        <v>0</v>
      </c>
      <c r="U802">
        <v>0</v>
      </c>
      <c r="V802" s="19" t="s">
        <v>1940</v>
      </c>
      <c r="W802" s="19" t="s">
        <v>1727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10</v>
      </c>
      <c r="AE802" s="19" t="s">
        <v>60</v>
      </c>
    </row>
    <row r="803" spans="1:31" x14ac:dyDescent="0.2">
      <c r="A803">
        <v>768</v>
      </c>
      <c r="B803" s="19" t="s">
        <v>1336</v>
      </c>
      <c r="C803">
        <v>21</v>
      </c>
      <c r="D803" s="19" t="s">
        <v>363</v>
      </c>
      <c r="E803" s="19" t="s">
        <v>339</v>
      </c>
      <c r="F803">
        <v>5</v>
      </c>
      <c r="G803">
        <v>0</v>
      </c>
      <c r="H803">
        <v>1</v>
      </c>
      <c r="I803">
        <v>1</v>
      </c>
      <c r="J803">
        <v>-1</v>
      </c>
      <c r="K803">
        <v>7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4</v>
      </c>
      <c r="T803">
        <v>0</v>
      </c>
      <c r="U803">
        <v>8</v>
      </c>
      <c r="V803" s="19" t="s">
        <v>1337</v>
      </c>
      <c r="W803" s="19" t="s">
        <v>1338</v>
      </c>
      <c r="X803">
        <v>0</v>
      </c>
      <c r="Y803">
        <v>0</v>
      </c>
      <c r="AA803">
        <v>4</v>
      </c>
      <c r="AB803">
        <v>9</v>
      </c>
      <c r="AC803">
        <v>0</v>
      </c>
      <c r="AD803">
        <v>4</v>
      </c>
      <c r="AE803" s="19" t="s">
        <v>60</v>
      </c>
    </row>
    <row r="804" spans="1:31" x14ac:dyDescent="0.2">
      <c r="A804">
        <v>769</v>
      </c>
      <c r="B804" s="19" t="s">
        <v>1339</v>
      </c>
      <c r="C804">
        <v>25</v>
      </c>
      <c r="D804" s="19" t="s">
        <v>408</v>
      </c>
      <c r="E804" s="19" t="s">
        <v>348</v>
      </c>
      <c r="F804">
        <v>13</v>
      </c>
      <c r="G804">
        <v>0</v>
      </c>
      <c r="H804">
        <v>1</v>
      </c>
      <c r="I804">
        <v>1</v>
      </c>
      <c r="J804">
        <v>4</v>
      </c>
      <c r="K804">
        <v>4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19</v>
      </c>
      <c r="V804" s="19" t="s">
        <v>1340</v>
      </c>
      <c r="W804" s="19" t="s">
        <v>1018</v>
      </c>
      <c r="X804">
        <v>0</v>
      </c>
      <c r="Y804">
        <v>0</v>
      </c>
      <c r="AA804">
        <v>15</v>
      </c>
      <c r="AB804">
        <v>2</v>
      </c>
      <c r="AC804">
        <v>1</v>
      </c>
      <c r="AD804">
        <v>10</v>
      </c>
      <c r="AE804" s="19" t="s">
        <v>60</v>
      </c>
    </row>
    <row r="805" spans="1:31" x14ac:dyDescent="0.2">
      <c r="A805">
        <v>770</v>
      </c>
      <c r="B805" s="19" t="s">
        <v>1341</v>
      </c>
      <c r="C805">
        <v>35</v>
      </c>
      <c r="D805" s="19" t="s">
        <v>406</v>
      </c>
      <c r="E805" s="19" t="s">
        <v>339</v>
      </c>
      <c r="F805">
        <v>2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1</v>
      </c>
      <c r="V805" s="19" t="s">
        <v>888</v>
      </c>
      <c r="W805" s="19" t="s">
        <v>1342</v>
      </c>
      <c r="X805">
        <v>3</v>
      </c>
      <c r="Y805">
        <v>4</v>
      </c>
      <c r="Z805">
        <v>42.9</v>
      </c>
      <c r="AA805">
        <v>1</v>
      </c>
      <c r="AB805">
        <v>4</v>
      </c>
      <c r="AC805">
        <v>1</v>
      </c>
      <c r="AD805">
        <v>1</v>
      </c>
      <c r="AE805" s="19" t="s">
        <v>60</v>
      </c>
    </row>
    <row r="806" spans="1:31" x14ac:dyDescent="0.2">
      <c r="A806">
        <v>771</v>
      </c>
      <c r="B806" s="19" t="s">
        <v>1690</v>
      </c>
      <c r="C806">
        <v>24</v>
      </c>
      <c r="D806" s="19" t="s">
        <v>359</v>
      </c>
      <c r="E806" s="19" t="s">
        <v>3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1492</v>
      </c>
      <c r="W806" s="19" t="s">
        <v>1492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0</v>
      </c>
      <c r="AE806" s="19" t="s">
        <v>60</v>
      </c>
    </row>
    <row r="807" spans="1:31" x14ac:dyDescent="0.2">
      <c r="A807">
        <v>772</v>
      </c>
      <c r="B807" s="19" t="s">
        <v>1343</v>
      </c>
      <c r="C807">
        <v>35</v>
      </c>
      <c r="D807" s="19" t="s">
        <v>400</v>
      </c>
      <c r="E807" s="19" t="s">
        <v>3</v>
      </c>
      <c r="F807">
        <v>21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2767</v>
      </c>
      <c r="W807" s="19" t="s">
        <v>2768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773</v>
      </c>
      <c r="B808" s="19" t="s">
        <v>1344</v>
      </c>
      <c r="C808">
        <v>25</v>
      </c>
      <c r="D808" s="19" t="s">
        <v>451</v>
      </c>
      <c r="E808" s="19" t="s">
        <v>322</v>
      </c>
      <c r="F808">
        <v>2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3</v>
      </c>
      <c r="V808" s="19" t="s">
        <v>1345</v>
      </c>
      <c r="W808" s="19" t="s">
        <v>1346</v>
      </c>
      <c r="X808">
        <v>1</v>
      </c>
      <c r="Y808">
        <v>1</v>
      </c>
      <c r="Z808">
        <v>50</v>
      </c>
      <c r="AA808">
        <v>1</v>
      </c>
      <c r="AB808">
        <v>2</v>
      </c>
      <c r="AC808">
        <v>0</v>
      </c>
      <c r="AD808">
        <v>1</v>
      </c>
      <c r="AE808" s="19" t="s">
        <v>60</v>
      </c>
    </row>
    <row r="809" spans="1:31" x14ac:dyDescent="0.2">
      <c r="A809">
        <v>774</v>
      </c>
      <c r="B809" s="19" t="s">
        <v>1347</v>
      </c>
      <c r="C809">
        <v>36</v>
      </c>
      <c r="D809" s="19" t="s">
        <v>398</v>
      </c>
      <c r="E809" s="19" t="s">
        <v>3</v>
      </c>
      <c r="F809">
        <v>16</v>
      </c>
      <c r="G809">
        <v>0</v>
      </c>
      <c r="H809">
        <v>0</v>
      </c>
      <c r="I809">
        <v>0</v>
      </c>
      <c r="J809">
        <v>0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2769</v>
      </c>
      <c r="W809" s="19" t="s">
        <v>1862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11</v>
      </c>
      <c r="AE809" s="19" t="s">
        <v>60</v>
      </c>
    </row>
    <row r="810" spans="1:31" x14ac:dyDescent="0.2">
      <c r="A810">
        <v>775</v>
      </c>
      <c r="B810" s="19" t="s">
        <v>1349</v>
      </c>
      <c r="C810">
        <v>25</v>
      </c>
      <c r="D810" s="19" t="s">
        <v>464</v>
      </c>
      <c r="E810" s="19" t="s">
        <v>3</v>
      </c>
      <c r="F810">
        <v>12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2770</v>
      </c>
      <c r="W810" s="19" t="s">
        <v>2771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776</v>
      </c>
      <c r="B811" s="19" t="s">
        <v>1350</v>
      </c>
      <c r="C811">
        <v>23</v>
      </c>
      <c r="D811" s="19" t="s">
        <v>324</v>
      </c>
      <c r="E811" s="19" t="s">
        <v>3</v>
      </c>
      <c r="F811">
        <v>26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2772</v>
      </c>
      <c r="W811" s="19" t="s">
        <v>2773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9</v>
      </c>
      <c r="AE811" s="19" t="s">
        <v>60</v>
      </c>
    </row>
    <row r="812" spans="1:31" x14ac:dyDescent="0.2">
      <c r="A812">
        <v>777</v>
      </c>
      <c r="B812" s="19" t="s">
        <v>1352</v>
      </c>
      <c r="C812">
        <v>23</v>
      </c>
      <c r="D812" s="19" t="s">
        <v>361</v>
      </c>
      <c r="E812" s="19" t="s">
        <v>339</v>
      </c>
      <c r="F812">
        <v>11</v>
      </c>
      <c r="G812">
        <v>0</v>
      </c>
      <c r="H812">
        <v>0</v>
      </c>
      <c r="I812">
        <v>0</v>
      </c>
      <c r="J812">
        <v>-1</v>
      </c>
      <c r="K812">
        <v>6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10</v>
      </c>
      <c r="T812">
        <v>0</v>
      </c>
      <c r="U812">
        <v>33</v>
      </c>
      <c r="V812" s="19" t="s">
        <v>1709</v>
      </c>
      <c r="W812" s="19" t="s">
        <v>1618</v>
      </c>
      <c r="X812">
        <v>0</v>
      </c>
      <c r="Y812">
        <v>0</v>
      </c>
      <c r="AA812">
        <v>9</v>
      </c>
      <c r="AB812">
        <v>15</v>
      </c>
      <c r="AC812">
        <v>1</v>
      </c>
      <c r="AD812">
        <v>8</v>
      </c>
      <c r="AE812" s="19" t="s">
        <v>60</v>
      </c>
    </row>
    <row r="813" spans="1:31" x14ac:dyDescent="0.2">
      <c r="A813">
        <v>778</v>
      </c>
      <c r="B813" s="19" t="s">
        <v>1353</v>
      </c>
      <c r="C813">
        <v>29</v>
      </c>
      <c r="D813" s="19" t="s">
        <v>321</v>
      </c>
      <c r="E813" s="19" t="s">
        <v>3</v>
      </c>
      <c r="F813">
        <v>16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2774</v>
      </c>
      <c r="W813" s="19" t="s">
        <v>2775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</v>
      </c>
      <c r="AE813" s="19" t="s">
        <v>60</v>
      </c>
    </row>
    <row r="814" spans="1:31" x14ac:dyDescent="0.2">
      <c r="A814">
        <v>779</v>
      </c>
      <c r="B814" s="19" t="s">
        <v>1354</v>
      </c>
      <c r="C814">
        <v>25</v>
      </c>
      <c r="D814" s="19" t="s">
        <v>354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10</v>
      </c>
      <c r="V814" s="19" t="s">
        <v>1355</v>
      </c>
      <c r="W814" s="19" t="s">
        <v>868</v>
      </c>
      <c r="X814">
        <v>0</v>
      </c>
      <c r="Y814">
        <v>1</v>
      </c>
      <c r="Z814">
        <v>0</v>
      </c>
      <c r="AA814">
        <v>2</v>
      </c>
      <c r="AB814">
        <v>2</v>
      </c>
      <c r="AC814">
        <v>0</v>
      </c>
      <c r="AD814">
        <v>3</v>
      </c>
      <c r="AE814" s="19" t="s">
        <v>60</v>
      </c>
    </row>
    <row r="815" spans="1:31" x14ac:dyDescent="0.2">
      <c r="A815">
        <v>780</v>
      </c>
      <c r="B815" s="19" t="s">
        <v>1941</v>
      </c>
      <c r="C815">
        <v>23</v>
      </c>
      <c r="D815" s="19" t="s">
        <v>418</v>
      </c>
      <c r="E815" s="19" t="s">
        <v>322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5</v>
      </c>
      <c r="V815" s="19" t="s">
        <v>1738</v>
      </c>
      <c r="W815" s="19" t="s">
        <v>1738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781</v>
      </c>
      <c r="B816" s="19" t="s">
        <v>1356</v>
      </c>
      <c r="C816">
        <v>23</v>
      </c>
      <c r="D816" s="19" t="s">
        <v>375</v>
      </c>
      <c r="E816" s="19" t="s">
        <v>322</v>
      </c>
      <c r="F816">
        <v>1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2</v>
      </c>
      <c r="T816">
        <v>0</v>
      </c>
      <c r="U816">
        <v>2</v>
      </c>
      <c r="V816" s="19" t="s">
        <v>1199</v>
      </c>
      <c r="W816" s="19" t="s">
        <v>1199</v>
      </c>
      <c r="X816">
        <v>3</v>
      </c>
      <c r="Y816">
        <v>3</v>
      </c>
      <c r="Z816">
        <v>50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782</v>
      </c>
      <c r="B817" s="19" t="s">
        <v>1634</v>
      </c>
      <c r="C817">
        <v>21</v>
      </c>
      <c r="D817" s="19" t="s">
        <v>439</v>
      </c>
      <c r="E817" s="19" t="s">
        <v>348</v>
      </c>
      <c r="F817">
        <v>9</v>
      </c>
      <c r="G817">
        <v>0</v>
      </c>
      <c r="H817">
        <v>0</v>
      </c>
      <c r="I817">
        <v>0</v>
      </c>
      <c r="J817">
        <v>2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9</v>
      </c>
      <c r="T817">
        <v>0</v>
      </c>
      <c r="U817">
        <v>24</v>
      </c>
      <c r="V817" s="19" t="s">
        <v>2776</v>
      </c>
      <c r="W817" s="19" t="s">
        <v>617</v>
      </c>
      <c r="X817">
        <v>0</v>
      </c>
      <c r="Y817">
        <v>0</v>
      </c>
      <c r="AA817">
        <v>1</v>
      </c>
      <c r="AB817">
        <v>4</v>
      </c>
      <c r="AC817">
        <v>0</v>
      </c>
      <c r="AD817">
        <v>5</v>
      </c>
      <c r="AE817" s="19" t="s">
        <v>60</v>
      </c>
    </row>
    <row r="818" spans="1:31" x14ac:dyDescent="0.2">
      <c r="A818">
        <v>783</v>
      </c>
      <c r="B818" s="19" t="s">
        <v>1620</v>
      </c>
      <c r="C818">
        <v>23</v>
      </c>
      <c r="D818" s="19" t="s">
        <v>336</v>
      </c>
      <c r="E818" s="19" t="s">
        <v>3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340</v>
      </c>
      <c r="W818" s="19" t="s">
        <v>340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784</v>
      </c>
      <c r="B819" s="19" t="s">
        <v>1358</v>
      </c>
      <c r="C819">
        <v>26</v>
      </c>
      <c r="D819" s="19" t="s">
        <v>354</v>
      </c>
      <c r="E819" s="19" t="s">
        <v>348</v>
      </c>
      <c r="F819">
        <v>5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1359</v>
      </c>
      <c r="W819" s="19" t="s">
        <v>873</v>
      </c>
      <c r="X819">
        <v>0</v>
      </c>
      <c r="Y819">
        <v>0</v>
      </c>
      <c r="AA819">
        <v>9</v>
      </c>
      <c r="AB819">
        <v>3</v>
      </c>
      <c r="AC819">
        <v>2</v>
      </c>
      <c r="AD819">
        <v>3</v>
      </c>
      <c r="AE819" s="19" t="s">
        <v>60</v>
      </c>
    </row>
    <row r="820" spans="1:31" x14ac:dyDescent="0.2">
      <c r="A820">
        <v>785</v>
      </c>
      <c r="B820" s="19" t="s">
        <v>1360</v>
      </c>
      <c r="C820">
        <v>22</v>
      </c>
      <c r="D820" s="19" t="s">
        <v>400</v>
      </c>
      <c r="E820" s="19" t="s">
        <v>348</v>
      </c>
      <c r="F820">
        <v>2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1361</v>
      </c>
      <c r="W820" s="19" t="s">
        <v>560</v>
      </c>
      <c r="X820">
        <v>0</v>
      </c>
      <c r="Y820">
        <v>0</v>
      </c>
      <c r="AA820">
        <v>1</v>
      </c>
      <c r="AB820">
        <v>0</v>
      </c>
      <c r="AC820">
        <v>2</v>
      </c>
      <c r="AD820">
        <v>3</v>
      </c>
      <c r="AE820" s="19" t="s">
        <v>60</v>
      </c>
    </row>
    <row r="821" spans="1:31" x14ac:dyDescent="0.2">
      <c r="A821">
        <v>786</v>
      </c>
      <c r="B821" s="19" t="s">
        <v>1362</v>
      </c>
      <c r="C821">
        <v>28</v>
      </c>
      <c r="D821" s="19" t="s">
        <v>351</v>
      </c>
      <c r="E821" s="19" t="s">
        <v>325</v>
      </c>
      <c r="F821">
        <v>7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8</v>
      </c>
      <c r="T821">
        <v>0</v>
      </c>
      <c r="U821">
        <v>10</v>
      </c>
      <c r="V821" s="19" t="s">
        <v>1363</v>
      </c>
      <c r="W821" s="19" t="s">
        <v>1327</v>
      </c>
      <c r="X821">
        <v>1</v>
      </c>
      <c r="Y821">
        <v>2</v>
      </c>
      <c r="Z821">
        <v>33.299999999999997</v>
      </c>
      <c r="AA821">
        <v>2</v>
      </c>
      <c r="AB821">
        <v>19</v>
      </c>
      <c r="AC821">
        <v>0</v>
      </c>
      <c r="AD821">
        <v>5</v>
      </c>
      <c r="AE821" s="19" t="s">
        <v>60</v>
      </c>
    </row>
    <row r="822" spans="1:31" x14ac:dyDescent="0.2">
      <c r="A822">
        <v>787</v>
      </c>
      <c r="B822" s="19" t="s">
        <v>1364</v>
      </c>
      <c r="C822">
        <v>22</v>
      </c>
      <c r="D822" s="19" t="s">
        <v>345</v>
      </c>
      <c r="E822" s="19" t="s">
        <v>334</v>
      </c>
      <c r="F822">
        <v>8</v>
      </c>
      <c r="G822">
        <v>0</v>
      </c>
      <c r="H822">
        <v>0</v>
      </c>
      <c r="I822">
        <v>0</v>
      </c>
      <c r="J822">
        <v>0</v>
      </c>
      <c r="K822">
        <v>12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0</v>
      </c>
      <c r="U822">
        <v>16</v>
      </c>
      <c r="V822" s="19" t="s">
        <v>1365</v>
      </c>
      <c r="W822" s="19" t="s">
        <v>1366</v>
      </c>
      <c r="X822">
        <v>0</v>
      </c>
      <c r="Y822">
        <v>0</v>
      </c>
      <c r="AA822">
        <v>5</v>
      </c>
      <c r="AB822">
        <v>10</v>
      </c>
      <c r="AC822">
        <v>2</v>
      </c>
      <c r="AD822">
        <v>6</v>
      </c>
      <c r="AE822" s="19" t="s">
        <v>60</v>
      </c>
    </row>
    <row r="823" spans="1:31" x14ac:dyDescent="0.2">
      <c r="A823">
        <v>788</v>
      </c>
      <c r="B823" s="19" t="s">
        <v>1367</v>
      </c>
      <c r="C823">
        <v>22</v>
      </c>
      <c r="D823" s="19" t="s">
        <v>361</v>
      </c>
      <c r="E823" s="19" t="s">
        <v>334</v>
      </c>
      <c r="F823">
        <v>6</v>
      </c>
      <c r="G823">
        <v>0</v>
      </c>
      <c r="H823">
        <v>0</v>
      </c>
      <c r="I823">
        <v>0</v>
      </c>
      <c r="J823">
        <v>-2</v>
      </c>
      <c r="K823">
        <v>7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6</v>
      </c>
      <c r="V823" s="19" t="s">
        <v>1720</v>
      </c>
      <c r="W823" s="19" t="s">
        <v>1721</v>
      </c>
      <c r="X823">
        <v>0</v>
      </c>
      <c r="Y823">
        <v>0</v>
      </c>
      <c r="AA823">
        <v>3</v>
      </c>
      <c r="AB823">
        <v>13</v>
      </c>
      <c r="AC823">
        <v>0</v>
      </c>
      <c r="AD823">
        <v>1</v>
      </c>
      <c r="AE823" s="19" t="s">
        <v>60</v>
      </c>
    </row>
    <row r="824" spans="1:31" x14ac:dyDescent="0.2">
      <c r="A824">
        <v>789</v>
      </c>
      <c r="B824" s="19" t="s">
        <v>1368</v>
      </c>
      <c r="C824">
        <v>30</v>
      </c>
      <c r="D824" s="19" t="s">
        <v>375</v>
      </c>
      <c r="E824" s="19" t="s">
        <v>348</v>
      </c>
      <c r="F824">
        <v>15</v>
      </c>
      <c r="G824">
        <v>0</v>
      </c>
      <c r="H824">
        <v>0</v>
      </c>
      <c r="I824">
        <v>0</v>
      </c>
      <c r="J824">
        <v>-3</v>
      </c>
      <c r="K824">
        <v>10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0</v>
      </c>
      <c r="U824">
        <v>39</v>
      </c>
      <c r="V824" s="19" t="s">
        <v>1822</v>
      </c>
      <c r="W824" s="19" t="s">
        <v>1823</v>
      </c>
      <c r="X824">
        <v>0</v>
      </c>
      <c r="Y824">
        <v>0</v>
      </c>
      <c r="AA824">
        <v>26</v>
      </c>
      <c r="AB824">
        <v>63</v>
      </c>
      <c r="AC824">
        <v>5</v>
      </c>
      <c r="AD824">
        <v>10</v>
      </c>
      <c r="AE824" s="19" t="s">
        <v>60</v>
      </c>
    </row>
    <row r="825" spans="1:31" x14ac:dyDescent="0.2">
      <c r="A825">
        <v>790</v>
      </c>
      <c r="B825" s="19" t="s">
        <v>1369</v>
      </c>
      <c r="C825">
        <v>30</v>
      </c>
      <c r="D825" s="19" t="s">
        <v>345</v>
      </c>
      <c r="E825" s="19" t="s">
        <v>3</v>
      </c>
      <c r="F825">
        <v>16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2777</v>
      </c>
      <c r="W825" s="19" t="s">
        <v>2778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6</v>
      </c>
      <c r="AE825" s="19" t="s">
        <v>60</v>
      </c>
    </row>
    <row r="826" spans="1:31" x14ac:dyDescent="0.2">
      <c r="A826">
        <v>791</v>
      </c>
      <c r="B826" s="19" t="s">
        <v>1370</v>
      </c>
      <c r="C826">
        <v>28</v>
      </c>
      <c r="D826" s="19" t="s">
        <v>439</v>
      </c>
      <c r="E826" s="19" t="s">
        <v>3</v>
      </c>
      <c r="F826">
        <v>13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1824</v>
      </c>
      <c r="W826" s="19" t="s">
        <v>1825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792</v>
      </c>
      <c r="B827" s="19" t="s">
        <v>1371</v>
      </c>
      <c r="C827">
        <v>18</v>
      </c>
      <c r="D827" s="19" t="s">
        <v>451</v>
      </c>
      <c r="E827" s="19" t="s">
        <v>322</v>
      </c>
      <c r="F827">
        <v>3</v>
      </c>
      <c r="G827">
        <v>0</v>
      </c>
      <c r="H827">
        <v>0</v>
      </c>
      <c r="I827">
        <v>0</v>
      </c>
      <c r="J827">
        <v>-2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1372</v>
      </c>
      <c r="W827" s="19" t="s">
        <v>652</v>
      </c>
      <c r="X827">
        <v>5</v>
      </c>
      <c r="Y827">
        <v>8</v>
      </c>
      <c r="Z827">
        <v>38.5</v>
      </c>
      <c r="AA827">
        <v>1</v>
      </c>
      <c r="AB827">
        <v>3</v>
      </c>
      <c r="AC827">
        <v>0</v>
      </c>
      <c r="AD827">
        <v>4</v>
      </c>
      <c r="AE827" s="19" t="s">
        <v>60</v>
      </c>
    </row>
    <row r="828" spans="1:31" x14ac:dyDescent="0.2">
      <c r="A828">
        <v>793</v>
      </c>
      <c r="B828" s="19" t="s">
        <v>1902</v>
      </c>
      <c r="C828">
        <v>34</v>
      </c>
      <c r="D828" s="19" t="s">
        <v>421</v>
      </c>
      <c r="E828" s="19" t="s">
        <v>3</v>
      </c>
      <c r="F828">
        <v>1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1903</v>
      </c>
      <c r="W828" s="19" t="s">
        <v>1903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0</v>
      </c>
      <c r="AE828" s="19" t="s">
        <v>60</v>
      </c>
    </row>
    <row r="829" spans="1:31" x14ac:dyDescent="0.2">
      <c r="A829">
        <v>794</v>
      </c>
      <c r="B829" s="19" t="s">
        <v>1374</v>
      </c>
      <c r="C829">
        <v>36</v>
      </c>
      <c r="D829" s="19" t="s">
        <v>400</v>
      </c>
      <c r="E829" s="19" t="s">
        <v>334</v>
      </c>
      <c r="F829">
        <v>5</v>
      </c>
      <c r="G829">
        <v>0</v>
      </c>
      <c r="H829">
        <v>0</v>
      </c>
      <c r="I829">
        <v>0</v>
      </c>
      <c r="J829">
        <v>-1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7</v>
      </c>
      <c r="T829">
        <v>0</v>
      </c>
      <c r="U829">
        <v>13</v>
      </c>
      <c r="V829" s="19" t="s">
        <v>1375</v>
      </c>
      <c r="W829" s="19" t="s">
        <v>970</v>
      </c>
      <c r="X829">
        <v>0</v>
      </c>
      <c r="Y829">
        <v>0</v>
      </c>
      <c r="AA829">
        <v>4</v>
      </c>
      <c r="AB829">
        <v>2</v>
      </c>
      <c r="AC829">
        <v>2</v>
      </c>
      <c r="AD829">
        <v>5</v>
      </c>
      <c r="AE829" s="19" t="s">
        <v>60</v>
      </c>
    </row>
    <row r="830" spans="1:31" x14ac:dyDescent="0.2">
      <c r="A830">
        <v>795</v>
      </c>
      <c r="B830" s="19" t="s">
        <v>1376</v>
      </c>
      <c r="C830">
        <v>32</v>
      </c>
      <c r="D830" s="19" t="s">
        <v>430</v>
      </c>
      <c r="E830" s="19" t="s">
        <v>334</v>
      </c>
      <c r="F830">
        <v>4</v>
      </c>
      <c r="G830">
        <v>0</v>
      </c>
      <c r="H830">
        <v>0</v>
      </c>
      <c r="I830">
        <v>0</v>
      </c>
      <c r="J830">
        <v>-2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6</v>
      </c>
      <c r="V830" s="19" t="s">
        <v>1377</v>
      </c>
      <c r="W830" s="19" t="s">
        <v>877</v>
      </c>
      <c r="X830">
        <v>17</v>
      </c>
      <c r="Y830">
        <v>14</v>
      </c>
      <c r="Z830">
        <v>54.8</v>
      </c>
      <c r="AA830">
        <v>4</v>
      </c>
      <c r="AB830">
        <v>3</v>
      </c>
      <c r="AC830">
        <v>0</v>
      </c>
      <c r="AD830">
        <v>3</v>
      </c>
      <c r="AE830" s="19" t="s">
        <v>60</v>
      </c>
    </row>
    <row r="831" spans="1:31" x14ac:dyDescent="0.2">
      <c r="A831">
        <v>796</v>
      </c>
      <c r="B831" s="19" t="s">
        <v>1378</v>
      </c>
      <c r="C831">
        <v>25</v>
      </c>
      <c r="D831" s="19" t="s">
        <v>400</v>
      </c>
      <c r="E831" s="19" t="s">
        <v>3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1379</v>
      </c>
      <c r="W831" s="19" t="s">
        <v>1379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797</v>
      </c>
      <c r="B832" s="19" t="s">
        <v>1380</v>
      </c>
      <c r="C832">
        <v>23</v>
      </c>
      <c r="D832" s="19" t="s">
        <v>329</v>
      </c>
      <c r="E832" s="19" t="s">
        <v>348</v>
      </c>
      <c r="F832">
        <v>2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1722</v>
      </c>
      <c r="W832" s="19" t="s">
        <v>1701</v>
      </c>
      <c r="X832">
        <v>0</v>
      </c>
      <c r="Y832">
        <v>0</v>
      </c>
      <c r="AA832">
        <v>3</v>
      </c>
      <c r="AB832">
        <v>6</v>
      </c>
      <c r="AC832">
        <v>0</v>
      </c>
      <c r="AD832">
        <v>3</v>
      </c>
      <c r="AE832" s="19" t="s">
        <v>60</v>
      </c>
    </row>
    <row r="833" spans="1:31" x14ac:dyDescent="0.2">
      <c r="A833">
        <v>798</v>
      </c>
      <c r="B833" s="19" t="s">
        <v>1382</v>
      </c>
      <c r="C833">
        <v>34</v>
      </c>
      <c r="D833" s="19" t="s">
        <v>408</v>
      </c>
      <c r="E833" s="19" t="s">
        <v>339</v>
      </c>
      <c r="F833">
        <v>16</v>
      </c>
      <c r="G833">
        <v>0</v>
      </c>
      <c r="H833">
        <v>0</v>
      </c>
      <c r="I833">
        <v>0</v>
      </c>
      <c r="J833">
        <v>-3</v>
      </c>
      <c r="K833">
        <v>24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7</v>
      </c>
      <c r="T833">
        <v>0</v>
      </c>
      <c r="U833">
        <v>16</v>
      </c>
      <c r="V833" s="19" t="s">
        <v>1826</v>
      </c>
      <c r="W833" s="19" t="s">
        <v>1827</v>
      </c>
      <c r="X833">
        <v>1</v>
      </c>
      <c r="Y833">
        <v>0</v>
      </c>
      <c r="Z833">
        <v>100</v>
      </c>
      <c r="AA833">
        <v>4</v>
      </c>
      <c r="AB833">
        <v>56</v>
      </c>
      <c r="AC833">
        <v>2</v>
      </c>
      <c r="AD833">
        <v>7</v>
      </c>
      <c r="AE833" s="19" t="s">
        <v>60</v>
      </c>
    </row>
    <row r="834" spans="1:31" x14ac:dyDescent="0.2">
      <c r="A834">
        <v>799</v>
      </c>
      <c r="B834" s="19" t="s">
        <v>1383</v>
      </c>
      <c r="C834">
        <v>34</v>
      </c>
      <c r="D834" s="19" t="s">
        <v>333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2779</v>
      </c>
      <c r="W834" s="19" t="s">
        <v>2780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800</v>
      </c>
      <c r="B835" s="19" t="s">
        <v>1384</v>
      </c>
      <c r="C835">
        <v>22</v>
      </c>
      <c r="D835" s="19" t="s">
        <v>372</v>
      </c>
      <c r="E835" s="19" t="s">
        <v>334</v>
      </c>
      <c r="F835">
        <v>6</v>
      </c>
      <c r="G835">
        <v>0</v>
      </c>
      <c r="H835">
        <v>0</v>
      </c>
      <c r="I835">
        <v>0</v>
      </c>
      <c r="J835">
        <v>-3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6</v>
      </c>
      <c r="T835">
        <v>0</v>
      </c>
      <c r="U835">
        <v>14</v>
      </c>
      <c r="V835" s="19" t="s">
        <v>1385</v>
      </c>
      <c r="W835" s="19" t="s">
        <v>1386</v>
      </c>
      <c r="X835">
        <v>0</v>
      </c>
      <c r="Y835">
        <v>0</v>
      </c>
      <c r="AA835">
        <v>0</v>
      </c>
      <c r="AB835">
        <v>4</v>
      </c>
      <c r="AC835">
        <v>0</v>
      </c>
      <c r="AD835">
        <v>2</v>
      </c>
      <c r="AE835" s="19" t="s">
        <v>60</v>
      </c>
    </row>
    <row r="836" spans="1:31" x14ac:dyDescent="0.2">
      <c r="A836">
        <v>801</v>
      </c>
      <c r="B836" s="19" t="s">
        <v>1387</v>
      </c>
      <c r="C836">
        <v>24</v>
      </c>
      <c r="D836" s="19" t="s">
        <v>363</v>
      </c>
      <c r="E836" s="19" t="s">
        <v>3</v>
      </c>
      <c r="F836">
        <v>21</v>
      </c>
      <c r="G836">
        <v>0</v>
      </c>
      <c r="H836">
        <v>0</v>
      </c>
      <c r="I836">
        <v>0</v>
      </c>
      <c r="J836">
        <v>0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2781</v>
      </c>
      <c r="W836" s="19" t="s">
        <v>2782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9</v>
      </c>
      <c r="AE836" s="19" t="s">
        <v>60</v>
      </c>
    </row>
    <row r="837" spans="1:31" x14ac:dyDescent="0.2">
      <c r="A837">
        <v>802</v>
      </c>
      <c r="B837" s="19" t="s">
        <v>1388</v>
      </c>
      <c r="C837">
        <v>25</v>
      </c>
      <c r="D837" s="19" t="s">
        <v>336</v>
      </c>
      <c r="E837" s="19" t="s">
        <v>3</v>
      </c>
      <c r="F837">
        <v>25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1</v>
      </c>
      <c r="V837" s="19" t="s">
        <v>2783</v>
      </c>
      <c r="W837" s="19" t="s">
        <v>2784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12</v>
      </c>
      <c r="AE837" s="19" t="s">
        <v>60</v>
      </c>
    </row>
    <row r="838" spans="1:31" x14ac:dyDescent="0.2">
      <c r="A838">
        <v>803</v>
      </c>
      <c r="B838" s="19" t="s">
        <v>1389</v>
      </c>
      <c r="C838">
        <v>27</v>
      </c>
      <c r="D838" s="19" t="s">
        <v>366</v>
      </c>
      <c r="E838" s="19" t="s">
        <v>322</v>
      </c>
      <c r="F838">
        <v>6</v>
      </c>
      <c r="G838">
        <v>0</v>
      </c>
      <c r="H838">
        <v>0</v>
      </c>
      <c r="I838">
        <v>0</v>
      </c>
      <c r="J838">
        <v>0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9</v>
      </c>
      <c r="T838">
        <v>0</v>
      </c>
      <c r="U838">
        <v>19</v>
      </c>
      <c r="V838" s="19" t="s">
        <v>1390</v>
      </c>
      <c r="W838" s="19" t="s">
        <v>486</v>
      </c>
      <c r="X838">
        <v>33</v>
      </c>
      <c r="Y838">
        <v>45</v>
      </c>
      <c r="Z838">
        <v>42.3</v>
      </c>
      <c r="AA838">
        <v>3</v>
      </c>
      <c r="AB838">
        <v>6</v>
      </c>
      <c r="AC838">
        <v>1</v>
      </c>
      <c r="AD838">
        <v>2</v>
      </c>
      <c r="AE838" s="19" t="s">
        <v>60</v>
      </c>
    </row>
    <row r="839" spans="1:31" x14ac:dyDescent="0.2">
      <c r="A839">
        <v>804</v>
      </c>
      <c r="B839" s="19" t="s">
        <v>1391</v>
      </c>
      <c r="C839">
        <v>22</v>
      </c>
      <c r="D839" s="19" t="s">
        <v>363</v>
      </c>
      <c r="E839" s="19" t="s">
        <v>348</v>
      </c>
      <c r="F839">
        <v>11</v>
      </c>
      <c r="G839">
        <v>0</v>
      </c>
      <c r="H839">
        <v>0</v>
      </c>
      <c r="I839">
        <v>0</v>
      </c>
      <c r="J839">
        <v>3</v>
      </c>
      <c r="K839">
        <v>6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0</v>
      </c>
      <c r="U839">
        <v>19</v>
      </c>
      <c r="V839" s="19" t="s">
        <v>2785</v>
      </c>
      <c r="W839" s="19" t="s">
        <v>1856</v>
      </c>
      <c r="X839">
        <v>0</v>
      </c>
      <c r="Y839">
        <v>0</v>
      </c>
      <c r="AA839">
        <v>5</v>
      </c>
      <c r="AB839">
        <v>4</v>
      </c>
      <c r="AC839">
        <v>2</v>
      </c>
      <c r="AD839">
        <v>6</v>
      </c>
      <c r="AE839" s="19" t="s">
        <v>60</v>
      </c>
    </row>
    <row r="840" spans="1:31" x14ac:dyDescent="0.2">
      <c r="A840">
        <v>805</v>
      </c>
      <c r="B840" s="19" t="s">
        <v>1393</v>
      </c>
      <c r="C840">
        <v>26</v>
      </c>
      <c r="D840" s="19" t="s">
        <v>408</v>
      </c>
      <c r="E840" s="19" t="s">
        <v>3</v>
      </c>
      <c r="F840">
        <v>15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2786</v>
      </c>
      <c r="W840" s="19" t="s">
        <v>2787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806</v>
      </c>
      <c r="B841" s="19" t="s">
        <v>1394</v>
      </c>
      <c r="C841">
        <v>24</v>
      </c>
      <c r="D841" s="19" t="s">
        <v>398</v>
      </c>
      <c r="E841" s="19" t="s">
        <v>348</v>
      </c>
      <c r="F841">
        <v>1</v>
      </c>
      <c r="G841">
        <v>0</v>
      </c>
      <c r="H841">
        <v>0</v>
      </c>
      <c r="I841">
        <v>0</v>
      </c>
      <c r="J841">
        <v>-2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5</v>
      </c>
      <c r="V841" s="19" t="s">
        <v>903</v>
      </c>
      <c r="W841" s="19" t="s">
        <v>903</v>
      </c>
      <c r="X841">
        <v>0</v>
      </c>
      <c r="Y841">
        <v>0</v>
      </c>
      <c r="AA841">
        <v>3</v>
      </c>
      <c r="AB841">
        <v>1</v>
      </c>
      <c r="AC841">
        <v>0</v>
      </c>
      <c r="AD841">
        <v>0</v>
      </c>
      <c r="AE841" s="19" t="s">
        <v>60</v>
      </c>
    </row>
    <row r="842" spans="1:31" x14ac:dyDescent="0.2">
      <c r="A842">
        <v>807</v>
      </c>
      <c r="B842" s="19" t="s">
        <v>1395</v>
      </c>
      <c r="C842">
        <v>29</v>
      </c>
      <c r="D842" s="19" t="s">
        <v>345</v>
      </c>
      <c r="E842" s="19" t="s">
        <v>348</v>
      </c>
      <c r="F842">
        <v>16</v>
      </c>
      <c r="G842">
        <v>0</v>
      </c>
      <c r="H842">
        <v>0</v>
      </c>
      <c r="I842">
        <v>0</v>
      </c>
      <c r="J842">
        <v>-7</v>
      </c>
      <c r="K842">
        <v>6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11</v>
      </c>
      <c r="T842">
        <v>0</v>
      </c>
      <c r="U842">
        <v>28</v>
      </c>
      <c r="V842" s="19" t="s">
        <v>1760</v>
      </c>
      <c r="W842" s="19" t="s">
        <v>667</v>
      </c>
      <c r="X842">
        <v>0</v>
      </c>
      <c r="Y842">
        <v>0</v>
      </c>
      <c r="AA842">
        <v>26</v>
      </c>
      <c r="AB842">
        <v>23</v>
      </c>
      <c r="AC842">
        <v>5</v>
      </c>
      <c r="AD842">
        <v>11</v>
      </c>
      <c r="AE842" s="19" t="s">
        <v>60</v>
      </c>
    </row>
    <row r="843" spans="1:31" x14ac:dyDescent="0.2">
      <c r="A843">
        <v>808</v>
      </c>
      <c r="B843" s="19" t="s">
        <v>1397</v>
      </c>
      <c r="C843">
        <v>33</v>
      </c>
      <c r="D843" s="19" t="s">
        <v>451</v>
      </c>
      <c r="E843" s="19" t="s">
        <v>348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1398</v>
      </c>
      <c r="W843" s="19" t="s">
        <v>1399</v>
      </c>
      <c r="X843">
        <v>0</v>
      </c>
      <c r="Y843">
        <v>0</v>
      </c>
      <c r="AA843">
        <v>4</v>
      </c>
      <c r="AB843">
        <v>2</v>
      </c>
      <c r="AC843">
        <v>0</v>
      </c>
      <c r="AD843">
        <v>5</v>
      </c>
      <c r="AE843" s="19" t="s">
        <v>60</v>
      </c>
    </row>
    <row r="844" spans="1:31" x14ac:dyDescent="0.2">
      <c r="A844">
        <v>809</v>
      </c>
      <c r="B844" s="19" t="s">
        <v>1400</v>
      </c>
      <c r="C844">
        <v>33</v>
      </c>
      <c r="D844" s="19" t="s">
        <v>421</v>
      </c>
      <c r="E844" s="19" t="s">
        <v>3</v>
      </c>
      <c r="F844">
        <v>15</v>
      </c>
      <c r="G844">
        <v>0</v>
      </c>
      <c r="H844">
        <v>0</v>
      </c>
      <c r="I844">
        <v>0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2788</v>
      </c>
      <c r="W844" s="19" t="s">
        <v>1962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810</v>
      </c>
      <c r="B845" s="19" t="s">
        <v>1663</v>
      </c>
      <c r="C845">
        <v>21</v>
      </c>
      <c r="D845" s="19" t="s">
        <v>363</v>
      </c>
      <c r="E845" s="19" t="s">
        <v>3</v>
      </c>
      <c r="F845">
        <v>6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1963</v>
      </c>
      <c r="W845" s="19" t="s">
        <v>1290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2</v>
      </c>
      <c r="AE845" s="19" t="s">
        <v>60</v>
      </c>
    </row>
    <row r="846" spans="1:31" x14ac:dyDescent="0.2">
      <c r="A846">
        <v>811</v>
      </c>
      <c r="B846" s="19" t="s">
        <v>1401</v>
      </c>
      <c r="C846">
        <v>24</v>
      </c>
      <c r="D846" s="19" t="s">
        <v>408</v>
      </c>
      <c r="E846" s="19" t="s">
        <v>325</v>
      </c>
      <c r="F846">
        <v>3</v>
      </c>
      <c r="G846">
        <v>0</v>
      </c>
      <c r="H846">
        <v>0</v>
      </c>
      <c r="I846">
        <v>0</v>
      </c>
      <c r="J846">
        <v>-1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4</v>
      </c>
      <c r="V846" s="19" t="s">
        <v>1402</v>
      </c>
      <c r="W846" s="19" t="s">
        <v>1403</v>
      </c>
      <c r="X846">
        <v>9</v>
      </c>
      <c r="Y846">
        <v>10</v>
      </c>
      <c r="Z846">
        <v>47.4</v>
      </c>
      <c r="AA846">
        <v>1</v>
      </c>
      <c r="AB846">
        <v>2</v>
      </c>
      <c r="AC846">
        <v>0</v>
      </c>
      <c r="AD846">
        <v>2</v>
      </c>
      <c r="AE846" s="19" t="s">
        <v>60</v>
      </c>
    </row>
    <row r="847" spans="1:31" x14ac:dyDescent="0.2">
      <c r="A847">
        <v>812</v>
      </c>
      <c r="B847" s="19" t="s">
        <v>1404</v>
      </c>
      <c r="C847">
        <v>30</v>
      </c>
      <c r="D847" s="19" t="s">
        <v>430</v>
      </c>
      <c r="E847" s="19" t="s">
        <v>348</v>
      </c>
      <c r="F847">
        <v>5</v>
      </c>
      <c r="G847">
        <v>0</v>
      </c>
      <c r="H847">
        <v>0</v>
      </c>
      <c r="I847">
        <v>0</v>
      </c>
      <c r="J847">
        <v>-1</v>
      </c>
      <c r="K847">
        <v>12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2</v>
      </c>
      <c r="V847" s="19" t="s">
        <v>364</v>
      </c>
      <c r="W847" s="19" t="s">
        <v>1405</v>
      </c>
      <c r="X847">
        <v>0</v>
      </c>
      <c r="Y847">
        <v>0</v>
      </c>
      <c r="AA847">
        <v>0</v>
      </c>
      <c r="AB847">
        <v>8</v>
      </c>
      <c r="AC847">
        <v>0</v>
      </c>
      <c r="AD847">
        <v>0</v>
      </c>
      <c r="AE847" s="19" t="s">
        <v>60</v>
      </c>
    </row>
    <row r="848" spans="1:31" x14ac:dyDescent="0.2">
      <c r="A848">
        <v>813</v>
      </c>
      <c r="B848" s="19" t="s">
        <v>1406</v>
      </c>
      <c r="C848">
        <v>29</v>
      </c>
      <c r="D848" s="19" t="s">
        <v>418</v>
      </c>
      <c r="E848" s="19" t="s">
        <v>348</v>
      </c>
      <c r="F848">
        <v>1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2</v>
      </c>
      <c r="V848" s="19" t="s">
        <v>1407</v>
      </c>
      <c r="W848" s="19" t="s">
        <v>1407</v>
      </c>
      <c r="X848">
        <v>0</v>
      </c>
      <c r="Y848">
        <v>0</v>
      </c>
      <c r="AA848">
        <v>1</v>
      </c>
      <c r="AB848">
        <v>0</v>
      </c>
      <c r="AC848">
        <v>0</v>
      </c>
      <c r="AD848">
        <v>3</v>
      </c>
      <c r="AE848" s="19" t="s">
        <v>60</v>
      </c>
    </row>
    <row r="849" spans="1:31" x14ac:dyDescent="0.2">
      <c r="A849">
        <v>814</v>
      </c>
      <c r="B849" s="19" t="s">
        <v>1408</v>
      </c>
      <c r="C849">
        <v>26</v>
      </c>
      <c r="D849" s="19" t="s">
        <v>408</v>
      </c>
      <c r="E849" s="19" t="s">
        <v>348</v>
      </c>
      <c r="F849">
        <v>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2</v>
      </c>
      <c r="T849">
        <v>0</v>
      </c>
      <c r="U849">
        <v>9</v>
      </c>
      <c r="V849" s="19" t="s">
        <v>1409</v>
      </c>
      <c r="W849" s="19" t="s">
        <v>1410</v>
      </c>
      <c r="X849">
        <v>0</v>
      </c>
      <c r="Y849">
        <v>0</v>
      </c>
      <c r="AA849">
        <v>5</v>
      </c>
      <c r="AB849">
        <v>4</v>
      </c>
      <c r="AC849">
        <v>0</v>
      </c>
      <c r="AD849">
        <v>5</v>
      </c>
      <c r="AE849" s="19" t="s">
        <v>60</v>
      </c>
    </row>
    <row r="850" spans="1:31" x14ac:dyDescent="0.2">
      <c r="A850">
        <v>815</v>
      </c>
      <c r="B850" s="19" t="s">
        <v>1411</v>
      </c>
      <c r="C850">
        <v>24</v>
      </c>
      <c r="D850" s="19" t="s">
        <v>380</v>
      </c>
      <c r="E850" s="19" t="s">
        <v>3</v>
      </c>
      <c r="F850">
        <v>26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2789</v>
      </c>
      <c r="W850" s="19" t="s">
        <v>2790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8</v>
      </c>
      <c r="AE850" s="19" t="s">
        <v>60</v>
      </c>
    </row>
    <row r="851" spans="1:31" x14ac:dyDescent="0.2">
      <c r="A851">
        <v>816</v>
      </c>
      <c r="B851" s="19" t="s">
        <v>1412</v>
      </c>
      <c r="C851">
        <v>34</v>
      </c>
      <c r="D851" s="19" t="s">
        <v>536</v>
      </c>
      <c r="E851" s="19" t="s">
        <v>3</v>
      </c>
      <c r="F851">
        <v>13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2791</v>
      </c>
      <c r="W851" s="19" t="s">
        <v>2792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6</v>
      </c>
      <c r="AE851" s="19" t="s">
        <v>60</v>
      </c>
    </row>
    <row r="852" spans="1:31" x14ac:dyDescent="0.2">
      <c r="A852">
        <v>817</v>
      </c>
      <c r="B852" s="19" t="s">
        <v>1414</v>
      </c>
      <c r="C852">
        <v>34</v>
      </c>
      <c r="D852" s="19" t="s">
        <v>380</v>
      </c>
      <c r="E852" s="19" t="s">
        <v>348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7</v>
      </c>
      <c r="V852" s="19" t="s">
        <v>1415</v>
      </c>
      <c r="W852" s="19" t="s">
        <v>759</v>
      </c>
      <c r="X852">
        <v>0</v>
      </c>
      <c r="Y852">
        <v>0</v>
      </c>
      <c r="AA852">
        <v>1</v>
      </c>
      <c r="AB852">
        <v>5</v>
      </c>
      <c r="AC852">
        <v>1</v>
      </c>
      <c r="AD852">
        <v>3</v>
      </c>
      <c r="AE852" s="19" t="s">
        <v>60</v>
      </c>
    </row>
    <row r="853" spans="1:31" x14ac:dyDescent="0.2">
      <c r="A853">
        <v>818</v>
      </c>
      <c r="B853" s="19" t="s">
        <v>1416</v>
      </c>
      <c r="C853">
        <v>33</v>
      </c>
      <c r="D853" s="19" t="s">
        <v>370</v>
      </c>
      <c r="E853" s="19" t="s">
        <v>348</v>
      </c>
      <c r="F853">
        <v>1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2</v>
      </c>
      <c r="V853" s="19" t="s">
        <v>908</v>
      </c>
      <c r="W853" s="19" t="s">
        <v>908</v>
      </c>
      <c r="X853">
        <v>0</v>
      </c>
      <c r="Y853">
        <v>0</v>
      </c>
      <c r="AA853">
        <v>1</v>
      </c>
      <c r="AB853">
        <v>1</v>
      </c>
      <c r="AC853">
        <v>1</v>
      </c>
      <c r="AD853">
        <v>1</v>
      </c>
      <c r="AE853" s="19" t="s">
        <v>60</v>
      </c>
    </row>
    <row r="854" spans="1:31" x14ac:dyDescent="0.2">
      <c r="A854">
        <v>819</v>
      </c>
      <c r="B854" s="19" t="s">
        <v>1417</v>
      </c>
      <c r="C854">
        <v>27</v>
      </c>
      <c r="D854" s="19" t="s">
        <v>357</v>
      </c>
      <c r="E854" s="19" t="s">
        <v>3</v>
      </c>
      <c r="F854">
        <v>25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2793</v>
      </c>
      <c r="W854" s="19" t="s">
        <v>2794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14</v>
      </c>
      <c r="AE854" s="19" t="s">
        <v>60</v>
      </c>
    </row>
    <row r="855" spans="1:31" x14ac:dyDescent="0.2">
      <c r="A855">
        <v>820</v>
      </c>
      <c r="B855" s="19" t="s">
        <v>1418</v>
      </c>
      <c r="C855">
        <v>21</v>
      </c>
      <c r="D855" s="19" t="s">
        <v>357</v>
      </c>
      <c r="E855" s="19" t="s">
        <v>322</v>
      </c>
      <c r="F855">
        <v>2</v>
      </c>
      <c r="G855">
        <v>0</v>
      </c>
      <c r="H855">
        <v>0</v>
      </c>
      <c r="I855">
        <v>0</v>
      </c>
      <c r="J855">
        <v>-2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416</v>
      </c>
      <c r="W855" s="19" t="s">
        <v>1419</v>
      </c>
      <c r="X855">
        <v>7</v>
      </c>
      <c r="Y855">
        <v>9</v>
      </c>
      <c r="Z855">
        <v>43.8</v>
      </c>
      <c r="AA855">
        <v>0</v>
      </c>
      <c r="AB855">
        <v>2</v>
      </c>
      <c r="AC855">
        <v>0</v>
      </c>
      <c r="AD855">
        <v>0</v>
      </c>
      <c r="AE855" s="19" t="s">
        <v>60</v>
      </c>
    </row>
    <row r="856" spans="1:31" x14ac:dyDescent="0.2">
      <c r="A856">
        <v>821</v>
      </c>
      <c r="B856" s="19" t="s">
        <v>1692</v>
      </c>
      <c r="C856">
        <v>29</v>
      </c>
      <c r="D856" s="19" t="s">
        <v>351</v>
      </c>
      <c r="E856" s="19" t="s">
        <v>3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1693</v>
      </c>
      <c r="W856" s="19" t="s">
        <v>1693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0</v>
      </c>
      <c r="AE856" s="19" t="s">
        <v>60</v>
      </c>
    </row>
    <row r="857" spans="1:31" x14ac:dyDescent="0.2">
      <c r="A857">
        <v>822</v>
      </c>
      <c r="B857" s="19" t="s">
        <v>1420</v>
      </c>
      <c r="C857">
        <v>27</v>
      </c>
      <c r="D857" s="19" t="s">
        <v>343</v>
      </c>
      <c r="E857" s="19" t="s">
        <v>3</v>
      </c>
      <c r="F857">
        <v>9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2795</v>
      </c>
      <c r="W857" s="19" t="s">
        <v>2796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5</v>
      </c>
      <c r="AE857" s="19" t="s">
        <v>60</v>
      </c>
    </row>
    <row r="858" spans="1:31" x14ac:dyDescent="0.2">
      <c r="A858">
        <v>823</v>
      </c>
      <c r="B858" s="19" t="s">
        <v>1421</v>
      </c>
      <c r="C858">
        <v>34</v>
      </c>
      <c r="D858" s="19" t="s">
        <v>408</v>
      </c>
      <c r="E858" s="19" t="s">
        <v>334</v>
      </c>
      <c r="F858">
        <v>33</v>
      </c>
      <c r="G858">
        <v>0</v>
      </c>
      <c r="H858">
        <v>0</v>
      </c>
      <c r="I858">
        <v>0</v>
      </c>
      <c r="J858">
        <v>-8</v>
      </c>
      <c r="K858">
        <v>25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15</v>
      </c>
      <c r="T858">
        <v>0</v>
      </c>
      <c r="U858">
        <v>32</v>
      </c>
      <c r="V858" s="19" t="s">
        <v>1744</v>
      </c>
      <c r="W858" s="19" t="s">
        <v>1422</v>
      </c>
      <c r="X858">
        <v>5</v>
      </c>
      <c r="Y858">
        <v>1</v>
      </c>
      <c r="Z858">
        <v>83.3</v>
      </c>
      <c r="AA858">
        <v>20</v>
      </c>
      <c r="AB858">
        <v>117</v>
      </c>
      <c r="AC858">
        <v>4</v>
      </c>
      <c r="AD858">
        <v>15</v>
      </c>
      <c r="AE858" s="19" t="s">
        <v>60</v>
      </c>
    </row>
    <row r="859" spans="1:31" x14ac:dyDescent="0.2">
      <c r="A859">
        <v>824</v>
      </c>
      <c r="B859" s="19" t="s">
        <v>1423</v>
      </c>
      <c r="C859">
        <v>30</v>
      </c>
      <c r="D859" s="19" t="s">
        <v>536</v>
      </c>
      <c r="E859" s="19" t="s">
        <v>322</v>
      </c>
      <c r="F859">
        <v>3</v>
      </c>
      <c r="G859">
        <v>0</v>
      </c>
      <c r="H859">
        <v>0</v>
      </c>
      <c r="I859">
        <v>0</v>
      </c>
      <c r="J859">
        <v>-1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2</v>
      </c>
      <c r="T859">
        <v>0</v>
      </c>
      <c r="U859">
        <v>5</v>
      </c>
      <c r="V859" s="19" t="s">
        <v>1424</v>
      </c>
      <c r="W859" s="19" t="s">
        <v>1425</v>
      </c>
      <c r="X859">
        <v>6</v>
      </c>
      <c r="Y859">
        <v>9</v>
      </c>
      <c r="Z859">
        <v>40</v>
      </c>
      <c r="AA859">
        <v>2</v>
      </c>
      <c r="AB859">
        <v>7</v>
      </c>
      <c r="AC859">
        <v>1</v>
      </c>
      <c r="AD859">
        <v>2</v>
      </c>
      <c r="AE859" s="19" t="s">
        <v>60</v>
      </c>
    </row>
    <row r="860" spans="1:31" x14ac:dyDescent="0.2">
      <c r="A860">
        <v>825</v>
      </c>
      <c r="B860" s="19" t="s">
        <v>1426</v>
      </c>
      <c r="C860">
        <v>23</v>
      </c>
      <c r="D860" s="19" t="s">
        <v>421</v>
      </c>
      <c r="E860" s="19" t="s">
        <v>322</v>
      </c>
      <c r="F860">
        <v>12</v>
      </c>
      <c r="G860">
        <v>0</v>
      </c>
      <c r="H860">
        <v>0</v>
      </c>
      <c r="I860">
        <v>0</v>
      </c>
      <c r="J860">
        <v>-1</v>
      </c>
      <c r="K860">
        <v>5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4</v>
      </c>
      <c r="V860" s="19" t="s">
        <v>2797</v>
      </c>
      <c r="W860" s="19" t="s">
        <v>2798</v>
      </c>
      <c r="X860">
        <v>19</v>
      </c>
      <c r="Y860">
        <v>27</v>
      </c>
      <c r="Z860">
        <v>41.3</v>
      </c>
      <c r="AA860">
        <v>1</v>
      </c>
      <c r="AB860">
        <v>27</v>
      </c>
      <c r="AC860">
        <v>0</v>
      </c>
      <c r="AD860">
        <v>5</v>
      </c>
      <c r="AE860" s="19" t="s">
        <v>60</v>
      </c>
    </row>
    <row r="861" spans="1:31" x14ac:dyDescent="0.2">
      <c r="A861">
        <v>826</v>
      </c>
      <c r="B861" s="19" t="s">
        <v>1427</v>
      </c>
      <c r="C861">
        <v>32</v>
      </c>
      <c r="D861" s="19" t="s">
        <v>345</v>
      </c>
      <c r="E861" s="19" t="s">
        <v>3</v>
      </c>
      <c r="F861">
        <v>22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2799</v>
      </c>
      <c r="W861" s="19" t="s">
        <v>1966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6</v>
      </c>
      <c r="AE861" s="19" t="s">
        <v>60</v>
      </c>
    </row>
    <row r="862" spans="1:31" x14ac:dyDescent="0.2">
      <c r="A862">
        <v>827</v>
      </c>
      <c r="B862" s="19" t="s">
        <v>1428</v>
      </c>
      <c r="C862">
        <v>24</v>
      </c>
      <c r="D862" s="19" t="s">
        <v>359</v>
      </c>
      <c r="E862" s="19" t="s">
        <v>3</v>
      </c>
      <c r="F862">
        <v>15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2800</v>
      </c>
      <c r="W862" s="19" t="s">
        <v>2801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4</v>
      </c>
      <c r="AE862" s="19" t="s">
        <v>60</v>
      </c>
    </row>
    <row r="863" spans="1:31" x14ac:dyDescent="0.2">
      <c r="A863">
        <v>828</v>
      </c>
      <c r="B863" s="19" t="s">
        <v>1429</v>
      </c>
      <c r="C863">
        <v>29</v>
      </c>
      <c r="D863" s="19" t="s">
        <v>343</v>
      </c>
      <c r="E863" s="19" t="s">
        <v>3</v>
      </c>
      <c r="F863">
        <v>5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1430</v>
      </c>
      <c r="W863" s="19" t="s">
        <v>1431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829</v>
      </c>
      <c r="B864" s="19" t="s">
        <v>1432</v>
      </c>
      <c r="C864">
        <v>29</v>
      </c>
      <c r="D864" s="19" t="s">
        <v>418</v>
      </c>
      <c r="E864" s="19" t="s">
        <v>334</v>
      </c>
      <c r="F864">
        <v>9</v>
      </c>
      <c r="G864">
        <v>0</v>
      </c>
      <c r="H864">
        <v>0</v>
      </c>
      <c r="I864">
        <v>0</v>
      </c>
      <c r="J864">
        <v>-1</v>
      </c>
      <c r="K864">
        <v>11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3</v>
      </c>
      <c r="T864">
        <v>0</v>
      </c>
      <c r="U864">
        <v>10</v>
      </c>
      <c r="V864" s="19" t="s">
        <v>1433</v>
      </c>
      <c r="W864" s="19" t="s">
        <v>1434</v>
      </c>
      <c r="X864">
        <v>0</v>
      </c>
      <c r="Y864">
        <v>0</v>
      </c>
      <c r="AA864">
        <v>0</v>
      </c>
      <c r="AB864">
        <v>23</v>
      </c>
      <c r="AC864">
        <v>0</v>
      </c>
      <c r="AD864">
        <v>3</v>
      </c>
      <c r="AE864" s="19" t="s">
        <v>60</v>
      </c>
    </row>
    <row r="865" spans="1:31" x14ac:dyDescent="0.2">
      <c r="A865">
        <v>830</v>
      </c>
      <c r="B865" s="19" t="s">
        <v>1435</v>
      </c>
      <c r="C865">
        <v>25</v>
      </c>
      <c r="D865" s="19" t="s">
        <v>519</v>
      </c>
      <c r="E865" s="19" t="s">
        <v>3</v>
      </c>
      <c r="F865">
        <v>22</v>
      </c>
      <c r="G865">
        <v>0</v>
      </c>
      <c r="H865">
        <v>0</v>
      </c>
      <c r="I865">
        <v>0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3</v>
      </c>
      <c r="V865" s="19" t="s">
        <v>2802</v>
      </c>
      <c r="W865" s="19" t="s">
        <v>1741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17</v>
      </c>
      <c r="AE865" s="19" t="s">
        <v>60</v>
      </c>
    </row>
    <row r="866" spans="1:31" x14ac:dyDescent="0.2">
      <c r="A866">
        <v>831</v>
      </c>
      <c r="B866" s="19" t="s">
        <v>2803</v>
      </c>
      <c r="C866">
        <v>31</v>
      </c>
      <c r="D866" s="19" t="s">
        <v>383</v>
      </c>
      <c r="E866" s="19" t="s">
        <v>3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1798</v>
      </c>
      <c r="W866" s="19" t="s">
        <v>1798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832</v>
      </c>
      <c r="B867" s="19" t="s">
        <v>1598</v>
      </c>
      <c r="C867">
        <v>25</v>
      </c>
      <c r="D867" s="19" t="s">
        <v>451</v>
      </c>
      <c r="E867" s="19" t="s">
        <v>339</v>
      </c>
      <c r="F867">
        <v>6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6</v>
      </c>
      <c r="T867">
        <v>0</v>
      </c>
      <c r="U867">
        <v>12</v>
      </c>
      <c r="V867" s="19" t="s">
        <v>2804</v>
      </c>
      <c r="W867" s="19" t="s">
        <v>1536</v>
      </c>
      <c r="X867">
        <v>0</v>
      </c>
      <c r="Y867">
        <v>0</v>
      </c>
      <c r="AA867">
        <v>1</v>
      </c>
      <c r="AB867">
        <v>8</v>
      </c>
      <c r="AC867">
        <v>1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1437</v>
      </c>
      <c r="C868">
        <v>30</v>
      </c>
      <c r="D868" s="19" t="s">
        <v>439</v>
      </c>
      <c r="E868" s="19" t="s">
        <v>339</v>
      </c>
      <c r="F868">
        <v>2</v>
      </c>
      <c r="G868">
        <v>0</v>
      </c>
      <c r="H868">
        <v>0</v>
      </c>
      <c r="I868">
        <v>0</v>
      </c>
      <c r="J868">
        <v>-2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3</v>
      </c>
      <c r="T868">
        <v>0</v>
      </c>
      <c r="U868">
        <v>3</v>
      </c>
      <c r="V868" s="19" t="s">
        <v>880</v>
      </c>
      <c r="W868" s="19" t="s">
        <v>836</v>
      </c>
      <c r="X868">
        <v>0</v>
      </c>
      <c r="Y868">
        <v>0</v>
      </c>
      <c r="AA868">
        <v>4</v>
      </c>
      <c r="AB868">
        <v>4</v>
      </c>
      <c r="AC868">
        <v>0</v>
      </c>
      <c r="AD868">
        <v>1</v>
      </c>
      <c r="AE868" s="19" t="s">
        <v>60</v>
      </c>
    </row>
    <row r="869" spans="1:31" x14ac:dyDescent="0.2">
      <c r="A869">
        <v>834</v>
      </c>
      <c r="B869" s="19" t="s">
        <v>1438</v>
      </c>
      <c r="C869">
        <v>30</v>
      </c>
      <c r="D869" s="19" t="s">
        <v>336</v>
      </c>
      <c r="E869" s="19" t="s">
        <v>3</v>
      </c>
      <c r="F869">
        <v>9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1723</v>
      </c>
      <c r="W869" s="19" t="s">
        <v>1724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6</v>
      </c>
      <c r="AE869" s="19" t="s">
        <v>60</v>
      </c>
    </row>
    <row r="870" spans="1:31" x14ac:dyDescent="0.2">
      <c r="A870">
        <v>835</v>
      </c>
      <c r="B870" s="19" t="s">
        <v>1439</v>
      </c>
      <c r="C870">
        <v>29</v>
      </c>
      <c r="D870" s="19" t="s">
        <v>375</v>
      </c>
      <c r="E870" s="19" t="s">
        <v>339</v>
      </c>
      <c r="F870">
        <v>2</v>
      </c>
      <c r="G870">
        <v>0</v>
      </c>
      <c r="H870">
        <v>0</v>
      </c>
      <c r="I870">
        <v>0</v>
      </c>
      <c r="J870">
        <v>0</v>
      </c>
      <c r="K870">
        <v>5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</v>
      </c>
      <c r="T870">
        <v>0</v>
      </c>
      <c r="U870">
        <v>4</v>
      </c>
      <c r="V870" s="19" t="s">
        <v>672</v>
      </c>
      <c r="W870" s="19" t="s">
        <v>1440</v>
      </c>
      <c r="X870">
        <v>0</v>
      </c>
      <c r="Y870">
        <v>0</v>
      </c>
      <c r="AA870">
        <v>0</v>
      </c>
      <c r="AB870">
        <v>3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1442</v>
      </c>
      <c r="C871">
        <v>30</v>
      </c>
      <c r="D871" s="19" t="s">
        <v>984</v>
      </c>
      <c r="E871" s="19" t="s">
        <v>3</v>
      </c>
      <c r="F871">
        <v>17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1745</v>
      </c>
      <c r="W871" s="19" t="s">
        <v>1232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4</v>
      </c>
      <c r="AE871" s="19" t="s">
        <v>60</v>
      </c>
    </row>
    <row r="872" spans="1:31" x14ac:dyDescent="0.2">
      <c r="A872">
        <v>836</v>
      </c>
      <c r="B872" s="19" t="s">
        <v>1442</v>
      </c>
      <c r="C872">
        <v>30</v>
      </c>
      <c r="D872" s="19" t="s">
        <v>375</v>
      </c>
      <c r="E872" s="19" t="s">
        <v>3</v>
      </c>
      <c r="F872">
        <v>14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1664</v>
      </c>
      <c r="W872" s="19" t="s">
        <v>1665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4</v>
      </c>
      <c r="AE872" s="19" t="s">
        <v>60</v>
      </c>
    </row>
    <row r="873" spans="1:31" x14ac:dyDescent="0.2">
      <c r="A873">
        <v>836</v>
      </c>
      <c r="B873" s="19" t="s">
        <v>1442</v>
      </c>
      <c r="C873">
        <v>30</v>
      </c>
      <c r="D873" s="19" t="s">
        <v>327</v>
      </c>
      <c r="E873" s="19" t="s">
        <v>3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1746</v>
      </c>
      <c r="W873" s="19" t="s">
        <v>1747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837</v>
      </c>
      <c r="B874" s="19" t="s">
        <v>1443</v>
      </c>
      <c r="C874">
        <v>22</v>
      </c>
      <c r="D874" s="19" t="s">
        <v>357</v>
      </c>
      <c r="E874" s="19" t="s">
        <v>348</v>
      </c>
      <c r="F874">
        <v>18</v>
      </c>
      <c r="G874">
        <v>0</v>
      </c>
      <c r="H874">
        <v>0</v>
      </c>
      <c r="I874">
        <v>0</v>
      </c>
      <c r="J874">
        <v>1</v>
      </c>
      <c r="K874">
        <v>12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11</v>
      </c>
      <c r="T874">
        <v>0</v>
      </c>
      <c r="U874">
        <v>32</v>
      </c>
      <c r="V874" s="19" t="s">
        <v>1864</v>
      </c>
      <c r="W874" s="19" t="s">
        <v>1201</v>
      </c>
      <c r="X874">
        <v>0</v>
      </c>
      <c r="Y874">
        <v>0</v>
      </c>
      <c r="AA874">
        <v>14</v>
      </c>
      <c r="AB874">
        <v>5</v>
      </c>
      <c r="AC874">
        <v>3</v>
      </c>
      <c r="AD874">
        <v>17</v>
      </c>
      <c r="AE874" s="19" t="s">
        <v>60</v>
      </c>
    </row>
    <row r="875" spans="1:31" x14ac:dyDescent="0.2">
      <c r="A875">
        <v>838</v>
      </c>
      <c r="B875" s="19" t="s">
        <v>1444</v>
      </c>
      <c r="C875">
        <v>30</v>
      </c>
      <c r="D875" s="19" t="s">
        <v>351</v>
      </c>
      <c r="E875" s="19" t="s">
        <v>3</v>
      </c>
      <c r="F875">
        <v>17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2805</v>
      </c>
      <c r="W875" s="19" t="s">
        <v>2806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2</v>
      </c>
      <c r="AE875" s="19" t="s">
        <v>60</v>
      </c>
    </row>
    <row r="876" spans="1:31" x14ac:dyDescent="0.2">
      <c r="A876">
        <v>839</v>
      </c>
      <c r="B876" s="19" t="s">
        <v>1445</v>
      </c>
      <c r="C876">
        <v>24</v>
      </c>
      <c r="D876" s="19" t="s">
        <v>430</v>
      </c>
      <c r="E876" s="19" t="s">
        <v>348</v>
      </c>
      <c r="F876">
        <v>3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4</v>
      </c>
      <c r="V876" s="19" t="s">
        <v>1446</v>
      </c>
      <c r="W876" s="19" t="s">
        <v>1447</v>
      </c>
      <c r="X876">
        <v>0</v>
      </c>
      <c r="Y876">
        <v>0</v>
      </c>
      <c r="AA876">
        <v>3</v>
      </c>
      <c r="AB876">
        <v>2</v>
      </c>
      <c r="AC876">
        <v>2</v>
      </c>
      <c r="AD876">
        <v>2</v>
      </c>
      <c r="AE876" s="19" t="s">
        <v>60</v>
      </c>
    </row>
    <row r="877" spans="1:31" x14ac:dyDescent="0.2">
      <c r="A877">
        <v>840</v>
      </c>
      <c r="B877" s="19" t="s">
        <v>1448</v>
      </c>
      <c r="C877">
        <v>26</v>
      </c>
      <c r="D877" s="19" t="s">
        <v>357</v>
      </c>
      <c r="E877" s="19" t="s">
        <v>325</v>
      </c>
      <c r="F877">
        <v>20</v>
      </c>
      <c r="G877">
        <v>0</v>
      </c>
      <c r="H877">
        <v>0</v>
      </c>
      <c r="I877">
        <v>0</v>
      </c>
      <c r="J877">
        <v>-6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17</v>
      </c>
      <c r="T877">
        <v>0</v>
      </c>
      <c r="U877">
        <v>32</v>
      </c>
      <c r="V877" s="19" t="s">
        <v>1748</v>
      </c>
      <c r="W877" s="19" t="s">
        <v>1749</v>
      </c>
      <c r="X877">
        <v>60</v>
      </c>
      <c r="Y877">
        <v>46</v>
      </c>
      <c r="Z877">
        <v>56.6</v>
      </c>
      <c r="AA877">
        <v>7</v>
      </c>
      <c r="AB877">
        <v>47</v>
      </c>
      <c r="AC877">
        <v>1</v>
      </c>
      <c r="AD877">
        <v>8</v>
      </c>
      <c r="AE877" s="19" t="s">
        <v>60</v>
      </c>
    </row>
    <row r="878" spans="1:31" x14ac:dyDescent="0.2">
      <c r="A878">
        <v>841</v>
      </c>
      <c r="B878" s="19" t="s">
        <v>1451</v>
      </c>
      <c r="C878">
        <v>21</v>
      </c>
      <c r="D878" s="19" t="s">
        <v>519</v>
      </c>
      <c r="E878" s="19" t="s">
        <v>322</v>
      </c>
      <c r="F878">
        <v>5</v>
      </c>
      <c r="G878">
        <v>0</v>
      </c>
      <c r="H878">
        <v>0</v>
      </c>
      <c r="I878">
        <v>0</v>
      </c>
      <c r="J878">
        <v>-6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6</v>
      </c>
      <c r="T878">
        <v>0</v>
      </c>
      <c r="U878">
        <v>8</v>
      </c>
      <c r="V878" s="19" t="s">
        <v>1666</v>
      </c>
      <c r="W878" s="19" t="s">
        <v>1204</v>
      </c>
      <c r="X878">
        <v>1</v>
      </c>
      <c r="Y878">
        <v>1</v>
      </c>
      <c r="Z878">
        <v>50</v>
      </c>
      <c r="AA878">
        <v>3</v>
      </c>
      <c r="AB878">
        <v>2</v>
      </c>
      <c r="AC878">
        <v>0</v>
      </c>
      <c r="AD878">
        <v>2</v>
      </c>
      <c r="AE878" s="19" t="s">
        <v>60</v>
      </c>
    </row>
    <row r="879" spans="1:31" x14ac:dyDescent="0.2">
      <c r="A879">
        <v>842</v>
      </c>
      <c r="B879" s="19" t="s">
        <v>1452</v>
      </c>
      <c r="C879">
        <v>27</v>
      </c>
      <c r="D879" s="19" t="s">
        <v>351</v>
      </c>
      <c r="E879" s="19" t="s">
        <v>339</v>
      </c>
      <c r="F879">
        <v>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1</v>
      </c>
      <c r="V879" s="19" t="s">
        <v>1453</v>
      </c>
      <c r="W879" s="19" t="s">
        <v>1454</v>
      </c>
      <c r="X879">
        <v>7</v>
      </c>
      <c r="Y879">
        <v>12</v>
      </c>
      <c r="Z879">
        <v>36.799999999999997</v>
      </c>
      <c r="AA879">
        <v>2</v>
      </c>
      <c r="AB879">
        <v>5</v>
      </c>
      <c r="AC879">
        <v>0</v>
      </c>
      <c r="AD879">
        <v>0</v>
      </c>
      <c r="AE879" s="19" t="s">
        <v>60</v>
      </c>
    </row>
    <row r="880" spans="1:31" x14ac:dyDescent="0.2">
      <c r="A880">
        <v>843</v>
      </c>
      <c r="B880" s="19" t="s">
        <v>1455</v>
      </c>
      <c r="C880">
        <v>21</v>
      </c>
      <c r="D880" s="19" t="s">
        <v>464</v>
      </c>
      <c r="E880" s="19" t="s">
        <v>334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5</v>
      </c>
      <c r="V880" s="19" t="s">
        <v>730</v>
      </c>
      <c r="W880" s="19" t="s">
        <v>970</v>
      </c>
      <c r="X880">
        <v>0</v>
      </c>
      <c r="Y880">
        <v>1</v>
      </c>
      <c r="Z880">
        <v>0</v>
      </c>
      <c r="AA880">
        <v>1</v>
      </c>
      <c r="AB880">
        <v>4</v>
      </c>
      <c r="AC880">
        <v>0</v>
      </c>
      <c r="AD880">
        <v>0</v>
      </c>
      <c r="AE880" s="19" t="s">
        <v>60</v>
      </c>
    </row>
    <row r="881" spans="1:31" x14ac:dyDescent="0.2">
      <c r="A881">
        <v>844</v>
      </c>
      <c r="B881" s="19" t="s">
        <v>1456</v>
      </c>
      <c r="C881">
        <v>23</v>
      </c>
      <c r="D881" s="19" t="s">
        <v>439</v>
      </c>
      <c r="E881" s="19" t="s">
        <v>322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6</v>
      </c>
      <c r="V881" s="19" t="s">
        <v>1457</v>
      </c>
      <c r="W881" s="19" t="s">
        <v>1458</v>
      </c>
      <c r="X881">
        <v>0</v>
      </c>
      <c r="Y881">
        <v>3</v>
      </c>
      <c r="Z881">
        <v>0</v>
      </c>
      <c r="AA881">
        <v>3</v>
      </c>
      <c r="AB881">
        <v>1</v>
      </c>
      <c r="AC881">
        <v>0</v>
      </c>
      <c r="AD881">
        <v>1</v>
      </c>
      <c r="AE881" s="19" t="s">
        <v>60</v>
      </c>
    </row>
    <row r="882" spans="1:31" x14ac:dyDescent="0.2">
      <c r="A882">
        <v>845</v>
      </c>
      <c r="B882" s="19" t="s">
        <v>1459</v>
      </c>
      <c r="C882">
        <v>26</v>
      </c>
      <c r="D882" s="19" t="s">
        <v>430</v>
      </c>
      <c r="E882" s="19" t="s">
        <v>348</v>
      </c>
      <c r="F882">
        <v>16</v>
      </c>
      <c r="G882">
        <v>0</v>
      </c>
      <c r="H882">
        <v>0</v>
      </c>
      <c r="I882">
        <v>0</v>
      </c>
      <c r="J882">
        <v>-4</v>
      </c>
      <c r="K882">
        <v>10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23</v>
      </c>
      <c r="T882">
        <v>0</v>
      </c>
      <c r="U882">
        <v>57</v>
      </c>
      <c r="V882" s="19" t="s">
        <v>2807</v>
      </c>
      <c r="W882" s="19" t="s">
        <v>1192</v>
      </c>
      <c r="X882">
        <v>0</v>
      </c>
      <c r="Y882">
        <v>0</v>
      </c>
      <c r="AA882">
        <v>22</v>
      </c>
      <c r="AB882">
        <v>14</v>
      </c>
      <c r="AC882">
        <v>4</v>
      </c>
      <c r="AD882">
        <v>23</v>
      </c>
      <c r="AE882" s="19" t="s">
        <v>60</v>
      </c>
    </row>
    <row r="883" spans="1:31" x14ac:dyDescent="0.2">
      <c r="A883">
        <v>846</v>
      </c>
      <c r="B883" s="19" t="s">
        <v>1460</v>
      </c>
      <c r="C883">
        <v>26</v>
      </c>
      <c r="D883" s="19" t="s">
        <v>398</v>
      </c>
      <c r="E883" s="19" t="s">
        <v>3</v>
      </c>
      <c r="F883">
        <v>9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1</v>
      </c>
      <c r="V883" s="19" t="s">
        <v>1828</v>
      </c>
      <c r="W883" s="19" t="s">
        <v>1829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7</v>
      </c>
      <c r="AE883" s="19" t="s">
        <v>60</v>
      </c>
    </row>
    <row r="884" spans="1:31" x14ac:dyDescent="0.2">
      <c r="A884">
        <v>847</v>
      </c>
      <c r="B884" s="19" t="s">
        <v>1461</v>
      </c>
      <c r="C884">
        <v>24</v>
      </c>
      <c r="D884" s="19" t="s">
        <v>408</v>
      </c>
      <c r="E884" s="19" t="s">
        <v>3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1462</v>
      </c>
      <c r="W884" s="19" t="s">
        <v>1463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848</v>
      </c>
      <c r="B885" s="19" t="s">
        <v>1464</v>
      </c>
      <c r="C885">
        <v>31</v>
      </c>
      <c r="D885" s="19" t="s">
        <v>354</v>
      </c>
      <c r="E885" s="19" t="s">
        <v>3</v>
      </c>
      <c r="F885">
        <v>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1942</v>
      </c>
      <c r="W885" s="19" t="s">
        <v>1662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8</v>
      </c>
      <c r="AE885" s="19" t="s">
        <v>60</v>
      </c>
    </row>
    <row r="886" spans="1:31" x14ac:dyDescent="0.2">
      <c r="A886">
        <v>849</v>
      </c>
      <c r="B886" s="19" t="s">
        <v>1465</v>
      </c>
      <c r="C886">
        <v>35</v>
      </c>
      <c r="D886" s="19" t="s">
        <v>421</v>
      </c>
      <c r="E886" s="19" t="s">
        <v>3</v>
      </c>
      <c r="F886">
        <v>24</v>
      </c>
      <c r="G886">
        <v>0</v>
      </c>
      <c r="H886">
        <v>0</v>
      </c>
      <c r="I886">
        <v>0</v>
      </c>
      <c r="J886">
        <v>0</v>
      </c>
      <c r="K886">
        <v>4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2808</v>
      </c>
      <c r="W886" s="19" t="s">
        <v>2809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7</v>
      </c>
      <c r="AE886" s="19" t="s">
        <v>60</v>
      </c>
    </row>
    <row r="887" spans="1:31" x14ac:dyDescent="0.2">
      <c r="A887">
        <v>850</v>
      </c>
      <c r="B887" s="19" t="s">
        <v>1466</v>
      </c>
      <c r="C887">
        <v>35</v>
      </c>
      <c r="D887" s="19" t="s">
        <v>372</v>
      </c>
      <c r="E887" s="19" t="s">
        <v>348</v>
      </c>
      <c r="F887">
        <v>2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1</v>
      </c>
      <c r="V887" s="19" t="s">
        <v>1467</v>
      </c>
      <c r="W887" s="19" t="s">
        <v>652</v>
      </c>
      <c r="X887">
        <v>0</v>
      </c>
      <c r="Y887">
        <v>0</v>
      </c>
      <c r="AA887">
        <v>0</v>
      </c>
      <c r="AB887">
        <v>1</v>
      </c>
      <c r="AC887">
        <v>0</v>
      </c>
      <c r="AD887">
        <v>2</v>
      </c>
      <c r="AE887" s="19" t="s">
        <v>60</v>
      </c>
    </row>
    <row r="888" spans="1:31" x14ac:dyDescent="0.2">
      <c r="A888">
        <v>851</v>
      </c>
      <c r="B888" s="19" t="s">
        <v>1667</v>
      </c>
      <c r="C888">
        <v>24</v>
      </c>
      <c r="D888" s="19" t="s">
        <v>430</v>
      </c>
      <c r="E888" s="19" t="s">
        <v>322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1668</v>
      </c>
      <c r="W888" s="19" t="s">
        <v>1668</v>
      </c>
      <c r="X888">
        <v>0</v>
      </c>
      <c r="Y888">
        <v>0</v>
      </c>
      <c r="AA888">
        <v>0</v>
      </c>
      <c r="AB888">
        <v>1</v>
      </c>
      <c r="AC888">
        <v>0</v>
      </c>
      <c r="AD888">
        <v>0</v>
      </c>
      <c r="AE888" s="19" t="s">
        <v>60</v>
      </c>
    </row>
    <row r="889" spans="1:31" x14ac:dyDescent="0.2">
      <c r="A889">
        <v>852</v>
      </c>
      <c r="B889" s="19" t="s">
        <v>1468</v>
      </c>
      <c r="C889">
        <v>32</v>
      </c>
      <c r="D889" s="19" t="s">
        <v>451</v>
      </c>
      <c r="E889" s="19" t="s">
        <v>322</v>
      </c>
      <c r="F889">
        <v>1</v>
      </c>
      <c r="G889">
        <v>0</v>
      </c>
      <c r="H889">
        <v>0</v>
      </c>
      <c r="I889">
        <v>0</v>
      </c>
      <c r="J889">
        <v>-1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</v>
      </c>
      <c r="T889">
        <v>0</v>
      </c>
      <c r="U889">
        <v>3</v>
      </c>
      <c r="V889" s="19" t="s">
        <v>1469</v>
      </c>
      <c r="W889" s="19" t="s">
        <v>1469</v>
      </c>
      <c r="X889">
        <v>1</v>
      </c>
      <c r="Y889">
        <v>1</v>
      </c>
      <c r="Z889">
        <v>50</v>
      </c>
      <c r="AA889">
        <v>2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853</v>
      </c>
      <c r="B890" s="19" t="s">
        <v>1470</v>
      </c>
      <c r="C890">
        <v>22</v>
      </c>
      <c r="D890" s="19" t="s">
        <v>400</v>
      </c>
      <c r="E890" s="19" t="s">
        <v>339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1471</v>
      </c>
      <c r="W890" s="19" t="s">
        <v>1471</v>
      </c>
      <c r="X890">
        <v>1</v>
      </c>
      <c r="Y890">
        <v>0</v>
      </c>
      <c r="Z890">
        <v>100</v>
      </c>
      <c r="AA890">
        <v>0</v>
      </c>
      <c r="AB890">
        <v>1</v>
      </c>
      <c r="AC890">
        <v>0</v>
      </c>
      <c r="AD890">
        <v>0</v>
      </c>
      <c r="AE890" s="19" t="s">
        <v>60</v>
      </c>
    </row>
    <row r="891" spans="1:31" x14ac:dyDescent="0.2">
      <c r="A891">
        <v>854</v>
      </c>
      <c r="B891" s="19" t="s">
        <v>1750</v>
      </c>
      <c r="C891">
        <v>23</v>
      </c>
      <c r="D891" s="19" t="s">
        <v>357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2</v>
      </c>
      <c r="V891" s="19" t="s">
        <v>1011</v>
      </c>
      <c r="W891" s="19" t="s">
        <v>1011</v>
      </c>
      <c r="X891">
        <v>0</v>
      </c>
      <c r="Y891">
        <v>0</v>
      </c>
      <c r="AA891">
        <v>1</v>
      </c>
      <c r="AB891">
        <v>0</v>
      </c>
      <c r="AC891">
        <v>0</v>
      </c>
      <c r="AD891">
        <v>2</v>
      </c>
      <c r="AE891" s="19" t="s">
        <v>60</v>
      </c>
    </row>
    <row r="892" spans="1:31" x14ac:dyDescent="0.2">
      <c r="A892">
        <v>855</v>
      </c>
      <c r="B892" s="19" t="s">
        <v>1474</v>
      </c>
      <c r="C892">
        <v>25</v>
      </c>
      <c r="D892" s="19" t="s">
        <v>400</v>
      </c>
      <c r="E892" s="19" t="s">
        <v>334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1064</v>
      </c>
      <c r="W892" s="19" t="s">
        <v>1064</v>
      </c>
      <c r="X892">
        <v>0</v>
      </c>
      <c r="Y892">
        <v>1</v>
      </c>
      <c r="Z892">
        <v>0</v>
      </c>
      <c r="AA892">
        <v>1</v>
      </c>
      <c r="AB892">
        <v>2</v>
      </c>
      <c r="AC892">
        <v>0</v>
      </c>
      <c r="AD892">
        <v>0</v>
      </c>
      <c r="AE892" s="19" t="s">
        <v>60</v>
      </c>
    </row>
    <row r="893" spans="1:31" x14ac:dyDescent="0.2">
      <c r="A893">
        <v>856</v>
      </c>
      <c r="B893" s="19" t="s">
        <v>1475</v>
      </c>
      <c r="C893">
        <v>22</v>
      </c>
      <c r="D893" s="19" t="s">
        <v>343</v>
      </c>
      <c r="E893" s="19" t="s">
        <v>3</v>
      </c>
      <c r="F893">
        <v>7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1476</v>
      </c>
      <c r="W893" s="19" t="s">
        <v>1477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857</v>
      </c>
      <c r="B894" s="19" t="s">
        <v>1478</v>
      </c>
      <c r="C894">
        <v>19</v>
      </c>
      <c r="D894" s="19" t="s">
        <v>408</v>
      </c>
      <c r="E894" s="19" t="s">
        <v>325</v>
      </c>
      <c r="F894">
        <v>4</v>
      </c>
      <c r="G894">
        <v>0</v>
      </c>
      <c r="H894">
        <v>0</v>
      </c>
      <c r="I894">
        <v>0</v>
      </c>
      <c r="J894">
        <v>-3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2</v>
      </c>
      <c r="V894" s="19" t="s">
        <v>1479</v>
      </c>
      <c r="W894" s="19" t="s">
        <v>1480</v>
      </c>
      <c r="X894">
        <v>11</v>
      </c>
      <c r="Y894">
        <v>10</v>
      </c>
      <c r="Z894">
        <v>52.4</v>
      </c>
      <c r="AA894">
        <v>3</v>
      </c>
      <c r="AB894">
        <v>2</v>
      </c>
      <c r="AC894">
        <v>0</v>
      </c>
      <c r="AD894">
        <v>1</v>
      </c>
      <c r="AE894" s="19" t="s">
        <v>60</v>
      </c>
    </row>
    <row r="895" spans="1:31" x14ac:dyDescent="0.2">
      <c r="A895">
        <v>858</v>
      </c>
      <c r="B895" s="19" t="s">
        <v>1482</v>
      </c>
      <c r="C895">
        <v>26</v>
      </c>
      <c r="D895" s="19" t="s">
        <v>430</v>
      </c>
      <c r="E895" s="19" t="s">
        <v>3</v>
      </c>
      <c r="F895">
        <v>13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2810</v>
      </c>
      <c r="W895" s="19" t="s">
        <v>1901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6</v>
      </c>
      <c r="AE895" s="19" t="s">
        <v>60</v>
      </c>
    </row>
    <row r="896" spans="1:31" x14ac:dyDescent="0.2">
      <c r="A896">
        <v>859</v>
      </c>
      <c r="B896" s="19" t="s">
        <v>1485</v>
      </c>
      <c r="C896">
        <v>29</v>
      </c>
      <c r="D896" s="19" t="s">
        <v>400</v>
      </c>
      <c r="E896" s="19" t="s">
        <v>322</v>
      </c>
      <c r="F896">
        <v>3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4</v>
      </c>
      <c r="T896">
        <v>0</v>
      </c>
      <c r="U896">
        <v>7</v>
      </c>
      <c r="V896" s="19" t="s">
        <v>1486</v>
      </c>
      <c r="W896" s="19" t="s">
        <v>1487</v>
      </c>
      <c r="X896">
        <v>0</v>
      </c>
      <c r="Y896">
        <v>2</v>
      </c>
      <c r="Z896">
        <v>0</v>
      </c>
      <c r="AA896">
        <v>1</v>
      </c>
      <c r="AB896">
        <v>6</v>
      </c>
      <c r="AC896">
        <v>1</v>
      </c>
      <c r="AD896">
        <v>2</v>
      </c>
      <c r="AE896" s="19" t="s">
        <v>60</v>
      </c>
    </row>
    <row r="897" spans="1:31" x14ac:dyDescent="0.2">
      <c r="A897">
        <v>860</v>
      </c>
      <c r="B897" s="19" t="s">
        <v>1488</v>
      </c>
      <c r="C897">
        <v>24</v>
      </c>
      <c r="D897" s="19" t="s">
        <v>321</v>
      </c>
      <c r="E897" s="19" t="s">
        <v>339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3</v>
      </c>
      <c r="T897">
        <v>0</v>
      </c>
      <c r="U897">
        <v>5</v>
      </c>
      <c r="V897" s="19" t="s">
        <v>600</v>
      </c>
      <c r="W897" s="19" t="s">
        <v>1489</v>
      </c>
      <c r="X897">
        <v>0</v>
      </c>
      <c r="Y897">
        <v>0</v>
      </c>
      <c r="AA897">
        <v>0</v>
      </c>
      <c r="AB897">
        <v>6</v>
      </c>
      <c r="AC897">
        <v>0</v>
      </c>
      <c r="AD897">
        <v>0</v>
      </c>
      <c r="AE897" s="19" t="s">
        <v>60</v>
      </c>
    </row>
    <row r="898" spans="1:31" x14ac:dyDescent="0.2">
      <c r="A898">
        <v>861</v>
      </c>
      <c r="B898" s="19" t="s">
        <v>1490</v>
      </c>
      <c r="C898">
        <v>23</v>
      </c>
      <c r="D898" s="19" t="s">
        <v>451</v>
      </c>
      <c r="E898" s="19" t="s">
        <v>348</v>
      </c>
      <c r="F898">
        <v>5</v>
      </c>
      <c r="G898">
        <v>0</v>
      </c>
      <c r="H898">
        <v>0</v>
      </c>
      <c r="I898">
        <v>0</v>
      </c>
      <c r="J898">
        <v>-2</v>
      </c>
      <c r="K898">
        <v>5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7</v>
      </c>
      <c r="V898" s="19" t="s">
        <v>1491</v>
      </c>
      <c r="W898" s="19" t="s">
        <v>1492</v>
      </c>
      <c r="X898">
        <v>0</v>
      </c>
      <c r="Y898">
        <v>0</v>
      </c>
      <c r="AA898">
        <v>5</v>
      </c>
      <c r="AB898">
        <v>6</v>
      </c>
      <c r="AC898">
        <v>0</v>
      </c>
      <c r="AD898">
        <v>2</v>
      </c>
      <c r="AE898" s="19" t="s">
        <v>60</v>
      </c>
    </row>
    <row r="899" spans="1:31" x14ac:dyDescent="0.2">
      <c r="A899">
        <v>862</v>
      </c>
      <c r="B899" s="19" t="s">
        <v>1495</v>
      </c>
      <c r="C899">
        <v>33</v>
      </c>
      <c r="D899" s="19" t="s">
        <v>366</v>
      </c>
      <c r="E899" s="19" t="s">
        <v>348</v>
      </c>
      <c r="F899">
        <v>5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8</v>
      </c>
      <c r="V899" s="19" t="s">
        <v>2811</v>
      </c>
      <c r="W899" s="19" t="s">
        <v>2656</v>
      </c>
      <c r="X899">
        <v>0</v>
      </c>
      <c r="Y899">
        <v>0</v>
      </c>
      <c r="AA899">
        <v>4</v>
      </c>
      <c r="AB899">
        <v>12</v>
      </c>
      <c r="AC899">
        <v>0</v>
      </c>
      <c r="AD899">
        <v>3</v>
      </c>
      <c r="AE899" s="19" t="s">
        <v>60</v>
      </c>
    </row>
    <row r="900" spans="1:31" x14ac:dyDescent="0.2">
      <c r="A900">
        <v>863</v>
      </c>
      <c r="B900" s="19" t="s">
        <v>1497</v>
      </c>
      <c r="C900">
        <v>23</v>
      </c>
      <c r="D900" s="19" t="s">
        <v>418</v>
      </c>
      <c r="E900" s="19" t="s">
        <v>3</v>
      </c>
      <c r="F900">
        <v>12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2812</v>
      </c>
      <c r="W900" s="19" t="s">
        <v>2813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4</v>
      </c>
      <c r="AE900" s="19" t="s">
        <v>60</v>
      </c>
    </row>
    <row r="901" spans="1:31" x14ac:dyDescent="0.2">
      <c r="A901">
        <v>864</v>
      </c>
      <c r="B901" s="19" t="s">
        <v>1498</v>
      </c>
      <c r="C901">
        <v>25</v>
      </c>
      <c r="D901" s="19" t="s">
        <v>354</v>
      </c>
      <c r="E901" s="19" t="s">
        <v>325</v>
      </c>
      <c r="F901">
        <v>1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1</v>
      </c>
      <c r="V901" s="19" t="s">
        <v>1499</v>
      </c>
      <c r="W901" s="19" t="s">
        <v>1499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865</v>
      </c>
      <c r="B902" s="19" t="s">
        <v>1500</v>
      </c>
      <c r="C902">
        <v>27</v>
      </c>
      <c r="D902" s="19" t="s">
        <v>430</v>
      </c>
      <c r="E902" s="19" t="s">
        <v>348</v>
      </c>
      <c r="F902">
        <v>10</v>
      </c>
      <c r="G902">
        <v>0</v>
      </c>
      <c r="H902">
        <v>0</v>
      </c>
      <c r="I902">
        <v>0</v>
      </c>
      <c r="J902">
        <v>7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4</v>
      </c>
      <c r="T902">
        <v>0</v>
      </c>
      <c r="U902">
        <v>10</v>
      </c>
      <c r="V902" s="19" t="s">
        <v>2814</v>
      </c>
      <c r="W902" s="19" t="s">
        <v>950</v>
      </c>
      <c r="X902">
        <v>0</v>
      </c>
      <c r="Y902">
        <v>0</v>
      </c>
      <c r="AA902">
        <v>4</v>
      </c>
      <c r="AB902">
        <v>3</v>
      </c>
      <c r="AC902">
        <v>2</v>
      </c>
      <c r="AD902">
        <v>9</v>
      </c>
      <c r="AE902" s="19" t="s">
        <v>60</v>
      </c>
    </row>
    <row r="903" spans="1:31" x14ac:dyDescent="0.2">
      <c r="A903">
        <v>866</v>
      </c>
      <c r="B903" s="19" t="s">
        <v>1501</v>
      </c>
      <c r="C903">
        <v>22</v>
      </c>
      <c r="D903" s="19" t="s">
        <v>345</v>
      </c>
      <c r="E903" s="19" t="s">
        <v>3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1502</v>
      </c>
      <c r="W903" s="19" t="s">
        <v>1503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867</v>
      </c>
      <c r="B904" s="19" t="s">
        <v>1504</v>
      </c>
      <c r="C904">
        <v>33</v>
      </c>
      <c r="D904" s="19" t="s">
        <v>345</v>
      </c>
      <c r="E904" s="19" t="s">
        <v>348</v>
      </c>
      <c r="F904">
        <v>12</v>
      </c>
      <c r="G904">
        <v>0</v>
      </c>
      <c r="H904">
        <v>0</v>
      </c>
      <c r="I904">
        <v>0</v>
      </c>
      <c r="J904">
        <v>-7</v>
      </c>
      <c r="K904">
        <v>6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13</v>
      </c>
      <c r="T904">
        <v>0</v>
      </c>
      <c r="U904">
        <v>39</v>
      </c>
      <c r="V904" s="19" t="s">
        <v>2815</v>
      </c>
      <c r="W904" s="19" t="s">
        <v>667</v>
      </c>
      <c r="X904">
        <v>0</v>
      </c>
      <c r="Y904">
        <v>0</v>
      </c>
      <c r="AA904">
        <v>9</v>
      </c>
      <c r="AB904">
        <v>21</v>
      </c>
      <c r="AC904">
        <v>2</v>
      </c>
      <c r="AD904">
        <v>10</v>
      </c>
      <c r="AE904" s="19" t="s">
        <v>60</v>
      </c>
    </row>
    <row r="905" spans="1:31" x14ac:dyDescent="0.2">
      <c r="A905">
        <v>868</v>
      </c>
      <c r="B905" s="19" t="s">
        <v>1505</v>
      </c>
      <c r="C905">
        <v>24</v>
      </c>
      <c r="D905" s="19" t="s">
        <v>321</v>
      </c>
      <c r="E905" s="19" t="s">
        <v>3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1506</v>
      </c>
      <c r="W905" s="19" t="s">
        <v>1507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869</v>
      </c>
      <c r="B906" s="19" t="s">
        <v>1508</v>
      </c>
      <c r="C906">
        <v>28</v>
      </c>
      <c r="D906" s="19" t="s">
        <v>439</v>
      </c>
      <c r="E906" s="19" t="s">
        <v>348</v>
      </c>
      <c r="F906">
        <v>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2</v>
      </c>
      <c r="V906" s="19" t="s">
        <v>437</v>
      </c>
      <c r="W906" s="19" t="s">
        <v>437</v>
      </c>
      <c r="X906">
        <v>0</v>
      </c>
      <c r="Y906">
        <v>0</v>
      </c>
      <c r="AA906">
        <v>2</v>
      </c>
      <c r="AB906">
        <v>0</v>
      </c>
      <c r="AC906">
        <v>0</v>
      </c>
      <c r="AD906">
        <v>1</v>
      </c>
      <c r="AE906" s="19" t="s">
        <v>60</v>
      </c>
    </row>
    <row r="907" spans="1:31" x14ac:dyDescent="0.2">
      <c r="A907">
        <v>870</v>
      </c>
      <c r="B907" s="19" t="s">
        <v>1830</v>
      </c>
      <c r="C907">
        <v>21</v>
      </c>
      <c r="D907" s="19" t="s">
        <v>366</v>
      </c>
      <c r="E907" s="19" t="s">
        <v>339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3</v>
      </c>
      <c r="T907">
        <v>0</v>
      </c>
      <c r="U907">
        <v>8</v>
      </c>
      <c r="V907" s="19" t="s">
        <v>1675</v>
      </c>
      <c r="W907" s="19" t="s">
        <v>1866</v>
      </c>
      <c r="X907">
        <v>0</v>
      </c>
      <c r="Y907">
        <v>0</v>
      </c>
      <c r="AA907">
        <v>1</v>
      </c>
      <c r="AB907">
        <v>4</v>
      </c>
      <c r="AC907">
        <v>0</v>
      </c>
      <c r="AD907">
        <v>0</v>
      </c>
      <c r="AE907" s="19" t="s">
        <v>60</v>
      </c>
    </row>
    <row r="908" spans="1:31" x14ac:dyDescent="0.2">
      <c r="A908">
        <v>871</v>
      </c>
      <c r="B908" s="19" t="s">
        <v>1510</v>
      </c>
      <c r="C908">
        <v>29</v>
      </c>
      <c r="D908" s="19" t="s">
        <v>363</v>
      </c>
      <c r="E908" s="19" t="s">
        <v>3</v>
      </c>
      <c r="F908">
        <v>16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2816</v>
      </c>
      <c r="W908" s="19" t="s">
        <v>2817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872</v>
      </c>
      <c r="B909" s="19" t="s">
        <v>1511</v>
      </c>
      <c r="C909">
        <v>26</v>
      </c>
      <c r="D909" s="19" t="s">
        <v>439</v>
      </c>
      <c r="E909" s="19" t="s">
        <v>325</v>
      </c>
      <c r="F909">
        <v>3</v>
      </c>
      <c r="G909">
        <v>0</v>
      </c>
      <c r="H909">
        <v>0</v>
      </c>
      <c r="I909">
        <v>0</v>
      </c>
      <c r="J909">
        <v>-1</v>
      </c>
      <c r="K909">
        <v>10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7</v>
      </c>
      <c r="V909" s="19" t="s">
        <v>1512</v>
      </c>
      <c r="W909" s="19" t="s">
        <v>1168</v>
      </c>
      <c r="X909">
        <v>16</v>
      </c>
      <c r="Y909">
        <v>8</v>
      </c>
      <c r="Z909">
        <v>66.7</v>
      </c>
      <c r="AA909">
        <v>1</v>
      </c>
      <c r="AB909">
        <v>9</v>
      </c>
      <c r="AC909">
        <v>1</v>
      </c>
      <c r="AD909">
        <v>2</v>
      </c>
      <c r="AE909" s="19" t="s">
        <v>60</v>
      </c>
    </row>
    <row r="910" spans="1:31" x14ac:dyDescent="0.2">
      <c r="A910">
        <v>873</v>
      </c>
      <c r="B910" s="19" t="s">
        <v>1513</v>
      </c>
      <c r="C910">
        <v>27</v>
      </c>
      <c r="D910" s="19" t="s">
        <v>421</v>
      </c>
      <c r="E910" s="19" t="s">
        <v>348</v>
      </c>
      <c r="F910">
        <v>8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14</v>
      </c>
      <c r="V910" s="19" t="s">
        <v>1514</v>
      </c>
      <c r="W910" s="19" t="s">
        <v>1515</v>
      </c>
      <c r="X910">
        <v>0</v>
      </c>
      <c r="Y910">
        <v>0</v>
      </c>
      <c r="AA910">
        <v>5</v>
      </c>
      <c r="AB910">
        <v>3</v>
      </c>
      <c r="AC910">
        <v>1</v>
      </c>
      <c r="AD910">
        <v>1</v>
      </c>
      <c r="AE910" s="19" t="s">
        <v>60</v>
      </c>
    </row>
    <row r="911" spans="1:31" x14ac:dyDescent="0.2">
      <c r="A911">
        <v>874</v>
      </c>
      <c r="B911" s="19" t="s">
        <v>1516</v>
      </c>
      <c r="C911">
        <v>33</v>
      </c>
      <c r="D911" s="19" t="s">
        <v>336</v>
      </c>
      <c r="E911" s="19" t="s">
        <v>3</v>
      </c>
      <c r="F911">
        <v>9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2818</v>
      </c>
      <c r="W911" s="19" t="s">
        <v>2819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5</v>
      </c>
      <c r="AE911" s="19" t="s">
        <v>60</v>
      </c>
    </row>
    <row r="912" spans="1:31" x14ac:dyDescent="0.2">
      <c r="A912">
        <v>875</v>
      </c>
      <c r="B912" s="19" t="s">
        <v>1517</v>
      </c>
      <c r="C912">
        <v>21</v>
      </c>
      <c r="D912" s="19" t="s">
        <v>375</v>
      </c>
      <c r="E912" s="19" t="s">
        <v>3</v>
      </c>
      <c r="F912">
        <v>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1706</v>
      </c>
      <c r="W912" s="19" t="s">
        <v>1707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3</v>
      </c>
      <c r="AE912" s="19" t="s">
        <v>60</v>
      </c>
    </row>
    <row r="913" spans="1:31" x14ac:dyDescent="0.2">
      <c r="A913">
        <v>876</v>
      </c>
      <c r="B913" s="19" t="s">
        <v>1621</v>
      </c>
      <c r="C913">
        <v>22</v>
      </c>
      <c r="D913" s="19" t="s">
        <v>408</v>
      </c>
      <c r="E913" s="19" t="s">
        <v>348</v>
      </c>
      <c r="F913">
        <v>3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2</v>
      </c>
      <c r="V913" s="19" t="s">
        <v>1696</v>
      </c>
      <c r="W913" s="19" t="s">
        <v>1697</v>
      </c>
      <c r="X913">
        <v>0</v>
      </c>
      <c r="Y913">
        <v>0</v>
      </c>
      <c r="AA913">
        <v>2</v>
      </c>
      <c r="AB913">
        <v>5</v>
      </c>
      <c r="AC913">
        <v>0</v>
      </c>
      <c r="AD913">
        <v>3</v>
      </c>
      <c r="AE913" s="19" t="s">
        <v>60</v>
      </c>
    </row>
    <row r="914" spans="1:31" x14ac:dyDescent="0.2">
      <c r="A914">
        <v>877</v>
      </c>
      <c r="B914" s="19" t="s">
        <v>1518</v>
      </c>
      <c r="C914">
        <v>31</v>
      </c>
      <c r="D914" s="19" t="s">
        <v>536</v>
      </c>
      <c r="E914" s="19" t="s">
        <v>3</v>
      </c>
      <c r="F914">
        <v>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1519</v>
      </c>
      <c r="W914" s="19" t="s">
        <v>1520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878</v>
      </c>
      <c r="B915" s="19" t="s">
        <v>1524</v>
      </c>
      <c r="C915">
        <v>23</v>
      </c>
      <c r="D915" s="19" t="s">
        <v>361</v>
      </c>
      <c r="E915" s="19" t="s">
        <v>339</v>
      </c>
      <c r="F915">
        <v>6</v>
      </c>
      <c r="G915">
        <v>0</v>
      </c>
      <c r="H915">
        <v>0</v>
      </c>
      <c r="I915">
        <v>0</v>
      </c>
      <c r="J915">
        <v>-3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5</v>
      </c>
      <c r="T915">
        <v>0</v>
      </c>
      <c r="U915">
        <v>11</v>
      </c>
      <c r="V915" s="19" t="s">
        <v>1943</v>
      </c>
      <c r="W915" s="19" t="s">
        <v>1827</v>
      </c>
      <c r="X915">
        <v>0</v>
      </c>
      <c r="Y915">
        <v>0</v>
      </c>
      <c r="AA915">
        <v>3</v>
      </c>
      <c r="AB915">
        <v>6</v>
      </c>
      <c r="AC915">
        <v>0</v>
      </c>
      <c r="AD915">
        <v>0</v>
      </c>
      <c r="AE915" s="19" t="s">
        <v>60</v>
      </c>
    </row>
    <row r="916" spans="1:31" x14ac:dyDescent="0.2">
      <c r="A916">
        <v>879</v>
      </c>
      <c r="B916" s="19" t="s">
        <v>1670</v>
      </c>
      <c r="C916">
        <v>24</v>
      </c>
      <c r="D916" s="19" t="s">
        <v>400</v>
      </c>
      <c r="E916" s="19" t="s">
        <v>325</v>
      </c>
      <c r="F916">
        <v>5</v>
      </c>
      <c r="G916">
        <v>0</v>
      </c>
      <c r="H916">
        <v>0</v>
      </c>
      <c r="I916">
        <v>0</v>
      </c>
      <c r="J916">
        <v>-1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1762</v>
      </c>
      <c r="W916" s="19" t="s">
        <v>1763</v>
      </c>
      <c r="X916">
        <v>0</v>
      </c>
      <c r="Y916">
        <v>0</v>
      </c>
      <c r="AA916">
        <v>1</v>
      </c>
      <c r="AB916">
        <v>7</v>
      </c>
      <c r="AC916">
        <v>1</v>
      </c>
      <c r="AD916">
        <v>1</v>
      </c>
      <c r="AE916" s="19" t="s">
        <v>60</v>
      </c>
    </row>
    <row r="917" spans="1:31" x14ac:dyDescent="0.2">
      <c r="A917">
        <v>880</v>
      </c>
      <c r="B917" s="19" t="s">
        <v>1525</v>
      </c>
      <c r="C917">
        <v>26</v>
      </c>
      <c r="D917" s="19" t="s">
        <v>451</v>
      </c>
      <c r="E917" s="19" t="s">
        <v>3</v>
      </c>
      <c r="F917">
        <v>1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1526</v>
      </c>
      <c r="W917" s="19" t="s">
        <v>1526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0</v>
      </c>
      <c r="AE917" s="19" t="s">
        <v>60</v>
      </c>
    </row>
    <row r="918" spans="1:31" x14ac:dyDescent="0.2">
      <c r="A918">
        <v>881</v>
      </c>
      <c r="B918" s="19" t="s">
        <v>1527</v>
      </c>
      <c r="C918">
        <v>24</v>
      </c>
      <c r="D918" s="19" t="s">
        <v>351</v>
      </c>
      <c r="E918" s="19" t="s">
        <v>339</v>
      </c>
      <c r="F918">
        <v>1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3</v>
      </c>
      <c r="V918" s="19" t="s">
        <v>1528</v>
      </c>
      <c r="W918" s="19" t="s">
        <v>1528</v>
      </c>
      <c r="X918">
        <v>1</v>
      </c>
      <c r="Y918">
        <v>0</v>
      </c>
      <c r="Z918">
        <v>100</v>
      </c>
      <c r="AA918">
        <v>1</v>
      </c>
      <c r="AB918">
        <v>1</v>
      </c>
      <c r="AC918">
        <v>0</v>
      </c>
      <c r="AD918">
        <v>0</v>
      </c>
      <c r="AE918" s="19" t="s">
        <v>60</v>
      </c>
    </row>
    <row r="919" spans="1:31" x14ac:dyDescent="0.2">
      <c r="A919">
        <v>882</v>
      </c>
      <c r="B919" s="19" t="s">
        <v>1529</v>
      </c>
      <c r="C919">
        <v>33</v>
      </c>
      <c r="D919" s="19" t="s">
        <v>327</v>
      </c>
      <c r="E919" s="19" t="s">
        <v>3</v>
      </c>
      <c r="F919">
        <v>14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2820</v>
      </c>
      <c r="W919" s="19" t="s">
        <v>2821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12</v>
      </c>
      <c r="AE919" s="19" t="s">
        <v>60</v>
      </c>
    </row>
    <row r="920" spans="1:31" x14ac:dyDescent="0.2">
      <c r="A920">
        <v>883</v>
      </c>
      <c r="B920" s="19" t="s">
        <v>1530</v>
      </c>
      <c r="C920">
        <v>22</v>
      </c>
      <c r="D920" s="19" t="s">
        <v>375</v>
      </c>
      <c r="E920" s="19" t="s">
        <v>348</v>
      </c>
      <c r="F920">
        <v>4</v>
      </c>
      <c r="G920">
        <v>0</v>
      </c>
      <c r="H920">
        <v>0</v>
      </c>
      <c r="I920">
        <v>0</v>
      </c>
      <c r="J920">
        <v>-3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6</v>
      </c>
      <c r="V920" s="19" t="s">
        <v>1531</v>
      </c>
      <c r="W920" s="19" t="s">
        <v>1392</v>
      </c>
      <c r="X920">
        <v>0</v>
      </c>
      <c r="Y920">
        <v>0</v>
      </c>
      <c r="AA920">
        <v>2</v>
      </c>
      <c r="AB920">
        <v>1</v>
      </c>
      <c r="AC920">
        <v>1</v>
      </c>
      <c r="AD920">
        <v>4</v>
      </c>
      <c r="AE920" s="19" t="s">
        <v>60</v>
      </c>
    </row>
    <row r="921" spans="1:31" x14ac:dyDescent="0.2">
      <c r="A921">
        <v>884</v>
      </c>
      <c r="B921" s="19" t="s">
        <v>1532</v>
      </c>
      <c r="C921">
        <v>20</v>
      </c>
      <c r="D921" s="19" t="s">
        <v>380</v>
      </c>
      <c r="E921" s="19" t="s">
        <v>322</v>
      </c>
      <c r="F921">
        <v>3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6</v>
      </c>
      <c r="T921">
        <v>0</v>
      </c>
      <c r="U921">
        <v>10</v>
      </c>
      <c r="V921" s="19" t="s">
        <v>1533</v>
      </c>
      <c r="W921" s="19" t="s">
        <v>655</v>
      </c>
      <c r="X921">
        <v>0</v>
      </c>
      <c r="Y921">
        <v>0</v>
      </c>
      <c r="AA921">
        <v>1</v>
      </c>
      <c r="AB921">
        <v>2</v>
      </c>
      <c r="AC921">
        <v>0</v>
      </c>
      <c r="AD921">
        <v>3</v>
      </c>
      <c r="AE921" s="19" t="s">
        <v>60</v>
      </c>
    </row>
    <row r="922" spans="1:31" x14ac:dyDescent="0.2">
      <c r="A922">
        <v>885</v>
      </c>
      <c r="B922" s="19" t="s">
        <v>1535</v>
      </c>
      <c r="C922">
        <v>26</v>
      </c>
      <c r="D922" s="19" t="s">
        <v>321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1536</v>
      </c>
      <c r="W922" s="19" t="s">
        <v>1537</v>
      </c>
      <c r="X922">
        <v>0</v>
      </c>
      <c r="Y922">
        <v>0</v>
      </c>
      <c r="AA922">
        <v>2</v>
      </c>
      <c r="AB922">
        <v>7</v>
      </c>
      <c r="AC922">
        <v>0</v>
      </c>
      <c r="AD922">
        <v>0</v>
      </c>
      <c r="AE922" s="19" t="s">
        <v>60</v>
      </c>
    </row>
    <row r="923" spans="1:31" x14ac:dyDescent="0.2">
      <c r="A923">
        <v>886</v>
      </c>
      <c r="B923" s="19" t="s">
        <v>1538</v>
      </c>
      <c r="C923">
        <v>24</v>
      </c>
      <c r="D923" s="19" t="s">
        <v>375</v>
      </c>
      <c r="E923" s="19" t="s">
        <v>334</v>
      </c>
      <c r="F923">
        <v>2</v>
      </c>
      <c r="G923">
        <v>0</v>
      </c>
      <c r="H923">
        <v>0</v>
      </c>
      <c r="I923">
        <v>0</v>
      </c>
      <c r="J923">
        <v>-2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6</v>
      </c>
      <c r="V923" s="19" t="s">
        <v>1539</v>
      </c>
      <c r="W923" s="19" t="s">
        <v>1540</v>
      </c>
      <c r="X923">
        <v>0</v>
      </c>
      <c r="Y923">
        <v>0</v>
      </c>
      <c r="AA923">
        <v>2</v>
      </c>
      <c r="AB923">
        <v>2</v>
      </c>
      <c r="AC923">
        <v>1</v>
      </c>
      <c r="AD923">
        <v>1</v>
      </c>
      <c r="AE923" s="19" t="s">
        <v>60</v>
      </c>
    </row>
    <row r="924" spans="1:31" x14ac:dyDescent="0.2">
      <c r="A924">
        <v>887</v>
      </c>
      <c r="B924" s="19" t="s">
        <v>1541</v>
      </c>
      <c r="C924">
        <v>26</v>
      </c>
      <c r="D924" s="19" t="s">
        <v>359</v>
      </c>
      <c r="E924" s="19" t="s">
        <v>3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1542</v>
      </c>
      <c r="W924" s="19" t="s">
        <v>1543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</v>
      </c>
      <c r="AE924" s="19" t="s">
        <v>60</v>
      </c>
    </row>
    <row r="925" spans="1:31" x14ac:dyDescent="0.2">
      <c r="A925">
        <v>888</v>
      </c>
      <c r="B925" s="19" t="s">
        <v>1544</v>
      </c>
      <c r="C925">
        <v>40</v>
      </c>
      <c r="D925" s="19" t="s">
        <v>361</v>
      </c>
      <c r="E925" s="19" t="s">
        <v>3</v>
      </c>
      <c r="F925">
        <v>10</v>
      </c>
      <c r="G925">
        <v>0</v>
      </c>
      <c r="H925">
        <v>0</v>
      </c>
      <c r="I925">
        <v>0</v>
      </c>
      <c r="J925">
        <v>0</v>
      </c>
      <c r="K925">
        <v>12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2822</v>
      </c>
      <c r="W925" s="19" t="s">
        <v>2823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889</v>
      </c>
      <c r="B926" s="19" t="s">
        <v>1545</v>
      </c>
      <c r="C926">
        <v>23</v>
      </c>
      <c r="D926" s="19" t="s">
        <v>359</v>
      </c>
      <c r="E926" s="19" t="s">
        <v>325</v>
      </c>
      <c r="F926">
        <v>3</v>
      </c>
      <c r="G926">
        <v>0</v>
      </c>
      <c r="H926">
        <v>0</v>
      </c>
      <c r="I926">
        <v>0</v>
      </c>
      <c r="J926">
        <v>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2</v>
      </c>
      <c r="V926" s="19" t="s">
        <v>2824</v>
      </c>
      <c r="W926" s="19" t="s">
        <v>2586</v>
      </c>
      <c r="X926">
        <v>5</v>
      </c>
      <c r="Y926">
        <v>8</v>
      </c>
      <c r="Z926">
        <v>38.5</v>
      </c>
      <c r="AA926">
        <v>0</v>
      </c>
      <c r="AB926">
        <v>7</v>
      </c>
      <c r="AC926">
        <v>0</v>
      </c>
      <c r="AD926">
        <v>2</v>
      </c>
      <c r="AE926" s="19" t="s">
        <v>60</v>
      </c>
    </row>
    <row r="927" spans="1:31" x14ac:dyDescent="0.2">
      <c r="A927">
        <v>890</v>
      </c>
      <c r="B927" s="19" t="s">
        <v>1548</v>
      </c>
      <c r="C927">
        <v>33</v>
      </c>
      <c r="D927" s="19" t="s">
        <v>383</v>
      </c>
      <c r="E927" s="19" t="s">
        <v>3</v>
      </c>
      <c r="F927">
        <v>17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1</v>
      </c>
      <c r="T927">
        <v>0</v>
      </c>
      <c r="U927">
        <v>1</v>
      </c>
      <c r="V927" s="19" t="s">
        <v>2825</v>
      </c>
      <c r="W927" s="19" t="s">
        <v>2826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15</v>
      </c>
      <c r="AE927" s="19" t="s">
        <v>60</v>
      </c>
    </row>
    <row r="928" spans="1:31" x14ac:dyDescent="0.2">
      <c r="A928">
        <v>891</v>
      </c>
      <c r="B928" s="19" t="s">
        <v>1549</v>
      </c>
      <c r="C928">
        <v>22</v>
      </c>
      <c r="D928" s="19" t="s">
        <v>363</v>
      </c>
      <c r="E928" s="19" t="s">
        <v>334</v>
      </c>
      <c r="F928">
        <v>3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6</v>
      </c>
      <c r="V928" s="19" t="s">
        <v>1550</v>
      </c>
      <c r="W928" s="19" t="s">
        <v>1170</v>
      </c>
      <c r="X928">
        <v>0</v>
      </c>
      <c r="Y928">
        <v>0</v>
      </c>
      <c r="AA928">
        <v>0</v>
      </c>
      <c r="AB928">
        <v>6</v>
      </c>
      <c r="AC928">
        <v>0</v>
      </c>
      <c r="AD928">
        <v>3</v>
      </c>
      <c r="AE928" s="19" t="s">
        <v>60</v>
      </c>
    </row>
    <row r="929" spans="1:31" x14ac:dyDescent="0.2">
      <c r="A929">
        <v>892</v>
      </c>
      <c r="B929" s="19" t="s">
        <v>1551</v>
      </c>
      <c r="C929">
        <v>21</v>
      </c>
      <c r="D929" s="19" t="s">
        <v>345</v>
      </c>
      <c r="E929" s="19" t="s">
        <v>348</v>
      </c>
      <c r="F929">
        <v>4</v>
      </c>
      <c r="G929">
        <v>0</v>
      </c>
      <c r="H929">
        <v>0</v>
      </c>
      <c r="I929">
        <v>0</v>
      </c>
      <c r="J929">
        <v>-4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7</v>
      </c>
      <c r="V929" s="19" t="s">
        <v>1552</v>
      </c>
      <c r="W929" s="19" t="s">
        <v>1147</v>
      </c>
      <c r="X929">
        <v>0</v>
      </c>
      <c r="Y929">
        <v>0</v>
      </c>
      <c r="AA929">
        <v>5</v>
      </c>
      <c r="AB929">
        <v>5</v>
      </c>
      <c r="AC929">
        <v>0</v>
      </c>
      <c r="AD929">
        <v>3</v>
      </c>
      <c r="AE929" s="19" t="s">
        <v>60</v>
      </c>
    </row>
    <row r="930" spans="1:31" x14ac:dyDescent="0.2">
      <c r="A930">
        <v>893</v>
      </c>
      <c r="B930" s="19" t="s">
        <v>1553</v>
      </c>
      <c r="C930">
        <v>30</v>
      </c>
      <c r="D930" s="19" t="s">
        <v>464</v>
      </c>
      <c r="E930" s="19" t="s">
        <v>3</v>
      </c>
      <c r="F930">
        <v>31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2827</v>
      </c>
      <c r="W930" s="19" t="s">
        <v>2828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13</v>
      </c>
      <c r="AE930" s="19" t="s">
        <v>60</v>
      </c>
    </row>
    <row r="931" spans="1:31" x14ac:dyDescent="0.2">
      <c r="A931">
        <v>894</v>
      </c>
      <c r="B931" s="19" t="s">
        <v>1554</v>
      </c>
      <c r="C931">
        <v>25</v>
      </c>
      <c r="D931" s="19" t="s">
        <v>343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2829</v>
      </c>
      <c r="W931" s="19" t="s">
        <v>2830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1555</v>
      </c>
      <c r="C932">
        <v>30</v>
      </c>
      <c r="D932" s="19" t="s">
        <v>361</v>
      </c>
      <c r="E932" s="19" t="s">
        <v>3</v>
      </c>
      <c r="F932">
        <v>32</v>
      </c>
      <c r="G932">
        <v>0</v>
      </c>
      <c r="H932">
        <v>0</v>
      </c>
      <c r="I932">
        <v>0</v>
      </c>
      <c r="J932">
        <v>0</v>
      </c>
      <c r="K932">
        <v>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2</v>
      </c>
      <c r="T932">
        <v>0</v>
      </c>
      <c r="U932">
        <v>2</v>
      </c>
      <c r="V932" s="19" t="s">
        <v>2831</v>
      </c>
      <c r="W932" s="19" t="s">
        <v>2832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17</v>
      </c>
      <c r="AE932" s="19" t="s">
        <v>60</v>
      </c>
    </row>
    <row r="933" spans="1:31" x14ac:dyDescent="0.2">
      <c r="A933">
        <v>896</v>
      </c>
      <c r="B933" s="19" t="s">
        <v>1556</v>
      </c>
      <c r="C933">
        <v>24</v>
      </c>
      <c r="D933" s="19" t="s">
        <v>519</v>
      </c>
      <c r="E933" s="19" t="s">
        <v>348</v>
      </c>
      <c r="F933">
        <v>1</v>
      </c>
      <c r="G933">
        <v>0</v>
      </c>
      <c r="H933">
        <v>0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1027</v>
      </c>
      <c r="W933" s="19" t="s">
        <v>1027</v>
      </c>
      <c r="X933">
        <v>0</v>
      </c>
      <c r="Y933">
        <v>0</v>
      </c>
      <c r="AA933">
        <v>1</v>
      </c>
      <c r="AB933">
        <v>4</v>
      </c>
      <c r="AC933">
        <v>0</v>
      </c>
      <c r="AD933">
        <v>0</v>
      </c>
      <c r="AE933" s="19" t="s">
        <v>60</v>
      </c>
    </row>
    <row r="934" spans="1:31" x14ac:dyDescent="0.2">
      <c r="A934">
        <v>897</v>
      </c>
      <c r="B934" s="19" t="s">
        <v>1557</v>
      </c>
      <c r="C934">
        <v>27</v>
      </c>
      <c r="D934" s="19" t="s">
        <v>984</v>
      </c>
      <c r="E934" s="19" t="s">
        <v>3</v>
      </c>
      <c r="F934">
        <v>27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2833</v>
      </c>
      <c r="W934" s="19" t="s">
        <v>1965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15</v>
      </c>
      <c r="AE934" s="19" t="s">
        <v>60</v>
      </c>
    </row>
    <row r="935" spans="1:31" x14ac:dyDescent="0.2">
      <c r="A935">
        <v>897</v>
      </c>
      <c r="B935" s="19" t="s">
        <v>1557</v>
      </c>
      <c r="C935">
        <v>27</v>
      </c>
      <c r="D935" s="19" t="s">
        <v>327</v>
      </c>
      <c r="E935" s="19" t="s">
        <v>3</v>
      </c>
      <c r="F935">
        <v>23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1671</v>
      </c>
      <c r="W935" s="19" t="s">
        <v>1433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10</v>
      </c>
      <c r="AE935" s="19" t="s">
        <v>60</v>
      </c>
    </row>
    <row r="936" spans="1:31" x14ac:dyDescent="0.2">
      <c r="A936">
        <v>897</v>
      </c>
      <c r="B936" s="19" t="s">
        <v>1557</v>
      </c>
      <c r="C936">
        <v>27</v>
      </c>
      <c r="D936" s="19" t="s">
        <v>375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2834</v>
      </c>
      <c r="W936" s="19" t="s">
        <v>1904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898</v>
      </c>
      <c r="B937" s="19" t="s">
        <v>1558</v>
      </c>
      <c r="C937">
        <v>31</v>
      </c>
      <c r="D937" s="19" t="s">
        <v>398</v>
      </c>
      <c r="E937" s="19" t="s">
        <v>348</v>
      </c>
      <c r="F937">
        <v>5</v>
      </c>
      <c r="G937">
        <v>0</v>
      </c>
      <c r="H937">
        <v>0</v>
      </c>
      <c r="I937">
        <v>0</v>
      </c>
      <c r="J937">
        <v>-2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0</v>
      </c>
      <c r="U937">
        <v>14</v>
      </c>
      <c r="V937" s="19" t="s">
        <v>1764</v>
      </c>
      <c r="W937" s="19" t="s">
        <v>493</v>
      </c>
      <c r="X937">
        <v>0</v>
      </c>
      <c r="Y937">
        <v>0</v>
      </c>
      <c r="AA937">
        <v>8</v>
      </c>
      <c r="AB937">
        <v>0</v>
      </c>
      <c r="AC937">
        <v>5</v>
      </c>
      <c r="AD937">
        <v>6</v>
      </c>
      <c r="AE937" s="19" t="s">
        <v>60</v>
      </c>
    </row>
    <row r="938" spans="1:31" x14ac:dyDescent="0.2">
      <c r="A938">
        <v>899</v>
      </c>
      <c r="B938" s="19" t="s">
        <v>1559</v>
      </c>
      <c r="C938">
        <v>26</v>
      </c>
      <c r="D938" s="19" t="s">
        <v>329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1964</v>
      </c>
      <c r="W938" s="19" t="s">
        <v>1965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4</v>
      </c>
      <c r="AE938" s="19" t="s">
        <v>60</v>
      </c>
    </row>
    <row r="939" spans="1:31" x14ac:dyDescent="0.2">
      <c r="A939">
        <v>900</v>
      </c>
      <c r="B939" s="19" t="s">
        <v>1561</v>
      </c>
      <c r="C939">
        <v>25</v>
      </c>
      <c r="D939" s="19" t="s">
        <v>321</v>
      </c>
      <c r="E939" s="19" t="s">
        <v>348</v>
      </c>
      <c r="F939">
        <v>9</v>
      </c>
      <c r="G939">
        <v>0</v>
      </c>
      <c r="H939">
        <v>0</v>
      </c>
      <c r="I939">
        <v>0</v>
      </c>
      <c r="J939">
        <v>-4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9</v>
      </c>
      <c r="T939">
        <v>0</v>
      </c>
      <c r="U939">
        <v>28</v>
      </c>
      <c r="V939" s="19" t="s">
        <v>1562</v>
      </c>
      <c r="W939" s="19" t="s">
        <v>1563</v>
      </c>
      <c r="X939">
        <v>0</v>
      </c>
      <c r="Y939">
        <v>0</v>
      </c>
      <c r="AA939">
        <v>15</v>
      </c>
      <c r="AB939">
        <v>11</v>
      </c>
      <c r="AC939">
        <v>2</v>
      </c>
      <c r="AD939">
        <v>3</v>
      </c>
      <c r="AE939" s="19" t="s">
        <v>60</v>
      </c>
    </row>
    <row r="940" spans="1:31" x14ac:dyDescent="0.2">
      <c r="A940">
        <v>901</v>
      </c>
      <c r="B940" s="19" t="s">
        <v>1564</v>
      </c>
      <c r="C940">
        <v>30</v>
      </c>
      <c r="D940" s="19" t="s">
        <v>383</v>
      </c>
      <c r="E940" s="19" t="s">
        <v>3</v>
      </c>
      <c r="F940">
        <v>24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1765</v>
      </c>
      <c r="W940" s="19" t="s">
        <v>1348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5</v>
      </c>
      <c r="AE940" s="19" t="s">
        <v>60</v>
      </c>
    </row>
    <row r="941" spans="1:31" x14ac:dyDescent="0.2">
      <c r="A941">
        <v>902</v>
      </c>
      <c r="B941" s="19" t="s">
        <v>1751</v>
      </c>
      <c r="C941">
        <v>27</v>
      </c>
      <c r="D941" s="19" t="s">
        <v>327</v>
      </c>
      <c r="E941" s="19" t="s">
        <v>348</v>
      </c>
      <c r="F941">
        <v>3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3</v>
      </c>
      <c r="V941" s="19" t="s">
        <v>2835</v>
      </c>
      <c r="W941" s="19" t="s">
        <v>714</v>
      </c>
      <c r="X941">
        <v>0</v>
      </c>
      <c r="Y941">
        <v>0</v>
      </c>
      <c r="AA941">
        <v>3</v>
      </c>
      <c r="AB941">
        <v>5</v>
      </c>
      <c r="AC941">
        <v>0</v>
      </c>
      <c r="AD941">
        <v>2</v>
      </c>
      <c r="AE941" s="19" t="s">
        <v>60</v>
      </c>
    </row>
    <row r="942" spans="1:31" x14ac:dyDescent="0.2">
      <c r="A942">
        <v>903</v>
      </c>
      <c r="B942" s="19" t="s">
        <v>1565</v>
      </c>
      <c r="C942">
        <v>32</v>
      </c>
      <c r="D942" s="19" t="s">
        <v>359</v>
      </c>
      <c r="E942" s="19" t="s">
        <v>3</v>
      </c>
      <c r="F942">
        <v>13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1566</v>
      </c>
      <c r="W942" s="19" t="s">
        <v>1567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904</v>
      </c>
      <c r="B943" s="19" t="s">
        <v>1568</v>
      </c>
      <c r="C943">
        <v>26</v>
      </c>
      <c r="D943" s="19" t="s">
        <v>372</v>
      </c>
      <c r="E943" s="19" t="s">
        <v>322</v>
      </c>
      <c r="F943">
        <v>13</v>
      </c>
      <c r="G943">
        <v>0</v>
      </c>
      <c r="H943">
        <v>0</v>
      </c>
      <c r="I943">
        <v>0</v>
      </c>
      <c r="J943">
        <v>-3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13</v>
      </c>
      <c r="T943">
        <v>0</v>
      </c>
      <c r="U943">
        <v>23</v>
      </c>
      <c r="V943" s="19" t="s">
        <v>2836</v>
      </c>
      <c r="W943" s="19" t="s">
        <v>2837</v>
      </c>
      <c r="X943">
        <v>21</v>
      </c>
      <c r="Y943">
        <v>36</v>
      </c>
      <c r="Z943">
        <v>36.799999999999997</v>
      </c>
      <c r="AA943">
        <v>3</v>
      </c>
      <c r="AB943">
        <v>15</v>
      </c>
      <c r="AC943">
        <v>1</v>
      </c>
      <c r="AD943">
        <v>3</v>
      </c>
      <c r="AE943" s="19" t="s">
        <v>60</v>
      </c>
    </row>
    <row r="944" spans="1:31" x14ac:dyDescent="0.2">
      <c r="A944">
        <v>905</v>
      </c>
      <c r="B944" s="19" t="s">
        <v>1569</v>
      </c>
      <c r="C944">
        <v>27</v>
      </c>
      <c r="D944" s="19" t="s">
        <v>354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2838</v>
      </c>
      <c r="W944" s="19" t="s">
        <v>2839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11</v>
      </c>
      <c r="AE944" s="19" t="s">
        <v>60</v>
      </c>
    </row>
    <row r="945" spans="1:31" x14ac:dyDescent="0.2">
      <c r="A945">
        <v>906</v>
      </c>
      <c r="B945" s="19" t="s">
        <v>1570</v>
      </c>
      <c r="C945">
        <v>26</v>
      </c>
      <c r="D945" s="19" t="s">
        <v>372</v>
      </c>
      <c r="E945" s="19" t="s">
        <v>3</v>
      </c>
      <c r="F945">
        <v>13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2840</v>
      </c>
      <c r="W945" s="19" t="s">
        <v>2841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907</v>
      </c>
      <c r="B946" s="19" t="s">
        <v>1672</v>
      </c>
      <c r="C946">
        <v>24</v>
      </c>
      <c r="D946" s="19" t="s">
        <v>359</v>
      </c>
      <c r="E946" s="19" t="s">
        <v>348</v>
      </c>
      <c r="F946">
        <v>4</v>
      </c>
      <c r="G946">
        <v>0</v>
      </c>
      <c r="H946">
        <v>0</v>
      </c>
      <c r="I946">
        <v>0</v>
      </c>
      <c r="J946">
        <v>-1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5</v>
      </c>
      <c r="V946" s="19" t="s">
        <v>1752</v>
      </c>
      <c r="W946" s="19" t="s">
        <v>1396</v>
      </c>
      <c r="X946">
        <v>0</v>
      </c>
      <c r="Y946">
        <v>0</v>
      </c>
      <c r="AA946">
        <v>4</v>
      </c>
      <c r="AB946">
        <v>3</v>
      </c>
      <c r="AC946">
        <v>0</v>
      </c>
      <c r="AD946">
        <v>1</v>
      </c>
      <c r="AE946" s="19" t="s">
        <v>60</v>
      </c>
    </row>
    <row r="947" spans="1:31" x14ac:dyDescent="0.2">
      <c r="A947">
        <v>908</v>
      </c>
      <c r="B947" s="19" t="s">
        <v>1571</v>
      </c>
      <c r="C947">
        <v>25</v>
      </c>
      <c r="D947" s="19" t="s">
        <v>451</v>
      </c>
      <c r="E947" s="19" t="s">
        <v>3</v>
      </c>
      <c r="F947">
        <v>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1599</v>
      </c>
      <c r="W947" s="19" t="s">
        <v>1600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2</v>
      </c>
      <c r="AE947" s="19" t="s">
        <v>60</v>
      </c>
    </row>
    <row r="948" spans="1:31" x14ac:dyDescent="0.2">
      <c r="A948">
        <v>909</v>
      </c>
      <c r="B948" s="19" t="s">
        <v>1699</v>
      </c>
      <c r="C948">
        <v>23</v>
      </c>
      <c r="D948" s="19" t="s">
        <v>366</v>
      </c>
      <c r="E948" s="19" t="s">
        <v>334</v>
      </c>
      <c r="F948">
        <v>2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3</v>
      </c>
      <c r="V948" s="19" t="s">
        <v>1612</v>
      </c>
      <c r="W948" s="19" t="s">
        <v>1492</v>
      </c>
      <c r="X948">
        <v>0</v>
      </c>
      <c r="Y948">
        <v>0</v>
      </c>
      <c r="AA948">
        <v>2</v>
      </c>
      <c r="AB948">
        <v>1</v>
      </c>
      <c r="AC948">
        <v>1</v>
      </c>
      <c r="AD948">
        <v>1</v>
      </c>
      <c r="AE948" s="19" t="s">
        <v>60</v>
      </c>
    </row>
    <row r="949" spans="1:31" x14ac:dyDescent="0.2">
      <c r="A949">
        <v>910</v>
      </c>
      <c r="B949" s="19" t="s">
        <v>1572</v>
      </c>
      <c r="C949">
        <v>32</v>
      </c>
      <c r="D949" s="19" t="s">
        <v>418</v>
      </c>
      <c r="E949" s="19" t="s">
        <v>3</v>
      </c>
      <c r="F949">
        <v>28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1</v>
      </c>
      <c r="V949" s="19" t="s">
        <v>1944</v>
      </c>
      <c r="W949" s="19" t="s">
        <v>1945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6</v>
      </c>
      <c r="AE949" s="19" t="s">
        <v>60</v>
      </c>
    </row>
    <row r="950" spans="1:31" x14ac:dyDescent="0.2">
      <c r="A950">
        <v>911</v>
      </c>
      <c r="B950" s="19" t="s">
        <v>1574</v>
      </c>
      <c r="C950">
        <v>29</v>
      </c>
      <c r="D950" s="19" t="s">
        <v>354</v>
      </c>
      <c r="E950" s="19" t="s">
        <v>325</v>
      </c>
      <c r="F950">
        <v>10</v>
      </c>
      <c r="G950">
        <v>0</v>
      </c>
      <c r="H950">
        <v>0</v>
      </c>
      <c r="I950">
        <v>0</v>
      </c>
      <c r="J950">
        <v>-1</v>
      </c>
      <c r="K950">
        <v>30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11</v>
      </c>
      <c r="T950">
        <v>0</v>
      </c>
      <c r="U950">
        <v>21</v>
      </c>
      <c r="V950" s="19" t="s">
        <v>1834</v>
      </c>
      <c r="W950" s="19" t="s">
        <v>1095</v>
      </c>
      <c r="X950">
        <v>1</v>
      </c>
      <c r="Y950">
        <v>1</v>
      </c>
      <c r="Z950">
        <v>50</v>
      </c>
      <c r="AA950">
        <v>4</v>
      </c>
      <c r="AB950">
        <v>27</v>
      </c>
      <c r="AC950">
        <v>1</v>
      </c>
      <c r="AD950">
        <v>2</v>
      </c>
      <c r="AE950" s="19" t="s">
        <v>60</v>
      </c>
    </row>
    <row r="951" spans="1:31" x14ac:dyDescent="0.2">
      <c r="A951">
        <v>912</v>
      </c>
      <c r="B951" s="19" t="s">
        <v>1575</v>
      </c>
      <c r="C951">
        <v>28</v>
      </c>
      <c r="D951" s="19" t="s">
        <v>408</v>
      </c>
      <c r="E951" s="19" t="s">
        <v>3</v>
      </c>
      <c r="F951">
        <v>23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2842</v>
      </c>
      <c r="W951" s="19" t="s">
        <v>1867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A952">
        <v>913</v>
      </c>
      <c r="B952" s="19" t="s">
        <v>1576</v>
      </c>
      <c r="C952">
        <v>23</v>
      </c>
      <c r="D952" s="19" t="s">
        <v>357</v>
      </c>
      <c r="E952" s="19" t="s">
        <v>3</v>
      </c>
      <c r="F952">
        <v>16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2843</v>
      </c>
      <c r="W952" s="19" t="s">
        <v>2844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8</v>
      </c>
      <c r="AE952" s="19" t="s">
        <v>60</v>
      </c>
    </row>
    <row r="953" spans="1:31" x14ac:dyDescent="0.2">
      <c r="A953">
        <v>914</v>
      </c>
      <c r="B953" s="19" t="s">
        <v>1578</v>
      </c>
      <c r="C953">
        <v>24</v>
      </c>
      <c r="D953" s="19" t="s">
        <v>439</v>
      </c>
      <c r="E953" s="19" t="s">
        <v>3</v>
      </c>
      <c r="F953">
        <v>31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2845</v>
      </c>
      <c r="W953" s="19" t="s">
        <v>2846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15</v>
      </c>
      <c r="AE953" s="19" t="s">
        <v>60</v>
      </c>
    </row>
    <row r="954" spans="1:31" x14ac:dyDescent="0.2">
      <c r="A954">
        <v>915</v>
      </c>
      <c r="B954" s="19" t="s">
        <v>1579</v>
      </c>
      <c r="C954">
        <v>27</v>
      </c>
      <c r="D954" s="19" t="s">
        <v>359</v>
      </c>
      <c r="E954" s="19" t="s">
        <v>3</v>
      </c>
      <c r="F954">
        <v>14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2847</v>
      </c>
      <c r="W954" s="19" t="s">
        <v>2848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6</v>
      </c>
      <c r="AE954" s="19" t="s">
        <v>60</v>
      </c>
    </row>
    <row r="955" spans="1:31" x14ac:dyDescent="0.2">
      <c r="B955" s="19" t="s">
        <v>1580</v>
      </c>
      <c r="D955" s="19" t="s">
        <v>60</v>
      </c>
      <c r="E955" s="19" t="s">
        <v>60</v>
      </c>
      <c r="T955">
        <v>10.8</v>
      </c>
      <c r="V955" s="19" t="s">
        <v>60</v>
      </c>
      <c r="W955" s="19" t="s">
        <v>401</v>
      </c>
      <c r="Z955">
        <v>50</v>
      </c>
      <c r="AE95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2026-01-02T16:09:16Z</dcterms:modified>
</cp:coreProperties>
</file>