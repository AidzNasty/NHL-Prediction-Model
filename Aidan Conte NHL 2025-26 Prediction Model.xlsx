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690" documentId="14_{BC0C37BD-5950-BD49-823D-87212FE79B51}" xr6:coauthVersionLast="47" xr6:coauthVersionMax="47" xr10:uidLastSave="{1D5AB2F5-7665-DD41-85A9-705DB6401C8F}"/>
  <bookViews>
    <workbookView xWindow="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8" r:id="rId5"/>
    <sheet name="Sheet2" sheetId="9" r:id="rId6"/>
  </sheets>
  <definedNames>
    <definedName name="ExternalData_1" localSheetId="4" hidden="1">'ML Prediction Model'!$A$1:$R$19</definedName>
    <definedName name="ExternalData_1" localSheetId="0" hidden="1">'NHL2025-26Results'!$A$1:$J$1313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1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 calcMode="manual" calcCompleted="0"/>
  <pivotCaches>
    <pivotCache cacheId="2" r:id="rId7"/>
    <pivotCache cacheId="3" r:id="rId8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8" l="1"/>
  <c r="N7" i="8"/>
  <c r="N6" i="8"/>
  <c r="N4" i="8"/>
  <c r="N3" i="8"/>
  <c r="O3" i="8" s="1"/>
  <c r="P3" i="8"/>
  <c r="O4" i="8"/>
  <c r="P4" i="8"/>
  <c r="N5" i="8"/>
  <c r="P5" i="8" s="1"/>
  <c r="O5" i="8"/>
  <c r="O6" i="8"/>
  <c r="P6" i="8"/>
  <c r="O7" i="8"/>
  <c r="P7" i="8"/>
  <c r="O8" i="8"/>
  <c r="N9" i="8"/>
  <c r="O9" i="8"/>
  <c r="P9" i="8"/>
  <c r="N10" i="8"/>
  <c r="O10" i="8"/>
  <c r="P10" i="8"/>
  <c r="N11" i="8"/>
  <c r="O11" i="8"/>
  <c r="P11" i="8"/>
  <c r="N12" i="8"/>
  <c r="O12" i="8"/>
  <c r="P12" i="8"/>
  <c r="N13" i="8"/>
  <c r="P13" i="8" s="1"/>
  <c r="O13" i="8"/>
  <c r="N14" i="8"/>
  <c r="O14" i="8"/>
  <c r="P14" i="8"/>
  <c r="N15" i="8"/>
  <c r="O15" i="8"/>
  <c r="P15" i="8"/>
  <c r="P2" i="8"/>
  <c r="N2" i="8"/>
  <c r="O2" i="8"/>
  <c r="T2" i="8"/>
  <c r="I320" i="1"/>
  <c r="I319" i="1"/>
  <c r="I318" i="1"/>
  <c r="I317" i="1"/>
  <c r="I316" i="1"/>
  <c r="I315" i="1"/>
  <c r="I314" i="1"/>
  <c r="I313" i="1"/>
  <c r="H315" i="1"/>
  <c r="H314" i="1"/>
  <c r="G320" i="1"/>
  <c r="H320" i="1" s="1"/>
  <c r="G319" i="1"/>
  <c r="H319" i="1" s="1"/>
  <c r="G318" i="1"/>
  <c r="H318" i="1" s="1"/>
  <c r="G317" i="1"/>
  <c r="H317" i="1" s="1"/>
  <c r="G316" i="1"/>
  <c r="H316" i="1" s="1"/>
  <c r="G315" i="1"/>
  <c r="G314" i="1"/>
  <c r="G313" i="1"/>
  <c r="H313" i="1" s="1"/>
  <c r="G312" i="1"/>
  <c r="H312" i="1" s="1"/>
  <c r="E320" i="1"/>
  <c r="E319" i="1"/>
  <c r="E318" i="1"/>
  <c r="E317" i="1"/>
  <c r="E316" i="1"/>
  <c r="E315" i="1"/>
  <c r="E314" i="1"/>
  <c r="E313" i="1"/>
  <c r="E312" i="1"/>
  <c r="V8" i="4"/>
  <c r="V4" i="4"/>
  <c r="V3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H310" i="1"/>
  <c r="I310" i="1"/>
  <c r="J310" i="1" s="1"/>
  <c r="G311" i="1"/>
  <c r="H311" i="1" s="1"/>
  <c r="I311" i="1"/>
  <c r="I312" i="1"/>
  <c r="E311" i="1"/>
  <c r="P8" i="8" l="1"/>
  <c r="J320" i="1"/>
  <c r="J318" i="1"/>
  <c r="J319" i="1"/>
  <c r="J317" i="1"/>
  <c r="J316" i="1"/>
  <c r="J313" i="1"/>
  <c r="J314" i="1"/>
  <c r="J315" i="1"/>
  <c r="V6" i="4"/>
  <c r="H308" i="1"/>
  <c r="H309" i="1"/>
  <c r="V5" i="4"/>
  <c r="J307" i="1"/>
  <c r="J311" i="1"/>
  <c r="J312" i="1"/>
  <c r="J308" i="1"/>
  <c r="J309" i="1"/>
  <c r="P3" i="5" l="1"/>
  <c r="P2" i="5"/>
  <c r="O3" i="5"/>
  <c r="O2" i="5"/>
  <c r="G303" i="4"/>
  <c r="I303" i="4"/>
  <c r="I306" i="1"/>
  <c r="I305" i="1"/>
  <c r="I304" i="1"/>
  <c r="I303" i="1"/>
  <c r="I302" i="1"/>
  <c r="H303" i="1"/>
  <c r="G306" i="1"/>
  <c r="G305" i="1"/>
  <c r="G304" i="1"/>
  <c r="G303" i="1"/>
  <c r="G302" i="1"/>
  <c r="E303" i="1"/>
  <c r="E302" i="1"/>
  <c r="E304" i="1"/>
  <c r="E305" i="1"/>
  <c r="E306" i="1"/>
  <c r="H306" i="1" l="1"/>
  <c r="H302" i="1"/>
  <c r="H305" i="1"/>
  <c r="H304" i="1"/>
  <c r="J304" i="1" s="1"/>
  <c r="J306" i="1"/>
  <c r="J305" i="1"/>
  <c r="J302" i="1"/>
  <c r="J303" i="1"/>
  <c r="G291" i="1" l="1"/>
  <c r="G289" i="1"/>
  <c r="E301" i="1"/>
  <c r="E300" i="1"/>
  <c r="E299" i="1"/>
  <c r="H299" i="1" s="1"/>
  <c r="E298" i="1"/>
  <c r="E297" i="1"/>
  <c r="E296" i="1"/>
  <c r="E295" i="1"/>
  <c r="E294" i="1"/>
  <c r="E293" i="1"/>
  <c r="E292" i="1"/>
  <c r="E291" i="1"/>
  <c r="H291" i="1" s="1"/>
  <c r="E290" i="1"/>
  <c r="E289" i="1"/>
  <c r="H289" i="1" s="1"/>
  <c r="I289" i="1"/>
  <c r="G290" i="1"/>
  <c r="I290" i="1"/>
  <c r="I291" i="1"/>
  <c r="G292" i="1"/>
  <c r="H292" i="1" s="1"/>
  <c r="I292" i="1"/>
  <c r="G293" i="1"/>
  <c r="I293" i="1"/>
  <c r="G294" i="1"/>
  <c r="H294" i="1" s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H286" i="1" s="1"/>
  <c r="G285" i="1"/>
  <c r="H285" i="1" s="1"/>
  <c r="G284" i="1"/>
  <c r="E288" i="1"/>
  <c r="E287" i="1"/>
  <c r="E286" i="1"/>
  <c r="E285" i="1"/>
  <c r="H297" i="1" l="1"/>
  <c r="H296" i="1"/>
  <c r="H293" i="1"/>
  <c r="J293" i="1" s="1"/>
  <c r="H301" i="1"/>
  <c r="J301" i="1" s="1"/>
  <c r="H298" i="1"/>
  <c r="H290" i="1"/>
  <c r="J290" i="1" s="1"/>
  <c r="H295" i="1"/>
  <c r="J295" i="1" s="1"/>
  <c r="J289" i="1"/>
  <c r="J292" i="1"/>
  <c r="J299" i="1"/>
  <c r="J296" i="1"/>
  <c r="J294" i="1"/>
  <c r="J298" i="1"/>
  <c r="J291" i="1"/>
  <c r="J297" i="1"/>
  <c r="J300" i="1"/>
  <c r="H287" i="1"/>
  <c r="H288" i="1"/>
  <c r="J288" i="1"/>
  <c r="J285" i="1"/>
  <c r="J287" i="1"/>
  <c r="J286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H270" i="1" s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39" i="1" l="1"/>
  <c r="H253" i="1"/>
  <c r="H265" i="1"/>
  <c r="H258" i="1"/>
  <c r="J258" i="1" s="1"/>
  <c r="H263" i="1"/>
  <c r="H268" i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J265" i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8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H180" i="1" s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H96" i="1" s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M16" i="5" s="1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M13" i="5" s="1"/>
  <c r="G14" i="5"/>
  <c r="G15" i="5"/>
  <c r="G16" i="5"/>
  <c r="G17" i="5"/>
  <c r="G18" i="5"/>
  <c r="G19" i="5"/>
  <c r="G21" i="5"/>
  <c r="G22" i="5"/>
  <c r="G23" i="5"/>
  <c r="M23" i="5" s="1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N32" i="5"/>
  <c r="N24" i="5"/>
  <c r="N16" i="5"/>
  <c r="N8" i="5"/>
  <c r="M32" i="5"/>
  <c r="H130" i="1"/>
  <c r="H131" i="1"/>
  <c r="H124" i="1"/>
  <c r="H126" i="1"/>
  <c r="H119" i="1"/>
  <c r="H87" i="1"/>
  <c r="H113" i="1"/>
  <c r="H118" i="1"/>
  <c r="H90" i="1"/>
  <c r="H110" i="1"/>
  <c r="H123" i="1"/>
  <c r="H116" i="1"/>
  <c r="H125" i="1"/>
  <c r="H121" i="1"/>
  <c r="H127" i="1"/>
  <c r="H117" i="1"/>
  <c r="H102" i="1"/>
  <c r="H109" i="1"/>
  <c r="H105" i="1"/>
  <c r="H115" i="1"/>
  <c r="H111" i="1"/>
  <c r="H101" i="1"/>
  <c r="H97" i="1"/>
  <c r="H89" i="1"/>
  <c r="H95" i="1"/>
  <c r="H91" i="1"/>
  <c r="H75" i="1"/>
  <c r="H67" i="1"/>
  <c r="H85" i="1"/>
  <c r="H84" i="1"/>
  <c r="H76" i="1"/>
  <c r="H68" i="1"/>
  <c r="H88" i="1"/>
  <c r="H94" i="1"/>
  <c r="H83" i="1"/>
  <c r="H79" i="1"/>
  <c r="H71" i="1"/>
  <c r="H78" i="1"/>
  <c r="H92" i="1"/>
  <c r="H82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J308" i="4" l="1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L257" i="4" s="1"/>
  <c r="J265" i="4"/>
  <c r="J273" i="4"/>
  <c r="J281" i="4"/>
  <c r="J289" i="4"/>
  <c r="J297" i="4"/>
  <c r="J306" i="4"/>
  <c r="K306" i="4" s="1"/>
  <c r="M306" i="4" s="1"/>
  <c r="J323" i="4"/>
  <c r="K323" i="4" s="1"/>
  <c r="M323" i="4" s="1"/>
  <c r="N323" i="4" s="1"/>
  <c r="J331" i="4"/>
  <c r="J339" i="4"/>
  <c r="K339" i="4" s="1"/>
  <c r="M339" i="4" s="1"/>
  <c r="N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N555" i="4" s="1"/>
  <c r="J563" i="4"/>
  <c r="J571" i="4"/>
  <c r="J579" i="4"/>
  <c r="J587" i="4"/>
  <c r="J595" i="4"/>
  <c r="J603" i="4"/>
  <c r="K603" i="4" s="1"/>
  <c r="M603" i="4" s="1"/>
  <c r="N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L82" i="4" s="1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L210" i="4" s="1"/>
  <c r="J218" i="4"/>
  <c r="J226" i="4"/>
  <c r="L226" i="4" s="1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N324" i="4" s="1"/>
  <c r="J332" i="4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N436" i="4" s="1"/>
  <c r="J444" i="4"/>
  <c r="K444" i="4" s="1"/>
  <c r="M444" i="4" s="1"/>
  <c r="N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L83" i="4" s="1"/>
  <c r="J91" i="4"/>
  <c r="J99" i="4"/>
  <c r="K99" i="4" s="1"/>
  <c r="M99" i="4" s="1"/>
  <c r="J107" i="4"/>
  <c r="J115" i="4"/>
  <c r="J123" i="4"/>
  <c r="J131" i="4"/>
  <c r="J139" i="4"/>
  <c r="J147" i="4"/>
  <c r="L147" i="4" s="1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N317" i="4" s="1"/>
  <c r="J325" i="4"/>
  <c r="K325" i="4" s="1"/>
  <c r="M325" i="4" s="1"/>
  <c r="N325" i="4" s="1"/>
  <c r="J333" i="4"/>
  <c r="J341" i="4"/>
  <c r="J349" i="4"/>
  <c r="J357" i="4"/>
  <c r="J365" i="4"/>
  <c r="J373" i="4"/>
  <c r="K373" i="4" s="1"/>
  <c r="M373" i="4" s="1"/>
  <c r="N373" i="4" s="1"/>
  <c r="J381" i="4"/>
  <c r="J389" i="4"/>
  <c r="J397" i="4"/>
  <c r="J405" i="4"/>
  <c r="K405" i="4" s="1"/>
  <c r="M405" i="4" s="1"/>
  <c r="N405" i="4" s="1"/>
  <c r="J413" i="4"/>
  <c r="J421" i="4"/>
  <c r="J429" i="4"/>
  <c r="J437" i="4"/>
  <c r="J445" i="4"/>
  <c r="J453" i="4"/>
  <c r="J461" i="4"/>
  <c r="J469" i="4"/>
  <c r="K469" i="4" s="1"/>
  <c r="M469" i="4" s="1"/>
  <c r="N469" i="4" s="1"/>
  <c r="J477" i="4"/>
  <c r="J485" i="4"/>
  <c r="J493" i="4"/>
  <c r="K493" i="4" s="1"/>
  <c r="M493" i="4" s="1"/>
  <c r="N493" i="4" s="1"/>
  <c r="J501" i="4"/>
  <c r="J509" i="4"/>
  <c r="J517" i="4"/>
  <c r="K517" i="4" s="1"/>
  <c r="M517" i="4" s="1"/>
  <c r="N517" i="4" s="1"/>
  <c r="J525" i="4"/>
  <c r="K525" i="4" s="1"/>
  <c r="M525" i="4" s="1"/>
  <c r="N525" i="4" s="1"/>
  <c r="J533" i="4"/>
  <c r="K533" i="4" s="1"/>
  <c r="M533" i="4" s="1"/>
  <c r="N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N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L168" i="4" s="1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N338" i="4" s="1"/>
  <c r="J346" i="4"/>
  <c r="J354" i="4"/>
  <c r="J362" i="4"/>
  <c r="J370" i="4"/>
  <c r="J378" i="4"/>
  <c r="J386" i="4"/>
  <c r="J394" i="4"/>
  <c r="J402" i="4"/>
  <c r="K402" i="4" s="1"/>
  <c r="M402" i="4" s="1"/>
  <c r="N402" i="4" s="1"/>
  <c r="J410" i="4"/>
  <c r="J418" i="4"/>
  <c r="J426" i="4"/>
  <c r="J434" i="4"/>
  <c r="J442" i="4"/>
  <c r="J450" i="4"/>
  <c r="K450" i="4" s="1"/>
  <c r="M450" i="4" s="1"/>
  <c r="N450" i="4" s="1"/>
  <c r="J458" i="4"/>
  <c r="J466" i="4"/>
  <c r="J474" i="4"/>
  <c r="J482" i="4"/>
  <c r="J490" i="4"/>
  <c r="K490" i="4" s="1"/>
  <c r="M490" i="4" s="1"/>
  <c r="N490" i="4" s="1"/>
  <c r="J498" i="4"/>
  <c r="J506" i="4"/>
  <c r="K506" i="4" s="1"/>
  <c r="M506" i="4" s="1"/>
  <c r="N506" i="4" s="1"/>
  <c r="J514" i="4"/>
  <c r="J522" i="4"/>
  <c r="J530" i="4"/>
  <c r="J538" i="4"/>
  <c r="J546" i="4"/>
  <c r="J554" i="4"/>
  <c r="J562" i="4"/>
  <c r="J570" i="4"/>
  <c r="K570" i="4" s="1"/>
  <c r="M570" i="4" s="1"/>
  <c r="N570" i="4" s="1"/>
  <c r="J578" i="4"/>
  <c r="J586" i="4"/>
  <c r="J594" i="4"/>
  <c r="J602" i="4"/>
  <c r="J610" i="4"/>
  <c r="J618" i="4"/>
  <c r="L618" i="4" s="1"/>
  <c r="J626" i="4"/>
  <c r="J634" i="4"/>
  <c r="J642" i="4"/>
  <c r="J650" i="4"/>
  <c r="K650" i="4" s="1"/>
  <c r="M650" i="4" s="1"/>
  <c r="N650" i="4" s="1"/>
  <c r="J658" i="4"/>
  <c r="K658" i="4" s="1"/>
  <c r="M658" i="4" s="1"/>
  <c r="N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N342" i="4" s="1"/>
  <c r="J358" i="4"/>
  <c r="K358" i="4" s="1"/>
  <c r="M358" i="4" s="1"/>
  <c r="N358" i="4" s="1"/>
  <c r="J374" i="4"/>
  <c r="J390" i="4"/>
  <c r="J406" i="4"/>
  <c r="J422" i="4"/>
  <c r="K422" i="4" s="1"/>
  <c r="M422" i="4" s="1"/>
  <c r="N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L627" i="4" s="1"/>
  <c r="J638" i="4"/>
  <c r="K638" i="4" s="1"/>
  <c r="M638" i="4" s="1"/>
  <c r="N638" i="4" s="1"/>
  <c r="J647" i="4"/>
  <c r="J656" i="4"/>
  <c r="J665" i="4"/>
  <c r="J675" i="4"/>
  <c r="K675" i="4" s="1"/>
  <c r="M675" i="4" s="1"/>
  <c r="N675" i="4" s="1"/>
  <c r="J684" i="4"/>
  <c r="J692" i="4"/>
  <c r="J700" i="4"/>
  <c r="J708" i="4"/>
  <c r="J716" i="4"/>
  <c r="J724" i="4"/>
  <c r="J732" i="4"/>
  <c r="K732" i="4" s="1"/>
  <c r="M732" i="4" s="1"/>
  <c r="N732" i="4" s="1"/>
  <c r="J740" i="4"/>
  <c r="K740" i="4" s="1"/>
  <c r="M740" i="4" s="1"/>
  <c r="N740" i="4" s="1"/>
  <c r="J748" i="4"/>
  <c r="J756" i="4"/>
  <c r="J764" i="4"/>
  <c r="J772" i="4"/>
  <c r="J780" i="4"/>
  <c r="J788" i="4"/>
  <c r="K788" i="4" s="1"/>
  <c r="M788" i="4" s="1"/>
  <c r="N788" i="4" s="1"/>
  <c r="J796" i="4"/>
  <c r="J804" i="4"/>
  <c r="K804" i="4" s="1"/>
  <c r="M804" i="4" s="1"/>
  <c r="N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N876" i="4" s="1"/>
  <c r="J884" i="4"/>
  <c r="J892" i="4"/>
  <c r="J900" i="4"/>
  <c r="K900" i="4" s="1"/>
  <c r="M900" i="4" s="1"/>
  <c r="N900" i="4" s="1"/>
  <c r="J908" i="4"/>
  <c r="J916" i="4"/>
  <c r="J924" i="4"/>
  <c r="J932" i="4"/>
  <c r="J940" i="4"/>
  <c r="L940" i="4" s="1"/>
  <c r="J948" i="4"/>
  <c r="J956" i="4"/>
  <c r="K956" i="4" s="1"/>
  <c r="M956" i="4" s="1"/>
  <c r="N956" i="4" s="1"/>
  <c r="J964" i="4"/>
  <c r="J972" i="4"/>
  <c r="K972" i="4" s="1"/>
  <c r="M972" i="4" s="1"/>
  <c r="N972" i="4" s="1"/>
  <c r="J980" i="4"/>
  <c r="J988" i="4"/>
  <c r="J996" i="4"/>
  <c r="K996" i="4" s="1"/>
  <c r="M996" i="4" s="1"/>
  <c r="N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N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N583" i="4" s="1"/>
  <c r="J599" i="4"/>
  <c r="J615" i="4"/>
  <c r="J629" i="4"/>
  <c r="J639" i="4"/>
  <c r="J648" i="4"/>
  <c r="K648" i="4" s="1"/>
  <c r="M648" i="4" s="1"/>
  <c r="N648" i="4" s="1"/>
  <c r="J657" i="4"/>
  <c r="L657" i="4" s="1"/>
  <c r="J667" i="4"/>
  <c r="J676" i="4"/>
  <c r="K676" i="4" s="1"/>
  <c r="M676" i="4" s="1"/>
  <c r="N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N797" i="4" s="1"/>
  <c r="J805" i="4"/>
  <c r="J813" i="4"/>
  <c r="J821" i="4"/>
  <c r="J829" i="4"/>
  <c r="J837" i="4"/>
  <c r="K837" i="4" s="1"/>
  <c r="M837" i="4" s="1"/>
  <c r="N837" i="4" s="1"/>
  <c r="J845" i="4"/>
  <c r="J853" i="4"/>
  <c r="K853" i="4" s="1"/>
  <c r="M853" i="4" s="1"/>
  <c r="N853" i="4" s="1"/>
  <c r="J861" i="4"/>
  <c r="J869" i="4"/>
  <c r="J877" i="4"/>
  <c r="J885" i="4"/>
  <c r="J893" i="4"/>
  <c r="K893" i="4" s="1"/>
  <c r="M893" i="4" s="1"/>
  <c r="N893" i="4" s="1"/>
  <c r="J901" i="4"/>
  <c r="J909" i="4"/>
  <c r="K909" i="4" s="1"/>
  <c r="M909" i="4" s="1"/>
  <c r="N909" i="4" s="1"/>
  <c r="J917" i="4"/>
  <c r="K917" i="4" s="1"/>
  <c r="M917" i="4" s="1"/>
  <c r="N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L198" i="4" s="1"/>
  <c r="J214" i="4"/>
  <c r="J230" i="4"/>
  <c r="J246" i="4"/>
  <c r="J262" i="4"/>
  <c r="J278" i="4"/>
  <c r="J294" i="4"/>
  <c r="J328" i="4"/>
  <c r="L328" i="4" s="1"/>
  <c r="J344" i="4"/>
  <c r="J360" i="4"/>
  <c r="J376" i="4"/>
  <c r="J392" i="4"/>
  <c r="J408" i="4"/>
  <c r="J424" i="4"/>
  <c r="K424" i="4" s="1"/>
  <c r="M424" i="4" s="1"/>
  <c r="N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N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N734" i="4" s="1"/>
  <c r="J742" i="4"/>
  <c r="J750" i="4"/>
  <c r="J758" i="4"/>
  <c r="J766" i="4"/>
  <c r="J774" i="4"/>
  <c r="J782" i="4"/>
  <c r="J790" i="4"/>
  <c r="J798" i="4"/>
  <c r="J806" i="4"/>
  <c r="L806" i="4" s="1"/>
  <c r="J814" i="4"/>
  <c r="K814" i="4" s="1"/>
  <c r="M814" i="4" s="1"/>
  <c r="N814" i="4" s="1"/>
  <c r="J822" i="4"/>
  <c r="J830" i="4"/>
  <c r="J838" i="4"/>
  <c r="J846" i="4"/>
  <c r="J854" i="4"/>
  <c r="J862" i="4"/>
  <c r="J870" i="4"/>
  <c r="J878" i="4"/>
  <c r="K878" i="4" s="1"/>
  <c r="M878" i="4" s="1"/>
  <c r="N878" i="4" s="1"/>
  <c r="J886" i="4"/>
  <c r="J894" i="4"/>
  <c r="K894" i="4" s="1"/>
  <c r="M894" i="4" s="1"/>
  <c r="N894" i="4" s="1"/>
  <c r="J902" i="4"/>
  <c r="J910" i="4"/>
  <c r="J918" i="4"/>
  <c r="J926" i="4"/>
  <c r="J934" i="4"/>
  <c r="J942" i="4"/>
  <c r="K942" i="4" s="1"/>
  <c r="M942" i="4" s="1"/>
  <c r="N942" i="4" s="1"/>
  <c r="J7" i="4"/>
  <c r="J12" i="4"/>
  <c r="J13" i="4"/>
  <c r="J14" i="4"/>
  <c r="J15" i="4"/>
  <c r="J31" i="4"/>
  <c r="J47" i="4"/>
  <c r="L47" i="4" s="1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L304" i="4" s="1"/>
  <c r="J321" i="4"/>
  <c r="K321" i="4" s="1"/>
  <c r="M321" i="4" s="1"/>
  <c r="N321" i="4" s="1"/>
  <c r="J337" i="4"/>
  <c r="J353" i="4"/>
  <c r="J369" i="4"/>
  <c r="K369" i="4" s="1"/>
  <c r="M369" i="4" s="1"/>
  <c r="N369" i="4" s="1"/>
  <c r="J385" i="4"/>
  <c r="J401" i="4"/>
  <c r="J417" i="4"/>
  <c r="J433" i="4"/>
  <c r="J449" i="4"/>
  <c r="J465" i="4"/>
  <c r="K465" i="4" s="1"/>
  <c r="M465" i="4" s="1"/>
  <c r="N465" i="4" s="1"/>
  <c r="J481" i="4"/>
  <c r="J497" i="4"/>
  <c r="J513" i="4"/>
  <c r="J529" i="4"/>
  <c r="J545" i="4"/>
  <c r="K545" i="4" s="1"/>
  <c r="M545" i="4" s="1"/>
  <c r="N545" i="4" s="1"/>
  <c r="J561" i="4"/>
  <c r="J577" i="4"/>
  <c r="J593" i="4"/>
  <c r="J609" i="4"/>
  <c r="J625" i="4"/>
  <c r="J637" i="4"/>
  <c r="J646" i="4"/>
  <c r="J655" i="4"/>
  <c r="K655" i="4" s="1"/>
  <c r="M655" i="4" s="1"/>
  <c r="N655" i="4" s="1"/>
  <c r="J664" i="4"/>
  <c r="L664" i="4" s="1"/>
  <c r="J673" i="4"/>
  <c r="J683" i="4"/>
  <c r="K683" i="4" s="1"/>
  <c r="M683" i="4" s="1"/>
  <c r="N683" i="4" s="1"/>
  <c r="J691" i="4"/>
  <c r="J699" i="4"/>
  <c r="J707" i="4"/>
  <c r="K707" i="4" s="1"/>
  <c r="M707" i="4" s="1"/>
  <c r="N707" i="4" s="1"/>
  <c r="J715" i="4"/>
  <c r="J723" i="4"/>
  <c r="K723" i="4" s="1"/>
  <c r="M723" i="4" s="1"/>
  <c r="N723" i="4" s="1"/>
  <c r="J731" i="4"/>
  <c r="J739" i="4"/>
  <c r="K739" i="4" s="1"/>
  <c r="M739" i="4" s="1"/>
  <c r="N739" i="4" s="1"/>
  <c r="J747" i="4"/>
  <c r="J755" i="4"/>
  <c r="J763" i="4"/>
  <c r="K763" i="4" s="1"/>
  <c r="M763" i="4" s="1"/>
  <c r="N763" i="4" s="1"/>
  <c r="J771" i="4"/>
  <c r="J779" i="4"/>
  <c r="J787" i="4"/>
  <c r="K787" i="4" s="1"/>
  <c r="M787" i="4" s="1"/>
  <c r="N787" i="4" s="1"/>
  <c r="J795" i="4"/>
  <c r="J803" i="4"/>
  <c r="J811" i="4"/>
  <c r="J819" i="4"/>
  <c r="K819" i="4" s="1"/>
  <c r="M819" i="4" s="1"/>
  <c r="N819" i="4" s="1"/>
  <c r="J827" i="4"/>
  <c r="J835" i="4"/>
  <c r="J843" i="4"/>
  <c r="J851" i="4"/>
  <c r="J859" i="4"/>
  <c r="J867" i="4"/>
  <c r="J875" i="4"/>
  <c r="J883" i="4"/>
  <c r="K883" i="4" s="1"/>
  <c r="M883" i="4" s="1"/>
  <c r="N883" i="4" s="1"/>
  <c r="J891" i="4"/>
  <c r="J899" i="4"/>
  <c r="J907" i="4"/>
  <c r="J915" i="4"/>
  <c r="K915" i="4" s="1"/>
  <c r="M915" i="4" s="1"/>
  <c r="N915" i="4" s="1"/>
  <c r="J923" i="4"/>
  <c r="K923" i="4" s="1"/>
  <c r="M923" i="4" s="1"/>
  <c r="N923" i="4" s="1"/>
  <c r="J931" i="4"/>
  <c r="J939" i="4"/>
  <c r="J23" i="4"/>
  <c r="J55" i="4"/>
  <c r="J87" i="4"/>
  <c r="K87" i="4" s="1"/>
  <c r="M87" i="4" s="1"/>
  <c r="J119" i="4"/>
  <c r="J151" i="4"/>
  <c r="J183" i="4"/>
  <c r="L183" i="4" s="1"/>
  <c r="J215" i="4"/>
  <c r="J247" i="4"/>
  <c r="K247" i="4" s="1"/>
  <c r="M247" i="4" s="1"/>
  <c r="J279" i="4"/>
  <c r="J345" i="4"/>
  <c r="J377" i="4"/>
  <c r="J409" i="4"/>
  <c r="J441" i="4"/>
  <c r="K441" i="4" s="1"/>
  <c r="M441" i="4" s="1"/>
  <c r="N441" i="4" s="1"/>
  <c r="J473" i="4"/>
  <c r="J505" i="4"/>
  <c r="J537" i="4"/>
  <c r="J569" i="4"/>
  <c r="J601" i="4"/>
  <c r="J631" i="4"/>
  <c r="J651" i="4"/>
  <c r="K651" i="4" s="1"/>
  <c r="M651" i="4" s="1"/>
  <c r="N651" i="4" s="1"/>
  <c r="J669" i="4"/>
  <c r="L669" i="4" s="1"/>
  <c r="J687" i="4"/>
  <c r="J703" i="4"/>
  <c r="K703" i="4" s="1"/>
  <c r="M703" i="4" s="1"/>
  <c r="N703" i="4" s="1"/>
  <c r="J719" i="4"/>
  <c r="J735" i="4"/>
  <c r="J751" i="4"/>
  <c r="K751" i="4" s="1"/>
  <c r="M751" i="4" s="1"/>
  <c r="N751" i="4" s="1"/>
  <c r="J767" i="4"/>
  <c r="J783" i="4"/>
  <c r="K783" i="4" s="1"/>
  <c r="M783" i="4" s="1"/>
  <c r="N783" i="4" s="1"/>
  <c r="J799" i="4"/>
  <c r="J815" i="4"/>
  <c r="J831" i="4"/>
  <c r="K831" i="4" s="1"/>
  <c r="M831" i="4" s="1"/>
  <c r="N831" i="4" s="1"/>
  <c r="J847" i="4"/>
  <c r="J863" i="4"/>
  <c r="K863" i="4" s="1"/>
  <c r="M863" i="4" s="1"/>
  <c r="N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N989" i="4" s="1"/>
  <c r="J998" i="4"/>
  <c r="J1006" i="4"/>
  <c r="L1006" i="4" s="1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N1198" i="4" s="1"/>
  <c r="J1206" i="4"/>
  <c r="J1214" i="4"/>
  <c r="J1222" i="4"/>
  <c r="K1222" i="4" s="1"/>
  <c r="M1222" i="4" s="1"/>
  <c r="N1222" i="4" s="1"/>
  <c r="J1230" i="4"/>
  <c r="J1238" i="4"/>
  <c r="K1238" i="4" s="1"/>
  <c r="M1238" i="4" s="1"/>
  <c r="N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N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N688" i="4" s="1"/>
  <c r="J704" i="4"/>
  <c r="J720" i="4"/>
  <c r="J736" i="4"/>
  <c r="J752" i="4"/>
  <c r="J768" i="4"/>
  <c r="J784" i="4"/>
  <c r="J800" i="4"/>
  <c r="J816" i="4"/>
  <c r="K816" i="4" s="1"/>
  <c r="M816" i="4" s="1"/>
  <c r="N816" i="4" s="1"/>
  <c r="J832" i="4"/>
  <c r="J848" i="4"/>
  <c r="J864" i="4"/>
  <c r="K864" i="4" s="1"/>
  <c r="M864" i="4" s="1"/>
  <c r="N864" i="4" s="1"/>
  <c r="J880" i="4"/>
  <c r="J896" i="4"/>
  <c r="K896" i="4" s="1"/>
  <c r="M896" i="4" s="1"/>
  <c r="N896" i="4" s="1"/>
  <c r="J912" i="4"/>
  <c r="J928" i="4"/>
  <c r="J944" i="4"/>
  <c r="J953" i="4"/>
  <c r="J962" i="4"/>
  <c r="K962" i="4" s="1"/>
  <c r="M962" i="4" s="1"/>
  <c r="N962" i="4" s="1"/>
  <c r="J971" i="4"/>
  <c r="J981" i="4"/>
  <c r="J990" i="4"/>
  <c r="J999" i="4"/>
  <c r="J1007" i="4"/>
  <c r="J1015" i="4"/>
  <c r="J1023" i="4"/>
  <c r="J1031" i="4"/>
  <c r="J1039" i="4"/>
  <c r="L1039" i="4" s="1"/>
  <c r="J1047" i="4"/>
  <c r="K1047" i="4" s="1"/>
  <c r="M1047" i="4" s="1"/>
  <c r="N1047" i="4" s="1"/>
  <c r="J1055" i="4"/>
  <c r="J1063" i="4"/>
  <c r="J1071" i="4"/>
  <c r="J1079" i="4"/>
  <c r="K1079" i="4" s="1"/>
  <c r="M1079" i="4" s="1"/>
  <c r="N1079" i="4" s="1"/>
  <c r="J1087" i="4"/>
  <c r="J1095" i="4"/>
  <c r="J1103" i="4"/>
  <c r="L1103" i="4" s="1"/>
  <c r="J1111" i="4"/>
  <c r="J1119" i="4"/>
  <c r="L1119" i="4" s="1"/>
  <c r="J1127" i="4"/>
  <c r="J1135" i="4"/>
  <c r="J1143" i="4"/>
  <c r="J1151" i="4"/>
  <c r="J1159" i="4"/>
  <c r="J1167" i="4"/>
  <c r="L1167" i="4" s="1"/>
  <c r="J1175" i="4"/>
  <c r="J1183" i="4"/>
  <c r="J1191" i="4"/>
  <c r="K1191" i="4" s="1"/>
  <c r="M1191" i="4" s="1"/>
  <c r="N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L1295" i="4" s="1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N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N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L1008" i="4" s="1"/>
  <c r="J1016" i="4"/>
  <c r="J1024" i="4"/>
  <c r="J1032" i="4"/>
  <c r="J1040" i="4"/>
  <c r="J1048" i="4"/>
  <c r="J1056" i="4"/>
  <c r="J1064" i="4"/>
  <c r="L1064" i="4" s="1"/>
  <c r="J1072" i="4"/>
  <c r="J1080" i="4"/>
  <c r="J1088" i="4"/>
  <c r="K1088" i="4" s="1"/>
  <c r="M1088" i="4" s="1"/>
  <c r="N1088" i="4" s="1"/>
  <c r="J1096" i="4"/>
  <c r="J1104" i="4"/>
  <c r="J1112" i="4"/>
  <c r="K1112" i="4" s="1"/>
  <c r="M1112" i="4" s="1"/>
  <c r="N1112" i="4" s="1"/>
  <c r="J1120" i="4"/>
  <c r="J1128" i="4"/>
  <c r="J1136" i="4"/>
  <c r="K1136" i="4" s="1"/>
  <c r="M1136" i="4" s="1"/>
  <c r="N1136" i="4" s="1"/>
  <c r="J1144" i="4"/>
  <c r="J1152" i="4"/>
  <c r="J1160" i="4"/>
  <c r="J1168" i="4"/>
  <c r="J1176" i="4"/>
  <c r="J1184" i="4"/>
  <c r="J1192" i="4"/>
  <c r="K1192" i="4" s="1"/>
  <c r="M1192" i="4" s="1"/>
  <c r="N1192" i="4" s="1"/>
  <c r="J1200" i="4"/>
  <c r="K1200" i="4" s="1"/>
  <c r="M1200" i="4" s="1"/>
  <c r="N1200" i="4" s="1"/>
  <c r="J1208" i="4"/>
  <c r="J1216" i="4"/>
  <c r="J1224" i="4"/>
  <c r="J1232" i="4"/>
  <c r="J1240" i="4"/>
  <c r="K1240" i="4" s="1"/>
  <c r="M1240" i="4" s="1"/>
  <c r="N1240" i="4" s="1"/>
  <c r="J1248" i="4"/>
  <c r="J1256" i="4"/>
  <c r="J1264" i="4"/>
  <c r="J1272" i="4"/>
  <c r="K1272" i="4" s="1"/>
  <c r="M1272" i="4" s="1"/>
  <c r="N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N336" i="4" s="1"/>
  <c r="J368" i="4"/>
  <c r="J400" i="4"/>
  <c r="J432" i="4"/>
  <c r="K432" i="4" s="1"/>
  <c r="M432" i="4" s="1"/>
  <c r="N432" i="4" s="1"/>
  <c r="J464" i="4"/>
  <c r="J496" i="4"/>
  <c r="J528" i="4"/>
  <c r="K528" i="4" s="1"/>
  <c r="M528" i="4" s="1"/>
  <c r="N528" i="4" s="1"/>
  <c r="J560" i="4"/>
  <c r="J592" i="4"/>
  <c r="L592" i="4" s="1"/>
  <c r="J624" i="4"/>
  <c r="J645" i="4"/>
  <c r="J663" i="4"/>
  <c r="J681" i="4"/>
  <c r="J698" i="4"/>
  <c r="J714" i="4"/>
  <c r="J730" i="4"/>
  <c r="J746" i="4"/>
  <c r="J762" i="4"/>
  <c r="J778" i="4"/>
  <c r="J794" i="4"/>
  <c r="L794" i="4" s="1"/>
  <c r="J810" i="4"/>
  <c r="J826" i="4"/>
  <c r="J842" i="4"/>
  <c r="J858" i="4"/>
  <c r="L858" i="4" s="1"/>
  <c r="J874" i="4"/>
  <c r="K874" i="4" s="1"/>
  <c r="M874" i="4" s="1"/>
  <c r="N874" i="4" s="1"/>
  <c r="J890" i="4"/>
  <c r="J906" i="4"/>
  <c r="J922" i="4"/>
  <c r="J938" i="4"/>
  <c r="K938" i="4" s="1"/>
  <c r="M938" i="4" s="1"/>
  <c r="N938" i="4" s="1"/>
  <c r="J951" i="4"/>
  <c r="K951" i="4" s="1"/>
  <c r="M951" i="4" s="1"/>
  <c r="N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N1037" i="4" s="1"/>
  <c r="J1045" i="4"/>
  <c r="K1045" i="4" s="1"/>
  <c r="M1045" i="4" s="1"/>
  <c r="N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N1165" i="4" s="1"/>
  <c r="J1173" i="4"/>
  <c r="J1181" i="4"/>
  <c r="K1181" i="4" s="1"/>
  <c r="M1181" i="4" s="1"/>
  <c r="N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N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N480" i="4" s="1"/>
  <c r="J544" i="4"/>
  <c r="K544" i="4" s="1"/>
  <c r="M544" i="4" s="1"/>
  <c r="N544" i="4" s="1"/>
  <c r="J608" i="4"/>
  <c r="J654" i="4"/>
  <c r="J690" i="4"/>
  <c r="J722" i="4"/>
  <c r="J754" i="4"/>
  <c r="J786" i="4"/>
  <c r="L786" i="4" s="1"/>
  <c r="J818" i="4"/>
  <c r="J850" i="4"/>
  <c r="L850" i="4" s="1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N1065" i="4" s="1"/>
  <c r="J1081" i="4"/>
  <c r="K1081" i="4" s="1"/>
  <c r="M1081" i="4" s="1"/>
  <c r="N1081" i="4" s="1"/>
  <c r="J1097" i="4"/>
  <c r="J1113" i="4"/>
  <c r="J1129" i="4"/>
  <c r="J1145" i="4"/>
  <c r="J1161" i="4"/>
  <c r="K1161" i="4" s="1"/>
  <c r="M1161" i="4" s="1"/>
  <c r="N1161" i="4" s="1"/>
  <c r="J1177" i="4"/>
  <c r="K1177" i="4" s="1"/>
  <c r="M1177" i="4" s="1"/>
  <c r="N1177" i="4" s="1"/>
  <c r="J1193" i="4"/>
  <c r="J1209" i="4"/>
  <c r="K1209" i="4" s="1"/>
  <c r="M1209" i="4" s="1"/>
  <c r="N1209" i="4" s="1"/>
  <c r="J1225" i="4"/>
  <c r="J1241" i="4"/>
  <c r="K1241" i="4" s="1"/>
  <c r="M1241" i="4" s="1"/>
  <c r="N1241" i="4" s="1"/>
  <c r="J1257" i="4"/>
  <c r="J1273" i="4"/>
  <c r="J1289" i="4"/>
  <c r="J1305" i="4"/>
  <c r="K1305" i="4" s="1"/>
  <c r="M1305" i="4" s="1"/>
  <c r="N1305" i="4" s="1"/>
  <c r="J173" i="4"/>
  <c r="K173" i="4" s="1"/>
  <c r="M173" i="4" s="1"/>
  <c r="J301" i="4"/>
  <c r="J431" i="4"/>
  <c r="J495" i="4"/>
  <c r="K495" i="4" s="1"/>
  <c r="M495" i="4" s="1"/>
  <c r="N495" i="4" s="1"/>
  <c r="J623" i="4"/>
  <c r="K623" i="4" s="1"/>
  <c r="M623" i="4" s="1"/>
  <c r="N623" i="4" s="1"/>
  <c r="J697" i="4"/>
  <c r="J761" i="4"/>
  <c r="J825" i="4"/>
  <c r="K825" i="4" s="1"/>
  <c r="M825" i="4" s="1"/>
  <c r="N825" i="4" s="1"/>
  <c r="J889" i="4"/>
  <c r="J950" i="4"/>
  <c r="K950" i="4" s="1"/>
  <c r="M950" i="4" s="1"/>
  <c r="N950" i="4" s="1"/>
  <c r="J986" i="4"/>
  <c r="K986" i="4" s="1"/>
  <c r="M986" i="4" s="1"/>
  <c r="N986" i="4" s="1"/>
  <c r="J1020" i="4"/>
  <c r="K1020" i="4" s="1"/>
  <c r="M1020" i="4" s="1"/>
  <c r="N1020" i="4" s="1"/>
  <c r="J1052" i="4"/>
  <c r="J1100" i="4"/>
  <c r="J1148" i="4"/>
  <c r="J1180" i="4"/>
  <c r="J1212" i="4"/>
  <c r="J1244" i="4"/>
  <c r="K1244" i="4" s="1"/>
  <c r="M1244" i="4" s="1"/>
  <c r="N1244" i="4" s="1"/>
  <c r="J1276" i="4"/>
  <c r="K1276" i="4" s="1"/>
  <c r="M1276" i="4" s="1"/>
  <c r="N1276" i="4" s="1"/>
  <c r="J1308" i="4"/>
  <c r="K1308" i="4" s="1"/>
  <c r="M1308" i="4" s="1"/>
  <c r="N1308" i="4" s="1"/>
  <c r="J126" i="4"/>
  <c r="J384" i="4"/>
  <c r="K384" i="4" s="1"/>
  <c r="M384" i="4" s="1"/>
  <c r="N384" i="4" s="1"/>
  <c r="J576" i="4"/>
  <c r="L576" i="4" s="1"/>
  <c r="J738" i="4"/>
  <c r="J866" i="4"/>
  <c r="J974" i="4"/>
  <c r="J1041" i="4"/>
  <c r="J1089" i="4"/>
  <c r="J1169" i="4"/>
  <c r="K1169" i="4" s="1"/>
  <c r="M1169" i="4" s="1"/>
  <c r="N1169" i="4" s="1"/>
  <c r="J1249" i="4"/>
  <c r="K1249" i="4" s="1"/>
  <c r="M1249" i="4" s="1"/>
  <c r="N1249" i="4" s="1"/>
  <c r="J263" i="4"/>
  <c r="J1298" i="4"/>
  <c r="L1298" i="4" s="1"/>
  <c r="J140" i="4"/>
  <c r="J334" i="4"/>
  <c r="J590" i="4"/>
  <c r="K590" i="4" s="1"/>
  <c r="M590" i="4" s="1"/>
  <c r="N590" i="4" s="1"/>
  <c r="J712" i="4"/>
  <c r="L712" i="4" s="1"/>
  <c r="J776" i="4"/>
  <c r="K776" i="4" s="1"/>
  <c r="M776" i="4" s="1"/>
  <c r="N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N1299" i="4" s="1"/>
  <c r="J39" i="4"/>
  <c r="J103" i="4"/>
  <c r="J167" i="4"/>
  <c r="J231" i="4"/>
  <c r="K231" i="4" s="1"/>
  <c r="M231" i="4" s="1"/>
  <c r="J295" i="4"/>
  <c r="J361" i="4"/>
  <c r="J425" i="4"/>
  <c r="J489" i="4"/>
  <c r="L489" i="4" s="1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N919" i="4" s="1"/>
  <c r="J947" i="4"/>
  <c r="J966" i="4"/>
  <c r="J984" i="4"/>
  <c r="J1002" i="4"/>
  <c r="J1018" i="4"/>
  <c r="J1034" i="4"/>
  <c r="J1050" i="4"/>
  <c r="J1066" i="4"/>
  <c r="L1066" i="4" s="1"/>
  <c r="J1082" i="4"/>
  <c r="J1098" i="4"/>
  <c r="J1114" i="4"/>
  <c r="K1114" i="4" s="1"/>
  <c r="M1114" i="4" s="1"/>
  <c r="N1114" i="4" s="1"/>
  <c r="J1130" i="4"/>
  <c r="J1146" i="4"/>
  <c r="J1162" i="4"/>
  <c r="J1178" i="4"/>
  <c r="J1194" i="4"/>
  <c r="J1210" i="4"/>
  <c r="J1226" i="4"/>
  <c r="J1242" i="4"/>
  <c r="L1242" i="4" s="1"/>
  <c r="J1258" i="4"/>
  <c r="J1274" i="4"/>
  <c r="J1290" i="4"/>
  <c r="J1306" i="4"/>
  <c r="K1306" i="4" s="1"/>
  <c r="M1306" i="4" s="1"/>
  <c r="N1306" i="4" s="1"/>
  <c r="J109" i="4"/>
  <c r="L109" i="4" s="1"/>
  <c r="J367" i="4"/>
  <c r="J559" i="4"/>
  <c r="J662" i="4"/>
  <c r="J729" i="4"/>
  <c r="L729" i="4" s="1"/>
  <c r="J793" i="4"/>
  <c r="J857" i="4"/>
  <c r="J921" i="4"/>
  <c r="K921" i="4" s="1"/>
  <c r="M921" i="4" s="1"/>
  <c r="N921" i="4" s="1"/>
  <c r="J968" i="4"/>
  <c r="J1004" i="4"/>
  <c r="J1036" i="4"/>
  <c r="K1036" i="4" s="1"/>
  <c r="M1036" i="4" s="1"/>
  <c r="N1036" i="4" s="1"/>
  <c r="J1068" i="4"/>
  <c r="J1116" i="4"/>
  <c r="K1116" i="4" s="1"/>
  <c r="M1116" i="4" s="1"/>
  <c r="N1116" i="4" s="1"/>
  <c r="J1132" i="4"/>
  <c r="K1132" i="4" s="1"/>
  <c r="M1132" i="4" s="1"/>
  <c r="N1132" i="4" s="1"/>
  <c r="J1164" i="4"/>
  <c r="J1196" i="4"/>
  <c r="J1228" i="4"/>
  <c r="J1292" i="4"/>
  <c r="K1292" i="4" s="1"/>
  <c r="M1292" i="4" s="1"/>
  <c r="N1292" i="4" s="1"/>
  <c r="J62" i="4"/>
  <c r="J320" i="4"/>
  <c r="J448" i="4"/>
  <c r="K448" i="4" s="1"/>
  <c r="M448" i="4" s="1"/>
  <c r="N448" i="4" s="1"/>
  <c r="J512" i="4"/>
  <c r="K512" i="4" s="1"/>
  <c r="M512" i="4" s="1"/>
  <c r="N512" i="4" s="1"/>
  <c r="J635" i="4"/>
  <c r="K635" i="4" s="1"/>
  <c r="M635" i="4" s="1"/>
  <c r="N635" i="4" s="1"/>
  <c r="J706" i="4"/>
  <c r="K706" i="4" s="1"/>
  <c r="M706" i="4" s="1"/>
  <c r="N706" i="4" s="1"/>
  <c r="J770" i="4"/>
  <c r="J834" i="4"/>
  <c r="K834" i="4" s="1"/>
  <c r="M834" i="4" s="1"/>
  <c r="N834" i="4" s="1"/>
  <c r="J955" i="4"/>
  <c r="K955" i="4" s="1"/>
  <c r="M955" i="4" s="1"/>
  <c r="N955" i="4" s="1"/>
  <c r="J1025" i="4"/>
  <c r="J1105" i="4"/>
  <c r="J1153" i="4"/>
  <c r="J1217" i="4"/>
  <c r="J1297" i="4"/>
  <c r="J199" i="4"/>
  <c r="J329" i="4"/>
  <c r="J393" i="4"/>
  <c r="K393" i="4" s="1"/>
  <c r="M393" i="4" s="1"/>
  <c r="N393" i="4" s="1"/>
  <c r="J585" i="4"/>
  <c r="J678" i="4"/>
  <c r="L678" i="4" s="1"/>
  <c r="J775" i="4"/>
  <c r="J871" i="4"/>
  <c r="K871" i="4" s="1"/>
  <c r="M871" i="4" s="1"/>
  <c r="N871" i="4" s="1"/>
  <c r="J957" i="4"/>
  <c r="J993" i="4"/>
  <c r="K993" i="4" s="1"/>
  <c r="M993" i="4" s="1"/>
  <c r="N993" i="4" s="1"/>
  <c r="J1042" i="4"/>
  <c r="K1042" i="4" s="1"/>
  <c r="M1042" i="4" s="1"/>
  <c r="N1042" i="4" s="1"/>
  <c r="J1090" i="4"/>
  <c r="L1090" i="4" s="1"/>
  <c r="J1138" i="4"/>
  <c r="J1186" i="4"/>
  <c r="J1234" i="4"/>
  <c r="J1282" i="4"/>
  <c r="K1282" i="4" s="1"/>
  <c r="M1282" i="4" s="1"/>
  <c r="N1282" i="4" s="1"/>
  <c r="J76" i="4"/>
  <c r="J204" i="4"/>
  <c r="J268" i="4"/>
  <c r="J398" i="4"/>
  <c r="J643" i="4"/>
  <c r="J679" i="4"/>
  <c r="J744" i="4"/>
  <c r="J808" i="4"/>
  <c r="J872" i="4"/>
  <c r="L872" i="4" s="1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L300" i="4" s="1"/>
  <c r="J366" i="4"/>
  <c r="K366" i="4" s="1"/>
  <c r="M366" i="4" s="1"/>
  <c r="N366" i="4" s="1"/>
  <c r="J430" i="4"/>
  <c r="J494" i="4"/>
  <c r="L494" i="4" s="1"/>
  <c r="J558" i="4"/>
  <c r="J622" i="4"/>
  <c r="K622" i="4" s="1"/>
  <c r="M622" i="4" s="1"/>
  <c r="N622" i="4" s="1"/>
  <c r="J661" i="4"/>
  <c r="K661" i="4" s="1"/>
  <c r="M661" i="4" s="1"/>
  <c r="N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N1051" i="4" s="1"/>
  <c r="J1067" i="4"/>
  <c r="J1083" i="4"/>
  <c r="J1099" i="4"/>
  <c r="L1099" i="4" s="1"/>
  <c r="J1115" i="4"/>
  <c r="J1131" i="4"/>
  <c r="L1131" i="4" s="1"/>
  <c r="J1147" i="4"/>
  <c r="K1147" i="4" s="1"/>
  <c r="M1147" i="4" s="1"/>
  <c r="N1147" i="4" s="1"/>
  <c r="J1163" i="4"/>
  <c r="K1163" i="4" s="1"/>
  <c r="M1163" i="4" s="1"/>
  <c r="N1163" i="4" s="1"/>
  <c r="J1179" i="4"/>
  <c r="J1195" i="4"/>
  <c r="K1195" i="4" s="1"/>
  <c r="M1195" i="4" s="1"/>
  <c r="N1195" i="4" s="1"/>
  <c r="J1211" i="4"/>
  <c r="J1227" i="4"/>
  <c r="J1243" i="4"/>
  <c r="J1259" i="4"/>
  <c r="J1275" i="4"/>
  <c r="J1291" i="4"/>
  <c r="J1307" i="4"/>
  <c r="J45" i="4"/>
  <c r="J1084" i="4"/>
  <c r="J1260" i="4"/>
  <c r="L1260" i="4" s="1"/>
  <c r="J190" i="4"/>
  <c r="J672" i="4"/>
  <c r="J802" i="4"/>
  <c r="K802" i="4" s="1"/>
  <c r="M802" i="4" s="1"/>
  <c r="N802" i="4" s="1"/>
  <c r="J898" i="4"/>
  <c r="L898" i="4" s="1"/>
  <c r="J992" i="4"/>
  <c r="K992" i="4" s="1"/>
  <c r="M992" i="4" s="1"/>
  <c r="N992" i="4" s="1"/>
  <c r="J1009" i="4"/>
  <c r="J1073" i="4"/>
  <c r="J1137" i="4"/>
  <c r="J1185" i="4"/>
  <c r="J1233" i="4"/>
  <c r="L1233" i="4" s="1"/>
  <c r="J1265" i="4"/>
  <c r="J1313" i="4"/>
  <c r="J135" i="4"/>
  <c r="J457" i="4"/>
  <c r="J641" i="4"/>
  <c r="K641" i="4" s="1"/>
  <c r="M641" i="4" s="1"/>
  <c r="N641" i="4" s="1"/>
  <c r="J743" i="4"/>
  <c r="J839" i="4"/>
  <c r="J935" i="4"/>
  <c r="J1010" i="4"/>
  <c r="J1058" i="4"/>
  <c r="J1122" i="4"/>
  <c r="J1170" i="4"/>
  <c r="K1170" i="4" s="1"/>
  <c r="M1170" i="4" s="1"/>
  <c r="N1170" i="4" s="1"/>
  <c r="J1218" i="4"/>
  <c r="K1218" i="4" s="1"/>
  <c r="M1218" i="4" s="1"/>
  <c r="N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L644" i="4" s="1"/>
  <c r="J680" i="4"/>
  <c r="J713" i="4"/>
  <c r="J745" i="4"/>
  <c r="J777" i="4"/>
  <c r="J809" i="4"/>
  <c r="K809" i="4" s="1"/>
  <c r="M809" i="4" s="1"/>
  <c r="N809" i="4" s="1"/>
  <c r="J841" i="4"/>
  <c r="J873" i="4"/>
  <c r="J905" i="4"/>
  <c r="J937" i="4"/>
  <c r="J959" i="4"/>
  <c r="J977" i="4"/>
  <c r="J995" i="4"/>
  <c r="L995" i="4" s="1"/>
  <c r="J1012" i="4"/>
  <c r="J1028" i="4"/>
  <c r="J1044" i="4"/>
  <c r="K1044" i="4" s="1"/>
  <c r="M1044" i="4" s="1"/>
  <c r="N1044" i="4" s="1"/>
  <c r="J1060" i="4"/>
  <c r="J1076" i="4"/>
  <c r="J1092" i="4"/>
  <c r="J1108" i="4"/>
  <c r="J1124" i="4"/>
  <c r="J1140" i="4"/>
  <c r="J1156" i="4"/>
  <c r="K1156" i="4" s="1"/>
  <c r="M1156" i="4" s="1"/>
  <c r="N1156" i="4" s="1"/>
  <c r="J1172" i="4"/>
  <c r="J1188" i="4"/>
  <c r="J1204" i="4"/>
  <c r="J1220" i="4"/>
  <c r="J1236" i="4"/>
  <c r="K1236" i="4" s="1"/>
  <c r="M1236" i="4" s="1"/>
  <c r="N1236" i="4" s="1"/>
  <c r="J1252" i="4"/>
  <c r="J1268" i="4"/>
  <c r="J1284" i="4"/>
  <c r="J1300" i="4"/>
  <c r="L1300" i="4" s="1"/>
  <c r="J237" i="4"/>
  <c r="Q237" i="4" s="1"/>
  <c r="J254" i="4"/>
  <c r="J930" i="4"/>
  <c r="J1057" i="4"/>
  <c r="L1057" i="4" s="1"/>
  <c r="J1121" i="4"/>
  <c r="J1201" i="4"/>
  <c r="L1201" i="4" s="1"/>
  <c r="J1281" i="4"/>
  <c r="J71" i="4"/>
  <c r="J521" i="4"/>
  <c r="J711" i="4"/>
  <c r="K711" i="4" s="1"/>
  <c r="M711" i="4" s="1"/>
  <c r="N711" i="4" s="1"/>
  <c r="J807" i="4"/>
  <c r="J903" i="4"/>
  <c r="J975" i="4"/>
  <c r="K975" i="4" s="1"/>
  <c r="M975" i="4" s="1"/>
  <c r="N975" i="4" s="1"/>
  <c r="J1026" i="4"/>
  <c r="K1026" i="4" s="1"/>
  <c r="M1026" i="4" s="1"/>
  <c r="N1026" i="4" s="1"/>
  <c r="J1074" i="4"/>
  <c r="J1106" i="4"/>
  <c r="K1106" i="4" s="1"/>
  <c r="M1106" i="4" s="1"/>
  <c r="N1106" i="4" s="1"/>
  <c r="J1154" i="4"/>
  <c r="L1154" i="4" s="1"/>
  <c r="J1202" i="4"/>
  <c r="J1250" i="4"/>
  <c r="J462" i="4"/>
  <c r="J303" i="4"/>
  <c r="H41" i="1"/>
  <c r="H33" i="1"/>
  <c r="J33" i="1" s="1"/>
  <c r="F28" i="5"/>
  <c r="F12" i="5"/>
  <c r="H98" i="1"/>
  <c r="H112" i="1"/>
  <c r="J112" i="1" s="1"/>
  <c r="F31" i="5"/>
  <c r="H80" i="1"/>
  <c r="J80" i="1" s="1"/>
  <c r="H72" i="1"/>
  <c r="H86" i="1"/>
  <c r="H106" i="1"/>
  <c r="J106" i="1" s="1"/>
  <c r="H128" i="1"/>
  <c r="J128" i="1" s="1"/>
  <c r="H120" i="1"/>
  <c r="H153" i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H198" i="1"/>
  <c r="H194" i="1"/>
  <c r="H190" i="1"/>
  <c r="H186" i="1"/>
  <c r="H50" i="1"/>
  <c r="J50" i="1" s="1"/>
  <c r="H26" i="1"/>
  <c r="J26" i="1" s="1"/>
  <c r="H18" i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H133" i="1"/>
  <c r="H151" i="1"/>
  <c r="M19" i="5"/>
  <c r="M11" i="5"/>
  <c r="M3" i="5"/>
  <c r="N27" i="5"/>
  <c r="N19" i="5"/>
  <c r="N11" i="5"/>
  <c r="F5" i="5"/>
  <c r="B27" i="5"/>
  <c r="F19" i="5"/>
  <c r="F11" i="5"/>
  <c r="H60" i="1"/>
  <c r="F33" i="5"/>
  <c r="F25" i="5"/>
  <c r="H64" i="1"/>
  <c r="F16" i="5"/>
  <c r="B9" i="5"/>
  <c r="H57" i="1"/>
  <c r="H70" i="1"/>
  <c r="H74" i="1"/>
  <c r="H66" i="1"/>
  <c r="H93" i="1"/>
  <c r="H100" i="1"/>
  <c r="H104" i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H99" i="1"/>
  <c r="H108" i="1"/>
  <c r="J108" i="1" s="1"/>
  <c r="H129" i="1"/>
  <c r="J129" i="1" s="1"/>
  <c r="H77" i="1"/>
  <c r="H69" i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H134" i="1"/>
  <c r="J134" i="1" s="1"/>
  <c r="H152" i="1"/>
  <c r="J152" i="1" s="1"/>
  <c r="H148" i="1"/>
  <c r="H49" i="1"/>
  <c r="J49" i="1" s="1"/>
  <c r="H25" i="1"/>
  <c r="J25" i="1" s="1"/>
  <c r="H56" i="1"/>
  <c r="J56" i="1" s="1"/>
  <c r="H139" i="1"/>
  <c r="H149" i="1"/>
  <c r="H158" i="1"/>
  <c r="J158" i="1" s="1"/>
  <c r="H229" i="1"/>
  <c r="H234" i="1"/>
  <c r="J234" i="1" s="1"/>
  <c r="B26" i="5"/>
  <c r="H140" i="1"/>
  <c r="H220" i="1"/>
  <c r="H43" i="1"/>
  <c r="J43" i="1" s="1"/>
  <c r="B11" i="5"/>
  <c r="N10" i="5"/>
  <c r="H165" i="1"/>
  <c r="H157" i="1"/>
  <c r="B13" i="5"/>
  <c r="F15" i="5"/>
  <c r="H135" i="1"/>
  <c r="H162" i="1"/>
  <c r="J162" i="1" s="1"/>
  <c r="H172" i="1"/>
  <c r="H168" i="1"/>
  <c r="J168" i="1" s="1"/>
  <c r="H210" i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H23" i="1"/>
  <c r="J23" i="1" s="1"/>
  <c r="H62" i="1"/>
  <c r="J62" i="1" s="1"/>
  <c r="H65" i="1"/>
  <c r="J65" i="1" s="1"/>
  <c r="M10" i="5"/>
  <c r="M2" i="5"/>
  <c r="N18" i="5"/>
  <c r="B12" i="5"/>
  <c r="H38" i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J180" i="1"/>
  <c r="B30" i="5"/>
  <c r="J41" i="1"/>
  <c r="B28" i="5"/>
  <c r="H200" i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H197" i="1"/>
  <c r="H189" i="1"/>
  <c r="J189" i="1" s="1"/>
  <c r="H203" i="1"/>
  <c r="H215" i="1"/>
  <c r="J215" i="1" s="1"/>
  <c r="H217" i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J60" i="1"/>
  <c r="F24" i="5"/>
  <c r="F32" i="5"/>
  <c r="H22" i="1"/>
  <c r="J22" i="1" s="1"/>
  <c r="J38" i="1"/>
  <c r="J18" i="1"/>
  <c r="N14" i="5"/>
  <c r="J118" i="1"/>
  <c r="H155" i="1"/>
  <c r="H170" i="1"/>
  <c r="H196" i="1"/>
  <c r="H192" i="1"/>
  <c r="J192" i="1" s="1"/>
  <c r="H188" i="1"/>
  <c r="H184" i="1"/>
  <c r="M6" i="5"/>
  <c r="N22" i="5"/>
  <c r="J79" i="1"/>
  <c r="J71" i="1"/>
  <c r="J110" i="1"/>
  <c r="H154" i="1"/>
  <c r="J154" i="1" s="1"/>
  <c r="H164" i="1"/>
  <c r="H160" i="1"/>
  <c r="H156" i="1"/>
  <c r="J156" i="1" s="1"/>
  <c r="H182" i="1"/>
  <c r="H178" i="1"/>
  <c r="J178" i="1" s="1"/>
  <c r="H199" i="1"/>
  <c r="J199" i="1" s="1"/>
  <c r="H211" i="1"/>
  <c r="H207" i="1"/>
  <c r="J207" i="1" s="1"/>
  <c r="H221" i="1"/>
  <c r="J83" i="1"/>
  <c r="J98" i="1"/>
  <c r="J116" i="1"/>
  <c r="J117" i="1"/>
  <c r="H161" i="1"/>
  <c r="H218" i="1"/>
  <c r="J210" i="1"/>
  <c r="M31" i="5"/>
  <c r="N3" i="5"/>
  <c r="M28" i="5"/>
  <c r="M12" i="5"/>
  <c r="N28" i="5"/>
  <c r="N12" i="5"/>
  <c r="J101" i="1"/>
  <c r="H171" i="1"/>
  <c r="H159" i="1"/>
  <c r="H181" i="1"/>
  <c r="J194" i="1"/>
  <c r="H219" i="1"/>
  <c r="J76" i="1"/>
  <c r="J68" i="1"/>
  <c r="J94" i="1"/>
  <c r="J86" i="1"/>
  <c r="J82" i="1"/>
  <c r="J97" i="1"/>
  <c r="J115" i="1"/>
  <c r="J124" i="1"/>
  <c r="J120" i="1"/>
  <c r="M29" i="5"/>
  <c r="J75" i="1"/>
  <c r="J67" i="1"/>
  <c r="H145" i="1"/>
  <c r="J145" i="1" s="1"/>
  <c r="H195" i="1"/>
  <c r="H187" i="1"/>
  <c r="H206" i="1"/>
  <c r="J206" i="1" s="1"/>
  <c r="H209" i="1"/>
  <c r="M14" i="5"/>
  <c r="N31" i="5"/>
  <c r="N23" i="5"/>
  <c r="M33" i="5"/>
  <c r="J127" i="1"/>
  <c r="J157" i="1"/>
  <c r="H202" i="1"/>
  <c r="H213" i="1"/>
  <c r="J213" i="1" s="1"/>
  <c r="M21" i="5"/>
  <c r="N30" i="5"/>
  <c r="N15" i="5"/>
  <c r="N7" i="5"/>
  <c r="J107" i="1"/>
  <c r="H179" i="1"/>
  <c r="J179" i="1" s="1"/>
  <c r="H224" i="1"/>
  <c r="H235" i="1"/>
  <c r="H231" i="1"/>
  <c r="J231" i="1" s="1"/>
  <c r="H236" i="1"/>
  <c r="J236" i="1" s="1"/>
  <c r="J223" i="1"/>
  <c r="J85" i="1"/>
  <c r="J123" i="1"/>
  <c r="J84" i="1"/>
  <c r="J102" i="1"/>
  <c r="J125" i="1"/>
  <c r="J126" i="1"/>
  <c r="J109" i="1"/>
  <c r="J166" i="1"/>
  <c r="J113" i="1"/>
  <c r="J77" i="1"/>
  <c r="J87" i="1"/>
  <c r="J119" i="1"/>
  <c r="J96" i="1"/>
  <c r="J66" i="1"/>
  <c r="J89" i="1"/>
  <c r="J111" i="1"/>
  <c r="J74" i="1"/>
  <c r="J131" i="1"/>
  <c r="J64" i="1"/>
  <c r="J95" i="1"/>
  <c r="J90" i="1"/>
  <c r="J155" i="1"/>
  <c r="L341" i="4"/>
  <c r="L374" i="4"/>
  <c r="J78" i="1"/>
  <c r="J104" i="1"/>
  <c r="J92" i="1"/>
  <c r="J91" i="1"/>
  <c r="J88" i="1"/>
  <c r="J99" i="1"/>
  <c r="J202" i="1"/>
  <c r="J121" i="1"/>
  <c r="J122" i="1"/>
  <c r="J69" i="1"/>
  <c r="J130" i="1"/>
  <c r="J100" i="1"/>
  <c r="J105" i="1"/>
  <c r="J93" i="1"/>
  <c r="J197" i="1"/>
  <c r="J170" i="1"/>
  <c r="J150" i="1"/>
  <c r="J182" i="1"/>
  <c r="J70" i="1"/>
  <c r="J72" i="1"/>
  <c r="J196" i="1"/>
  <c r="J188" i="1"/>
  <c r="J184" i="1"/>
  <c r="J209" i="1"/>
  <c r="J57" i="1"/>
  <c r="J48" i="1"/>
  <c r="J203" i="1"/>
  <c r="J217" i="1"/>
  <c r="J165" i="1"/>
  <c r="J140" i="1"/>
  <c r="J161" i="1"/>
  <c r="J220" i="1"/>
  <c r="J171" i="1"/>
  <c r="J159" i="1"/>
  <c r="J181" i="1"/>
  <c r="J219" i="1"/>
  <c r="J175" i="1"/>
  <c r="J200" i="1"/>
  <c r="J218" i="1"/>
  <c r="J153" i="1"/>
  <c r="J142" i="1"/>
  <c r="J148" i="1"/>
  <c r="J208" i="1"/>
  <c r="J139" i="1"/>
  <c r="J149" i="1"/>
  <c r="J198" i="1"/>
  <c r="J190" i="1"/>
  <c r="J186" i="1"/>
  <c r="J135" i="1"/>
  <c r="J141" i="1"/>
  <c r="J137" i="1"/>
  <c r="J133" i="1"/>
  <c r="J151" i="1"/>
  <c r="J147" i="1"/>
  <c r="J195" i="1"/>
  <c r="J187" i="1"/>
  <c r="J211" i="1"/>
  <c r="J221" i="1"/>
  <c r="J224" i="1"/>
  <c r="J235" i="1"/>
  <c r="J228" i="1"/>
  <c r="J233" i="1"/>
  <c r="J229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J164" i="1"/>
  <c r="J160" i="1"/>
  <c r="H167" i="1"/>
  <c r="J167" i="1" s="1"/>
  <c r="H163" i="1"/>
  <c r="J163" i="1" s="1"/>
  <c r="H177" i="1"/>
  <c r="J177" i="1" s="1"/>
  <c r="J173" i="1"/>
  <c r="H185" i="1"/>
  <c r="J185" i="1" s="1"/>
  <c r="H214" i="1"/>
  <c r="J214" i="1" s="1"/>
  <c r="L165" i="4" l="1"/>
  <c r="L293" i="4"/>
  <c r="L314" i="4"/>
  <c r="L19" i="4"/>
  <c r="L104" i="4"/>
  <c r="L40" i="4"/>
  <c r="L318" i="4"/>
  <c r="L60" i="4"/>
  <c r="L934" i="4"/>
  <c r="L770" i="4"/>
  <c r="L1257" i="4"/>
  <c r="J3" i="1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L1200" i="4"/>
  <c r="K9" i="4"/>
  <c r="M9" i="4" s="1"/>
  <c r="L1136" i="4"/>
  <c r="L1222" i="4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K381" i="4"/>
  <c r="M381" i="4" s="1"/>
  <c r="N381" i="4" s="1"/>
  <c r="K767" i="4"/>
  <c r="M767" i="4" s="1"/>
  <c r="N767" i="4" s="1"/>
  <c r="L292" i="4"/>
  <c r="N292" i="4" s="1"/>
  <c r="L231" i="4"/>
  <c r="N231" i="4" s="1"/>
  <c r="L1192" i="4"/>
  <c r="L1240" i="4"/>
  <c r="L776" i="4"/>
  <c r="K431" i="4"/>
  <c r="M431" i="4" s="1"/>
  <c r="N431" i="4" s="1"/>
  <c r="L1106" i="4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N965" i="4" s="1"/>
  <c r="K1111" i="4"/>
  <c r="M1111" i="4" s="1"/>
  <c r="N1111" i="4" s="1"/>
  <c r="L1177" i="4"/>
  <c r="K786" i="4"/>
  <c r="M786" i="4" s="1"/>
  <c r="N786" i="4" s="1"/>
  <c r="K841" i="4"/>
  <c r="M841" i="4" s="1"/>
  <c r="N841" i="4" s="1"/>
  <c r="K1162" i="4"/>
  <c r="M1162" i="4" s="1"/>
  <c r="N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K792" i="4"/>
  <c r="M792" i="4" s="1"/>
  <c r="N792" i="4" s="1"/>
  <c r="K895" i="4"/>
  <c r="M895" i="4" s="1"/>
  <c r="N895" i="4" s="1"/>
  <c r="K505" i="4"/>
  <c r="M505" i="4" s="1"/>
  <c r="N505" i="4" s="1"/>
  <c r="L1036" i="4"/>
  <c r="K516" i="4"/>
  <c r="M516" i="4" s="1"/>
  <c r="N516" i="4" s="1"/>
  <c r="K252" i="4"/>
  <c r="M252" i="4" s="1"/>
  <c r="L178" i="4"/>
  <c r="N178" i="4" s="1"/>
  <c r="K457" i="4"/>
  <c r="M457" i="4" s="1"/>
  <c r="N457" i="4" s="1"/>
  <c r="L819" i="4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N329" i="4" s="1"/>
  <c r="K529" i="4"/>
  <c r="M529" i="4" s="1"/>
  <c r="N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N686" i="4" s="1"/>
  <c r="L972" i="4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K948" i="4"/>
  <c r="M948" i="4" s="1"/>
  <c r="N948" i="4" s="1"/>
  <c r="K1298" i="4"/>
  <c r="M1298" i="4" s="1"/>
  <c r="N1298" i="4" s="1"/>
  <c r="K389" i="4"/>
  <c r="M389" i="4" s="1"/>
  <c r="N389" i="4" s="1"/>
  <c r="K511" i="4"/>
  <c r="M511" i="4" s="1"/>
  <c r="N511" i="4" s="1"/>
  <c r="K572" i="4"/>
  <c r="M572" i="4" s="1"/>
  <c r="N572" i="4" s="1"/>
  <c r="L87" i="4"/>
  <c r="N87" i="4" s="1"/>
  <c r="L1209" i="4"/>
  <c r="K58" i="4"/>
  <c r="M58" i="4" s="1"/>
  <c r="K1008" i="4"/>
  <c r="M1008" i="4" s="1"/>
  <c r="N1008" i="4" s="1"/>
  <c r="L989" i="4"/>
  <c r="K673" i="4"/>
  <c r="M673" i="4" s="1"/>
  <c r="N673" i="4" s="1"/>
  <c r="L703" i="4"/>
  <c r="K936" i="4"/>
  <c r="M936" i="4" s="1"/>
  <c r="N936" i="4" s="1"/>
  <c r="L38" i="4"/>
  <c r="N38" i="4" s="1"/>
  <c r="L1305" i="4"/>
  <c r="K167" i="4"/>
  <c r="M167" i="4" s="1"/>
  <c r="K1095" i="4"/>
  <c r="M1095" i="4" s="1"/>
  <c r="N1095" i="4" s="1"/>
  <c r="L975" i="4"/>
  <c r="L324" i="4"/>
  <c r="L506" i="4"/>
  <c r="K260" i="4"/>
  <c r="M260" i="4" s="1"/>
  <c r="K1077" i="4"/>
  <c r="M1077" i="4" s="1"/>
  <c r="N1077" i="4" s="1"/>
  <c r="L1272" i="4"/>
  <c r="K849" i="4"/>
  <c r="M849" i="4" s="1"/>
  <c r="N849" i="4" s="1"/>
  <c r="L1044" i="4"/>
  <c r="L441" i="4"/>
  <c r="L1282" i="4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L917" i="4"/>
  <c r="L1114" i="4"/>
  <c r="K586" i="4"/>
  <c r="M586" i="4" s="1"/>
  <c r="N586" i="4" s="1"/>
  <c r="L545" i="4"/>
  <c r="K150" i="4"/>
  <c r="M150" i="4" s="1"/>
  <c r="N150" i="4" s="1"/>
  <c r="L831" i="4"/>
  <c r="K214" i="4"/>
  <c r="M214" i="4" s="1"/>
  <c r="L81" i="4"/>
  <c r="N81" i="4" s="1"/>
  <c r="K461" i="4"/>
  <c r="M461" i="4" s="1"/>
  <c r="N461" i="4" s="1"/>
  <c r="K335" i="4"/>
  <c r="M335" i="4" s="1"/>
  <c r="N335" i="4" s="1"/>
  <c r="K959" i="4"/>
  <c r="M959" i="4" s="1"/>
  <c r="N959" i="4" s="1"/>
  <c r="K255" i="4"/>
  <c r="M255" i="4" s="1"/>
  <c r="L1241" i="4"/>
  <c r="K1089" i="4"/>
  <c r="M1089" i="4" s="1"/>
  <c r="N1089" i="4" s="1"/>
  <c r="K867" i="4"/>
  <c r="M867" i="4" s="1"/>
  <c r="N867" i="4" s="1"/>
  <c r="L1310" i="4"/>
  <c r="K124" i="4"/>
  <c r="M124" i="4" s="1"/>
  <c r="K397" i="4"/>
  <c r="M397" i="4" s="1"/>
  <c r="N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K446" i="4"/>
  <c r="M446" i="4" s="1"/>
  <c r="N446" i="4" s="1"/>
  <c r="K198" i="4"/>
  <c r="M198" i="4" s="1"/>
  <c r="N198" i="4" s="1"/>
  <c r="K485" i="4"/>
  <c r="M485" i="4" s="1"/>
  <c r="N485" i="4" s="1"/>
  <c r="L1156" i="4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K273" i="4"/>
  <c r="M273" i="4" s="1"/>
  <c r="N273" i="4" s="1"/>
  <c r="L797" i="4"/>
  <c r="L141" i="4"/>
  <c r="N141" i="4" s="1"/>
  <c r="K449" i="4"/>
  <c r="M449" i="4" s="1"/>
  <c r="N449" i="4" s="1"/>
  <c r="L1191" i="4"/>
  <c r="K1151" i="4"/>
  <c r="M1151" i="4" s="1"/>
  <c r="N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K1287" i="4"/>
  <c r="M1287" i="4" s="1"/>
  <c r="N1287" i="4" s="1"/>
  <c r="K574" i="4"/>
  <c r="M574" i="4" s="1"/>
  <c r="N574" i="4" s="1"/>
  <c r="K348" i="4"/>
  <c r="M348" i="4" s="1"/>
  <c r="N348" i="4" s="1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L874" i="4"/>
  <c r="K1208" i="4"/>
  <c r="M1208" i="4" s="1"/>
  <c r="N1208" i="4" s="1"/>
  <c r="K1009" i="4"/>
  <c r="M1009" i="4" s="1"/>
  <c r="N1009" i="4" s="1"/>
  <c r="L809" i="4"/>
  <c r="L1020" i="4"/>
  <c r="L196" i="4"/>
  <c r="N196" i="4" s="1"/>
  <c r="L583" i="4"/>
  <c r="L307" i="4"/>
  <c r="N307" i="4" s="1"/>
  <c r="L1116" i="4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K374" i="4"/>
  <c r="M374" i="4" s="1"/>
  <c r="N374" i="4" s="1"/>
  <c r="K1060" i="4"/>
  <c r="M1060" i="4" s="1"/>
  <c r="N1060" i="4" s="1"/>
  <c r="L648" i="4"/>
  <c r="L266" i="4"/>
  <c r="N266" i="4" s="1"/>
  <c r="K724" i="4"/>
  <c r="M724" i="4" s="1"/>
  <c r="N724" i="4" s="1"/>
  <c r="K553" i="4"/>
  <c r="M553" i="4" s="1"/>
  <c r="N553" i="4" s="1"/>
  <c r="L1276" i="4"/>
  <c r="L369" i="4"/>
  <c r="L783" i="4"/>
  <c r="K122" i="4"/>
  <c r="M122" i="4" s="1"/>
  <c r="L951" i="4"/>
  <c r="K1304" i="4"/>
  <c r="M1304" i="4" s="1"/>
  <c r="N1304" i="4" s="1"/>
  <c r="K1260" i="4"/>
  <c r="M1260" i="4" s="1"/>
  <c r="N1260" i="4" s="1"/>
  <c r="L993" i="4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K691" i="4"/>
  <c r="M691" i="4" s="1"/>
  <c r="N691" i="4" s="1"/>
  <c r="K633" i="4"/>
  <c r="M633" i="4" s="1"/>
  <c r="N633" i="4" s="1"/>
  <c r="L444" i="4"/>
  <c r="K535" i="4"/>
  <c r="M535" i="4" s="1"/>
  <c r="N535" i="4" s="1"/>
  <c r="L788" i="4"/>
  <c r="K598" i="4"/>
  <c r="M598" i="4" s="1"/>
  <c r="N598" i="4" s="1"/>
  <c r="L833" i="4"/>
  <c r="K578" i="4"/>
  <c r="M578" i="4" s="1"/>
  <c r="N578" i="4" s="1"/>
  <c r="L325" i="4"/>
  <c r="K503" i="4"/>
  <c r="M503" i="4" s="1"/>
  <c r="N503" i="4" s="1"/>
  <c r="K1093" i="4"/>
  <c r="M1093" i="4" s="1"/>
  <c r="N1093" i="4" s="1"/>
  <c r="K587" i="4"/>
  <c r="M587" i="4" s="1"/>
  <c r="N587" i="4" s="1"/>
  <c r="L490" i="4"/>
  <c r="L853" i="4"/>
  <c r="K171" i="4"/>
  <c r="M171" i="4" s="1"/>
  <c r="N171" i="4" s="1"/>
  <c r="K530" i="4"/>
  <c r="M530" i="4" s="1"/>
  <c r="N530" i="4" s="1"/>
  <c r="K147" i="4"/>
  <c r="M147" i="4" s="1"/>
  <c r="N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N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K388" i="4"/>
  <c r="M388" i="4" s="1"/>
  <c r="N388" i="4" s="1"/>
  <c r="K1293" i="4"/>
  <c r="M1293" i="4" s="1"/>
  <c r="N1293" i="4" s="1"/>
  <c r="L1169" i="4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N1101" i="4" s="1"/>
  <c r="K521" i="4"/>
  <c r="M521" i="4" s="1"/>
  <c r="N521" i="4" s="1"/>
  <c r="L942" i="4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L1195" i="4"/>
  <c r="L1042" i="4"/>
  <c r="L986" i="4"/>
  <c r="K626" i="4"/>
  <c r="M626" i="4" s="1"/>
  <c r="N626" i="4" s="1"/>
  <c r="K203" i="4"/>
  <c r="M203" i="4" s="1"/>
  <c r="L1198" i="4"/>
  <c r="L894" i="4"/>
  <c r="L1037" i="4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K500" i="4"/>
  <c r="M500" i="4" s="1"/>
  <c r="N500" i="4" s="1"/>
  <c r="K1183" i="4"/>
  <c r="M1183" i="4" s="1"/>
  <c r="N1183" i="4" s="1"/>
  <c r="L136" i="4"/>
  <c r="N136" i="4" s="1"/>
  <c r="L339" i="4"/>
  <c r="L763" i="4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L149" i="4"/>
  <c r="N149" i="4" s="1"/>
  <c r="K351" i="4"/>
  <c r="M351" i="4" s="1"/>
  <c r="N351" i="4" s="1"/>
  <c r="L938" i="4"/>
  <c r="L450" i="4"/>
  <c r="L921" i="4"/>
  <c r="L1306" i="4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N350" i="4" s="1"/>
  <c r="L1051" i="4"/>
  <c r="L56" i="4"/>
  <c r="N56" i="4" s="1"/>
  <c r="K494" i="4"/>
  <c r="M494" i="4" s="1"/>
  <c r="N494" i="4" s="1"/>
  <c r="L323" i="4"/>
  <c r="K916" i="4"/>
  <c r="M916" i="4" s="1"/>
  <c r="N916" i="4" s="1"/>
  <c r="K709" i="4"/>
  <c r="M709" i="4" s="1"/>
  <c r="N709" i="4" s="1"/>
  <c r="L622" i="4"/>
  <c r="K810" i="4"/>
  <c r="M810" i="4" s="1"/>
  <c r="N810" i="4" s="1"/>
  <c r="K1064" i="4"/>
  <c r="M1064" i="4" s="1"/>
  <c r="N1064" i="4" s="1"/>
  <c r="K106" i="4"/>
  <c r="M106" i="4" s="1"/>
  <c r="N106" i="4" s="1"/>
  <c r="L739" i="4"/>
  <c r="K398" i="4"/>
  <c r="M398" i="4" s="1"/>
  <c r="N398" i="4" s="1"/>
  <c r="K277" i="4"/>
  <c r="M277" i="4" s="1"/>
  <c r="K77" i="4"/>
  <c r="M77" i="4" s="1"/>
  <c r="N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L1161" i="4"/>
  <c r="K865" i="4"/>
  <c r="M865" i="4" s="1"/>
  <c r="N865" i="4" s="1"/>
  <c r="L555" i="4"/>
  <c r="L638" i="4"/>
  <c r="L1163" i="4"/>
  <c r="K45" i="4"/>
  <c r="M45" i="4" s="1"/>
  <c r="K489" i="4"/>
  <c r="M489" i="4" s="1"/>
  <c r="N489" i="4" s="1"/>
  <c r="K817" i="4"/>
  <c r="M817" i="4" s="1"/>
  <c r="N817" i="4" s="1"/>
  <c r="L653" i="4"/>
  <c r="K188" i="4"/>
  <c r="M188" i="4" s="1"/>
  <c r="L436" i="4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L570" i="4"/>
  <c r="K1182" i="4"/>
  <c r="M1182" i="4" s="1"/>
  <c r="N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N221" i="4" s="1"/>
  <c r="L1045" i="4"/>
  <c r="K498" i="4"/>
  <c r="M498" i="4" s="1"/>
  <c r="N498" i="4" s="1"/>
  <c r="K858" i="4"/>
  <c r="M858" i="4" s="1"/>
  <c r="N858" i="4" s="1"/>
  <c r="L359" i="4"/>
  <c r="K881" i="4"/>
  <c r="M881" i="4" s="1"/>
  <c r="N881" i="4" s="1"/>
  <c r="K1237" i="4"/>
  <c r="M1237" i="4" s="1"/>
  <c r="N1237" i="4" s="1"/>
  <c r="K877" i="4"/>
  <c r="M877" i="4" s="1"/>
  <c r="N877" i="4" s="1"/>
  <c r="L422" i="4"/>
  <c r="K939" i="4"/>
  <c r="M939" i="4" s="1"/>
  <c r="N939" i="4" s="1"/>
  <c r="K1123" i="4"/>
  <c r="M1123" i="4" s="1"/>
  <c r="N1123" i="4" s="1"/>
  <c r="L317" i="4"/>
  <c r="K716" i="4"/>
  <c r="M716" i="4" s="1"/>
  <c r="N716" i="4" s="1"/>
  <c r="K636" i="4"/>
  <c r="M636" i="4" s="1"/>
  <c r="N636" i="4" s="1"/>
  <c r="L706" i="4"/>
  <c r="K246" i="4"/>
  <c r="M246" i="4" s="1"/>
  <c r="N246" i="4" s="1"/>
  <c r="L465" i="4"/>
  <c r="K679" i="4"/>
  <c r="M679" i="4" s="1"/>
  <c r="N679" i="4" s="1"/>
  <c r="K134" i="4"/>
  <c r="M134" i="4" s="1"/>
  <c r="N134" i="4" s="1"/>
  <c r="K364" i="4"/>
  <c r="M364" i="4" s="1"/>
  <c r="N364" i="4" s="1"/>
  <c r="L1299" i="4"/>
  <c r="K281" i="4"/>
  <c r="M281" i="4" s="1"/>
  <c r="K40" i="4"/>
  <c r="M40" i="4" s="1"/>
  <c r="N40" i="4" s="1"/>
  <c r="L469" i="4"/>
  <c r="K47" i="4"/>
  <c r="M47" i="4" s="1"/>
  <c r="N47" i="4" s="1"/>
  <c r="K702" i="4"/>
  <c r="M702" i="4" s="1"/>
  <c r="N702" i="4" s="1"/>
  <c r="K186" i="4"/>
  <c r="M186" i="4" s="1"/>
  <c r="L240" i="4"/>
  <c r="L683" i="4"/>
  <c r="K952" i="4"/>
  <c r="M952" i="4" s="1"/>
  <c r="N952" i="4" s="1"/>
  <c r="K254" i="4"/>
  <c r="M254" i="4" s="1"/>
  <c r="N254" i="4" s="1"/>
  <c r="K114" i="4"/>
  <c r="M114" i="4" s="1"/>
  <c r="K575" i="4"/>
  <c r="M575" i="4" s="1"/>
  <c r="N575" i="4" s="1"/>
  <c r="L661" i="4"/>
  <c r="K334" i="4"/>
  <c r="M334" i="4" s="1"/>
  <c r="N334" i="4" s="1"/>
  <c r="L996" i="4"/>
  <c r="L402" i="4"/>
  <c r="L1132" i="4"/>
  <c r="L878" i="4"/>
  <c r="L525" i="4"/>
  <c r="K1103" i="4"/>
  <c r="M1103" i="4" s="1"/>
  <c r="N1103" i="4" s="1"/>
  <c r="L658" i="4"/>
  <c r="K396" i="4"/>
  <c r="M396" i="4" s="1"/>
  <c r="N396" i="4" s="1"/>
  <c r="K420" i="4"/>
  <c r="M420" i="4" s="1"/>
  <c r="N420" i="4" s="1"/>
  <c r="L366" i="4"/>
  <c r="K439" i="4"/>
  <c r="M439" i="4" s="1"/>
  <c r="N439" i="4" s="1"/>
  <c r="K445" i="4"/>
  <c r="M445" i="4" s="1"/>
  <c r="N445" i="4" s="1"/>
  <c r="L883" i="4"/>
  <c r="K947" i="4"/>
  <c r="M947" i="4" s="1"/>
  <c r="N947" i="4" s="1"/>
  <c r="L834" i="4"/>
  <c r="K83" i="4"/>
  <c r="M83" i="4" s="1"/>
  <c r="N83" i="4" s="1"/>
  <c r="K812" i="4"/>
  <c r="M812" i="4" s="1"/>
  <c r="N812" i="4" s="1"/>
  <c r="L915" i="4"/>
  <c r="L814" i="4"/>
  <c r="K1233" i="4"/>
  <c r="M1233" i="4" s="1"/>
  <c r="N1233" i="4" s="1"/>
  <c r="L802" i="4"/>
  <c r="K1099" i="4"/>
  <c r="M1099" i="4" s="1"/>
  <c r="N1099" i="4" s="1"/>
  <c r="L740" i="4"/>
  <c r="K363" i="4"/>
  <c r="M363" i="4" s="1"/>
  <c r="N363" i="4" s="1"/>
  <c r="L650" i="4"/>
  <c r="L1238" i="4"/>
  <c r="L96" i="4"/>
  <c r="N96" i="4" s="1"/>
  <c r="K372" i="4"/>
  <c r="M372" i="4" s="1"/>
  <c r="N372" i="4" s="1"/>
  <c r="K229" i="4"/>
  <c r="M229" i="4" s="1"/>
  <c r="L603" i="4"/>
  <c r="K811" i="4"/>
  <c r="M811" i="4" s="1"/>
  <c r="N811" i="4" s="1"/>
  <c r="K531" i="4"/>
  <c r="M531" i="4" s="1"/>
  <c r="N531" i="4" s="1"/>
  <c r="L358" i="4"/>
  <c r="L1112" i="4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L950" i="4"/>
  <c r="K115" i="4"/>
  <c r="M115" i="4" s="1"/>
  <c r="L623" i="4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K844" i="4"/>
  <c r="M844" i="4" s="1"/>
  <c r="N844" i="4" s="1"/>
  <c r="L1285" i="4"/>
  <c r="K926" i="4"/>
  <c r="M926" i="4" s="1"/>
  <c r="N926" i="4" s="1"/>
  <c r="K1184" i="4"/>
  <c r="M1184" i="4" s="1"/>
  <c r="N1184" i="4" s="1"/>
  <c r="L1047" i="4"/>
  <c r="K409" i="4"/>
  <c r="M409" i="4" s="1"/>
  <c r="N409" i="4" s="1"/>
  <c r="L900" i="4"/>
  <c r="L590" i="4"/>
  <c r="L876" i="4"/>
  <c r="K631" i="4"/>
  <c r="M631" i="4" s="1"/>
  <c r="N631" i="4" s="1"/>
  <c r="K34" i="4"/>
  <c r="M34" i="4" s="1"/>
  <c r="N34" i="4" s="1"/>
  <c r="L804" i="4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N69" i="4" s="1"/>
  <c r="K934" i="4"/>
  <c r="M934" i="4" s="1"/>
  <c r="N934" i="4" s="1"/>
  <c r="L1065" i="4"/>
  <c r="K690" i="4"/>
  <c r="M690" i="4" s="1"/>
  <c r="N690" i="4" s="1"/>
  <c r="K873" i="4"/>
  <c r="M873" i="4" s="1"/>
  <c r="N873" i="4" s="1"/>
  <c r="L723" i="4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L393" i="4"/>
  <c r="K565" i="4"/>
  <c r="M565" i="4" s="1"/>
  <c r="N565" i="4" s="1"/>
  <c r="K285" i="4"/>
  <c r="M285" i="4" s="1"/>
  <c r="N285" i="4" s="1"/>
  <c r="L676" i="4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N176" i="4" s="1"/>
  <c r="L448" i="4"/>
  <c r="K790" i="4"/>
  <c r="M790" i="4" s="1"/>
  <c r="N790" i="4" s="1"/>
  <c r="K850" i="4"/>
  <c r="M850" i="4" s="1"/>
  <c r="N850" i="4" s="1"/>
  <c r="L962" i="4"/>
  <c r="K1196" i="4"/>
  <c r="M1196" i="4" s="1"/>
  <c r="N1196" i="4" s="1"/>
  <c r="K382" i="4"/>
  <c r="M382" i="4" s="1"/>
  <c r="N382" i="4" s="1"/>
  <c r="L787" i="4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N131" i="4" s="1"/>
  <c r="L296" i="4"/>
  <c r="N296" i="4" s="1"/>
  <c r="L384" i="4"/>
  <c r="L711" i="4"/>
  <c r="K44" i="4"/>
  <c r="M44" i="4" s="1"/>
  <c r="N44" i="4" s="1"/>
  <c r="L1081" i="4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K368" i="4"/>
  <c r="M368" i="4" s="1"/>
  <c r="N368" i="4" s="1"/>
  <c r="L315" i="4"/>
  <c r="N315" i="4" s="1"/>
  <c r="K232" i="4"/>
  <c r="M232" i="4" s="1"/>
  <c r="K1039" i="4"/>
  <c r="M1039" i="4" s="1"/>
  <c r="N1039" i="4" s="1"/>
  <c r="L956" i="4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L837" i="4"/>
  <c r="L247" i="4"/>
  <c r="N247" i="4" s="1"/>
  <c r="K288" i="4"/>
  <c r="M288" i="4" s="1"/>
  <c r="L816" i="4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K759" i="4"/>
  <c r="M759" i="4" s="1"/>
  <c r="N759" i="4" s="1"/>
  <c r="K576" i="4"/>
  <c r="M576" i="4" s="1"/>
  <c r="N576" i="4" s="1"/>
  <c r="L533" i="4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N779" i="4" s="1"/>
  <c r="K722" i="4"/>
  <c r="M722" i="4" s="1"/>
  <c r="N722" i="4" s="1"/>
  <c r="L1165" i="4"/>
  <c r="K1073" i="4"/>
  <c r="M1073" i="4" s="1"/>
  <c r="N1073" i="4" s="1"/>
  <c r="L432" i="4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N1284" i="4" s="1"/>
  <c r="L836" i="4"/>
  <c r="K836" i="4"/>
  <c r="M836" i="4" s="1"/>
  <c r="N836" i="4" s="1"/>
  <c r="L868" i="4"/>
  <c r="K868" i="4"/>
  <c r="M868" i="4" s="1"/>
  <c r="N868" i="4" s="1"/>
  <c r="L1078" i="4"/>
  <c r="K1078" i="4"/>
  <c r="M1078" i="4" s="1"/>
  <c r="N1078" i="4" s="1"/>
  <c r="L241" i="4"/>
  <c r="K241" i="4"/>
  <c r="M241" i="4" s="1"/>
  <c r="L522" i="4"/>
  <c r="K522" i="4"/>
  <c r="M522" i="4" s="1"/>
  <c r="N522" i="4" s="1"/>
  <c r="L7" i="4"/>
  <c r="K7" i="4"/>
  <c r="M7" i="4" s="1"/>
  <c r="K1210" i="4"/>
  <c r="M1210" i="4" s="1"/>
  <c r="N1210" i="4" s="1"/>
  <c r="L1210" i="4"/>
  <c r="L249" i="4"/>
  <c r="K249" i="4"/>
  <c r="M249" i="4" s="1"/>
  <c r="L1017" i="4"/>
  <c r="K1017" i="4"/>
  <c r="M1017" i="4" s="1"/>
  <c r="N1017" i="4" s="1"/>
  <c r="K1148" i="4"/>
  <c r="M1148" i="4" s="1"/>
  <c r="N1148" i="4" s="1"/>
  <c r="L1148" i="4"/>
  <c r="L1076" i="4"/>
  <c r="K1076" i="4"/>
  <c r="M1076" i="4" s="1"/>
  <c r="N1076" i="4" s="1"/>
  <c r="L195" i="4"/>
  <c r="N195" i="4" s="1"/>
  <c r="K152" i="4"/>
  <c r="M152" i="4" s="1"/>
  <c r="K24" i="4"/>
  <c r="M24" i="4" s="1"/>
  <c r="N24" i="4" s="1"/>
  <c r="L651" i="4"/>
  <c r="K483" i="4"/>
  <c r="M483" i="4" s="1"/>
  <c r="N483" i="4" s="1"/>
  <c r="L846" i="4"/>
  <c r="K846" i="4"/>
  <c r="M846" i="4" s="1"/>
  <c r="N846" i="4" s="1"/>
  <c r="L560" i="4"/>
  <c r="K560" i="4"/>
  <c r="M560" i="4" s="1"/>
  <c r="N560" i="4" s="1"/>
  <c r="K1258" i="4"/>
  <c r="M1258" i="4" s="1"/>
  <c r="N1258" i="4" s="1"/>
  <c r="L112" i="4"/>
  <c r="N112" i="4" s="1"/>
  <c r="K39" i="4"/>
  <c r="M39" i="4" s="1"/>
  <c r="K32" i="4"/>
  <c r="M32" i="4" s="1"/>
  <c r="N32" i="4" s="1"/>
  <c r="K427" i="4"/>
  <c r="M427" i="4" s="1"/>
  <c r="N427" i="4" s="1"/>
  <c r="K741" i="4"/>
  <c r="M741" i="4" s="1"/>
  <c r="N741" i="4" s="1"/>
  <c r="L373" i="4"/>
  <c r="L155" i="4"/>
  <c r="N155" i="4" s="1"/>
  <c r="K1197" i="4"/>
  <c r="M1197" i="4" s="1"/>
  <c r="N1197" i="4" s="1"/>
  <c r="K848" i="4"/>
  <c r="M848" i="4" s="1"/>
  <c r="N848" i="4" s="1"/>
  <c r="L1236" i="4"/>
  <c r="L863" i="4"/>
  <c r="L528" i="4"/>
  <c r="L955" i="4"/>
  <c r="L635" i="4"/>
  <c r="K75" i="4"/>
  <c r="M75" i="4" s="1"/>
  <c r="N75" i="4" s="1"/>
  <c r="L782" i="4"/>
  <c r="K782" i="4"/>
  <c r="M782" i="4" s="1"/>
  <c r="N782" i="4" s="1"/>
  <c r="K580" i="4"/>
  <c r="M580" i="4" s="1"/>
  <c r="N580" i="4" s="1"/>
  <c r="L580" i="4"/>
  <c r="L159" i="4"/>
  <c r="K159" i="4"/>
  <c r="M159" i="4" s="1"/>
  <c r="L12" i="4"/>
  <c r="K12" i="4"/>
  <c r="M12" i="4" s="1"/>
  <c r="L486" i="4"/>
  <c r="K486" i="4"/>
  <c r="M486" i="4" s="1"/>
  <c r="N486" i="4" s="1"/>
  <c r="L708" i="4"/>
  <c r="K708" i="4"/>
  <c r="M708" i="4" s="1"/>
  <c r="N708" i="4" s="1"/>
  <c r="L563" i="4"/>
  <c r="K563" i="4"/>
  <c r="M563" i="4" s="1"/>
  <c r="N563" i="4" s="1"/>
  <c r="L102" i="4"/>
  <c r="K102" i="4"/>
  <c r="M102" i="4" s="1"/>
  <c r="L886" i="4"/>
  <c r="K886" i="4"/>
  <c r="M886" i="4" s="1"/>
  <c r="N886" i="4" s="1"/>
  <c r="L175" i="4"/>
  <c r="K175" i="4"/>
  <c r="M175" i="4" s="1"/>
  <c r="L22" i="4"/>
  <c r="K22" i="4"/>
  <c r="M22" i="4" s="1"/>
  <c r="L1040" i="4"/>
  <c r="K1040" i="4"/>
  <c r="M1040" i="4" s="1"/>
  <c r="N1040" i="4" s="1"/>
  <c r="K548" i="4"/>
  <c r="M548" i="4" s="1"/>
  <c r="N548" i="4" s="1"/>
  <c r="L548" i="4"/>
  <c r="L970" i="4"/>
  <c r="K970" i="4"/>
  <c r="M970" i="4" s="1"/>
  <c r="N970" i="4" s="1"/>
  <c r="L920" i="4"/>
  <c r="K920" i="4"/>
  <c r="M920" i="4" s="1"/>
  <c r="N920" i="4" s="1"/>
  <c r="L471" i="4"/>
  <c r="K471" i="4"/>
  <c r="M471" i="4" s="1"/>
  <c r="N471" i="4" s="1"/>
  <c r="L322" i="4"/>
  <c r="K322" i="4"/>
  <c r="M322" i="4" s="1"/>
  <c r="N322" i="4" s="1"/>
  <c r="L551" i="4"/>
  <c r="K551" i="4"/>
  <c r="M551" i="4" s="1"/>
  <c r="N551" i="4" s="1"/>
  <c r="L414" i="4"/>
  <c r="K414" i="4"/>
  <c r="M414" i="4" s="1"/>
  <c r="N414" i="4" s="1"/>
  <c r="L1054" i="4"/>
  <c r="K1054" i="4"/>
  <c r="M1054" i="4" s="1"/>
  <c r="N1054" i="4" s="1"/>
  <c r="L13" i="4"/>
  <c r="K13" i="4"/>
  <c r="M13" i="4" s="1"/>
  <c r="L1016" i="4"/>
  <c r="K1016" i="4"/>
  <c r="M1016" i="4" s="1"/>
  <c r="N1016" i="4" s="1"/>
  <c r="L174" i="4"/>
  <c r="K174" i="4"/>
  <c r="M174" i="4" s="1"/>
  <c r="L237" i="4"/>
  <c r="K237" i="4"/>
  <c r="M237" i="4" s="1"/>
  <c r="K1290" i="4"/>
  <c r="M1290" i="4" s="1"/>
  <c r="N1290" i="4" s="1"/>
  <c r="L655" i="4"/>
  <c r="K352" i="4"/>
  <c r="M352" i="4" s="1"/>
  <c r="N352" i="4" s="1"/>
  <c r="K699" i="4"/>
  <c r="M699" i="4" s="1"/>
  <c r="N699" i="4" s="1"/>
  <c r="K443" i="4"/>
  <c r="M443" i="4" s="1"/>
  <c r="N443" i="4" s="1"/>
  <c r="L338" i="4"/>
  <c r="L1187" i="4"/>
  <c r="K1187" i="4"/>
  <c r="M1187" i="4" s="1"/>
  <c r="N1187" i="4" s="1"/>
  <c r="L1137" i="4"/>
  <c r="K1137" i="4"/>
  <c r="M1137" i="4" s="1"/>
  <c r="N1137" i="4" s="1"/>
  <c r="L403" i="4"/>
  <c r="K403" i="4"/>
  <c r="M403" i="4" s="1"/>
  <c r="N403" i="4" s="1"/>
  <c r="L621" i="4"/>
  <c r="K621" i="4"/>
  <c r="M621" i="4" s="1"/>
  <c r="N621" i="4" s="1"/>
  <c r="L1091" i="4"/>
  <c r="K1091" i="4"/>
  <c r="M1091" i="4" s="1"/>
  <c r="N1091" i="4" s="1"/>
  <c r="L207" i="4"/>
  <c r="K207" i="4"/>
  <c r="M207" i="4" s="1"/>
  <c r="K264" i="4"/>
  <c r="M264" i="4" s="1"/>
  <c r="N264" i="4" s="1"/>
  <c r="L480" i="4"/>
  <c r="K1180" i="4"/>
  <c r="M1180" i="4" s="1"/>
  <c r="N1180" i="4" s="1"/>
  <c r="L732" i="4"/>
  <c r="K305" i="4"/>
  <c r="M305" i="4" s="1"/>
  <c r="N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N558" i="4" s="1"/>
  <c r="L1059" i="4"/>
  <c r="K1059" i="4"/>
  <c r="M1059" i="4" s="1"/>
  <c r="N1059" i="4" s="1"/>
  <c r="L777" i="4"/>
  <c r="K777" i="4"/>
  <c r="M777" i="4" s="1"/>
  <c r="N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N481" i="4" s="1"/>
  <c r="L268" i="4"/>
  <c r="K268" i="4"/>
  <c r="M268" i="4" s="1"/>
  <c r="K65" i="4"/>
  <c r="M65" i="4" s="1"/>
  <c r="L65" i="4"/>
  <c r="L805" i="4"/>
  <c r="K805" i="4"/>
  <c r="M805" i="4" s="1"/>
  <c r="N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K656" i="4"/>
  <c r="M656" i="4" s="1"/>
  <c r="N656" i="4" s="1"/>
  <c r="L751" i="4"/>
  <c r="K720" i="4"/>
  <c r="M720" i="4" s="1"/>
  <c r="N720" i="4" s="1"/>
  <c r="L67" i="4"/>
  <c r="N67" i="4" s="1"/>
  <c r="K963" i="4"/>
  <c r="M963" i="4" s="1"/>
  <c r="N963" i="4" s="1"/>
  <c r="L707" i="4"/>
  <c r="L259" i="4"/>
  <c r="N259" i="4" s="1"/>
  <c r="L493" i="4"/>
  <c r="L405" i="4"/>
  <c r="L979" i="4"/>
  <c r="K979" i="4"/>
  <c r="M979" i="4" s="1"/>
  <c r="N979" i="4" s="1"/>
  <c r="L154" i="4"/>
  <c r="K154" i="4"/>
  <c r="M154" i="4" s="1"/>
  <c r="L211" i="4"/>
  <c r="K211" i="4"/>
  <c r="M211" i="4" s="1"/>
  <c r="L1179" i="4"/>
  <c r="K1179" i="4"/>
  <c r="M1179" i="4" s="1"/>
  <c r="N1179" i="4" s="1"/>
  <c r="L663" i="4"/>
  <c r="K663" i="4"/>
  <c r="M663" i="4" s="1"/>
  <c r="N663" i="4" s="1"/>
  <c r="L135" i="4"/>
  <c r="K135" i="4"/>
  <c r="M135" i="4" s="1"/>
  <c r="L645" i="4"/>
  <c r="K645" i="4"/>
  <c r="M645" i="4" s="1"/>
  <c r="N645" i="4" s="1"/>
  <c r="L125" i="4"/>
  <c r="K125" i="4"/>
  <c r="M125" i="4" s="1"/>
  <c r="L1062" i="4"/>
  <c r="K1062" i="4"/>
  <c r="M1062" i="4" s="1"/>
  <c r="N1062" i="4" s="1"/>
  <c r="K1301" i="4"/>
  <c r="M1301" i="4" s="1"/>
  <c r="N1301" i="4" s="1"/>
  <c r="L1301" i="4"/>
  <c r="K918" i="4"/>
  <c r="M918" i="4" s="1"/>
  <c r="N918" i="4" s="1"/>
  <c r="L918" i="4"/>
  <c r="L773" i="4"/>
  <c r="K773" i="4"/>
  <c r="M773" i="4" s="1"/>
  <c r="N773" i="4" s="1"/>
  <c r="L1176" i="4"/>
  <c r="K1176" i="4"/>
  <c r="M1176" i="4" s="1"/>
  <c r="N1176" i="4" s="1"/>
  <c r="L967" i="4"/>
  <c r="K967" i="4"/>
  <c r="M967" i="4" s="1"/>
  <c r="N967" i="4" s="1"/>
  <c r="L343" i="4"/>
  <c r="K343" i="4"/>
  <c r="M343" i="4" s="1"/>
  <c r="N343" i="4" s="1"/>
  <c r="L1038" i="4"/>
  <c r="K1038" i="4"/>
  <c r="M1038" i="4" s="1"/>
  <c r="N1038" i="4" s="1"/>
  <c r="L319" i="4"/>
  <c r="K319" i="4"/>
  <c r="M319" i="4" s="1"/>
  <c r="N319" i="4" s="1"/>
  <c r="L1178" i="4"/>
  <c r="K1178" i="4"/>
  <c r="M1178" i="4" s="1"/>
  <c r="N1178" i="4" s="1"/>
  <c r="L180" i="4"/>
  <c r="K180" i="4"/>
  <c r="M180" i="4" s="1"/>
  <c r="L1215" i="4"/>
  <c r="K1215" i="4"/>
  <c r="M1215" i="4" s="1"/>
  <c r="N1215" i="4" s="1"/>
  <c r="L822" i="4"/>
  <c r="K822" i="4"/>
  <c r="M822" i="4" s="1"/>
  <c r="N822" i="4" s="1"/>
  <c r="L1291" i="4"/>
  <c r="K1291" i="4"/>
  <c r="M1291" i="4" s="1"/>
  <c r="N1291" i="4" s="1"/>
  <c r="L666" i="4"/>
  <c r="K666" i="4"/>
  <c r="M666" i="4" s="1"/>
  <c r="N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N743" i="4" s="1"/>
  <c r="L1153" i="4"/>
  <c r="K1153" i="4"/>
  <c r="M1153" i="4" s="1"/>
  <c r="N1153" i="4" s="1"/>
  <c r="L689" i="4"/>
  <c r="K689" i="4"/>
  <c r="M689" i="4" s="1"/>
  <c r="N689" i="4" s="1"/>
  <c r="L573" i="4"/>
  <c r="K573" i="4"/>
  <c r="M573" i="4" s="1"/>
  <c r="N573" i="4" s="1"/>
  <c r="L961" i="4"/>
  <c r="K961" i="4"/>
  <c r="M961" i="4" s="1"/>
  <c r="N961" i="4" s="1"/>
  <c r="L349" i="4"/>
  <c r="K349" i="4"/>
  <c r="M349" i="4" s="1"/>
  <c r="N349" i="4" s="1"/>
  <c r="L710" i="4"/>
  <c r="K710" i="4"/>
  <c r="M710" i="4" s="1"/>
  <c r="N710" i="4" s="1"/>
  <c r="L670" i="4"/>
  <c r="K670" i="4"/>
  <c r="M670" i="4" s="1"/>
  <c r="N670" i="4" s="1"/>
  <c r="L455" i="4"/>
  <c r="K455" i="4"/>
  <c r="M455" i="4" s="1"/>
  <c r="N455" i="4" s="1"/>
  <c r="K145" i="4"/>
  <c r="M145" i="4" s="1"/>
  <c r="L145" i="4"/>
  <c r="L1302" i="4"/>
  <c r="K1302" i="4"/>
  <c r="M1302" i="4" s="1"/>
  <c r="N1302" i="4" s="1"/>
  <c r="L540" i="4"/>
  <c r="K540" i="4"/>
  <c r="M540" i="4" s="1"/>
  <c r="N540" i="4" s="1"/>
  <c r="L1203" i="4"/>
  <c r="K1203" i="4"/>
  <c r="M1203" i="4" s="1"/>
  <c r="N1203" i="4" s="1"/>
  <c r="K383" i="4"/>
  <c r="M383" i="4" s="1"/>
  <c r="N383" i="4" s="1"/>
  <c r="L383" i="4"/>
  <c r="K375" i="4"/>
  <c r="M375" i="4" s="1"/>
  <c r="N375" i="4" s="1"/>
  <c r="L375" i="4"/>
  <c r="L1143" i="4"/>
  <c r="K1143" i="4"/>
  <c r="M1143" i="4" s="1"/>
  <c r="N1143" i="4" s="1"/>
  <c r="L532" i="4"/>
  <c r="K532" i="4"/>
  <c r="M532" i="4" s="1"/>
  <c r="N532" i="4" s="1"/>
  <c r="L391" i="4"/>
  <c r="K391" i="4"/>
  <c r="M391" i="4" s="1"/>
  <c r="N391" i="4" s="1"/>
  <c r="L665" i="4"/>
  <c r="K665" i="4"/>
  <c r="M665" i="4" s="1"/>
  <c r="N665" i="4" s="1"/>
  <c r="L1172" i="4"/>
  <c r="K1172" i="4"/>
  <c r="M1172" i="4" s="1"/>
  <c r="N1172" i="4" s="1"/>
  <c r="L1011" i="4"/>
  <c r="K1011" i="4"/>
  <c r="M1011" i="4" s="1"/>
  <c r="N1011" i="4" s="1"/>
  <c r="L194" i="4"/>
  <c r="K194" i="4"/>
  <c r="M194" i="4" s="1"/>
  <c r="L6" i="4"/>
  <c r="K6" i="4"/>
  <c r="M6" i="4" s="1"/>
  <c r="L807" i="4"/>
  <c r="K807" i="4"/>
  <c r="M807" i="4" s="1"/>
  <c r="N807" i="4" s="1"/>
  <c r="L1199" i="4"/>
  <c r="K1199" i="4"/>
  <c r="M1199" i="4" s="1"/>
  <c r="N1199" i="4" s="1"/>
  <c r="L839" i="4"/>
  <c r="K839" i="4"/>
  <c r="M839" i="4" s="1"/>
  <c r="N839" i="4" s="1"/>
  <c r="L566" i="4"/>
  <c r="K566" i="4"/>
  <c r="M566" i="4" s="1"/>
  <c r="N566" i="4" s="1"/>
  <c r="L990" i="4"/>
  <c r="K990" i="4"/>
  <c r="M990" i="4" s="1"/>
  <c r="N990" i="4" s="1"/>
  <c r="L799" i="4"/>
  <c r="K799" i="4"/>
  <c r="M799" i="4" s="1"/>
  <c r="N799" i="4" s="1"/>
  <c r="L28" i="4"/>
  <c r="K28" i="4"/>
  <c r="M28" i="4" s="1"/>
  <c r="L286" i="4"/>
  <c r="K286" i="4"/>
  <c r="M286" i="4" s="1"/>
  <c r="L671" i="4"/>
  <c r="K671" i="4"/>
  <c r="M671" i="4" s="1"/>
  <c r="N671" i="4" s="1"/>
  <c r="L862" i="4"/>
  <c r="K862" i="4"/>
  <c r="M862" i="4" s="1"/>
  <c r="N862" i="4" s="1"/>
  <c r="L1134" i="4"/>
  <c r="K1134" i="4"/>
  <c r="M1134" i="4" s="1"/>
  <c r="N1134" i="4" s="1"/>
  <c r="L1070" i="4"/>
  <c r="K1070" i="4"/>
  <c r="M1070" i="4" s="1"/>
  <c r="N1070" i="4" s="1"/>
  <c r="L230" i="4"/>
  <c r="K230" i="4"/>
  <c r="M230" i="4" s="1"/>
  <c r="K88" i="4"/>
  <c r="M88" i="4" s="1"/>
  <c r="L88" i="4"/>
  <c r="L901" i="4"/>
  <c r="K901" i="4"/>
  <c r="M901" i="4" s="1"/>
  <c r="N901" i="4" s="1"/>
  <c r="L842" i="4"/>
  <c r="K842" i="4"/>
  <c r="M842" i="4" s="1"/>
  <c r="N842" i="4" s="1"/>
  <c r="L170" i="4"/>
  <c r="K170" i="4"/>
  <c r="M170" i="4" s="1"/>
  <c r="L1204" i="4"/>
  <c r="K1204" i="4"/>
  <c r="M1204" i="4" s="1"/>
  <c r="N1204" i="4" s="1"/>
  <c r="K855" i="4"/>
  <c r="M855" i="4" s="1"/>
  <c r="N855" i="4" s="1"/>
  <c r="L855" i="4"/>
  <c r="K684" i="4"/>
  <c r="M684" i="4" s="1"/>
  <c r="N684" i="4" s="1"/>
  <c r="L684" i="4"/>
  <c r="L1281" i="4"/>
  <c r="K1281" i="4"/>
  <c r="M1281" i="4" s="1"/>
  <c r="N1281" i="4" s="1"/>
  <c r="L262" i="4"/>
  <c r="K262" i="4"/>
  <c r="M262" i="4" s="1"/>
  <c r="L852" i="4"/>
  <c r="K852" i="4"/>
  <c r="M852" i="4" s="1"/>
  <c r="N852" i="4" s="1"/>
  <c r="L612" i="4"/>
  <c r="K612" i="4"/>
  <c r="M612" i="4" s="1"/>
  <c r="N612" i="4" s="1"/>
  <c r="L1186" i="4"/>
  <c r="K1186" i="4"/>
  <c r="M1186" i="4" s="1"/>
  <c r="N1186" i="4" s="1"/>
  <c r="L156" i="4"/>
  <c r="K156" i="4"/>
  <c r="M156" i="4" s="1"/>
  <c r="L1014" i="4"/>
  <c r="K1014" i="4"/>
  <c r="M1014" i="4" s="1"/>
  <c r="N1014" i="4" s="1"/>
  <c r="L46" i="4"/>
  <c r="K46" i="4"/>
  <c r="M46" i="4" s="1"/>
  <c r="L1205" i="4"/>
  <c r="K1205" i="4"/>
  <c r="M1205" i="4" s="1"/>
  <c r="N1205" i="4" s="1"/>
  <c r="L1206" i="4"/>
  <c r="K1206" i="4"/>
  <c r="M1206" i="4" s="1"/>
  <c r="N1206" i="4" s="1"/>
  <c r="L70" i="4"/>
  <c r="K70" i="4"/>
  <c r="M70" i="4" s="1"/>
  <c r="L775" i="4"/>
  <c r="K775" i="4"/>
  <c r="M775" i="4" s="1"/>
  <c r="N775" i="4" s="1"/>
  <c r="L261" i="4"/>
  <c r="K261" i="4"/>
  <c r="M261" i="4" s="1"/>
  <c r="L399" i="4"/>
  <c r="K399" i="4"/>
  <c r="M399" i="4" s="1"/>
  <c r="N399" i="4" s="1"/>
  <c r="L966" i="4"/>
  <c r="K966" i="4"/>
  <c r="M966" i="4" s="1"/>
  <c r="N966" i="4" s="1"/>
  <c r="L73" i="4"/>
  <c r="K73" i="4"/>
  <c r="M73" i="4" s="1"/>
  <c r="L412" i="4"/>
  <c r="K412" i="4"/>
  <c r="M412" i="4" s="1"/>
  <c r="N412" i="4" s="1"/>
  <c r="L477" i="4"/>
  <c r="K477" i="4"/>
  <c r="M477" i="4" s="1"/>
  <c r="N477" i="4" s="1"/>
  <c r="L199" i="4"/>
  <c r="K199" i="4"/>
  <c r="M199" i="4" s="1"/>
  <c r="L327" i="4"/>
  <c r="K327" i="4"/>
  <c r="M327" i="4" s="1"/>
  <c r="N327" i="4" s="1"/>
  <c r="L899" i="4"/>
  <c r="K899" i="4"/>
  <c r="M899" i="4" s="1"/>
  <c r="N899" i="4" s="1"/>
  <c r="L235" i="4"/>
  <c r="K235" i="4"/>
  <c r="M235" i="4" s="1"/>
  <c r="L16" i="4"/>
  <c r="K16" i="4"/>
  <c r="M16" i="4" s="1"/>
  <c r="L1032" i="4"/>
  <c r="K1032" i="4"/>
  <c r="M1032" i="4" s="1"/>
  <c r="N1032" i="4" s="1"/>
  <c r="L502" i="4"/>
  <c r="K502" i="4"/>
  <c r="M502" i="4" s="1"/>
  <c r="N502" i="4" s="1"/>
  <c r="L857" i="4"/>
  <c r="K857" i="4"/>
  <c r="M857" i="4" s="1"/>
  <c r="N857" i="4" s="1"/>
  <c r="L245" i="4"/>
  <c r="K245" i="4"/>
  <c r="M245" i="4" s="1"/>
  <c r="L132" i="4"/>
  <c r="K132" i="4"/>
  <c r="M132" i="4" s="1"/>
  <c r="L515" i="4"/>
  <c r="K515" i="4"/>
  <c r="M515" i="4" s="1"/>
  <c r="N515" i="4" s="1"/>
  <c r="L332" i="4"/>
  <c r="K332" i="4"/>
  <c r="M332" i="4" s="1"/>
  <c r="N332" i="4" s="1"/>
  <c r="K929" i="4"/>
  <c r="M929" i="4" s="1"/>
  <c r="N929" i="4" s="1"/>
  <c r="L929" i="4"/>
  <c r="K980" i="4"/>
  <c r="M980" i="4" s="1"/>
  <c r="N980" i="4" s="1"/>
  <c r="L980" i="4"/>
  <c r="L423" i="4"/>
  <c r="K423" i="4"/>
  <c r="M423" i="4" s="1"/>
  <c r="N423" i="4" s="1"/>
  <c r="L971" i="4"/>
  <c r="K971" i="4"/>
  <c r="M971" i="4" s="1"/>
  <c r="N971" i="4" s="1"/>
  <c r="L523" i="4"/>
  <c r="K523" i="4"/>
  <c r="M523" i="4" s="1"/>
  <c r="N523" i="4" s="1"/>
  <c r="L492" i="4"/>
  <c r="K492" i="4"/>
  <c r="M492" i="4" s="1"/>
  <c r="N492" i="4" s="1"/>
  <c r="L1048" i="4"/>
  <c r="K1048" i="4"/>
  <c r="M1048" i="4" s="1"/>
  <c r="N1048" i="4" s="1"/>
  <c r="L279" i="4"/>
  <c r="K279" i="4"/>
  <c r="M279" i="4" s="1"/>
  <c r="L1216" i="4"/>
  <c r="K1216" i="4"/>
  <c r="M1216" i="4" s="1"/>
  <c r="N1216" i="4" s="1"/>
  <c r="L554" i="4"/>
  <c r="K554" i="4"/>
  <c r="M554" i="4" s="1"/>
  <c r="N554" i="4" s="1"/>
  <c r="L725" i="4"/>
  <c r="K725" i="4"/>
  <c r="M725" i="4" s="1"/>
  <c r="N725" i="4" s="1"/>
  <c r="L974" i="4"/>
  <c r="K974" i="4"/>
  <c r="M974" i="4" s="1"/>
  <c r="N974" i="4" s="1"/>
  <c r="L209" i="4"/>
  <c r="K209" i="4"/>
  <c r="M209" i="4" s="1"/>
  <c r="L643" i="4"/>
  <c r="K643" i="4"/>
  <c r="M643" i="4" s="1"/>
  <c r="N643" i="4" s="1"/>
  <c r="L957" i="4"/>
  <c r="K957" i="4"/>
  <c r="M957" i="4" s="1"/>
  <c r="N957" i="4" s="1"/>
  <c r="L757" i="4"/>
  <c r="K757" i="4"/>
  <c r="M757" i="4" s="1"/>
  <c r="N757" i="4" s="1"/>
  <c r="L1104" i="4"/>
  <c r="K1104" i="4"/>
  <c r="M1104" i="4" s="1"/>
  <c r="N1104" i="4" s="1"/>
  <c r="L1130" i="4"/>
  <c r="K1130" i="4"/>
  <c r="M1130" i="4" s="1"/>
  <c r="N1130" i="4" s="1"/>
  <c r="L677" i="4"/>
  <c r="K677" i="4"/>
  <c r="M677" i="4" s="1"/>
  <c r="N677" i="4" s="1"/>
  <c r="L685" i="4"/>
  <c r="K685" i="4"/>
  <c r="M685" i="4" s="1"/>
  <c r="N685" i="4" s="1"/>
  <c r="L828" i="4"/>
  <c r="K828" i="4"/>
  <c r="M828" i="4" s="1"/>
  <c r="N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N497" i="4" s="1"/>
  <c r="L497" i="4"/>
  <c r="K14" i="4"/>
  <c r="M14" i="4" s="1"/>
  <c r="L14" i="4"/>
  <c r="L859" i="4"/>
  <c r="K859" i="4"/>
  <c r="M859" i="4" s="1"/>
  <c r="N859" i="4" s="1"/>
  <c r="K851" i="4"/>
  <c r="M851" i="4" s="1"/>
  <c r="N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N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N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N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N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N224" i="4" s="1"/>
  <c r="L896" i="4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N835" i="4" s="1"/>
  <c r="L64" i="4"/>
  <c r="K64" i="4"/>
  <c r="M64" i="4" s="1"/>
  <c r="L595" i="4"/>
  <c r="K595" i="4"/>
  <c r="M595" i="4" s="1"/>
  <c r="N595" i="4" s="1"/>
  <c r="L94" i="4"/>
  <c r="K94" i="4"/>
  <c r="M94" i="4" s="1"/>
  <c r="L330" i="4"/>
  <c r="K330" i="4"/>
  <c r="M330" i="4" s="1"/>
  <c r="N330" i="4" s="1"/>
  <c r="L717" i="4"/>
  <c r="K717" i="4"/>
  <c r="M717" i="4" s="1"/>
  <c r="N717" i="4" s="1"/>
  <c r="L86" i="4"/>
  <c r="K86" i="4"/>
  <c r="M86" i="4" s="1"/>
  <c r="L164" i="4"/>
  <c r="K164" i="4"/>
  <c r="M164" i="4" s="1"/>
  <c r="L378" i="4"/>
  <c r="K378" i="4"/>
  <c r="M378" i="4" s="1"/>
  <c r="N378" i="4" s="1"/>
  <c r="L1080" i="4"/>
  <c r="K1080" i="4"/>
  <c r="M1080" i="4" s="1"/>
  <c r="N1080" i="4" s="1"/>
  <c r="L1108" i="4"/>
  <c r="K1108" i="4"/>
  <c r="M1108" i="4" s="1"/>
  <c r="N1108" i="4" s="1"/>
  <c r="L1279" i="4"/>
  <c r="K1279" i="4"/>
  <c r="M1279" i="4" s="1"/>
  <c r="N1279" i="4" s="1"/>
  <c r="L309" i="4"/>
  <c r="K309" i="4"/>
  <c r="M309" i="4" s="1"/>
  <c r="K795" i="4"/>
  <c r="M795" i="4" s="1"/>
  <c r="N795" i="4" s="1"/>
  <c r="L795" i="4"/>
  <c r="L911" i="4"/>
  <c r="K911" i="4"/>
  <c r="M911" i="4" s="1"/>
  <c r="N911" i="4" s="1"/>
  <c r="L1109" i="4"/>
  <c r="K1109" i="4"/>
  <c r="M1109" i="4" s="1"/>
  <c r="N1109" i="4" s="1"/>
  <c r="L340" i="4"/>
  <c r="K340" i="4"/>
  <c r="M340" i="4" s="1"/>
  <c r="N340" i="4" s="1"/>
  <c r="L263" i="4"/>
  <c r="K263" i="4"/>
  <c r="M263" i="4" s="1"/>
  <c r="L148" i="4"/>
  <c r="K148" i="4"/>
  <c r="M148" i="4" s="1"/>
  <c r="L501" i="4"/>
  <c r="K501" i="4"/>
  <c r="M501" i="4" s="1"/>
  <c r="N501" i="4" s="1"/>
  <c r="L1246" i="4"/>
  <c r="K1246" i="4"/>
  <c r="M1246" i="4" s="1"/>
  <c r="N1246" i="4" s="1"/>
  <c r="L687" i="4"/>
  <c r="K687" i="4"/>
  <c r="M687" i="4" s="1"/>
  <c r="N687" i="4" s="1"/>
  <c r="L290" i="4"/>
  <c r="K290" i="4"/>
  <c r="M290" i="4" s="1"/>
  <c r="L692" i="4"/>
  <c r="K692" i="4"/>
  <c r="M692" i="4" s="1"/>
  <c r="N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N1275" i="4" s="1"/>
  <c r="L269" i="4"/>
  <c r="K269" i="4"/>
  <c r="M269" i="4" s="1"/>
  <c r="L606" i="4"/>
  <c r="K606" i="4"/>
  <c r="M606" i="4" s="1"/>
  <c r="N606" i="4" s="1"/>
  <c r="L609" i="4"/>
  <c r="K609" i="4"/>
  <c r="M609" i="4" s="1"/>
  <c r="N609" i="4" s="1"/>
  <c r="L468" i="4"/>
  <c r="K468" i="4"/>
  <c r="M468" i="4" s="1"/>
  <c r="N468" i="4" s="1"/>
  <c r="L761" i="4"/>
  <c r="K761" i="4"/>
  <c r="M761" i="4" s="1"/>
  <c r="N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N614" i="4" s="1"/>
  <c r="L614" i="4"/>
  <c r="K1097" i="4"/>
  <c r="M1097" i="4" s="1"/>
  <c r="N1097" i="4" s="1"/>
  <c r="L1097" i="4"/>
  <c r="L582" i="4"/>
  <c r="K582" i="4"/>
  <c r="M582" i="4" s="1"/>
  <c r="N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N1311" i="4" s="1"/>
  <c r="L1311" i="4"/>
  <c r="L932" i="4"/>
  <c r="K932" i="4"/>
  <c r="M932" i="4" s="1"/>
  <c r="N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N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N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N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N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N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N438" i="4" s="1"/>
  <c r="K564" i="4"/>
  <c r="M564" i="4" s="1"/>
  <c r="N564" i="4" s="1"/>
  <c r="L584" i="4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N694" i="4" s="1"/>
  <c r="L694" i="4"/>
  <c r="L1023" i="4"/>
  <c r="K1023" i="4"/>
  <c r="M1023" i="4" s="1"/>
  <c r="N1023" i="4" s="1"/>
  <c r="L166" i="4"/>
  <c r="K166" i="4"/>
  <c r="M166" i="4" s="1"/>
  <c r="L785" i="4"/>
  <c r="K785" i="4"/>
  <c r="M785" i="4" s="1"/>
  <c r="N785" i="4" s="1"/>
  <c r="L954" i="4"/>
  <c r="K954" i="4"/>
  <c r="M954" i="4" s="1"/>
  <c r="N954" i="4" s="1"/>
  <c r="L591" i="4"/>
  <c r="K591" i="4"/>
  <c r="M591" i="4" s="1"/>
  <c r="N591" i="4" s="1"/>
  <c r="K1265" i="4"/>
  <c r="M1265" i="4" s="1"/>
  <c r="N1265" i="4" s="1"/>
  <c r="L1265" i="4"/>
  <c r="L890" i="4"/>
  <c r="K890" i="4"/>
  <c r="M890" i="4" s="1"/>
  <c r="N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N1193" i="4" s="1"/>
  <c r="L935" i="4"/>
  <c r="K935" i="4"/>
  <c r="M935" i="4" s="1"/>
  <c r="N935" i="4" s="1"/>
  <c r="K821" i="4"/>
  <c r="M821" i="4" s="1"/>
  <c r="N821" i="4" s="1"/>
  <c r="L821" i="4"/>
  <c r="K879" i="4"/>
  <c r="M879" i="4" s="1"/>
  <c r="N879" i="4" s="1"/>
  <c r="L879" i="4"/>
  <c r="L1271" i="4"/>
  <c r="K1271" i="4"/>
  <c r="M1271" i="4" s="1"/>
  <c r="N1271" i="4" s="1"/>
  <c r="L1239" i="4"/>
  <c r="K1239" i="4"/>
  <c r="M1239" i="4" s="1"/>
  <c r="N1239" i="4" s="1"/>
  <c r="L882" i="4"/>
  <c r="K882" i="4"/>
  <c r="M882" i="4" s="1"/>
  <c r="N882" i="4" s="1"/>
  <c r="L845" i="4"/>
  <c r="K845" i="4"/>
  <c r="M845" i="4" s="1"/>
  <c r="N845" i="4" s="1"/>
  <c r="L401" i="4"/>
  <c r="K401" i="4"/>
  <c r="M401" i="4" s="1"/>
  <c r="N401" i="4" s="1"/>
  <c r="L538" i="4"/>
  <c r="K538" i="4"/>
  <c r="M538" i="4" s="1"/>
  <c r="N538" i="4" s="1"/>
  <c r="L933" i="4"/>
  <c r="K933" i="4"/>
  <c r="M933" i="4" s="1"/>
  <c r="N933" i="4" s="1"/>
  <c r="L793" i="4"/>
  <c r="K793" i="4"/>
  <c r="M793" i="4" s="1"/>
  <c r="N793" i="4" s="1"/>
  <c r="L346" i="4"/>
  <c r="K346" i="4"/>
  <c r="M346" i="4" s="1"/>
  <c r="N346" i="4" s="1"/>
  <c r="L110" i="4"/>
  <c r="K110" i="4"/>
  <c r="M110" i="4" s="1"/>
  <c r="L15" i="4"/>
  <c r="K15" i="4"/>
  <c r="M15" i="4" s="1"/>
  <c r="L1127" i="4"/>
  <c r="K1127" i="4"/>
  <c r="M1127" i="4" s="1"/>
  <c r="N1127" i="4" s="1"/>
  <c r="L753" i="4"/>
  <c r="K753" i="4"/>
  <c r="M753" i="4" s="1"/>
  <c r="N753" i="4" s="1"/>
  <c r="L781" i="4"/>
  <c r="K781" i="4"/>
  <c r="M781" i="4" s="1"/>
  <c r="N781" i="4" s="1"/>
  <c r="K768" i="4"/>
  <c r="M768" i="4" s="1"/>
  <c r="N768" i="4" s="1"/>
  <c r="K304" i="4"/>
  <c r="M304" i="4" s="1"/>
  <c r="N304" i="4" s="1"/>
  <c r="L688" i="4"/>
  <c r="L544" i="4"/>
  <c r="L880" i="4"/>
  <c r="K880" i="4"/>
  <c r="M880" i="4" s="1"/>
  <c r="N880" i="4" s="1"/>
  <c r="L784" i="4"/>
  <c r="K784" i="4"/>
  <c r="M784" i="4" s="1"/>
  <c r="N784" i="4" s="1"/>
  <c r="L640" i="4"/>
  <c r="K640" i="4"/>
  <c r="M640" i="4" s="1"/>
  <c r="N640" i="4" s="1"/>
  <c r="K552" i="4"/>
  <c r="M552" i="4" s="1"/>
  <c r="N552" i="4" s="1"/>
  <c r="L552" i="4"/>
  <c r="K344" i="4"/>
  <c r="M344" i="4" s="1"/>
  <c r="N344" i="4" s="1"/>
  <c r="L344" i="4"/>
  <c r="L1029" i="4"/>
  <c r="K1029" i="4"/>
  <c r="M1029" i="4" s="1"/>
  <c r="N1029" i="4" s="1"/>
  <c r="L738" i="4"/>
  <c r="K738" i="4"/>
  <c r="M738" i="4" s="1"/>
  <c r="N738" i="4" s="1"/>
  <c r="L1294" i="4"/>
  <c r="K1294" i="4"/>
  <c r="M1294" i="4" s="1"/>
  <c r="N1294" i="4" s="1"/>
  <c r="K347" i="4"/>
  <c r="M347" i="4" s="1"/>
  <c r="N347" i="4" s="1"/>
  <c r="L347" i="4"/>
  <c r="L637" i="4"/>
  <c r="K637" i="4"/>
  <c r="M637" i="4" s="1"/>
  <c r="N637" i="4" s="1"/>
  <c r="L370" i="4"/>
  <c r="K370" i="4"/>
  <c r="M370" i="4" s="1"/>
  <c r="N370" i="4" s="1"/>
  <c r="L1067" i="4"/>
  <c r="K1067" i="4"/>
  <c r="M1067" i="4" s="1"/>
  <c r="N1067" i="4" s="1"/>
  <c r="L1124" i="4"/>
  <c r="K1124" i="4"/>
  <c r="M1124" i="4" s="1"/>
  <c r="N1124" i="4" s="1"/>
  <c r="L1142" i="4"/>
  <c r="K1142" i="4"/>
  <c r="M1142" i="4" s="1"/>
  <c r="N1142" i="4" s="1"/>
  <c r="L1267" i="4"/>
  <c r="K1267" i="4"/>
  <c r="M1267" i="4" s="1"/>
  <c r="N1267" i="4" s="1"/>
  <c r="L142" i="4"/>
  <c r="K142" i="4"/>
  <c r="M142" i="4" s="1"/>
  <c r="L1015" i="4"/>
  <c r="K1015" i="4"/>
  <c r="M1015" i="4" s="1"/>
  <c r="N1015" i="4" s="1"/>
  <c r="L1313" i="4"/>
  <c r="K1313" i="4"/>
  <c r="M1313" i="4" s="1"/>
  <c r="N1313" i="4" s="1"/>
  <c r="L421" i="4"/>
  <c r="K421" i="4"/>
  <c r="M421" i="4" s="1"/>
  <c r="N421" i="4" s="1"/>
  <c r="L425" i="4"/>
  <c r="K425" i="4"/>
  <c r="M425" i="4" s="1"/>
  <c r="N425" i="4" s="1"/>
  <c r="L1194" i="4"/>
  <c r="K1194" i="4"/>
  <c r="M1194" i="4" s="1"/>
  <c r="N1194" i="4" s="1"/>
  <c r="L470" i="4"/>
  <c r="K470" i="4"/>
  <c r="M470" i="4" s="1"/>
  <c r="N470" i="4" s="1"/>
  <c r="L140" i="4"/>
  <c r="K140" i="4"/>
  <c r="M140" i="4" s="1"/>
  <c r="L925" i="4"/>
  <c r="K925" i="4"/>
  <c r="M925" i="4" s="1"/>
  <c r="N925" i="4" s="1"/>
  <c r="K127" i="4"/>
  <c r="M127" i="4" s="1"/>
  <c r="L127" i="4"/>
  <c r="K1144" i="4"/>
  <c r="M1144" i="4" s="1"/>
  <c r="N1144" i="4" s="1"/>
  <c r="L1144" i="4"/>
  <c r="L326" i="4"/>
  <c r="K326" i="4"/>
  <c r="M326" i="4" s="1"/>
  <c r="N326" i="4" s="1"/>
  <c r="K733" i="4"/>
  <c r="M733" i="4" s="1"/>
  <c r="N733" i="4" s="1"/>
  <c r="L733" i="4"/>
  <c r="L380" i="4"/>
  <c r="K380" i="4"/>
  <c r="M380" i="4" s="1"/>
  <c r="N380" i="4" s="1"/>
  <c r="L121" i="4"/>
  <c r="K121" i="4"/>
  <c r="M121" i="4" s="1"/>
  <c r="L133" i="4"/>
  <c r="K133" i="4"/>
  <c r="M133" i="4" s="1"/>
  <c r="L1141" i="4"/>
  <c r="K1141" i="4"/>
  <c r="M1141" i="4" s="1"/>
  <c r="N1141" i="4" s="1"/>
  <c r="L662" i="4"/>
  <c r="K662" i="4"/>
  <c r="M662" i="4" s="1"/>
  <c r="N662" i="4" s="1"/>
  <c r="L1041" i="4"/>
  <c r="K1041" i="4"/>
  <c r="M1041" i="4" s="1"/>
  <c r="N1041" i="4" s="1"/>
  <c r="L1027" i="4"/>
  <c r="K1027" i="4"/>
  <c r="M1027" i="4" s="1"/>
  <c r="N1027" i="4" s="1"/>
  <c r="L217" i="4"/>
  <c r="K217" i="4"/>
  <c r="M217" i="4" s="1"/>
  <c r="L892" i="4"/>
  <c r="K892" i="4"/>
  <c r="M892" i="4" s="1"/>
  <c r="N892" i="4" s="1"/>
  <c r="L769" i="4"/>
  <c r="K769" i="4"/>
  <c r="M769" i="4" s="1"/>
  <c r="N769" i="4" s="1"/>
  <c r="L1117" i="4"/>
  <c r="K1117" i="4"/>
  <c r="M1117" i="4" s="1"/>
  <c r="N1117" i="4" s="1"/>
  <c r="K875" i="4"/>
  <c r="M875" i="4" s="1"/>
  <c r="N875" i="4" s="1"/>
  <c r="L875" i="4"/>
  <c r="L922" i="4"/>
  <c r="K922" i="4"/>
  <c r="M922" i="4" s="1"/>
  <c r="N922" i="4" s="1"/>
  <c r="L434" i="4"/>
  <c r="K434" i="4"/>
  <c r="M434" i="4" s="1"/>
  <c r="N434" i="4" s="1"/>
  <c r="L1098" i="4"/>
  <c r="K1098" i="4"/>
  <c r="M1098" i="4" s="1"/>
  <c r="N1098" i="4" s="1"/>
  <c r="L697" i="4"/>
  <c r="K697" i="4"/>
  <c r="M697" i="4" s="1"/>
  <c r="N697" i="4" s="1"/>
  <c r="L1227" i="4"/>
  <c r="K1227" i="4"/>
  <c r="M1227" i="4" s="1"/>
  <c r="N1227" i="4" s="1"/>
  <c r="L700" i="4"/>
  <c r="K700" i="4"/>
  <c r="M700" i="4" s="1"/>
  <c r="N700" i="4" s="1"/>
  <c r="L968" i="4"/>
  <c r="K968" i="4"/>
  <c r="M968" i="4" s="1"/>
  <c r="N968" i="4" s="1"/>
  <c r="L463" i="4"/>
  <c r="K463" i="4"/>
  <c r="M463" i="4" s="1"/>
  <c r="N463" i="4" s="1"/>
  <c r="L26" i="4"/>
  <c r="K26" i="4"/>
  <c r="M26" i="4" s="1"/>
  <c r="L960" i="4"/>
  <c r="K960" i="4"/>
  <c r="M960" i="4" s="1"/>
  <c r="N960" i="4" s="1"/>
  <c r="L704" i="4"/>
  <c r="K704" i="4"/>
  <c r="M704" i="4" s="1"/>
  <c r="N704" i="4" s="1"/>
  <c r="L151" i="4"/>
  <c r="K151" i="4"/>
  <c r="M151" i="4" s="1"/>
  <c r="L1122" i="4"/>
  <c r="K1122" i="4"/>
  <c r="M1122" i="4" s="1"/>
  <c r="N1122" i="4" s="1"/>
  <c r="L177" i="4"/>
  <c r="K177" i="4"/>
  <c r="M177" i="4" s="1"/>
  <c r="L602" i="4"/>
  <c r="K602" i="4"/>
  <c r="M602" i="4" s="1"/>
  <c r="N602" i="4" s="1"/>
  <c r="L567" i="4"/>
  <c r="K567" i="4"/>
  <c r="M567" i="4" s="1"/>
  <c r="N567" i="4" s="1"/>
  <c r="L316" i="4"/>
  <c r="K316" i="4"/>
  <c r="M316" i="4" s="1"/>
  <c r="N316" i="4" s="1"/>
  <c r="L1307" i="4"/>
  <c r="K1307" i="4"/>
  <c r="M1307" i="4" s="1"/>
  <c r="N1307" i="4" s="1"/>
  <c r="L630" i="4"/>
  <c r="K630" i="4"/>
  <c r="M630" i="4" s="1"/>
  <c r="N630" i="4" s="1"/>
  <c r="L508" i="4"/>
  <c r="K508" i="4"/>
  <c r="M508" i="4" s="1"/>
  <c r="N508" i="4" s="1"/>
  <c r="L550" i="4"/>
  <c r="K550" i="4"/>
  <c r="M550" i="4" s="1"/>
  <c r="N550" i="4" s="1"/>
  <c r="L905" i="4"/>
  <c r="K905" i="4"/>
  <c r="M905" i="4" s="1"/>
  <c r="N905" i="4" s="1"/>
  <c r="L772" i="4"/>
  <c r="K772" i="4"/>
  <c r="M772" i="4" s="1"/>
  <c r="N772" i="4" s="1"/>
  <c r="K417" i="4"/>
  <c r="M417" i="4" s="1"/>
  <c r="N417" i="4" s="1"/>
  <c r="L417" i="4"/>
  <c r="L682" i="4"/>
  <c r="K682" i="4"/>
  <c r="M682" i="4" s="1"/>
  <c r="N682" i="4" s="1"/>
  <c r="L1013" i="4"/>
  <c r="K1013" i="4"/>
  <c r="M1013" i="4" s="1"/>
  <c r="N1013" i="4" s="1"/>
  <c r="K411" i="4"/>
  <c r="M411" i="4" s="1"/>
  <c r="N411" i="4" s="1"/>
  <c r="L411" i="4"/>
  <c r="L1157" i="4"/>
  <c r="K1157" i="4"/>
  <c r="M1157" i="4" s="1"/>
  <c r="N1157" i="4" s="1"/>
  <c r="K730" i="4"/>
  <c r="M730" i="4" s="1"/>
  <c r="N730" i="4" s="1"/>
  <c r="L730" i="4"/>
  <c r="K1212" i="4"/>
  <c r="M1212" i="4" s="1"/>
  <c r="N1212" i="4" s="1"/>
  <c r="L1212" i="4"/>
  <c r="L789" i="4"/>
  <c r="K789" i="4"/>
  <c r="M789" i="4" s="1"/>
  <c r="N789" i="4" s="1"/>
  <c r="K139" i="4"/>
  <c r="M139" i="4" s="1"/>
  <c r="L139" i="4"/>
  <c r="K748" i="4"/>
  <c r="M748" i="4" s="1"/>
  <c r="N748" i="4" s="1"/>
  <c r="L748" i="4"/>
  <c r="L157" i="4"/>
  <c r="K157" i="4"/>
  <c r="M157" i="4" s="1"/>
  <c r="K1001" i="4"/>
  <c r="M1001" i="4" s="1"/>
  <c r="N1001" i="4" s="1"/>
  <c r="L1001" i="4"/>
  <c r="L999" i="4"/>
  <c r="K999" i="4"/>
  <c r="M999" i="4" s="1"/>
  <c r="N999" i="4" s="1"/>
  <c r="L1019" i="4"/>
  <c r="K1019" i="4"/>
  <c r="M1019" i="4" s="1"/>
  <c r="N1019" i="4" s="1"/>
  <c r="L953" i="4"/>
  <c r="K953" i="4"/>
  <c r="M953" i="4" s="1"/>
  <c r="N953" i="4" s="1"/>
  <c r="K526" i="4"/>
  <c r="M526" i="4" s="1"/>
  <c r="N526" i="4" s="1"/>
  <c r="L526" i="4"/>
  <c r="L395" i="4"/>
  <c r="K395" i="4"/>
  <c r="M395" i="4" s="1"/>
  <c r="N395" i="4" s="1"/>
  <c r="L1252" i="4"/>
  <c r="K1252" i="4"/>
  <c r="M1252" i="4" s="1"/>
  <c r="N1252" i="4" s="1"/>
  <c r="L639" i="4"/>
  <c r="K639" i="4"/>
  <c r="M639" i="4" s="1"/>
  <c r="N639" i="4" s="1"/>
  <c r="K361" i="4"/>
  <c r="M361" i="4" s="1"/>
  <c r="N361" i="4" s="1"/>
  <c r="L361" i="4"/>
  <c r="L1223" i="4"/>
  <c r="K1223" i="4"/>
  <c r="M1223" i="4" s="1"/>
  <c r="N1223" i="4" s="1"/>
  <c r="L903" i="4"/>
  <c r="K903" i="4"/>
  <c r="M903" i="4" s="1"/>
  <c r="N903" i="4" s="1"/>
  <c r="L843" i="4"/>
  <c r="K843" i="4"/>
  <c r="M843" i="4" s="1"/>
  <c r="N843" i="4" s="1"/>
  <c r="L617" i="4"/>
  <c r="K617" i="4"/>
  <c r="M617" i="4" s="1"/>
  <c r="N617" i="4" s="1"/>
  <c r="L771" i="4"/>
  <c r="K771" i="4"/>
  <c r="M771" i="4" s="1"/>
  <c r="N771" i="4" s="1"/>
  <c r="L193" i="4"/>
  <c r="K193" i="4"/>
  <c r="M193" i="4" s="1"/>
  <c r="L37" i="4"/>
  <c r="K37" i="4"/>
  <c r="M37" i="4" s="1"/>
  <c r="L1024" i="4"/>
  <c r="K1024" i="4"/>
  <c r="M1024" i="4" s="1"/>
  <c r="N1024" i="4" s="1"/>
  <c r="L856" i="4"/>
  <c r="K856" i="4"/>
  <c r="M856" i="4" s="1"/>
  <c r="N856" i="4" s="1"/>
  <c r="L696" i="4"/>
  <c r="K696" i="4"/>
  <c r="M696" i="4" s="1"/>
  <c r="N696" i="4" s="1"/>
  <c r="L624" i="4"/>
  <c r="K624" i="4"/>
  <c r="M624" i="4" s="1"/>
  <c r="N624" i="4" s="1"/>
  <c r="L392" i="4"/>
  <c r="K392" i="4"/>
  <c r="M392" i="4" s="1"/>
  <c r="N392" i="4" s="1"/>
  <c r="L320" i="4"/>
  <c r="K320" i="4"/>
  <c r="M320" i="4" s="1"/>
  <c r="N320" i="4" s="1"/>
  <c r="L479" i="4"/>
  <c r="K479" i="4"/>
  <c r="M479" i="4" s="1"/>
  <c r="N479" i="4" s="1"/>
  <c r="L756" i="4"/>
  <c r="K756" i="4"/>
  <c r="M756" i="4" s="1"/>
  <c r="N756" i="4" s="1"/>
  <c r="L977" i="4"/>
  <c r="K977" i="4"/>
  <c r="M977" i="4" s="1"/>
  <c r="N977" i="4" s="1"/>
  <c r="K218" i="4"/>
  <c r="M218" i="4" s="1"/>
  <c r="L218" i="4"/>
  <c r="L823" i="4"/>
  <c r="K823" i="4"/>
  <c r="M823" i="4" s="1"/>
  <c r="N823" i="4" s="1"/>
  <c r="L541" i="4"/>
  <c r="K541" i="4"/>
  <c r="M541" i="4" s="1"/>
  <c r="N541" i="4" s="1"/>
  <c r="L331" i="4"/>
  <c r="K331" i="4"/>
  <c r="M331" i="4" s="1"/>
  <c r="N331" i="4" s="1"/>
  <c r="L11" i="4"/>
  <c r="K11" i="4"/>
  <c r="M11" i="4" s="1"/>
  <c r="K197" i="4"/>
  <c r="M197" i="4" s="1"/>
  <c r="L197" i="4"/>
  <c r="L907" i="4"/>
  <c r="K907" i="4"/>
  <c r="M907" i="4" s="1"/>
  <c r="N907" i="4" s="1"/>
  <c r="L815" i="4"/>
  <c r="K815" i="4"/>
  <c r="M815" i="4" s="1"/>
  <c r="N815" i="4" s="1"/>
  <c r="K276" i="4"/>
  <c r="M276" i="4" s="1"/>
  <c r="L276" i="4"/>
  <c r="L1278" i="4"/>
  <c r="K1278" i="4"/>
  <c r="M1278" i="4" s="1"/>
  <c r="N1278" i="4" s="1"/>
  <c r="L27" i="4"/>
  <c r="K27" i="4"/>
  <c r="M27" i="4" s="1"/>
  <c r="L1245" i="4"/>
  <c r="K1245" i="4"/>
  <c r="M1245" i="4" s="1"/>
  <c r="N1245" i="4" s="1"/>
  <c r="L429" i="4"/>
  <c r="K429" i="4"/>
  <c r="M429" i="4" s="1"/>
  <c r="N429" i="4" s="1"/>
  <c r="L1139" i="4"/>
  <c r="K1139" i="4"/>
  <c r="M1139" i="4" s="1"/>
  <c r="N1139" i="4" s="1"/>
  <c r="L1072" i="4"/>
  <c r="K1072" i="4"/>
  <c r="M1072" i="4" s="1"/>
  <c r="N1072" i="4" s="1"/>
  <c r="L628" i="4"/>
  <c r="K628" i="4"/>
  <c r="M628" i="4" s="1"/>
  <c r="N628" i="4" s="1"/>
  <c r="L681" i="4"/>
  <c r="K681" i="4"/>
  <c r="M681" i="4" s="1"/>
  <c r="N681" i="4" s="1"/>
  <c r="K117" i="4"/>
  <c r="M117" i="4" s="1"/>
  <c r="L117" i="4"/>
  <c r="L41" i="4"/>
  <c r="K41" i="4"/>
  <c r="M41" i="4" s="1"/>
  <c r="L404" i="4"/>
  <c r="K404" i="4"/>
  <c r="M404" i="4" s="1"/>
  <c r="N404" i="4" s="1"/>
  <c r="L487" i="4"/>
  <c r="K487" i="4"/>
  <c r="M487" i="4" s="1"/>
  <c r="N487" i="4" s="1"/>
  <c r="L994" i="4"/>
  <c r="K994" i="4"/>
  <c r="M994" i="4" s="1"/>
  <c r="N994" i="4" s="1"/>
  <c r="L969" i="4"/>
  <c r="K969" i="4"/>
  <c r="M969" i="4" s="1"/>
  <c r="N969" i="4" s="1"/>
  <c r="L549" i="4"/>
  <c r="K549" i="4"/>
  <c r="M549" i="4" s="1"/>
  <c r="N549" i="4" s="1"/>
  <c r="L202" i="4"/>
  <c r="K202" i="4"/>
  <c r="M202" i="4" s="1"/>
  <c r="K1228" i="4"/>
  <c r="M1228" i="4" s="1"/>
  <c r="N1228" i="4" s="1"/>
  <c r="L1228" i="4"/>
  <c r="L433" i="4"/>
  <c r="K433" i="4"/>
  <c r="M433" i="4" s="1"/>
  <c r="N433" i="4" s="1"/>
  <c r="L52" i="4"/>
  <c r="K52" i="4"/>
  <c r="M52" i="4" s="1"/>
  <c r="L1174" i="4"/>
  <c r="K1174" i="4"/>
  <c r="M1174" i="4" s="1"/>
  <c r="N1174" i="4" s="1"/>
  <c r="L1138" i="4"/>
  <c r="K1138" i="4"/>
  <c r="M1138" i="4" s="1"/>
  <c r="N1138" i="4" s="1"/>
  <c r="L801" i="4"/>
  <c r="K801" i="4"/>
  <c r="M801" i="4" s="1"/>
  <c r="N801" i="4" s="1"/>
  <c r="L746" i="4"/>
  <c r="K746" i="4"/>
  <c r="M746" i="4" s="1"/>
  <c r="N746" i="4" s="1"/>
  <c r="L25" i="4"/>
  <c r="K25" i="4"/>
  <c r="M25" i="4" s="1"/>
  <c r="L185" i="4"/>
  <c r="K185" i="4"/>
  <c r="M185" i="4" s="1"/>
  <c r="L752" i="4"/>
  <c r="K752" i="4"/>
  <c r="M752" i="4" s="1"/>
  <c r="N752" i="4" s="1"/>
  <c r="L608" i="4"/>
  <c r="K608" i="4"/>
  <c r="M608" i="4" s="1"/>
  <c r="N608" i="4" s="1"/>
  <c r="L456" i="4"/>
  <c r="K456" i="4"/>
  <c r="M456" i="4" s="1"/>
  <c r="N456" i="4" s="1"/>
  <c r="L377" i="4"/>
  <c r="K377" i="4"/>
  <c r="M377" i="4" s="1"/>
  <c r="N377" i="4" s="1"/>
  <c r="L162" i="4"/>
  <c r="K162" i="4"/>
  <c r="M162" i="4" s="1"/>
  <c r="L561" i="4"/>
  <c r="K561" i="4"/>
  <c r="M561" i="4" s="1"/>
  <c r="N561" i="4" s="1"/>
  <c r="L727" i="4"/>
  <c r="K727" i="4"/>
  <c r="M727" i="4" s="1"/>
  <c r="N727" i="4" s="1"/>
  <c r="L698" i="4"/>
  <c r="K698" i="4"/>
  <c r="M698" i="4" s="1"/>
  <c r="N698" i="4" s="1"/>
  <c r="L556" i="4"/>
  <c r="K556" i="4"/>
  <c r="M556" i="4" s="1"/>
  <c r="N556" i="4" s="1"/>
  <c r="L731" i="4"/>
  <c r="K731" i="4"/>
  <c r="M731" i="4" s="1"/>
  <c r="N731" i="4" s="1"/>
  <c r="K1084" i="4"/>
  <c r="M1084" i="4" s="1"/>
  <c r="N1084" i="4" s="1"/>
  <c r="L1084" i="4"/>
  <c r="L1251" i="4"/>
  <c r="K1251" i="4"/>
  <c r="M1251" i="4" s="1"/>
  <c r="N1251" i="4" s="1"/>
  <c r="L1010" i="4"/>
  <c r="K1010" i="4"/>
  <c r="M1010" i="4" s="1"/>
  <c r="N1010" i="4" s="1"/>
  <c r="K766" i="4"/>
  <c r="M766" i="4" s="1"/>
  <c r="N766" i="4" s="1"/>
  <c r="L766" i="4"/>
  <c r="L1283" i="4"/>
  <c r="K1283" i="4"/>
  <c r="M1283" i="4" s="1"/>
  <c r="N1283" i="4" s="1"/>
  <c r="L282" i="4"/>
  <c r="K282" i="4"/>
  <c r="M282" i="4" s="1"/>
  <c r="L1171" i="4"/>
  <c r="K1171" i="4"/>
  <c r="M1171" i="4" s="1"/>
  <c r="N1171" i="4" s="1"/>
  <c r="K780" i="4"/>
  <c r="M780" i="4" s="1"/>
  <c r="N780" i="4" s="1"/>
  <c r="L780" i="4"/>
  <c r="L978" i="4"/>
  <c r="K978" i="4"/>
  <c r="M978" i="4" s="1"/>
  <c r="N978" i="4" s="1"/>
  <c r="L1052" i="4"/>
  <c r="K1052" i="4"/>
  <c r="M1052" i="4" s="1"/>
  <c r="N1052" i="4" s="1"/>
  <c r="L749" i="4"/>
  <c r="K749" i="4"/>
  <c r="M749" i="4" s="1"/>
  <c r="N749" i="4" s="1"/>
  <c r="L337" i="4"/>
  <c r="K337" i="4"/>
  <c r="M337" i="4" s="1"/>
  <c r="N337" i="4" s="1"/>
  <c r="L123" i="4"/>
  <c r="K123" i="4"/>
  <c r="M123" i="4" s="1"/>
  <c r="K1235" i="4"/>
  <c r="M1235" i="4" s="1"/>
  <c r="N1235" i="4" s="1"/>
  <c r="L1235" i="4"/>
  <c r="L803" i="4"/>
  <c r="K803" i="4"/>
  <c r="M803" i="4" s="1"/>
  <c r="N803" i="4" s="1"/>
  <c r="L89" i="4"/>
  <c r="K89" i="4"/>
  <c r="M89" i="4" s="1"/>
  <c r="L1266" i="4"/>
  <c r="K1266" i="4"/>
  <c r="M1266" i="4" s="1"/>
  <c r="N1266" i="4" s="1"/>
  <c r="L1135" i="4"/>
  <c r="K1135" i="4"/>
  <c r="M1135" i="4" s="1"/>
  <c r="N1135" i="4" s="1"/>
  <c r="L611" i="4"/>
  <c r="K611" i="4"/>
  <c r="M611" i="4" s="1"/>
  <c r="N611" i="4" s="1"/>
  <c r="K629" i="4"/>
  <c r="M629" i="4" s="1"/>
  <c r="N629" i="4" s="1"/>
  <c r="L629" i="4"/>
  <c r="L588" i="4"/>
  <c r="K588" i="4"/>
  <c r="M588" i="4" s="1"/>
  <c r="N588" i="4" s="1"/>
  <c r="K1055" i="4"/>
  <c r="M1055" i="4" s="1"/>
  <c r="N1055" i="4" s="1"/>
  <c r="L1055" i="4"/>
  <c r="L791" i="4"/>
  <c r="K791" i="4"/>
  <c r="M791" i="4" s="1"/>
  <c r="N791" i="4" s="1"/>
  <c r="L1164" i="4"/>
  <c r="K1164" i="4"/>
  <c r="M1164" i="4" s="1"/>
  <c r="N1164" i="4" s="1"/>
  <c r="L295" i="4"/>
  <c r="K295" i="4"/>
  <c r="M295" i="4" s="1"/>
  <c r="L924" i="4"/>
  <c r="K924" i="4"/>
  <c r="M924" i="4" s="1"/>
  <c r="N924" i="4" s="1"/>
  <c r="L55" i="4"/>
  <c r="K55" i="4"/>
  <c r="M55" i="4" s="1"/>
  <c r="L1110" i="4"/>
  <c r="K1110" i="4"/>
  <c r="M1110" i="4" s="1"/>
  <c r="N1110" i="4" s="1"/>
  <c r="K754" i="4"/>
  <c r="M754" i="4" s="1"/>
  <c r="N754" i="4" s="1"/>
  <c r="L754" i="4"/>
  <c r="L20" i="4"/>
  <c r="K20" i="4"/>
  <c r="M20" i="4" s="1"/>
  <c r="L1268" i="4"/>
  <c r="K1268" i="4"/>
  <c r="M1268" i="4" s="1"/>
  <c r="N1268" i="4" s="1"/>
  <c r="K153" i="4"/>
  <c r="M153" i="4" s="1"/>
  <c r="L153" i="4"/>
  <c r="L840" i="4"/>
  <c r="K840" i="4"/>
  <c r="M840" i="4" s="1"/>
  <c r="N840" i="4" s="1"/>
  <c r="K600" i="4"/>
  <c r="M600" i="4" s="1"/>
  <c r="N600" i="4" s="1"/>
  <c r="L600" i="4"/>
  <c r="L376" i="4"/>
  <c r="K376" i="4"/>
  <c r="M376" i="4" s="1"/>
  <c r="N376" i="4" s="1"/>
  <c r="L1280" i="4"/>
  <c r="K1280" i="4"/>
  <c r="M1280" i="4" s="1"/>
  <c r="N1280" i="4" s="1"/>
  <c r="L53" i="4"/>
  <c r="K53" i="4"/>
  <c r="M53" i="4" s="1"/>
  <c r="L577" i="4"/>
  <c r="K577" i="4"/>
  <c r="M577" i="4" s="1"/>
  <c r="N577" i="4" s="1"/>
  <c r="L1043" i="4"/>
  <c r="K1043" i="4"/>
  <c r="M1043" i="4" s="1"/>
  <c r="N1043" i="4" s="1"/>
  <c r="L452" i="4"/>
  <c r="K452" i="4"/>
  <c r="M452" i="4" s="1"/>
  <c r="N452" i="4" s="1"/>
  <c r="L847" i="4"/>
  <c r="K847" i="4"/>
  <c r="M847" i="4" s="1"/>
  <c r="N847" i="4" s="1"/>
  <c r="L571" i="4"/>
  <c r="K571" i="4"/>
  <c r="M571" i="4" s="1"/>
  <c r="N571" i="4" s="1"/>
  <c r="L937" i="4"/>
  <c r="K937" i="4"/>
  <c r="M937" i="4" s="1"/>
  <c r="N937" i="4" s="1"/>
  <c r="L113" i="4"/>
  <c r="K113" i="4"/>
  <c r="M113" i="4" s="1"/>
  <c r="L108" i="4"/>
  <c r="K108" i="4"/>
  <c r="M108" i="4" s="1"/>
  <c r="L1146" i="4"/>
  <c r="K1146" i="4"/>
  <c r="M1146" i="4" s="1"/>
  <c r="N1146" i="4" s="1"/>
  <c r="L910" i="4"/>
  <c r="K910" i="4"/>
  <c r="M910" i="4" s="1"/>
  <c r="N910" i="4" s="1"/>
  <c r="L476" i="4"/>
  <c r="K476" i="4"/>
  <c r="M476" i="4" s="1"/>
  <c r="N476" i="4" s="1"/>
  <c r="L765" i="4"/>
  <c r="K765" i="4"/>
  <c r="M765" i="4" s="1"/>
  <c r="N765" i="4" s="1"/>
  <c r="L1160" i="4"/>
  <c r="K1160" i="4"/>
  <c r="M1160" i="4" s="1"/>
  <c r="N1160" i="4" s="1"/>
  <c r="L1012" i="4"/>
  <c r="K1012" i="4"/>
  <c r="M1012" i="4" s="1"/>
  <c r="N1012" i="4" s="1"/>
  <c r="L1121" i="4"/>
  <c r="K1121" i="4"/>
  <c r="M1121" i="4" s="1"/>
  <c r="N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N667" i="4" s="1"/>
  <c r="L447" i="4"/>
  <c r="K447" i="4"/>
  <c r="M447" i="4" s="1"/>
  <c r="N447" i="4" s="1"/>
  <c r="L1056" i="4"/>
  <c r="K1056" i="4"/>
  <c r="M1056" i="4" s="1"/>
  <c r="N1056" i="4" s="1"/>
  <c r="L499" i="4"/>
  <c r="K499" i="4"/>
  <c r="M499" i="4" s="1"/>
  <c r="N499" i="4" s="1"/>
  <c r="L906" i="4"/>
  <c r="K906" i="4"/>
  <c r="M906" i="4" s="1"/>
  <c r="N906" i="4" s="1"/>
  <c r="L818" i="4"/>
  <c r="K818" i="4"/>
  <c r="M818" i="4" s="1"/>
  <c r="N818" i="4" s="1"/>
  <c r="L1270" i="4"/>
  <c r="K1270" i="4"/>
  <c r="M1270" i="4" s="1"/>
  <c r="N1270" i="4" s="1"/>
  <c r="L546" i="4"/>
  <c r="K546" i="4"/>
  <c r="M546" i="4" s="1"/>
  <c r="N546" i="4" s="1"/>
  <c r="L813" i="4"/>
  <c r="K813" i="4"/>
  <c r="M813" i="4" s="1"/>
  <c r="N813" i="4" s="1"/>
  <c r="L204" i="4"/>
  <c r="K204" i="4"/>
  <c r="M204" i="4" s="1"/>
  <c r="K735" i="4"/>
  <c r="M735" i="4" s="1"/>
  <c r="N735" i="4" s="1"/>
  <c r="L735" i="4"/>
  <c r="L557" i="4"/>
  <c r="K557" i="4"/>
  <c r="M557" i="4" s="1"/>
  <c r="N557" i="4" s="1"/>
  <c r="L537" i="4"/>
  <c r="K537" i="4"/>
  <c r="M537" i="4" s="1"/>
  <c r="N537" i="4" s="1"/>
  <c r="L987" i="4"/>
  <c r="K987" i="4"/>
  <c r="M987" i="4" s="1"/>
  <c r="N987" i="4" s="1"/>
  <c r="L101" i="4"/>
  <c r="K101" i="4"/>
  <c r="M101" i="4" s="1"/>
  <c r="L1107" i="4"/>
  <c r="K1107" i="4"/>
  <c r="M1107" i="4" s="1"/>
  <c r="N1107" i="4" s="1"/>
  <c r="L1190" i="4"/>
  <c r="K1190" i="4"/>
  <c r="M1190" i="4" s="1"/>
  <c r="N1190" i="4" s="1"/>
  <c r="L386" i="4"/>
  <c r="K386" i="4"/>
  <c r="M386" i="4" s="1"/>
  <c r="N386" i="4" s="1"/>
  <c r="K284" i="4"/>
  <c r="M284" i="4" s="1"/>
  <c r="N284" i="4" s="1"/>
  <c r="L1102" i="4"/>
  <c r="K1102" i="4"/>
  <c r="M1102" i="4" s="1"/>
  <c r="N1102" i="4" s="1"/>
  <c r="L291" i="4"/>
  <c r="K291" i="4"/>
  <c r="M291" i="4" s="1"/>
  <c r="L820" i="4"/>
  <c r="K820" i="4"/>
  <c r="M820" i="4" s="1"/>
  <c r="N820" i="4" s="1"/>
  <c r="L35" i="4"/>
  <c r="K35" i="4"/>
  <c r="M35" i="4" s="1"/>
  <c r="K248" i="4"/>
  <c r="M248" i="4" s="1"/>
  <c r="N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N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N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N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N1159" i="4" s="1"/>
  <c r="L1159" i="4"/>
  <c r="L10" i="4"/>
  <c r="K10" i="4"/>
  <c r="M10" i="4" s="1"/>
  <c r="K1189" i="4"/>
  <c r="M1189" i="4" s="1"/>
  <c r="N1189" i="4" s="1"/>
  <c r="L1189" i="4"/>
  <c r="K1150" i="4"/>
  <c r="M1150" i="4" s="1"/>
  <c r="N1150" i="4" s="1"/>
  <c r="L1150" i="4"/>
  <c r="L50" i="4"/>
  <c r="K50" i="4"/>
  <c r="M50" i="4" s="1"/>
  <c r="L308" i="4"/>
  <c r="N308" i="4" s="1"/>
  <c r="L491" i="4"/>
  <c r="K491" i="4"/>
  <c r="M491" i="4" s="1"/>
  <c r="N491" i="4" s="1"/>
  <c r="L605" i="4"/>
  <c r="K605" i="4"/>
  <c r="M605" i="4" s="1"/>
  <c r="N605" i="4" s="1"/>
  <c r="L98" i="4"/>
  <c r="K98" i="4"/>
  <c r="M98" i="4" s="1"/>
  <c r="L30" i="4"/>
  <c r="K30" i="4"/>
  <c r="M30" i="4" s="1"/>
  <c r="L475" i="4"/>
  <c r="K475" i="4"/>
  <c r="M475" i="4" s="1"/>
  <c r="N475" i="4" s="1"/>
  <c r="L1262" i="4"/>
  <c r="K1262" i="4"/>
  <c r="M1262" i="4" s="1"/>
  <c r="N1262" i="4" s="1"/>
  <c r="L222" i="4"/>
  <c r="K222" i="4"/>
  <c r="M222" i="4" s="1"/>
  <c r="K527" i="4"/>
  <c r="M527" i="4" s="1"/>
  <c r="N527" i="4" s="1"/>
  <c r="L527" i="4"/>
  <c r="L620" i="4"/>
  <c r="K620" i="4"/>
  <c r="M620" i="4" s="1"/>
  <c r="N620" i="4" s="1"/>
  <c r="K1046" i="4"/>
  <c r="M1046" i="4" s="1"/>
  <c r="N1046" i="4" s="1"/>
  <c r="L1046" i="4"/>
  <c r="L1274" i="4"/>
  <c r="K1274" i="4"/>
  <c r="M1274" i="4" s="1"/>
  <c r="N1274" i="4" s="1"/>
  <c r="L1256" i="4"/>
  <c r="K1256" i="4"/>
  <c r="M1256" i="4" s="1"/>
  <c r="N1256" i="4" s="1"/>
  <c r="L107" i="4"/>
  <c r="K107" i="4"/>
  <c r="M107" i="4" s="1"/>
  <c r="L95" i="4"/>
  <c r="K95" i="4"/>
  <c r="M95" i="4" s="1"/>
  <c r="L674" i="4"/>
  <c r="K674" i="4"/>
  <c r="M674" i="4" s="1"/>
  <c r="N674" i="4" s="1"/>
  <c r="L1221" i="4"/>
  <c r="K1221" i="4"/>
  <c r="M1221" i="4" s="1"/>
  <c r="N1221" i="4" s="1"/>
  <c r="L1250" i="4"/>
  <c r="K1250" i="4"/>
  <c r="M1250" i="4" s="1"/>
  <c r="N1250" i="4" s="1"/>
  <c r="L744" i="4"/>
  <c r="K744" i="4"/>
  <c r="M744" i="4" s="1"/>
  <c r="N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N328" i="4" s="1"/>
  <c r="L728" i="4"/>
  <c r="K728" i="4"/>
  <c r="M728" i="4" s="1"/>
  <c r="N728" i="4" s="1"/>
  <c r="L1213" i="4"/>
  <c r="K1213" i="4"/>
  <c r="M1213" i="4" s="1"/>
  <c r="N1213" i="4" s="1"/>
  <c r="L283" i="4"/>
  <c r="K283" i="4"/>
  <c r="M283" i="4" s="1"/>
  <c r="L1309" i="4"/>
  <c r="K1309" i="4"/>
  <c r="M1309" i="4" s="1"/>
  <c r="N1309" i="4" s="1"/>
  <c r="L1173" i="4"/>
  <c r="K1173" i="4"/>
  <c r="M1173" i="4" s="1"/>
  <c r="N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N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N1217" i="4" s="1"/>
  <c r="L579" i="4"/>
  <c r="K579" i="4"/>
  <c r="M579" i="4" s="1"/>
  <c r="N579" i="4" s="1"/>
  <c r="L43" i="4"/>
  <c r="K43" i="4"/>
  <c r="M43" i="4" s="1"/>
  <c r="L997" i="4"/>
  <c r="K997" i="4"/>
  <c r="M997" i="4" s="1"/>
  <c r="N997" i="4" s="1"/>
  <c r="K985" i="4"/>
  <c r="M985" i="4" s="1"/>
  <c r="N985" i="4" s="1"/>
  <c r="L985" i="4"/>
  <c r="L1058" i="4"/>
  <c r="K1058" i="4"/>
  <c r="M1058" i="4" s="1"/>
  <c r="N1058" i="4" s="1"/>
  <c r="L607" i="4"/>
  <c r="K607" i="4"/>
  <c r="M607" i="4" s="1"/>
  <c r="N607" i="4" s="1"/>
  <c r="L1075" i="4"/>
  <c r="K1075" i="4"/>
  <c r="M1075" i="4" s="1"/>
  <c r="N1075" i="4" s="1"/>
  <c r="L187" i="4"/>
  <c r="K187" i="4"/>
  <c r="M187" i="4" s="1"/>
  <c r="L1100" i="4"/>
  <c r="K1100" i="4"/>
  <c r="M1100" i="4" s="1"/>
  <c r="N1100" i="4" s="1"/>
  <c r="L311" i="4"/>
  <c r="K311" i="4"/>
  <c r="M311" i="4" s="1"/>
  <c r="L1025" i="4"/>
  <c r="K1025" i="4"/>
  <c r="M1025" i="4" s="1"/>
  <c r="N1025" i="4" s="1"/>
  <c r="L387" i="4"/>
  <c r="K387" i="4"/>
  <c r="M387" i="4" s="1"/>
  <c r="N387" i="4" s="1"/>
  <c r="L234" i="4"/>
  <c r="K234" i="4"/>
  <c r="M234" i="4" s="1"/>
  <c r="L774" i="4"/>
  <c r="K774" i="4"/>
  <c r="M774" i="4" s="1"/>
  <c r="N774" i="4" s="1"/>
  <c r="L1096" i="4"/>
  <c r="K1096" i="4"/>
  <c r="M1096" i="4" s="1"/>
  <c r="N1096" i="4" s="1"/>
  <c r="L982" i="4"/>
  <c r="K982" i="4"/>
  <c r="M982" i="4" s="1"/>
  <c r="N982" i="4" s="1"/>
  <c r="L474" i="4"/>
  <c r="K474" i="4"/>
  <c r="M474" i="4" s="1"/>
  <c r="N474" i="4" s="1"/>
  <c r="L726" i="4"/>
  <c r="K726" i="4"/>
  <c r="M726" i="4" s="1"/>
  <c r="N726" i="4" s="1"/>
  <c r="K597" i="4"/>
  <c r="M597" i="4" s="1"/>
  <c r="N597" i="4" s="1"/>
  <c r="L597" i="4"/>
  <c r="L646" i="4"/>
  <c r="K646" i="4"/>
  <c r="M646" i="4" s="1"/>
  <c r="N646" i="4" s="1"/>
  <c r="L251" i="4"/>
  <c r="K251" i="4"/>
  <c r="M251" i="4" s="1"/>
  <c r="K365" i="4"/>
  <c r="M365" i="4" s="1"/>
  <c r="N365" i="4" s="1"/>
  <c r="L365" i="4"/>
  <c r="K762" i="4"/>
  <c r="M762" i="4" s="1"/>
  <c r="N762" i="4" s="1"/>
  <c r="L762" i="4"/>
  <c r="L796" i="4"/>
  <c r="K796" i="4"/>
  <c r="M796" i="4" s="1"/>
  <c r="N796" i="4" s="1"/>
  <c r="L426" i="4"/>
  <c r="K426" i="4"/>
  <c r="M426" i="4" s="1"/>
  <c r="N426" i="4" s="1"/>
  <c r="L1053" i="4"/>
  <c r="K1053" i="4"/>
  <c r="M1053" i="4" s="1"/>
  <c r="N1053" i="4" s="1"/>
  <c r="K354" i="4"/>
  <c r="M354" i="4" s="1"/>
  <c r="N354" i="4" s="1"/>
  <c r="L354" i="4"/>
  <c r="L750" i="4"/>
  <c r="K750" i="4"/>
  <c r="M750" i="4" s="1"/>
  <c r="N750" i="4" s="1"/>
  <c r="L930" i="4"/>
  <c r="K930" i="4"/>
  <c r="M930" i="4" s="1"/>
  <c r="N930" i="4" s="1"/>
  <c r="K680" i="4"/>
  <c r="M680" i="4" s="1"/>
  <c r="N680" i="4" s="1"/>
  <c r="L680" i="4"/>
  <c r="K184" i="4"/>
  <c r="M184" i="4" s="1"/>
  <c r="N184" i="4" s="1"/>
  <c r="K256" i="4"/>
  <c r="M256" i="4" s="1"/>
  <c r="N256" i="4" s="1"/>
  <c r="L1218" i="4"/>
  <c r="K408" i="4"/>
  <c r="M408" i="4" s="1"/>
  <c r="N408" i="4" s="1"/>
  <c r="L888" i="4"/>
  <c r="K888" i="4"/>
  <c r="M888" i="4" s="1"/>
  <c r="N888" i="4" s="1"/>
  <c r="L488" i="4"/>
  <c r="K488" i="4"/>
  <c r="M488" i="4" s="1"/>
  <c r="N488" i="4" s="1"/>
  <c r="L416" i="4"/>
  <c r="K416" i="4"/>
  <c r="M416" i="4" s="1"/>
  <c r="N416" i="4" s="1"/>
  <c r="L208" i="4"/>
  <c r="K208" i="4"/>
  <c r="M208" i="4" s="1"/>
  <c r="L973" i="4"/>
  <c r="K973" i="4"/>
  <c r="M973" i="4" s="1"/>
  <c r="N973" i="4" s="1"/>
  <c r="L76" i="4"/>
  <c r="K76" i="4"/>
  <c r="M76" i="4" s="1"/>
  <c r="L1230" i="4"/>
  <c r="K1230" i="4"/>
  <c r="M1230" i="4" s="1"/>
  <c r="N1230" i="4" s="1"/>
  <c r="L958" i="4"/>
  <c r="K958" i="4"/>
  <c r="M958" i="4" s="1"/>
  <c r="N958" i="4" s="1"/>
  <c r="K1297" i="4"/>
  <c r="M1297" i="4" s="1"/>
  <c r="N1297" i="4" s="1"/>
  <c r="L1297" i="4"/>
  <c r="L988" i="4"/>
  <c r="K988" i="4"/>
  <c r="M988" i="4" s="1"/>
  <c r="N988" i="4" s="1"/>
  <c r="L1087" i="4"/>
  <c r="K1087" i="4"/>
  <c r="M1087" i="4" s="1"/>
  <c r="N1087" i="4" s="1"/>
  <c r="L302" i="4"/>
  <c r="K302" i="4"/>
  <c r="M302" i="4" s="1"/>
  <c r="L189" i="4"/>
  <c r="K189" i="4"/>
  <c r="M189" i="4" s="1"/>
  <c r="L870" i="4"/>
  <c r="K870" i="4"/>
  <c r="M870" i="4" s="1"/>
  <c r="N870" i="4" s="1"/>
  <c r="L642" i="4"/>
  <c r="K642" i="4"/>
  <c r="M642" i="4" s="1"/>
  <c r="N642" i="4" s="1"/>
  <c r="L1118" i="4"/>
  <c r="K1118" i="4"/>
  <c r="M1118" i="4" s="1"/>
  <c r="N1118" i="4" s="1"/>
  <c r="L29" i="4"/>
  <c r="K29" i="4"/>
  <c r="M29" i="4" s="1"/>
  <c r="L454" i="4"/>
  <c r="K454" i="4"/>
  <c r="M454" i="4" s="1"/>
  <c r="N454" i="4" s="1"/>
  <c r="L660" i="4"/>
  <c r="K660" i="4"/>
  <c r="M660" i="4" s="1"/>
  <c r="N660" i="4" s="1"/>
  <c r="L270" i="4"/>
  <c r="K270" i="4"/>
  <c r="M270" i="4" s="1"/>
  <c r="K616" i="4"/>
  <c r="M616" i="4" s="1"/>
  <c r="N616" i="4" s="1"/>
  <c r="L616" i="4"/>
  <c r="L520" i="4"/>
  <c r="K520" i="4"/>
  <c r="M520" i="4" s="1"/>
  <c r="N520" i="4" s="1"/>
  <c r="L713" i="4"/>
  <c r="K713" i="4"/>
  <c r="M713" i="4" s="1"/>
  <c r="N713" i="4" s="1"/>
  <c r="K1120" i="4"/>
  <c r="M1120" i="4" s="1"/>
  <c r="N1120" i="4" s="1"/>
  <c r="L1120" i="4"/>
  <c r="L747" i="4"/>
  <c r="K747" i="4"/>
  <c r="M747" i="4" s="1"/>
  <c r="N747" i="4" s="1"/>
  <c r="L466" i="4"/>
  <c r="K466" i="4"/>
  <c r="M466" i="4" s="1"/>
  <c r="N466" i="4" s="1"/>
  <c r="L514" i="4"/>
  <c r="K514" i="4"/>
  <c r="M514" i="4" s="1"/>
  <c r="N514" i="4" s="1"/>
  <c r="L581" i="4"/>
  <c r="K581" i="4"/>
  <c r="M581" i="4" s="1"/>
  <c r="N581" i="4" s="1"/>
  <c r="L1168" i="4"/>
  <c r="K1168" i="4"/>
  <c r="M1168" i="4" s="1"/>
  <c r="N1168" i="4" s="1"/>
  <c r="L333" i="4"/>
  <c r="K333" i="4"/>
  <c r="M333" i="4" s="1"/>
  <c r="N333" i="4" s="1"/>
  <c r="L585" i="4"/>
  <c r="K585" i="4"/>
  <c r="M585" i="4" s="1"/>
  <c r="N585" i="4" s="1"/>
  <c r="L301" i="4"/>
  <c r="K301" i="4"/>
  <c r="M301" i="4" s="1"/>
  <c r="L1152" i="4"/>
  <c r="K1152" i="4"/>
  <c r="M1152" i="4" s="1"/>
  <c r="N1152" i="4" s="1"/>
  <c r="L31" i="4"/>
  <c r="K31" i="4"/>
  <c r="M31" i="4" s="1"/>
  <c r="L1028" i="4"/>
  <c r="K1028" i="4"/>
  <c r="M1028" i="4" s="1"/>
  <c r="N1028" i="4" s="1"/>
  <c r="L1312" i="4"/>
  <c r="K1312" i="4"/>
  <c r="M1312" i="4" s="1"/>
  <c r="N1312" i="4" s="1"/>
  <c r="K964" i="4"/>
  <c r="M964" i="4" s="1"/>
  <c r="N964" i="4" s="1"/>
  <c r="L964" i="4"/>
  <c r="L100" i="4"/>
  <c r="K100" i="4"/>
  <c r="M100" i="4" s="1"/>
  <c r="L931" i="4"/>
  <c r="K931" i="4"/>
  <c r="M931" i="4" s="1"/>
  <c r="N931" i="4" s="1"/>
  <c r="L407" i="4"/>
  <c r="K407" i="4"/>
  <c r="M407" i="4" s="1"/>
  <c r="N407" i="4" s="1"/>
  <c r="L1288" i="4"/>
  <c r="K1288" i="4"/>
  <c r="M1288" i="4" s="1"/>
  <c r="N1288" i="4" s="1"/>
  <c r="L542" i="4"/>
  <c r="K542" i="4"/>
  <c r="M542" i="4" s="1"/>
  <c r="N542" i="4" s="1"/>
  <c r="L219" i="4"/>
  <c r="K219" i="4"/>
  <c r="M219" i="4" s="1"/>
  <c r="N255" i="4" l="1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T4" i="4"/>
  <c r="T3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5" i="4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B970B15-1E53-3945-BF42-213503DFD7AA}" keepAlive="1" name="Query - ml_predictions_log_scores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<sst xmlns="http://schemas.openxmlformats.org/spreadsheetml/2006/main" count="12079" uniqueCount="284">
  <si>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</si>
  <si>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</si>
  <si>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</si>
  <si>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</si>
  <si>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</si>
  <si>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</si>
  <si>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</si>
  <si>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</si>
  <si>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</si>
  <si>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</si>
  <si>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</si>
  <si>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</si>
  <si>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</si>
  <si>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</si>
  <si>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</si>
  <si>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</si>
  <si>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</si>
  <si>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</si>
  <si>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</si>
  <si>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</si>
  <si>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</si>
  <si>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</si>
  <si>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</si>
  <si>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</si>
  <si>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</si>
  <si>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</si>
  <si>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</si>
  <si>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</si>
  <si>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</si>
  <si>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</si>
  <si>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</si>
  <si>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</si>
  <si>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</si>
  <si>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</si>
  <si>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</si>
  <si>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</si>
  <si>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</si>
  <si>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</si>
  <si>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</si>
  <si>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</si>
  <si>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</si>
  <si>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</si>
  <si>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</si>
  <si>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</si>
  <si>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</si>
  <si>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</si>
  <si>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</si>
  <si>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</si>
  <si>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</si>
  <si>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</si>
  <si>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</si>
  <si>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</si>
  <si>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</si>
  <si>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</si>
  <si>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</si>
  <si>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</si>
  <si>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</si>
  <si>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</si>
  <si>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</si>
  <si>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</si>
  <si>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</si>
  <si>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</si>
  <si>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</si>
  <si>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</si>
  <si>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</si>
  <si>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</si>
  <si>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</si>
  <si>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</si>
  <si>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</si>
  <si>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</si>
  <si>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</si>
  <si>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</si>
  <si>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</si>
  <si>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</si>
  <si>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</si>
  <si>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</si>
  <si>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</si>
  <si>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</si>
  <si>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</si>
  <si>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</si>
  <si>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</si>
  <si>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</si>
  <si>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</si>
  <si>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</si>
  <si>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</si>
  <si>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</si>
  <si>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</si>
  <si>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</si>
  <si>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</si>
  <si>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</si>
  <si>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</si>
  <si>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</si>
  <si>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</si>
  <si>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</si>
  <si>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</si>
  <si>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</si>
  <si>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</si>
  <si>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</si>
  <si>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</si>
  <si>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</si>
  <si>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</si>
  <si>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</si>
  <si>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</si>
  <si>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</si>
  <si>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</si>
  <si>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</si>
  <si>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</si>
  <si>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</si>
  <si>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</si>
  <si>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</si>
  <si>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</si>
  <si>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</si>
  <si>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</si>
  <si>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</si>
  <si>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</si>
  <si>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</si>
  <si>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</si>
  <si>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</si>
  <si>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</si>
  <si>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</si>
  <si>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</si>
  <si>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</si>
  <si>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</si>
  <si>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</si>
  <si>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</si>
  <si>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</si>
  <si>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</si>
  <si>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</si>
  <si>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</si>
  <si>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</si>
  <si>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</si>
  <si>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</si>
  <si>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</si>
  <si>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</si>
  <si>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</si>
  <si>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</si>
  <si>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</si>
  <si>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</si>
  <si>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</si>
  <si>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</si>
  <si>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</si>
  <si>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</si>
  <si>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</si>
  <si>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</si>
  <si>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</si>
  <si>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</si>
  <si>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</si>
  <si>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</si>
  <si>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</si>
  <si>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</si>
  <si>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</si>
  <si>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</si>
  <si>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</si>
  <si>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</si>
  <si>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</si>
  <si>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</si>
  <si>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</si>
  <si>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</si>
  <si>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</si>
  <si>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</si>
  <si>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</si>
  <si>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</si>
  <si>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</si>
  <si>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</si>
  <si>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</si>
  <si>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</si>
  <si>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</si>
  <si>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</si>
  <si>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</si>
  <si>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</si>
  <si>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</si>
  <si>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</si>
  <si>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</si>
  <si>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</si>
  <si>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</si>
  <si>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</si>
  <si>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</si>
  <si>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</si>
  <si>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</si>
  <si>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</si>
  <si>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</si>
  <si>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</si>
  <si>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</si>
  <si>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</si>
  <si>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</si>
  <si>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</si>
  <si>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</si>
  <si>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</si>
  <si>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</si>
  <si>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</si>
  <si>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</si>
  <si>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</si>
  <si>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</si>
  <si>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</si>
  <si>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</si>
  <si>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</si>
  <si>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</si>
  <si>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</si>
  <si>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</si>
  <si>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</si>
  <si>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</si>
  <si>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</si>
  <si>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</si>
  <si>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</si>
  <si>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</si>
  <si>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</si>
  <si>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</si>
  <si>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</si>
  <si>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</si>
  <si>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</si>
  <si>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</si>
  <si>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</si>
  <si>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</si>
  <si>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</si>
  <si>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</si>
  <si>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</si>
  <si>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</si>
  <si>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</si>
  <si>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</si>
  <si>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</si>
  <si>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</si>
  <si>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</si>
  <si>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</si>
  <si>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</si>
  <si>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</si>
  <si>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</si>
  <si>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</si>
  <si>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</si>
  <si>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</si>
  <si>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</si>
  <si>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</si>
  <si>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</si>
  <si>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</si>
  <si>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</si>
  <si>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</si>
  <si>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</si>
  <si>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</si>
  <si>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</si>
  <si>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</si>
  <si>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</si>
  <si>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</si>
  <si>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</si>
  <si>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</si>
  <si>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</si>
  <si>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</si>
  <si>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</si>
  <si>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</si>
  <si>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</si>
  <si>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</si>
  <si>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</si>
  <si>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</si>
  <si>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</si>
  <si>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</si>
  <si>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</si>
  <si>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</si>
  <si>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</si>
  <si>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</si>
  <si>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</si>
  <si>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</si>
  <si>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</si>
  <si>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date</t>
  </si>
  <si>
    <t>game_time</t>
  </si>
  <si>
    <t>home_team</t>
  </si>
  <si>
    <t>away_team</t>
  </si>
  <si>
    <t>ml_predicted_winner</t>
  </si>
  <si>
    <t>ml_home_win_prob</t>
  </si>
  <si>
    <t>ml_away_win_prob</t>
  </si>
  <si>
    <t>ml_confidence</t>
  </si>
  <si>
    <t>ml_predicted_home_score</t>
  </si>
  <si>
    <t>ml_predicted_away_score</t>
  </si>
  <si>
    <t>excel_predicted_winner</t>
  </si>
  <si>
    <t>excel_confidence</t>
  </si>
  <si>
    <t>excel_homeice_diff</t>
  </si>
  <si>
    <t>actual_winner</t>
  </si>
  <si>
    <t>ml_correct</t>
  </si>
  <si>
    <t>excel_correct</t>
  </si>
  <si>
    <t>model_version</t>
  </si>
  <si>
    <t>notes</t>
  </si>
  <si>
    <t>random_forest</t>
  </si>
  <si>
    <t>Recorded before games</t>
  </si>
  <si>
    <t>Range</t>
  </si>
  <si>
    <t>Count</t>
  </si>
  <si>
    <t>=IF([@[actual_winner]]=[@[ml_predicted_winner]],"YES","NO")</t>
  </si>
  <si>
    <t>=IF([@[actual_winner]]=[@[excel_predicted_winner]],"YES","NO")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</si>
</sst>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9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10" fontId="0" fillId="0" borderId="0" xfId="1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0" fontId="8" fillId="0" borderId="0" xfId="0" applyFont="1"/>
  </cellXfs>
  <cellStyles count="2">
    <cellStyle name="Normal" xfId="0" builtinId="0"/>
    <cellStyle name="Percent" xfId="1" builtinId="5"/>
  </cellStyles>
  <dxfs count="6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6B9F69E-A55F-D04B-8D44-E4061B230055}" autoFormatId="16" applyNumberFormats="0" applyBorderFormats="0" applyFontFormats="0" applyPatternFormats="0" applyAlignmentFormats="0" applyWidthHeightFormats="0">
  <queryTableRefresh nextId="19">
    <queryTableFields count="18">
      <queryTableField id="1" name="date" tableColumnId="1"/>
      <queryTableField id="2" name="game_time" tableColumnId="2"/>
      <queryTableField id="3" name="home_team" tableColumnId="3"/>
      <queryTableField id="4" name="away_team" tableColumnId="4"/>
      <queryTableField id="5" name="ml_predicted_winner" tableColumnId="5"/>
      <queryTableField id="6" name="ml_home_win_prob" tableColumnId="6"/>
      <queryTableField id="7" name="ml_away_win_prob" tableColumnId="7"/>
      <queryTableField id="8" name="ml_confidence" tableColumnId="8"/>
      <queryTableField id="9" name="ml_predicted_home_score" tableColumnId="9"/>
      <queryTableField id="10" name="ml_predicted_away_score" tableColumnId="10"/>
      <queryTableField id="11" name="excel_predicted_winner" tableColumnId="11"/>
      <queryTableField id="12" name="excel_confidence" tableColumnId="12"/>
      <queryTableField id="13" name="excel_homeice_diff" tableColumnId="13"/>
      <queryTableField id="14" name="actual_winner" tableColumnId="14"/>
      <queryTableField id="15" name="ml_correct" tableColumnId="15"/>
      <queryTableField id="16" name="excel_correct" tableColumnId="16"/>
      <queryTableField id="17" name="model_version" tableColumnId="17"/>
      <queryTableField id="18" name="note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68"/>
    <tableColumn id="3" xr3:uid="{2C87C5E2-BA51-8A42-89C8-535F9675CB8F}" uniqueName="3" name="Visitor" queryTableFieldId="3" dataDxfId="67"/>
    <tableColumn id="4" xr3:uid="{CE6ABB56-546F-BB46-9A09-2A1A92669C31}" uniqueName="4" name="G" queryTableFieldId="4" dataDxfId="66"/>
    <tableColumn id="5" xr3:uid="{C1234731-C200-EA4C-B756-2CA67776A39C}" uniqueName="5" name="Home" queryTableFieldId="5" dataDxfId="65"/>
    <tableColumn id="6" xr3:uid="{339325E9-BBA1-9A48-8657-C4AC5A969A45}" uniqueName="6" name="G_1" queryTableFieldId="6" dataDxfId="64"/>
    <tableColumn id="11" xr3:uid="{D5C53254-CDEF-7A46-97BA-0F3F94C9C0F8}" uniqueName="11" name="Column1" queryTableFieldId="11" dataDxfId="63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2"/>
    <tableColumn id="10" xr3:uid="{D8B4237A-01AB-6648-9F38-4F24C83C2F02}" uniqueName="10" name="Losing_G" queryTableFieldId="10" dataDxfId="6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0" headerRowBorderDxfId="59" tableBorderDxfId="58">
  <autoFilter ref="D6:J1318" xr:uid="{082AB263-30A0-9143-A4CB-E8E85CF645DA}"/>
  <tableColumns count="7">
    <tableColumn id="1" xr3:uid="{A2DA1977-C625-F248-8922-D45BEAE345E6}" name="Visitor" dataDxfId="57"/>
    <tableColumn id="2" xr3:uid="{7F142366-1AE0-5D45-A506-465FBF578C3A}" name="G" dataDxfId="56"/>
    <tableColumn id="3" xr3:uid="{F73B07A5-94FF-C843-900F-F37684899EAA}" name="Home" dataDxfId="55"/>
    <tableColumn id="4" xr3:uid="{7D6FADB5-28D9-9449-ADC0-599788BF0B16}" name="G_1" dataDxfId="54"/>
    <tableColumn id="5" xr3:uid="{98CF2B62-3F88-D44B-AF59-BE4BB5C0604E}" name="HomeMargin" dataDxfId="53">
      <calculatedColumnFormula>Table3[[#This Row],[G_1]]-Table3[[#This Row],[G]]</calculatedColumnFormula>
    </tableColumn>
    <tableColumn id="6" xr3:uid="{FD0EC919-55F2-CA43-8B92-CA3E6283FCFD}" name="HomeForecast" dataDxfId="52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1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0" dataDxfId="49">
  <autoFilter ref="D1:R1313" xr:uid="{B940C27F-1AFD-1A45-A69A-42FED3D3591C}"/>
  <tableColumns count="15">
    <tableColumn id="1" xr3:uid="{27200A7D-FC6F-7D47-A38B-8116F873A9D8}" name="Date" dataDxfId="48"/>
    <tableColumn id="2" xr3:uid="{E6247AA5-111B-9544-9F6D-FFC524512888}" name="Time" dataDxfId="47"/>
    <tableColumn id="3" xr3:uid="{EDCD8AB3-2C72-284E-B537-7168C3C8687B}" name="Home" dataDxfId="46"/>
    <tableColumn id="4" xr3:uid="{EC6C1412-AAC2-6646-BF48-0D4526947D52}" name="Home Differential" dataDxfId="45">
      <calculatedColumnFormula>VLOOKUP(Table4[[#This Row],[Home]],'NHL Model'!$A$6:$B$38,2,FALSE)</calculatedColumnFormula>
    </tableColumn>
    <tableColumn id="5" xr3:uid="{67F5F1C4-5CC9-B648-BE7C-7E4EF3A85290}" name="Visitor" dataDxfId="44"/>
    <tableColumn id="6" xr3:uid="{84F489BE-33B4-0E4D-959D-E87A85C1D38D}" name="Away Differential" dataDxfId="43">
      <calculatedColumnFormula>VLOOKUP(Table4[[#This Row],[Visitor]],'NHL Model'!$A$6:$B$38,2,FALSE)</calculatedColumnFormula>
    </tableColumn>
    <tableColumn id="7" xr3:uid="{A6F9ABE3-1844-E54D-9016-325B538D2969}" name="HomeIce Differential" dataDxfId="42">
      <calculatedColumnFormula>($B$1+Table4[[#This Row],[Home Differential]])-Table4[[#This Row],[Away Differential]]</calculatedColumnFormula>
    </tableColumn>
    <tableColumn id="8" xr3:uid="{8FFD520F-0CF9-9D4A-93B6-B45373384612}" name="Predicted Winner" dataDxfId="41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0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39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38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37"/>
    <tableColumn id="13" xr3:uid="{F50D85A3-D772-F247-BFBE-86E765FD0BF6}" name="Locked Correct" dataDxfId="36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35">
  <autoFilter ref="A1:R33" xr:uid="{1B34B514-E1CC-0949-A7DD-8D37387465DD}"/>
  <tableColumns count="18">
    <tableColumn id="1" xr3:uid="{C9F77F0F-7B0D-CC44-9D34-395D1E3FA55B}" name="Team" dataDxfId="34"/>
    <tableColumn id="2" xr3:uid="{4080CFDD-7980-DD4D-A4DE-25DB03E50B7C}" name="GP" dataDxfId="33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2">
      <calculatedColumnFormula>COUNTIFS('NHL2025-26Results'!$H:$H,A2,'NHL2025-26Results'!$F:$F,"")</calculatedColumnFormula>
    </tableColumn>
    <tableColumn id="5" xr3:uid="{5EA2DCC3-F71A-5A40-B3F3-8F2F8CB0A7CE}" name="OTL" dataDxfId="31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0">
      <calculatedColumnFormula>(Table1[[#This Row],[W]]*2)+Table1[[#This Row],[OTL]]</calculatedColumnFormula>
    </tableColumn>
    <tableColumn id="7" xr3:uid="{40EA95E8-9958-E040-A5BE-EC17EEDC1CBD}" name="HomeWins" dataDxfId="29">
      <calculatedColumnFormula>COUNTIFS('NHL2025-26Results'!$D:$D,A2,'NHL2025-26Results'!$G:$G,A2)</calculatedColumnFormula>
    </tableColumn>
    <tableColumn id="9" xr3:uid="{F3FA5C24-502A-6446-A4B9-25DB670D2CB7}" name="HomeLoss" dataDxfId="28">
      <calculatedColumnFormula>COUNTIFS('NHL2025-26Results'!$D:$D,A2,'NHL2025-26Results'!$H:$H,A2,'NHL2025-26Results'!$F:$F,"")</calculatedColumnFormula>
    </tableColumn>
    <tableColumn id="8" xr3:uid="{999F1273-113E-7F4B-990E-AC7B23C4A496}" name="HomeOTL" dataDxfId="27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26">
      <calculatedColumnFormula>COUNTIFS('NHL2025-26Results'!$B:$B,A2,'NHL2025-26Results'!$G:$G,A2)</calculatedColumnFormula>
    </tableColumn>
    <tableColumn id="10" xr3:uid="{1A63BDD0-5CF0-0C48-B684-3675FC716427}" name="AwayLoss" dataDxfId="25">
      <calculatedColumnFormula>COUNTIFS('NHL2025-26Results'!$B:$B,A2,'NHL2025-26Results'!$H:$H,A2,'NHL2025-26Results'!$F:$F,"")</calculatedColumnFormula>
    </tableColumn>
    <tableColumn id="12" xr3:uid="{59628040-0BA7-5042-BB5A-1E9D40ABC469}" name="AwayOTL" dataDxfId="24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3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2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1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0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51E9DB-D3B4-CA46-997F-655733A5071C}" name="ml_predictions_log_scores" displayName="ml_predictions_log_scores" ref="A1:R19" tableType="queryTable" totalsRowShown="0">
  <autoFilter ref="A1:R19" xr:uid="{5651E9DB-D3B4-CA46-997F-655733A5071C}"/>
  <tableColumns count="18">
    <tableColumn id="1" xr3:uid="{D7D2CFD4-F701-8D48-A3A2-7686526B3FE2}" uniqueName="1" name="date" queryTableFieldId="1" dataDxfId="14"/>
    <tableColumn id="2" xr3:uid="{8AB189CD-0773-F94B-BCE3-3755DA41914B}" uniqueName="2" name="game_time" queryTableFieldId="2" dataDxfId="13"/>
    <tableColumn id="3" xr3:uid="{95CCB897-F506-C84E-AA43-74357C00ABDC}" uniqueName="3" name="home_team" queryTableFieldId="3" dataDxfId="12"/>
    <tableColumn id="4" xr3:uid="{91D43264-DAB3-C648-A92A-CAD7FB4199F9}" uniqueName="4" name="away_team" queryTableFieldId="4" dataDxfId="11"/>
    <tableColumn id="5" xr3:uid="{11D5E007-B9C1-4543-914F-A699226E4708}" uniqueName="5" name="ml_predicted_winner" queryTableFieldId="5" dataDxfId="10"/>
    <tableColumn id="6" xr3:uid="{D42458AF-C5A9-7B4E-9212-B6667D0D7C34}" uniqueName="6" name="ml_home_win_prob" queryTableFieldId="6" dataDxfId="9" dataCellStyle="Percent"/>
    <tableColumn id="7" xr3:uid="{EE5F7FF6-1E8F-7046-8660-715A2A1152A9}" uniqueName="7" name="ml_away_win_prob" queryTableFieldId="7" dataDxfId="8" dataCellStyle="Percent"/>
    <tableColumn id="8" xr3:uid="{F0D6DF6B-F847-384A-A731-97006A0BCCE9}" uniqueName="8" name="ml_confidence" queryTableFieldId="8" dataDxfId="7" dataCellStyle="Percent"/>
    <tableColumn id="9" xr3:uid="{7330D29F-9DB5-C04F-96FD-952EF8197879}" uniqueName="9" name="ml_predicted_home_score" queryTableFieldId="9"/>
    <tableColumn id="10" xr3:uid="{E4AE9E7D-0CC8-804C-9834-1B8B7A310D5B}" uniqueName="10" name="ml_predicted_away_score" queryTableFieldId="10"/>
    <tableColumn id="11" xr3:uid="{BD471F4B-27CE-6742-AF7D-60595628F745}" uniqueName="11" name="excel_predicted_winner" queryTableFieldId="11" dataDxfId="6"/>
    <tableColumn id="12" xr3:uid="{1CC0C713-58CB-2641-96A9-E3244F8765EC}" uniqueName="12" name="excel_confidence" queryTableFieldId="12" dataDxfId="5" dataCellStyle="Percent"/>
    <tableColumn id="13" xr3:uid="{BB6A2994-CBA8-AF43-A93B-71560D9FE994}" uniqueName="13" name="excel_homeice_diff" queryTableFieldId="13"/>
    <tableColumn id="14" xr3:uid="{68022F89-A0E1-F941-B0CA-831E4377E07F}" uniqueName="14" name="actual_winner" queryTableFieldId="14" dataDxfId="4"/>
    <tableColumn id="15" xr3:uid="{43C328E0-2628-C646-A293-396F020532B3}" uniqueName="15" name="ml_correct" queryTableFieldId="15" dataDxfId="3"/>
    <tableColumn id="16" xr3:uid="{BF21B78A-4A3A-4445-A378-6C79106E6630}" uniqueName="16" name="excel_correct" queryTableFieldId="16" dataDxfId="2"/>
    <tableColumn id="17" xr3:uid="{83971C46-0F3E-5944-B6AB-A8F6ECD38F8B}" uniqueName="17" name="model_version" queryTableFieldId="17" dataDxfId="1"/>
    <tableColumn id="18" xr3:uid="{9833C29D-C212-D944-9B7D-2A8B6D2DA355}" uniqueName="18" name="notes" queryTableFieldId="1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298" workbookViewId="0">
      <selection activeCell="K319" sqref="K319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D316" t="s">
        <v>31</v>
      </c>
      <c r="F316" t="s">
        <v>60</v>
      </c>
    </row>
    <row r="317" spans="1:10" x14ac:dyDescent="0.2">
      <c r="A317" s="1" t="s">
        <v>218</v>
      </c>
      <c r="B317" t="s">
        <v>16</v>
      </c>
      <c r="D317" t="s">
        <v>23</v>
      </c>
      <c r="F317" t="s">
        <v>60</v>
      </c>
    </row>
    <row r="318" spans="1:10" x14ac:dyDescent="0.2">
      <c r="A318" s="1" t="s">
        <v>218</v>
      </c>
      <c r="B318" t="s">
        <v>25</v>
      </c>
      <c r="D318" t="s">
        <v>34</v>
      </c>
      <c r="F318" t="s">
        <v>60</v>
      </c>
    </row>
    <row r="319" spans="1:10" x14ac:dyDescent="0.2">
      <c r="A319" s="1" t="s">
        <v>218</v>
      </c>
      <c r="B319" t="s">
        <v>17</v>
      </c>
      <c r="D319" t="s">
        <v>22</v>
      </c>
      <c r="F319" t="s">
        <v>60</v>
      </c>
    </row>
    <row r="320" spans="1:10" x14ac:dyDescent="0.2">
      <c r="A320" s="1" t="s">
        <v>219</v>
      </c>
      <c r="B320" t="s">
        <v>36</v>
      </c>
      <c r="D320" t="s">
        <v>31</v>
      </c>
      <c r="F320" t="s">
        <v>60</v>
      </c>
    </row>
    <row r="321" spans="1:6" x14ac:dyDescent="0.2">
      <c r="A321" s="1" t="s">
        <v>219</v>
      </c>
      <c r="B321" t="s">
        <v>32</v>
      </c>
      <c r="D321" t="s">
        <v>10</v>
      </c>
      <c r="F321" t="s">
        <v>60</v>
      </c>
    </row>
    <row r="322" spans="1:6" x14ac:dyDescent="0.2">
      <c r="A322" s="1" t="s">
        <v>219</v>
      </c>
      <c r="B322" t="s">
        <v>15</v>
      </c>
      <c r="D322" t="s">
        <v>12</v>
      </c>
      <c r="F322" t="s">
        <v>60</v>
      </c>
    </row>
    <row r="323" spans="1:6" x14ac:dyDescent="0.2">
      <c r="A323" s="1" t="s">
        <v>219</v>
      </c>
      <c r="B323" t="s">
        <v>30</v>
      </c>
      <c r="D323" t="s">
        <v>26</v>
      </c>
      <c r="F323" t="s">
        <v>60</v>
      </c>
    </row>
    <row r="324" spans="1:6" x14ac:dyDescent="0.2">
      <c r="A324" s="1" t="s">
        <v>219</v>
      </c>
      <c r="B324" t="s">
        <v>24</v>
      </c>
      <c r="D324" t="s">
        <v>11</v>
      </c>
      <c r="F324" t="s">
        <v>60</v>
      </c>
    </row>
    <row r="325" spans="1:6" x14ac:dyDescent="0.2">
      <c r="A325" s="1" t="s">
        <v>219</v>
      </c>
      <c r="B325" t="s">
        <v>22</v>
      </c>
      <c r="D325" t="s">
        <v>18</v>
      </c>
      <c r="F325" t="s">
        <v>60</v>
      </c>
    </row>
    <row r="326" spans="1:6" x14ac:dyDescent="0.2">
      <c r="A326" s="1" t="s">
        <v>219</v>
      </c>
      <c r="B326" t="s">
        <v>35</v>
      </c>
      <c r="D326" t="s">
        <v>27</v>
      </c>
      <c r="F326" t="s">
        <v>60</v>
      </c>
    </row>
    <row r="327" spans="1:6" x14ac:dyDescent="0.2">
      <c r="A327" s="1" t="s">
        <v>219</v>
      </c>
      <c r="B327" t="s">
        <v>13</v>
      </c>
      <c r="D327" t="s">
        <v>33</v>
      </c>
      <c r="F327" t="s">
        <v>60</v>
      </c>
    </row>
    <row r="328" spans="1:6" x14ac:dyDescent="0.2">
      <c r="A328" s="1" t="s">
        <v>219</v>
      </c>
      <c r="B328" t="s">
        <v>17</v>
      </c>
      <c r="D328" t="s">
        <v>37</v>
      </c>
      <c r="F328" t="s">
        <v>60</v>
      </c>
    </row>
    <row r="329" spans="1:6" x14ac:dyDescent="0.2">
      <c r="A329" s="1" t="s">
        <v>219</v>
      </c>
      <c r="B329" t="s">
        <v>28</v>
      </c>
      <c r="D329" t="s">
        <v>19</v>
      </c>
      <c r="F329" t="s">
        <v>60</v>
      </c>
    </row>
    <row r="330" spans="1:6" x14ac:dyDescent="0.2">
      <c r="A330" s="1" t="s">
        <v>219</v>
      </c>
      <c r="B330" t="s">
        <v>20</v>
      </c>
      <c r="D330" t="s">
        <v>55</v>
      </c>
      <c r="F330" t="s">
        <v>60</v>
      </c>
    </row>
    <row r="331" spans="1:6" x14ac:dyDescent="0.2">
      <c r="A331" s="1" t="s">
        <v>219</v>
      </c>
      <c r="B331" t="s">
        <v>39</v>
      </c>
      <c r="D331" t="s">
        <v>38</v>
      </c>
      <c r="F331" t="s">
        <v>60</v>
      </c>
    </row>
    <row r="332" spans="1:6" x14ac:dyDescent="0.2">
      <c r="A332" s="1" t="s">
        <v>220</v>
      </c>
      <c r="B332" t="s">
        <v>10</v>
      </c>
      <c r="D332" t="s">
        <v>23</v>
      </c>
      <c r="F332" t="s">
        <v>60</v>
      </c>
    </row>
    <row r="333" spans="1:6" x14ac:dyDescent="0.2">
      <c r="A333" s="1" t="s">
        <v>220</v>
      </c>
      <c r="B333" t="s">
        <v>21</v>
      </c>
      <c r="D333" t="s">
        <v>13</v>
      </c>
      <c r="F333" t="s">
        <v>60</v>
      </c>
    </row>
    <row r="334" spans="1:6" x14ac:dyDescent="0.2">
      <c r="A334" s="1" t="s">
        <v>220</v>
      </c>
      <c r="B334" t="s">
        <v>34</v>
      </c>
      <c r="D334" t="s">
        <v>14</v>
      </c>
      <c r="F334" t="s">
        <v>60</v>
      </c>
    </row>
    <row r="335" spans="1:6" x14ac:dyDescent="0.2">
      <c r="A335" s="1" t="s">
        <v>220</v>
      </c>
      <c r="B335" t="s">
        <v>25</v>
      </c>
      <c r="D335" t="s">
        <v>40</v>
      </c>
      <c r="F335" t="s">
        <v>60</v>
      </c>
    </row>
    <row r="336" spans="1:6" x14ac:dyDescent="0.2">
      <c r="A336" s="1" t="s">
        <v>221</v>
      </c>
      <c r="B336" t="s">
        <v>20</v>
      </c>
      <c r="D336" t="s">
        <v>31</v>
      </c>
      <c r="F336" t="s">
        <v>60</v>
      </c>
    </row>
    <row r="337" spans="1:6" x14ac:dyDescent="0.2">
      <c r="A337" s="1" t="s">
        <v>221</v>
      </c>
      <c r="B337" t="s">
        <v>39</v>
      </c>
      <c r="D337" t="s">
        <v>16</v>
      </c>
      <c r="F337" t="s">
        <v>60</v>
      </c>
    </row>
    <row r="338" spans="1:6" x14ac:dyDescent="0.2">
      <c r="A338" s="1" t="s">
        <v>221</v>
      </c>
      <c r="B338" t="s">
        <v>28</v>
      </c>
      <c r="D338" t="s">
        <v>26</v>
      </c>
      <c r="F338" t="s">
        <v>60</v>
      </c>
    </row>
    <row r="339" spans="1:6" x14ac:dyDescent="0.2">
      <c r="A339" s="1" t="s">
        <v>221</v>
      </c>
      <c r="B339" t="s">
        <v>17</v>
      </c>
      <c r="D339" t="s">
        <v>11</v>
      </c>
      <c r="F339" t="s">
        <v>60</v>
      </c>
    </row>
    <row r="340" spans="1:6" x14ac:dyDescent="0.2">
      <c r="A340" s="1" t="s">
        <v>221</v>
      </c>
      <c r="B340" t="s">
        <v>19</v>
      </c>
      <c r="D340" t="s">
        <v>18</v>
      </c>
      <c r="F340" t="s">
        <v>60</v>
      </c>
    </row>
    <row r="341" spans="1:6" x14ac:dyDescent="0.2">
      <c r="A341" s="1" t="s">
        <v>221</v>
      </c>
      <c r="B341" t="s">
        <v>12</v>
      </c>
      <c r="D341" t="s">
        <v>29</v>
      </c>
      <c r="F341" t="s">
        <v>60</v>
      </c>
    </row>
    <row r="342" spans="1:6" x14ac:dyDescent="0.2">
      <c r="A342" s="1" t="s">
        <v>221</v>
      </c>
      <c r="B342" t="s">
        <v>35</v>
      </c>
      <c r="D342" t="s">
        <v>30</v>
      </c>
      <c r="F342" t="s">
        <v>60</v>
      </c>
    </row>
    <row r="343" spans="1:6" x14ac:dyDescent="0.2">
      <c r="A343" s="1" t="s">
        <v>221</v>
      </c>
      <c r="B343" t="s">
        <v>24</v>
      </c>
      <c r="D343" t="s">
        <v>27</v>
      </c>
      <c r="F343" t="s">
        <v>60</v>
      </c>
    </row>
    <row r="344" spans="1:6" x14ac:dyDescent="0.2">
      <c r="A344" s="1" t="s">
        <v>221</v>
      </c>
      <c r="B344" t="s">
        <v>32</v>
      </c>
      <c r="D344" t="s">
        <v>14</v>
      </c>
      <c r="F344" t="s">
        <v>60</v>
      </c>
    </row>
    <row r="345" spans="1:6" x14ac:dyDescent="0.2">
      <c r="A345" s="1" t="s">
        <v>221</v>
      </c>
      <c r="B345" t="s">
        <v>36</v>
      </c>
      <c r="D345" t="s">
        <v>33</v>
      </c>
      <c r="F345" t="s">
        <v>60</v>
      </c>
    </row>
    <row r="346" spans="1:6" x14ac:dyDescent="0.2">
      <c r="A346" s="1" t="s">
        <v>221</v>
      </c>
      <c r="B346" t="s">
        <v>15</v>
      </c>
      <c r="D346" t="s">
        <v>55</v>
      </c>
      <c r="F346" t="s">
        <v>60</v>
      </c>
    </row>
    <row r="347" spans="1:6" x14ac:dyDescent="0.2">
      <c r="A347" s="1" t="s">
        <v>221</v>
      </c>
      <c r="B347" t="s">
        <v>37</v>
      </c>
      <c r="D347" t="s">
        <v>22</v>
      </c>
      <c r="F347" t="s">
        <v>60</v>
      </c>
    </row>
    <row r="348" spans="1:6" x14ac:dyDescent="0.2">
      <c r="A348" s="1" t="s">
        <v>222</v>
      </c>
      <c r="B348" t="s">
        <v>25</v>
      </c>
      <c r="D348" t="s">
        <v>23</v>
      </c>
      <c r="F348" t="s">
        <v>60</v>
      </c>
    </row>
    <row r="349" spans="1:6" x14ac:dyDescent="0.2">
      <c r="A349" s="1" t="s">
        <v>222</v>
      </c>
      <c r="B349" t="s">
        <v>12</v>
      </c>
      <c r="D349" t="s">
        <v>10</v>
      </c>
      <c r="F349" t="s">
        <v>60</v>
      </c>
    </row>
    <row r="350" spans="1:6" x14ac:dyDescent="0.2">
      <c r="A350" s="1" t="s">
        <v>222</v>
      </c>
      <c r="B350" t="s">
        <v>32</v>
      </c>
      <c r="D350" t="s">
        <v>30</v>
      </c>
      <c r="F350" t="s">
        <v>60</v>
      </c>
    </row>
    <row r="351" spans="1:6" x14ac:dyDescent="0.2">
      <c r="A351" s="1" t="s">
        <v>222</v>
      </c>
      <c r="B351" t="s">
        <v>21</v>
      </c>
      <c r="D351" t="s">
        <v>33</v>
      </c>
      <c r="F351" t="s">
        <v>60</v>
      </c>
    </row>
    <row r="352" spans="1:6" x14ac:dyDescent="0.2">
      <c r="A352" s="1" t="s">
        <v>222</v>
      </c>
      <c r="B352" t="s">
        <v>16</v>
      </c>
      <c r="D352" t="s">
        <v>38</v>
      </c>
      <c r="F352" t="s">
        <v>60</v>
      </c>
    </row>
    <row r="353" spans="1:6" x14ac:dyDescent="0.2">
      <c r="A353" s="1" t="s">
        <v>222</v>
      </c>
      <c r="B353" t="s">
        <v>34</v>
      </c>
      <c r="D353" t="s">
        <v>40</v>
      </c>
      <c r="F353" t="s">
        <v>60</v>
      </c>
    </row>
    <row r="354" spans="1:6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6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6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6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6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6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6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6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6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6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6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6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6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6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6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0.20781111258114676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1572.9492194415816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0.50495447305652519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-0.27015118864285059</v>
      </c>
      <c r="J7">
        <f>(Table3[[#This Row],[HomeMargin]]-Table3[[#This Row],[HomeForecast]])^2</f>
        <v>1.6132840420108459</v>
      </c>
    </row>
    <row r="8" spans="1:10" x14ac:dyDescent="0.2">
      <c r="A8" s="4" t="s">
        <v>21</v>
      </c>
      <c r="B8">
        <v>-5.2681296301607013E-2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-1.4261121353881336</v>
      </c>
      <c r="J8">
        <f>(Table3[[#This Row],[HomeMargin]]-Table3[[#This Row],[HomeForecast]])^2</f>
        <v>2.4771230103725004</v>
      </c>
    </row>
    <row r="9" spans="1:10" x14ac:dyDescent="0.2">
      <c r="A9" s="4" t="s">
        <v>23</v>
      </c>
      <c r="B9">
        <v>-0.73027559042992929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-0.37880484734492875</v>
      </c>
      <c r="J9">
        <f>(Table3[[#This Row],[HomeMargin]]-Table3[[#This Row],[HomeForecast]])^2</f>
        <v>6.8706640283024427</v>
      </c>
    </row>
    <row r="10" spans="1:10" x14ac:dyDescent="0.2">
      <c r="A10" s="4" t="s">
        <v>16</v>
      </c>
      <c r="B10">
        <v>-1.5116691651852812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0.82289241122326406</v>
      </c>
      <c r="J10">
        <f>(Table3[[#This Row],[HomeMargin]]-Table3[[#This Row],[HomeForecast]])^2</f>
        <v>3.3229367428953656</v>
      </c>
    </row>
    <row r="11" spans="1:10" x14ac:dyDescent="0.2">
      <c r="A11" s="4" t="s">
        <v>25</v>
      </c>
      <c r="B11">
        <v>0.67827132507054233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0.15436707098241964</v>
      </c>
      <c r="J11">
        <f>(Table3[[#This Row],[HomeMargin]]-Table3[[#This Row],[HomeForecast]])^2</f>
        <v>8.0976267667091744</v>
      </c>
    </row>
    <row r="12" spans="1:10" x14ac:dyDescent="0.2">
      <c r="A12" s="4" t="s">
        <v>10</v>
      </c>
      <c r="B12">
        <v>0.27981279116457602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0.36271513606686095</v>
      </c>
      <c r="J12">
        <f>(Table3[[#This Row],[HomeMargin]]-Table3[[#This Row],[HomeForecast]])^2</f>
        <v>1.8569925420657236</v>
      </c>
    </row>
    <row r="13" spans="1:10" x14ac:dyDescent="0.2">
      <c r="A13" s="4" t="s">
        <v>12</v>
      </c>
      <c r="B13">
        <v>1.4784730509534416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0.18983473751402777</v>
      </c>
      <c r="J13">
        <f>(Table3[[#This Row],[HomeMargin]]-Table3[[#This Row],[HomeForecast]])^2</f>
        <v>4.7953761776231314</v>
      </c>
    </row>
    <row r="14" spans="1:10" x14ac:dyDescent="0.2">
      <c r="A14" s="4" t="s">
        <v>28</v>
      </c>
      <c r="B14">
        <v>-0.57641196648435689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-0.12468297488503627</v>
      </c>
      <c r="J14">
        <f>(Table3[[#This Row],[HomeMargin]]-Table3[[#This Row],[HomeForecast]])^2</f>
        <v>1.2649117939962551</v>
      </c>
    </row>
    <row r="15" spans="1:10" x14ac:dyDescent="0.2">
      <c r="A15" s="4" t="s">
        <v>39</v>
      </c>
      <c r="B15">
        <v>5.4297665563734943E-2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-0.13137656727183195</v>
      </c>
      <c r="J15">
        <f>(Table3[[#This Row],[HomeMargin]]-Table3[[#This Row],[HomeForecast]])^2</f>
        <v>14.966247264253473</v>
      </c>
    </row>
    <row r="16" spans="1:10" x14ac:dyDescent="0.2">
      <c r="A16" s="4" t="s">
        <v>26</v>
      </c>
      <c r="B16">
        <v>-0.4561706649361581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0.59577715557797106</v>
      </c>
      <c r="J16">
        <f>(Table3[[#This Row],[HomeMargin]]-Table3[[#This Row],[HomeForecast]])^2</f>
        <v>5.780287485640752</v>
      </c>
    </row>
    <row r="17" spans="1:10" x14ac:dyDescent="0.2">
      <c r="A17" s="4" t="s">
        <v>17</v>
      </c>
      <c r="B17">
        <v>-0.8965878665431638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1.9014156438629601</v>
      </c>
      <c r="J17">
        <f>(Table3[[#This Row],[HomeMargin]]-Table3[[#This Row],[HomeForecast]])^2</f>
        <v>0.81255016300087501</v>
      </c>
    </row>
    <row r="18" spans="1:10" x14ac:dyDescent="0.2">
      <c r="A18" s="4" t="s">
        <v>11</v>
      </c>
      <c r="B18">
        <v>-0.1981495100594213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0.42338753546060465</v>
      </c>
      <c r="J18">
        <f>(Table3[[#This Row],[HomeMargin]]-Table3[[#This Row],[HomeForecast]])^2</f>
        <v>19.566357288868243</v>
      </c>
    </row>
    <row r="19" spans="1:10" x14ac:dyDescent="0.2">
      <c r="A19" s="4" t="s">
        <v>13</v>
      </c>
      <c r="B19">
        <v>-0.15545019701583887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0.60674356267837548</v>
      </c>
      <c r="J19">
        <f>(Table3[[#This Row],[HomeMargin]]-Table3[[#This Row],[HomeForecast]])^2</f>
        <v>0.1546506254948968</v>
      </c>
    </row>
    <row r="20" spans="1:10" x14ac:dyDescent="0.2">
      <c r="A20" s="4" t="s">
        <v>34</v>
      </c>
      <c r="B20">
        <v>-0.62096640812916071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-0.66273751417865678</v>
      </c>
      <c r="J20">
        <f>(Table3[[#This Row],[HomeMargin]]-Table3[[#This Row],[HomeForecast]])^2</f>
        <v>2.7646960410570194</v>
      </c>
    </row>
    <row r="21" spans="1:10" x14ac:dyDescent="0.2">
      <c r="A21" s="4" t="s">
        <v>18</v>
      </c>
      <c r="B21">
        <v>-0.67174708781561598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0.46518703800995803</v>
      </c>
      <c r="J21">
        <f>(Table3[[#This Row],[HomeMargin]]-Table3[[#This Row],[HomeForecast]])^2</f>
        <v>0.286024904312562</v>
      </c>
    </row>
    <row r="22" spans="1:10" x14ac:dyDescent="0.2">
      <c r="A22" s="4" t="s">
        <v>29</v>
      </c>
      <c r="B22">
        <v>-1.4469605932441605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-0.83303378469804801</v>
      </c>
      <c r="J22">
        <f>(Table3[[#This Row],[HomeMargin]]-Table3[[#This Row],[HomeForecast]])^2</f>
        <v>8.0260804252405471</v>
      </c>
    </row>
    <row r="23" spans="1:10" x14ac:dyDescent="0.2">
      <c r="A23" s="4" t="s">
        <v>24</v>
      </c>
      <c r="B23">
        <v>0.29030528207371809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-0.20986288978447828</v>
      </c>
      <c r="J23">
        <f>(Table3[[#This Row],[HomeMargin]]-Table3[[#This Row],[HomeForecast]])^2</f>
        <v>0.62431665293973548</v>
      </c>
    </row>
    <row r="24" spans="1:10" x14ac:dyDescent="0.2">
      <c r="A24" s="4" t="s">
        <v>30</v>
      </c>
      <c r="B24">
        <v>-6.1847876079686406E-2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-0.87678305546407909</v>
      </c>
      <c r="J24">
        <f>(Table3[[#This Row],[HomeMargin]]-Table3[[#This Row],[HomeForecast]])^2</f>
        <v>17.000917971708134</v>
      </c>
    </row>
    <row r="25" spans="1:10" x14ac:dyDescent="0.2">
      <c r="A25" s="4" t="s">
        <v>15</v>
      </c>
      <c r="B25">
        <v>-0.39108791057695064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0.73143080050852949</v>
      </c>
      <c r="J25">
        <f>(Table3[[#This Row],[HomeMargin]]-Table3[[#This Row],[HomeForecast]])^2</f>
        <v>2.9978526169496074</v>
      </c>
    </row>
    <row r="26" spans="1:10" x14ac:dyDescent="0.2">
      <c r="A26" s="4" t="s">
        <v>36</v>
      </c>
      <c r="B26">
        <v>-0.47846056309234386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0.8446298639451435</v>
      </c>
      <c r="J26">
        <f>(Table3[[#This Row],[HomeMargin]]-Table3[[#This Row],[HomeForecast]])^2</f>
        <v>9.9563606955068451</v>
      </c>
    </row>
    <row r="27" spans="1:10" x14ac:dyDescent="0.2">
      <c r="A27" s="4" t="s">
        <v>27</v>
      </c>
      <c r="B27">
        <v>-0.59708196015665005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0.28578968043720454</v>
      </c>
      <c r="J27">
        <f>(Table3[[#This Row],[HomeMargin]]-Table3[[#This Row],[HomeForecast]])^2</f>
        <v>1.6532551023188089</v>
      </c>
    </row>
    <row r="28" spans="1:10" x14ac:dyDescent="0.2">
      <c r="A28" s="4" t="s">
        <v>14</v>
      </c>
      <c r="B28">
        <v>0.19552804934912488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0.88540540670946899</v>
      </c>
      <c r="J28">
        <f>(Table3[[#This Row],[HomeMargin]]-Table3[[#This Row],[HomeForecast]])^2</f>
        <v>1.2423211073924842</v>
      </c>
    </row>
    <row r="29" spans="1:10" x14ac:dyDescent="0.2">
      <c r="A29" s="4" t="s">
        <v>33</v>
      </c>
      <c r="B29">
        <v>-0.41822017589574972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1.4831643978083391</v>
      </c>
      <c r="J29">
        <f>(Table3[[#This Row],[HomeMargin]]-Table3[[#This Row],[HomeForecast]])^2</f>
        <v>0.23344783530949495</v>
      </c>
    </row>
    <row r="30" spans="1:10" x14ac:dyDescent="0.2">
      <c r="A30" s="4" t="s">
        <v>32</v>
      </c>
      <c r="B30">
        <v>-0.53589042422266964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0.40170252357025227</v>
      </c>
      <c r="J30">
        <f>(Table3[[#This Row],[HomeMargin]]-Table3[[#This Row],[HomeForecast]])^2</f>
        <v>5.7681750117237183</v>
      </c>
    </row>
    <row r="31" spans="1:10" x14ac:dyDescent="0.2">
      <c r="A31" s="4" t="s">
        <v>35</v>
      </c>
      <c r="B31">
        <v>-1.7055605761743866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1.1593709915613388</v>
      </c>
      <c r="J31">
        <f>(Table3[[#This Row],[HomeMargin]]-Table3[[#This Row],[HomeForecast]])^2</f>
        <v>4.6628830791965994</v>
      </c>
    </row>
    <row r="32" spans="1:10" x14ac:dyDescent="0.2">
      <c r="A32" s="4" t="s">
        <v>37</v>
      </c>
      <c r="B32">
        <v>4.5159124835038887E-2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1.6319864979708534</v>
      </c>
      <c r="J32">
        <f>(Table3[[#This Row],[HomeMargin]]-Table3[[#This Row],[HomeForecast]])^2</f>
        <v>6.9273529255008768</v>
      </c>
    </row>
    <row r="33" spans="1:10" x14ac:dyDescent="0.2">
      <c r="A33" s="4" t="s">
        <v>19</v>
      </c>
      <c r="B33">
        <v>-0.72519112941434305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0.47683157705933171</v>
      </c>
      <c r="J33">
        <f>(Table3[[#This Row],[HomeMargin]]-Table3[[#This Row],[HomeForecast]])^2</f>
        <v>6.3663788905248992</v>
      </c>
    </row>
    <row r="34" spans="1:10" x14ac:dyDescent="0.2">
      <c r="A34" t="s">
        <v>55</v>
      </c>
      <c r="B34">
        <v>-0.21513148032837168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0.18607365985926738</v>
      </c>
      <c r="J34">
        <f>(Table3[[#This Row],[HomeMargin]]-Table3[[#This Row],[HomeForecast]])^2</f>
        <v>3.2903287674563528</v>
      </c>
    </row>
    <row r="35" spans="1:10" x14ac:dyDescent="0.2">
      <c r="A35" s="4" t="s">
        <v>38</v>
      </c>
      <c r="B35">
        <v>-0.87485041382128448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0.48812216561406929</v>
      </c>
      <c r="J35">
        <f>(Table3[[#This Row],[HomeMargin]]-Table3[[#This Row],[HomeForecast]])^2</f>
        <v>12.333285923651214</v>
      </c>
    </row>
    <row r="36" spans="1:10" x14ac:dyDescent="0.2">
      <c r="A36" s="4" t="s">
        <v>20</v>
      </c>
      <c r="B36">
        <v>-5.4617353012467046E-4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0.16325667093634294</v>
      </c>
      <c r="J36">
        <f>(Table3[[#This Row],[HomeMargin]]-Table3[[#This Row],[HomeForecast]])^2</f>
        <v>10.006192766223275</v>
      </c>
    </row>
    <row r="37" spans="1:10" x14ac:dyDescent="0.2">
      <c r="A37" s="4" t="s">
        <v>22</v>
      </c>
      <c r="B37">
        <v>-7.0657671368725999E-2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-1.024018000334642</v>
      </c>
      <c r="J37">
        <f>(Table3[[#This Row],[HomeMargin]]-Table3[[#This Row],[HomeForecast]])^2</f>
        <v>5.7686434007486157E-4</v>
      </c>
    </row>
    <row r="38" spans="1:10" x14ac:dyDescent="0.2">
      <c r="A38" s="4" t="s">
        <v>40</v>
      </c>
      <c r="B38">
        <v>0.13227623341979275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0.21662090787018637</v>
      </c>
      <c r="J38">
        <f>(Table3[[#This Row],[HomeMargin]]-Table3[[#This Row],[HomeForecast]])^2</f>
        <v>4.9134082492072491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0.79442707250722222</v>
      </c>
      <c r="J39">
        <f>(Table3[[#This Row],[HomeMargin]]-Table3[[#This Row],[HomeForecast]])^2</f>
        <v>33.57538509860462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-0.32753313811139823</v>
      </c>
      <c r="J40">
        <f>(Table3[[#This Row],[HomeMargin]]-Table3[[#This Row],[HomeForecast]])^2</f>
        <v>1.7623442327838965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-0.71536353637112815</v>
      </c>
      <c r="J41">
        <f>(Table3[[#This Row],[HomeMargin]]-Table3[[#This Row],[HomeForecast]])^2</f>
        <v>8.1017916427150088E-2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-3.7335044657532457E-2</v>
      </c>
      <c r="J42">
        <f>(Table3[[#This Row],[HomeMargin]]-Table3[[#This Row],[HomeForecast]])^2</f>
        <v>3.8520537269294501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0.49553754301677833</v>
      </c>
      <c r="J43">
        <f>(Table3[[#This Row],[HomeMargin]]-Table3[[#This Row],[HomeForecast]])^2</f>
        <v>0.25448237050554878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-0.11261912662707788</v>
      </c>
      <c r="J44">
        <f>(Table3[[#This Row],[HomeMargin]]-Table3[[#This Row],[HomeForecast]])^2</f>
        <v>0.78744481442809011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0.10997069144450086</v>
      </c>
      <c r="J45">
        <f>(Table3[[#This Row],[HomeMargin]]-Table3[[#This Row],[HomeForecast]])^2</f>
        <v>1.2320349358657834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-2.0009375288022242</v>
      </c>
      <c r="J46">
        <f>(Table3[[#This Row],[HomeMargin]]-Table3[[#This Row],[HomeForecast]])^2</f>
        <v>8.78960254999937E-7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-0.65890613597692815</v>
      </c>
      <c r="J47">
        <f>(Table3[[#This Row],[HomeMargin]]-Table3[[#This Row],[HomeForecast]])^2</f>
        <v>0.11634502407418983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0.70275538407409444</v>
      </c>
      <c r="J48">
        <f>(Table3[[#This Row],[HomeMargin]]-Table3[[#This Row],[HomeForecast]])^2</f>
        <v>1.68284359354875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-0.25770509853217505</v>
      </c>
      <c r="J49">
        <f>(Table3[[#This Row],[HomeMargin]]-Table3[[#This Row],[HomeForecast]])^2</f>
        <v>1.5818221148738278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1.368700308166762E-2</v>
      </c>
      <c r="J50">
        <f>(Table3[[#This Row],[HomeMargin]]-Table3[[#This Row],[HomeForecast]])^2</f>
        <v>9.0823093525433638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1.1763111427329633</v>
      </c>
      <c r="J51">
        <f>(Table3[[#This Row],[HomeMargin]]-Table3[[#This Row],[HomeForecast]])^2</f>
        <v>17.441574760915511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-0.19112133751608198</v>
      </c>
      <c r="J52">
        <f>(Table3[[#This Row],[HomeMargin]]-Table3[[#This Row],[HomeForecast]])^2</f>
        <v>10.183255390750428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-6.1209351897038244E-2</v>
      </c>
      <c r="J53">
        <f>(Table3[[#This Row],[HomeMargin]]-Table3[[#This Row],[HomeForecast]])^2</f>
        <v>0.88132788096557901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1.038521274934249</v>
      </c>
      <c r="J54">
        <f>(Table3[[#This Row],[HomeMargin]]-Table3[[#This Row],[HomeForecast]])^2</f>
        <v>16.309654088096551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0.51723753628854707</v>
      </c>
      <c r="J55">
        <f>(Table3[[#This Row],[HomeMargin]]-Table3[[#This Row],[HomeForecast]])^2</f>
        <v>0.2330595963687519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-1.3033118790740097</v>
      </c>
      <c r="J56">
        <f>(Table3[[#This Row],[HomeMargin]]-Table3[[#This Row],[HomeForecast]])^2</f>
        <v>0.48537433783938727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0.88307518627404247</v>
      </c>
      <c r="J57">
        <f>(Table3[[#This Row],[HomeMargin]]-Table3[[#This Row],[HomeForecast]])^2</f>
        <v>4.4813706669686812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7.1954448988200415E-2</v>
      </c>
      <c r="J58">
        <f>(Table3[[#This Row],[HomeMargin]]-Table3[[#This Row],[HomeForecast]])^2</f>
        <v>0.86126854475279457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0.71331106854735993</v>
      </c>
      <c r="J59">
        <f>(Table3[[#This Row],[HomeMargin]]-Table3[[#This Row],[HomeForecast]])^2</f>
        <v>7.3620569547016155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-0.88868038838514529</v>
      </c>
      <c r="J60">
        <f>(Table3[[#This Row],[HomeMargin]]-Table3[[#This Row],[HomeForecast]])^2</f>
        <v>9.6803097256192103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0.92958057641096414</v>
      </c>
      <c r="J61">
        <f>(Table3[[#This Row],[HomeMargin]]-Table3[[#This Row],[HomeForecast]])^2</f>
        <v>4.2866365895747567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9.1994316377381868E-2</v>
      </c>
      <c r="J62">
        <f>(Table3[[#This Row],[HomeMargin]]-Table3[[#This Row],[HomeForecast]])^2</f>
        <v>0.8244743214909781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-4.4003914756438722E-2</v>
      </c>
      <c r="J63">
        <f>(Table3[[#This Row],[HomeMargin]]-Table3[[#This Row],[HomeForecast]])^2</f>
        <v>16.353967662565402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-5.0210042295590035E-2</v>
      </c>
      <c r="J64">
        <f>(Table3[[#This Row],[HomeMargin]]-Table3[[#This Row],[HomeForecast]])^2</f>
        <v>9.3037813021208642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-1.7775622547578158</v>
      </c>
      <c r="J65">
        <f>(Table3[[#This Row],[HomeMargin]]-Table3[[#This Row],[HomeForecast]])^2</f>
        <v>10.384105021961531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1.5043487974380563</v>
      </c>
      <c r="J66">
        <f>(Table3[[#This Row],[HomeMargin]]-Table3[[#This Row],[HomeForecast]])^2</f>
        <v>0.24567011460110097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3.4494260567129675E-2</v>
      </c>
      <c r="J67">
        <f>(Table3[[#This Row],[HomeMargin]]-Table3[[#This Row],[HomeForecast]])^2</f>
        <v>9.2081554174148508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-1.8470739048566518</v>
      </c>
      <c r="J68">
        <f>(Table3[[#This Row],[HomeMargin]]-Table3[[#This Row],[HomeForecast]])^2</f>
        <v>1.3292385808624887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1.1369591919661661</v>
      </c>
      <c r="J69">
        <f>(Table3[[#This Row],[HomeMargin]]-Table3[[#This Row],[HomeForecast]])^2</f>
        <v>9.8405129720610223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-0.14316713378381699</v>
      </c>
      <c r="J70">
        <f>(Table3[[#This Row],[HomeMargin]]-Table3[[#This Row],[HomeForecast]])^2</f>
        <v>3.4478282930606055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0.98302461800969132</v>
      </c>
      <c r="J71">
        <f>(Table3[[#This Row],[HomeMargin]]-Table3[[#This Row],[HomeForecast]])^2</f>
        <v>2.8816359371689626E-4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0.69626590471428618</v>
      </c>
      <c r="J72">
        <f>(Table3[[#This Row],[HomeMargin]]-Table3[[#This Row],[HomeForecast]])^2</f>
        <v>1.699722591210459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1.0425511030446242</v>
      </c>
      <c r="J73">
        <f>(Table3[[#This Row],[HomeMargin]]-Table3[[#This Row],[HomeForecast]])^2</f>
        <v>0.91670839028106588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0.26524097371147254</v>
      </c>
      <c r="J74">
        <f>(Table3[[#This Row],[HomeMargin]]-Table3[[#This Row],[HomeForecast]])^2</f>
        <v>0.53987082671246511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-0.52154708099529601</v>
      </c>
      <c r="J75">
        <f>(Table3[[#This Row],[HomeMargin]]-Table3[[#This Row],[HomeForecast]])^2</f>
        <v>6.1427288717229391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-0.12629210625624571</v>
      </c>
      <c r="J76">
        <f>(Table3[[#This Row],[HomeMargin]]-Table3[[#This Row],[HomeForecast]])^2</f>
        <v>1.2685339086151302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0.25994623535262912</v>
      </c>
      <c r="J77">
        <f>(Table3[[#This Row],[HomeMargin]]-Table3[[#This Row],[HomeForecast]])^2</f>
        <v>0.54767957456874616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1.3624743175670073</v>
      </c>
      <c r="J78">
        <f>(Table3[[#This Row],[HomeMargin]]-Table3[[#This Row],[HomeForecast]])^2</f>
        <v>5.5812849011636958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-0.2935186771900502</v>
      </c>
      <c r="J79">
        <f>(Table3[[#This Row],[HomeMargin]]-Table3[[#This Row],[HomeForecast]])^2</f>
        <v>1.6731905682394974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0.41089980814852478</v>
      </c>
      <c r="J80">
        <f>(Table3[[#This Row],[HomeMargin]]-Table3[[#This Row],[HomeForecast]])^2</f>
        <v>6.7034398034453462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0.7581198493415815</v>
      </c>
      <c r="J81">
        <f>(Table3[[#This Row],[HomeMargin]]-Table3[[#This Row],[HomeForecast]])^2</f>
        <v>10.509786911233048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-0.32431496778936131</v>
      </c>
      <c r="J82">
        <f>(Table3[[#This Row],[HomeMargin]]-Table3[[#This Row],[HomeForecast]])^2</f>
        <v>11.051070005068382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-0.41375997873824899</v>
      </c>
      <c r="J83">
        <f>(Table3[[#This Row],[HomeMargin]]-Table3[[#This Row],[HomeForecast]])^2</f>
        <v>1.9987172774819739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1.7389654598361954</v>
      </c>
      <c r="J84">
        <f>(Table3[[#This Row],[HomeMargin]]-Table3[[#This Row],[HomeForecast]])^2</f>
        <v>1.5902081114861379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-0.62591040950523447</v>
      </c>
      <c r="J85">
        <f>(Table3[[#This Row],[HomeMargin]]-Table3[[#This Row],[HomeForecast]])^2</f>
        <v>0.13994302171654138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-7.2848064657518585E-2</v>
      </c>
      <c r="J86">
        <f>(Table3[[#This Row],[HomeMargin]]-Table3[[#This Row],[HomeForecast]])^2</f>
        <v>0.85961071120930888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1.3947042611980287</v>
      </c>
      <c r="J87">
        <f>(Table3[[#This Row],[HomeMargin]]-Table3[[#This Row],[HomeForecast]])^2</f>
        <v>0.36638293141182426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-0.20880157443151071</v>
      </c>
      <c r="J88">
        <f>(Table3[[#This Row],[HomeMargin]]-Table3[[#This Row],[HomeForecast]])^2</f>
        <v>0.62599494862205629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0.23169556055365742</v>
      </c>
      <c r="J89">
        <f>(Table3[[#This Row],[HomeMargin]]-Table3[[#This Row],[HomeForecast]])^2</f>
        <v>0.59029171167295857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-0.40593711266372784</v>
      </c>
      <c r="J90">
        <f>(Table3[[#This Row],[HomeMargin]]-Table3[[#This Row],[HomeForecast]])^2</f>
        <v>6.7291622634553967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-1.5520471291569748</v>
      </c>
      <c r="J91">
        <f>(Table3[[#This Row],[HomeMargin]]-Table3[[#This Row],[HomeForecast]])^2</f>
        <v>12.617038807752307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1.8510407389473293E-2</v>
      </c>
      <c r="J92">
        <f>(Table3[[#This Row],[HomeMargin]]-Table3[[#This Row],[HomeForecast]])^2</f>
        <v>1.0373634499606708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1.7189341042363033</v>
      </c>
      <c r="J93">
        <f>(Table3[[#This Row],[HomeMargin]]-Table3[[#This Row],[HomeForecast]])^2</f>
        <v>10.765393412343631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1.7870479392451</v>
      </c>
      <c r="J94">
        <f>(Table3[[#This Row],[HomeMargin]]-Table3[[#This Row],[HomeForecast]])^2</f>
        <v>1.4712527016895587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-1.7330569310802402E-2</v>
      </c>
      <c r="J95">
        <f>(Table3[[#This Row],[HomeMargin]]-Table3[[#This Row],[HomeForecast]])^2</f>
        <v>1.0349614872542412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0.64822831418815241</v>
      </c>
      <c r="J96">
        <f>(Table3[[#This Row],[HomeMargin]]-Table3[[#This Row],[HomeForecast]])^2</f>
        <v>1.8272866905626044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4.5360928554382098E-2</v>
      </c>
      <c r="J97">
        <f>(Table3[[#This Row],[HomeMargin]]-Table3[[#This Row],[HomeForecast]])^2</f>
        <v>0.91133575673055156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1.0120038550337052</v>
      </c>
      <c r="J98">
        <f>(Table3[[#This Row],[HomeMargin]]-Table3[[#This Row],[HomeForecast]])^2</f>
        <v>4.048159512670491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-1.436134286023927</v>
      </c>
      <c r="J99">
        <f>(Table3[[#This Row],[HomeMargin]]-Table3[[#This Row],[HomeForecast]])^2</f>
        <v>0.19021311544560057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0.26633961519546007</v>
      </c>
      <c r="J100">
        <f>(Table3[[#This Row],[HomeMargin]]-Table3[[#This Row],[HomeForecast]])^2</f>
        <v>3.0055783298406258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0.43768961013335683</v>
      </c>
      <c r="J101">
        <f>(Table3[[#This Row],[HomeMargin]]-Table3[[#This Row],[HomeForecast]])^2</f>
        <v>5.9423306353521177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0.14661957664716635</v>
      </c>
      <c r="J102">
        <f>(Table3[[#This Row],[HomeMargin]]-Table3[[#This Row],[HomeForecast]])^2</f>
        <v>8.1417798403731965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-0.47100638601952027</v>
      </c>
      <c r="J103">
        <f>(Table3[[#This Row],[HomeMargin]]-Table3[[#This Row],[HomeForecast]])^2</f>
        <v>12.047885331788292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0.35327932633896109</v>
      </c>
      <c r="J104">
        <f>(Table3[[#This Row],[HomeMargin]]-Table3[[#This Row],[HomeForecast]])^2</f>
        <v>1.8313649350964323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0.83852074462923865</v>
      </c>
      <c r="J105">
        <f>(Table3[[#This Row],[HomeMargin]]-Table3[[#This Row],[HomeForecast]])^2</f>
        <v>23.411282996207486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-1.7441039537195389</v>
      </c>
      <c r="J106">
        <f>(Table3[[#This Row],[HomeMargin]]-Table3[[#This Row],[HomeForecast]])^2</f>
        <v>1.5772748790628941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0.56418341239721004</v>
      </c>
      <c r="J107">
        <f>(Table3[[#This Row],[HomeMargin]]-Table3[[#This Row],[HomeForecast]])^2</f>
        <v>0.18993609802974029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0.62593841603196676</v>
      </c>
      <c r="J108">
        <f>(Table3[[#This Row],[HomeMargin]]-Table3[[#This Row],[HomeForecast]])^2</f>
        <v>2.643675732728541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1.278189575751556</v>
      </c>
      <c r="J109">
        <f>(Table3[[#This Row],[HomeMargin]]-Table3[[#This Row],[HomeForecast]])^2</f>
        <v>7.4082519855474951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-1.342299266577401</v>
      </c>
      <c r="J110">
        <f>(Table3[[#This Row],[HomeMargin]]-Table3[[#This Row],[HomeForecast]])^2</f>
        <v>0.1171687878994266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-0.80768529890691443</v>
      </c>
      <c r="J111">
        <f>(Table3[[#This Row],[HomeMargin]]-Table3[[#This Row],[HomeForecast]])^2</f>
        <v>4.8062437486288649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-1.4857934187006665</v>
      </c>
      <c r="J112">
        <f>(Table3[[#This Row],[HomeMargin]]-Table3[[#This Row],[HomeForecast]])^2</f>
        <v>6.1791689204555462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0.67304386543509043</v>
      </c>
      <c r="J113">
        <f>(Table3[[#This Row],[HomeMargin]]-Table3[[#This Row],[HomeForecast]])^2</f>
        <v>5.4147248521892655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-6.6293812912624484E-2</v>
      </c>
      <c r="J114">
        <f>(Table3[[#This Row],[HomeMargin]]-Table3[[#This Row],[HomeForecast]])^2</f>
        <v>4.2695701212809913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-0.63211096478851836</v>
      </c>
      <c r="J115">
        <f>(Table3[[#This Row],[HomeMargin]]-Table3[[#This Row],[HomeForecast]])^2</f>
        <v>0.13534234222883479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1.1190828027840256</v>
      </c>
      <c r="J116">
        <f>(Table3[[#This Row],[HomeMargin]]-Table3[[#This Row],[HomeForecast]])^2</f>
        <v>3.5378495027827968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-0.34982465677698543</v>
      </c>
      <c r="J117">
        <f>(Table3[[#This Row],[HomeMargin]]-Table3[[#This Row],[HomeForecast]])^2</f>
        <v>2.7230786633811941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1.0080128384640461</v>
      </c>
      <c r="J118">
        <f>(Table3[[#This Row],[HomeMargin]]-Table3[[#This Row],[HomeForecast]])^2</f>
        <v>4.0321155594364351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0.4175589751607206</v>
      </c>
      <c r="J119">
        <f>(Table3[[#This Row],[HomeMargin]]-Table3[[#This Row],[HomeForecast]])^2</f>
        <v>2.0094734480587126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-1.7029666146401112E-2</v>
      </c>
      <c r="J120">
        <f>(Table3[[#This Row],[HomeMargin]]-Table3[[#This Row],[HomeForecast]])^2</f>
        <v>1.0343493418218601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-0.18586644682739942</v>
      </c>
      <c r="J121">
        <f>(Table3[[#This Row],[HomeMargin]]-Table3[[#This Row],[HomeForecast]])^2</f>
        <v>3.291080548746645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-0.36429906684172919</v>
      </c>
      <c r="J122">
        <f>(Table3[[#This Row],[HomeMargin]]-Table3[[#This Row],[HomeForecast]])^2</f>
        <v>1.861311943785213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0.60213390143761847</v>
      </c>
      <c r="J123">
        <f>(Table3[[#This Row],[HomeMargin]]-Table3[[#This Row],[HomeForecast]])^2</f>
        <v>19.341226220884305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0.23494337789994585</v>
      </c>
      <c r="J124">
        <f>(Table3[[#This Row],[HomeMargin]]-Table3[[#This Row],[HomeForecast]])^2</f>
        <v>1.5250851466189286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0.32643250964545295</v>
      </c>
      <c r="J125">
        <f>(Table3[[#This Row],[HomeMargin]]-Table3[[#This Row],[HomeForecast]])^2</f>
        <v>0.45369316406252275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-1.2826179832648681</v>
      </c>
      <c r="J126">
        <f>(Table3[[#This Row],[HomeMargin]]-Table3[[#This Row],[HomeForecast]])^2</f>
        <v>2.9494009914052288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-2.6842553748390396E-2</v>
      </c>
      <c r="J127">
        <f>(Table3[[#This Row],[HomeMargin]]-Table3[[#This Row],[HomeForecast]])^2</f>
        <v>0.94703541519495449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0.87597777022360912</v>
      </c>
      <c r="J128">
        <f>(Table3[[#This Row],[HomeMargin]]-Table3[[#This Row],[HomeForecast]])^2</f>
        <v>15.023203675267581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0.20272665156556047</v>
      </c>
      <c r="J129">
        <f>(Table3[[#This Row],[HomeMargin]]-Table3[[#This Row],[HomeForecast]])^2</f>
        <v>3.2301914889927428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-0.29794318253448415</v>
      </c>
      <c r="J130">
        <f>(Table3[[#This Row],[HomeMargin]]-Table3[[#This Row],[HomeForecast]])^2</f>
        <v>13.705224679742905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0.91633657055061457</v>
      </c>
      <c r="J131">
        <f>(Table3[[#This Row],[HomeMargin]]-Table3[[#This Row],[HomeForecast]])^2</f>
        <v>1.1743264283260031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1.8517565111862206</v>
      </c>
      <c r="J132">
        <f>(Table3[[#This Row],[HomeMargin]]-Table3[[#This Row],[HomeForecast]])^2</f>
        <v>2.1976131975681126E-2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-1.3233432346739018</v>
      </c>
      <c r="J133">
        <f>(Table3[[#This Row],[HomeMargin]]-Table3[[#This Row],[HomeForecast]])^2</f>
        <v>5.3979237861049905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-0.41616254692566063</v>
      </c>
      <c r="J134">
        <f>(Table3[[#This Row],[HomeMargin]]-Table3[[#This Row],[HomeForecast]])^2</f>
        <v>2.0055163593149743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1.4572010238193753</v>
      </c>
      <c r="J135">
        <f>(Table3[[#This Row],[HomeMargin]]-Table3[[#This Row],[HomeForecast]])^2</f>
        <v>0.29463072854273437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1.020777605185013E-2</v>
      </c>
      <c r="J136">
        <f>(Table3[[#This Row],[HomeMargin]]-Table3[[#This Row],[HomeForecast]])^2</f>
        <v>8.9388575423808234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-0.19802381521964227</v>
      </c>
      <c r="J137">
        <f>(Table3[[#This Row],[HomeMargin]]-Table3[[#This Row],[HomeForecast]])^2</f>
        <v>14.455022909637007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-1.0836992836471748</v>
      </c>
      <c r="J138">
        <f>(Table3[[#This Row],[HomeMargin]]-Table3[[#This Row],[HomeForecast]])^2</f>
        <v>4.3418027046717498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-0.32742297149581689</v>
      </c>
      <c r="J139">
        <f>(Table3[[#This Row],[HomeMargin]]-Table3[[#This Row],[HomeForecast]])^2</f>
        <v>1.7620517452547846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0.97975112841462852</v>
      </c>
      <c r="J140">
        <f>(Table3[[#This Row],[HomeMargin]]-Table3[[#This Row],[HomeForecast]])^2</f>
        <v>3.9194145304589951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0.56850855490164087</v>
      </c>
      <c r="J141">
        <f>(Table3[[#This Row],[HomeMargin]]-Table3[[#This Row],[HomeForecast]])^2</f>
        <v>0.18618486719307026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-0.25198423564033956</v>
      </c>
      <c r="J142">
        <f>(Table3[[#This Row],[HomeMargin]]-Table3[[#This Row],[HomeForecast]])^2</f>
        <v>1.5674645262919251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0.21289557359673295</v>
      </c>
      <c r="J143">
        <f>(Table3[[#This Row],[HomeMargin]]-Table3[[#This Row],[HomeForecast]])^2</f>
        <v>0.61953337806361608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4.7077865754783232E-3</v>
      </c>
      <c r="J144">
        <f>(Table3[[#This Row],[HomeMargin]]-Table3[[#This Row],[HomeForecast]])^2</f>
        <v>1.0094377364053968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0.61561400430476465</v>
      </c>
      <c r="J145">
        <f>(Table3[[#This Row],[HomeMargin]]-Table3[[#This Row],[HomeForecast]])^2</f>
        <v>43.766348653953322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-0.91277014202718365</v>
      </c>
      <c r="J146">
        <f>(Table3[[#This Row],[HomeMargin]]-Table3[[#This Row],[HomeForecast]])^2</f>
        <v>24.135310468393797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0.64307410076156168</v>
      </c>
      <c r="J147">
        <f>(Table3[[#This Row],[HomeMargin]]-Table3[[#This Row],[HomeForecast]])^2</f>
        <v>6.9858407021165378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5.0648803477357784E-3</v>
      </c>
      <c r="J148">
        <f>(Table3[[#This Row],[HomeMargin]]-Table3[[#This Row],[HomeForecast]])^2</f>
        <v>1.0101554137084083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-0.98035665629857682</v>
      </c>
      <c r="J149">
        <f>(Table3[[#This Row],[HomeMargin]]-Table3[[#This Row],[HomeForecast]])^2</f>
        <v>3.9218124861460795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-1.2934471462267485</v>
      </c>
      <c r="J150">
        <f>(Table3[[#This Row],[HomeMargin]]-Table3[[#This Row],[HomeForecast]])^2</f>
        <v>8.6111227628622722E-2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0.25351641094631028</v>
      </c>
      <c r="J151">
        <f>(Table3[[#This Row],[HomeMargin]]-Table3[[#This Row],[HomeForecast]])^2</f>
        <v>0.55723774872647791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0.22954856530302614</v>
      </c>
      <c r="J152">
        <f>(Table3[[#This Row],[HomeMargin]]-Table3[[#This Row],[HomeForecast]])^2</f>
        <v>0.59359541322662535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0.55521882632931119</v>
      </c>
      <c r="J153">
        <f>(Table3[[#This Row],[HomeMargin]]-Table3[[#This Row],[HomeForecast]])^2</f>
        <v>2.4187055977691201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-0.21796815420959009</v>
      </c>
      <c r="J154">
        <f>(Table3[[#This Row],[HomeMargin]]-Table3[[#This Row],[HomeForecast]])^2</f>
        <v>27.227191658345436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2.1088997381046584</v>
      </c>
      <c r="J155">
        <f>(Table3[[#This Row],[HomeMargin]]-Table3[[#This Row],[HomeForecast]])^2</f>
        <v>0.79405967674994649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0.21697769235922615</v>
      </c>
      <c r="J156">
        <f>(Table3[[#This Row],[HomeMargin]]-Table3[[#This Row],[HomeForecast]])^2</f>
        <v>7.7452131648261791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5.3947488635574303E-2</v>
      </c>
      <c r="J157">
        <f>(Table3[[#This Row],[HomeMargin]]-Table3[[#This Row],[HomeForecast]])^2</f>
        <v>1.1108053088012337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0.8866286111818138</v>
      </c>
      <c r="J158">
        <f>(Table3[[#This Row],[HomeMargin]]-Table3[[#This Row],[HomeForecast]])^2</f>
        <v>15.105881961257072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0.96608446683806659</v>
      </c>
      <c r="J159">
        <f>(Table3[[#This Row],[HomeMargin]]-Table3[[#This Row],[HomeForecast]])^2</f>
        <v>9.2046434623612594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1.3959788814608705</v>
      </c>
      <c r="J160">
        <f>(Table3[[#This Row],[HomeMargin]]-Table3[[#This Row],[HomeForecast]])^2</f>
        <v>6.7809259857977793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0.33276644951360768</v>
      </c>
      <c r="J161">
        <f>(Table3[[#This Row],[HomeMargin]]-Table3[[#This Row],[HomeForecast]])^2</f>
        <v>0.44520061089467705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-0.47364527363364539</v>
      </c>
      <c r="J162">
        <f>(Table3[[#This Row],[HomeMargin]]-Table3[[#This Row],[HomeForecast]])^2</f>
        <v>12.066211487037362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-0.49529287053479976</v>
      </c>
      <c r="J163">
        <f>(Table3[[#This Row],[HomeMargin]]-Table3[[#This Row],[HomeForecast]])^2</f>
        <v>0.25472928653300242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-0.54543152896780667</v>
      </c>
      <c r="J164">
        <f>(Table3[[#This Row],[HomeMargin]]-Table3[[#This Row],[HomeForecast]])^2</f>
        <v>0.206632494856546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-1.2843086054980526</v>
      </c>
      <c r="J165">
        <f>(Table3[[#This Row],[HomeMargin]]-Table3[[#This Row],[HomeForecast]])^2</f>
        <v>2.943596961168037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-0.58479889692462816</v>
      </c>
      <c r="J166">
        <f>(Table3[[#This Row],[HomeMargin]]-Table3[[#This Row],[HomeForecast]])^2</f>
        <v>2.5115875436935178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0.34366777617409311</v>
      </c>
      <c r="J167">
        <f>(Table3[[#This Row],[HomeMargin]]-Table3[[#This Row],[HomeForecast]])^2</f>
        <v>1.8054430927286329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-5.4958866298764092E-2</v>
      </c>
      <c r="J168">
        <f>(Table3[[#This Row],[HomeMargin]]-Table3[[#This Row],[HomeForecast]])^2</f>
        <v>0.89310274438731718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-1.0415787986570817</v>
      </c>
      <c r="J169">
        <f>(Table3[[#This Row],[HomeMargin]]-Table3[[#This Row],[HomeForecast]])^2</f>
        <v>3.8354136018694396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0.99428914835208482</v>
      </c>
      <c r="J170">
        <f>(Table3[[#This Row],[HomeMargin]]-Table3[[#This Row],[HomeForecast]])^2</f>
        <v>3.2613826544495561E-5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-0.27595139066318702</v>
      </c>
      <c r="J171">
        <f>(Table3[[#This Row],[HomeMargin]]-Table3[[#This Row],[HomeForecast]])^2</f>
        <v>2.9723436073561991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0.35659027551113293</v>
      </c>
      <c r="J172">
        <f>(Table3[[#This Row],[HomeMargin]]-Table3[[#This Row],[HomeForecast]])^2</f>
        <v>6.9876149715223086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0.88540540670946899</v>
      </c>
      <c r="J173">
        <f>(Table3[[#This Row],[HomeMargin]]-Table3[[#This Row],[HomeForecast]])^2</f>
        <v>1.3131920811422214E-2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0.9479303137313756</v>
      </c>
      <c r="J174">
        <f>(Table3[[#This Row],[HomeMargin]]-Table3[[#This Row],[HomeForecast]])^2</f>
        <v>9.3151293698398607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-0.29768884338506646</v>
      </c>
      <c r="J175">
        <f>(Table3[[#This Row],[HomeMargin]]-Table3[[#This Row],[HomeForecast]])^2</f>
        <v>0.49324096070580581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0.50853158050146596</v>
      </c>
      <c r="J176">
        <f>(Table3[[#This Row],[HomeMargin]]-Table3[[#This Row],[HomeForecast]])^2</f>
        <v>2.2756675293702511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-0.60868334489713882</v>
      </c>
      <c r="J177">
        <f>(Table3[[#This Row],[HomeMargin]]-Table3[[#This Row],[HomeForecast]])^2</f>
        <v>5.7183953449723361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1.241019714674084</v>
      </c>
      <c r="J178">
        <f>(Table3[[#This Row],[HomeMargin]]-Table3[[#This Row],[HomeForecast]])^2</f>
        <v>5.8090502861576868E-2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1.0576897456686571</v>
      </c>
      <c r="J179">
        <f>(Table3[[#This Row],[HomeMargin]]-Table3[[#This Row],[HomeForecast]])^2</f>
        <v>3.7725691240806856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-0.50071434538832105</v>
      </c>
      <c r="J180">
        <f>(Table3[[#This Row],[HomeMargin]]-Table3[[#This Row],[HomeForecast]])^2</f>
        <v>12.255000928007581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-0.62289904977195532</v>
      </c>
      <c r="J181">
        <f>(Table3[[#This Row],[HomeMargin]]-Table3[[#This Row],[HomeForecast]])^2</f>
        <v>0.14220512666289423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0.19867257185245069</v>
      </c>
      <c r="J182">
        <f>(Table3[[#This Row],[HomeMargin]]-Table3[[#This Row],[HomeForecast]])^2</f>
        <v>0.64212564710156583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6.0274554836363459E-2</v>
      </c>
      <c r="J183">
        <f>(Table3[[#This Row],[HomeMargin]]-Table3[[#This Row],[HomeForecast]])^2</f>
        <v>8.6419856929425425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1.1689362505738301</v>
      </c>
      <c r="J184">
        <f>(Table3[[#This Row],[HomeMargin]]-Table3[[#This Row],[HomeForecast]])^2</f>
        <v>3.3527944544626234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-1.2712081119024194</v>
      </c>
      <c r="J185">
        <f>(Table3[[#This Row],[HomeMargin]]-Table3[[#This Row],[HomeForecast]])^2</f>
        <v>0.53113761615683641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0.19900131729210718</v>
      </c>
      <c r="J186">
        <f>(Table3[[#This Row],[HomeMargin]]-Table3[[#This Row],[HomeForecast]])^2</f>
        <v>4.8356067934524232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-0.52314150879100252</v>
      </c>
      <c r="J187">
        <f>(Table3[[#This Row],[HomeMargin]]-Table3[[#This Row],[HomeForecast]])^2</f>
        <v>2.3199600558021314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-0.45180680648005656</v>
      </c>
      <c r="J188">
        <f>(Table3[[#This Row],[HomeMargin]]-Table3[[#This Row],[HomeForecast]])^2</f>
        <v>2.1077430033418199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1.3369597222711764</v>
      </c>
      <c r="J189">
        <f>(Table3[[#This Row],[HomeMargin]]-Table3[[#This Row],[HomeForecast]])^2</f>
        <v>0.11354185443306836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-0.96858954512659312</v>
      </c>
      <c r="J190">
        <f>(Table3[[#This Row],[HomeMargin]]-Table3[[#This Row],[HomeForecast]])^2</f>
        <v>3.875344797181727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-4.4636063042009483E-2</v>
      </c>
      <c r="J191">
        <f>(Table3[[#This Row],[HomeMargin]]-Table3[[#This Row],[HomeForecast]])^2</f>
        <v>1.0912645042079092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-0.23794436650841019</v>
      </c>
      <c r="J192">
        <f>(Table3[[#This Row],[HomeMargin]]-Table3[[#This Row],[HomeForecast]])^2</f>
        <v>7.6289513225026289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0.46169511827327053</v>
      </c>
      <c r="J193">
        <f>(Table3[[#This Row],[HomeMargin]]-Table3[[#This Row],[HomeForecast]])^2</f>
        <v>6.4429916725977465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1.4524587857874638E-2</v>
      </c>
      <c r="J194">
        <f>(Table3[[#This Row],[HomeMargin]]-Table3[[#This Row],[HomeForecast]])^2</f>
        <v>0.97116178793669194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0.27251968452226749</v>
      </c>
      <c r="J195">
        <f>(Table3[[#This Row],[HomeMargin]]-Table3[[#This Row],[HomeForecast]])^2</f>
        <v>2.9841882403630464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0.33592028183883976</v>
      </c>
      <c r="J196">
        <f>(Table3[[#This Row],[HomeMargin]]-Table3[[#This Row],[HomeForecast]])^2</f>
        <v>11.128364126783723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6.3008598935427762E-2</v>
      </c>
      <c r="J197">
        <f>(Table3[[#This Row],[HomeMargin]]-Table3[[#This Row],[HomeForecast]])^2</f>
        <v>1.1299872814106613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-1.6888821142680446</v>
      </c>
      <c r="J198">
        <f>(Table3[[#This Row],[HomeMargin]]-Table3[[#This Row],[HomeForecast]])^2</f>
        <v>7.2300870244305884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0.14455929665181461</v>
      </c>
      <c r="J199">
        <f>(Table3[[#This Row],[HomeMargin]]-Table3[[#This Row],[HomeForecast]])^2</f>
        <v>8.1535416103375784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0.42246030356395392</v>
      </c>
      <c r="J200">
        <f>(Table3[[#This Row],[HomeMargin]]-Table3[[#This Row],[HomeForecast]])^2</f>
        <v>6.6437108867036239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0.72237520298581726</v>
      </c>
      <c r="J201">
        <f>(Table3[[#This Row],[HomeMargin]]-Table3[[#This Row],[HomeForecast]])^2</f>
        <v>7.7075527917166167E-2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1.1223983176097778</v>
      </c>
      <c r="J202">
        <f>(Table3[[#This Row],[HomeMargin]]-Table3[[#This Row],[HomeForecast]])^2</f>
        <v>4.5045746185928159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0.24576160162155514</v>
      </c>
      <c r="J203">
        <f>(Table3[[#This Row],[HomeMargin]]-Table3[[#This Row],[HomeForecast]])^2</f>
        <v>1.5519219680747023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-5.2479492582263802E-2</v>
      </c>
      <c r="J204">
        <f>(Table3[[#This Row],[HomeMargin]]-Table3[[#This Row],[HomeForecast]])^2</f>
        <v>3.7928361268126367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-0.36429906684172919</v>
      </c>
      <c r="J205">
        <f>(Table3[[#This Row],[HomeMargin]]-Table3[[#This Row],[HomeForecast]])^2</f>
        <v>0.40411567641829627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-0.60789210280609884</v>
      </c>
      <c r="J206">
        <f>(Table3[[#This Row],[HomeMargin]]-Table3[[#This Row],[HomeForecast]])^2</f>
        <v>6.801101219878416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-0.60116159705007599</v>
      </c>
      <c r="J207">
        <f>(Table3[[#This Row],[HomeMargin]]-Table3[[#This Row],[HomeForecast]])^2</f>
        <v>2.5637184598679497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-0.71290806618232128</v>
      </c>
      <c r="J208">
        <f>(Table3[[#This Row],[HomeMargin]]-Table3[[#This Row],[HomeForecast]])^2</f>
        <v>2.9340540431924595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0.91091509569709328</v>
      </c>
      <c r="J209">
        <f>(Table3[[#This Row],[HomeMargin]]-Table3[[#This Row],[HomeForecast]])^2</f>
        <v>9.5424455459921003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-0.30733299752041088</v>
      </c>
      <c r="J210">
        <f>(Table3[[#This Row],[HomeMargin]]-Table3[[#This Row],[HomeForecast]])^2</f>
        <v>0.47978757632405911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1.6411250386995495</v>
      </c>
      <c r="J211">
        <f>(Table3[[#This Row],[HomeMargin]]-Table3[[#This Row],[HomeForecast]])^2</f>
        <v>0.41104131524749887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1.1586966446880456</v>
      </c>
      <c r="J212">
        <f>(Table3[[#This Row],[HomeMargin]]-Table3[[#This Row],[HomeForecast]])^2</f>
        <v>2.5184625035243779E-2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-7.9915317854484857E-2</v>
      </c>
      <c r="J213">
        <f>(Table3[[#This Row],[HomeMargin]]-Table3[[#This Row],[HomeForecast]])^2</f>
        <v>9.4858783651546918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1.0338052976961465</v>
      </c>
      <c r="J214">
        <f>(Table3[[#This Row],[HomeMargin]]-Table3[[#This Row],[HomeForecast]])^2</f>
        <v>1.142798152325087E-3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0.13314598492218083</v>
      </c>
      <c r="J215">
        <f>(Table3[[#This Row],[HomeMargin]]-Table3[[#This Row],[HomeForecast]])^2</f>
        <v>1.2840198231452591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0.19864453280306738</v>
      </c>
      <c r="J216">
        <f>(Table3[[#This Row],[HomeMargin]]-Table3[[#This Row],[HomeForecast]])^2</f>
        <v>1.4367487160186834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-0.86154812306634621</v>
      </c>
      <c r="J217">
        <f>(Table3[[#This Row],[HomeMargin]]-Table3[[#This Row],[HomeForecast]])^2</f>
        <v>4.5729764299610656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0.66343560398718016</v>
      </c>
      <c r="J218">
        <f>(Table3[[#This Row],[HomeMargin]]-Table3[[#This Row],[HomeForecast]])^2</f>
        <v>0.11327559266347423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-0.72744608611977746</v>
      </c>
      <c r="J219">
        <f>(Table3[[#This Row],[HomeMargin]]-Table3[[#This Row],[HomeForecast]])^2</f>
        <v>22.348746497169202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9.0140864254226849E-2</v>
      </c>
      <c r="J220">
        <f>(Table3[[#This Row],[HomeMargin]]-Table3[[#This Row],[HomeForecast]])^2</f>
        <v>25.909534017950772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-0.30224853650482464</v>
      </c>
      <c r="J221">
        <f>(Table3[[#This Row],[HomeMargin]]-Table3[[#This Row],[HomeForecast]])^2</f>
        <v>5.3003483238386071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-0.94685209240471369</v>
      </c>
      <c r="J222">
        <f>(Table3[[#This Row],[HomeMargin]]-Table3[[#This Row],[HomeForecast]])^2</f>
        <v>4.2154163304629018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1.8427140173868073</v>
      </c>
      <c r="J223">
        <f>(Table3[[#This Row],[HomeMargin]]-Table3[[#This Row],[HomeForecast]])^2</f>
        <v>9.9684547760057516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0.63359037937188356</v>
      </c>
      <c r="J224">
        <f>(Table3[[#This Row],[HomeMargin]]-Table3[[#This Row],[HomeForecast]])^2</f>
        <v>0.13425601008884022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1.183096098325604</v>
      </c>
      <c r="J225">
        <f>(Table3[[#This Row],[HomeMargin]]-Table3[[#This Row],[HomeForecast]])^2</f>
        <v>17.498292967826895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1.50704884578085</v>
      </c>
      <c r="J226">
        <f>(Table3[[#This Row],[HomeMargin]]-Table3[[#This Row],[HomeForecast]])^2</f>
        <v>0.25709853200769217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-0.24284569491164348</v>
      </c>
      <c r="J227">
        <f>(Table3[[#This Row],[HomeMargin]]-Table3[[#This Row],[HomeForecast]])^2</f>
        <v>3.0875912518905451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0.25051042562472919</v>
      </c>
      <c r="J228">
        <f>(Table3[[#This Row],[HomeMargin]]-Table3[[#This Row],[HomeForecast]])^2</f>
        <v>10.565818027095057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1.1698634824704808</v>
      </c>
      <c r="J229">
        <f>(Table3[[#This Row],[HomeMargin]]-Table3[[#This Row],[HomeForecast]])^2</f>
        <v>2.8853602676999331E-2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-0.64206752050636362</v>
      </c>
      <c r="J230">
        <f>(Table3[[#This Row],[HomeMargin]]-Table3[[#This Row],[HomeForecast]])^2</f>
        <v>1.8439806188637349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0.47399683329899767</v>
      </c>
      <c r="J231">
        <f>(Table3[[#This Row],[HomeMargin]]-Table3[[#This Row],[HomeForecast]])^2</f>
        <v>2.3286856647814873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0.16210581421598319</v>
      </c>
      <c r="J232">
        <f>(Table3[[#This Row],[HomeMargin]]-Table3[[#This Row],[HomeForecast]])^2</f>
        <v>9.9989131802985245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-1.5836708437687104</v>
      </c>
      <c r="J233">
        <f>(Table3[[#This Row],[HomeMargin]]-Table3[[#This Row],[HomeForecast]])^2</f>
        <v>5.8386465912534149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0.1427283582219393</v>
      </c>
      <c r="J234">
        <f>(Table3[[#This Row],[HomeMargin]]-Table3[[#This Row],[HomeForecast]])^2</f>
        <v>9.8767415335723658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0.76692964463062108</v>
      </c>
      <c r="J235">
        <f>(Table3[[#This Row],[HomeMargin]]-Table3[[#This Row],[HomeForecast]])^2</f>
        <v>14.189758947596976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-0.34268529673439574</v>
      </c>
      <c r="J236">
        <f>(Table3[[#This Row],[HomeMargin]]-Table3[[#This Row],[HomeForecast]])^2</f>
        <v>1.802803806066732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1.6163580280816183</v>
      </c>
      <c r="J237">
        <f>(Table3[[#This Row],[HomeMargin]]-Table3[[#This Row],[HomeForecast]])^2</f>
        <v>1.9144651064541878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-2.1672498049154587</v>
      </c>
      <c r="J238">
        <f>(Table3[[#This Row],[HomeMargin]]-Table3[[#This Row],[HomeForecast]])^2</f>
        <v>34.020974838258752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-0.24880449490609755</v>
      </c>
      <c r="J239">
        <f>(Table3[[#This Row],[HomeMargin]]-Table3[[#This Row],[HomeForecast]])^2</f>
        <v>18.052339635934256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0.30258834530573997</v>
      </c>
      <c r="J240">
        <f>(Table3[[#This Row],[HomeMargin]]-Table3[[#This Row],[HomeForecast]])^2</f>
        <v>0.4863830161033858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-1.2934471462267485</v>
      </c>
      <c r="J241">
        <f>(Table3[[#This Row],[HomeMargin]]-Table3[[#This Row],[HomeForecast]])^2</f>
        <v>8.6111227628622722E-2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-0.12142892191611747</v>
      </c>
      <c r="J242">
        <f>(Table3[[#This Row],[HomeMargin]]-Table3[[#This Row],[HomeForecast]])^2</f>
        <v>23.800455763916535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8.9189715516840573E-2</v>
      </c>
      <c r="J243">
        <f>(Table3[[#This Row],[HomeMargin]]-Table3[[#This Row],[HomeForecast]])^2</f>
        <v>1.1863342363876561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-1.225955325518166E-2</v>
      </c>
      <c r="J244">
        <f>(Table3[[#This Row],[HomeMargin]]-Table3[[#This Row],[HomeForecast]])^2</f>
        <v>4.0491885096667426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-0.96185903937057016</v>
      </c>
      <c r="J245">
        <f>(Table3[[#This Row],[HomeMargin]]-Table3[[#This Row],[HomeForecast]])^2</f>
        <v>1.4547328777357173E-3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0.32362790878491166</v>
      </c>
      <c r="J246">
        <f>(Table3[[#This Row],[HomeMargin]]-Table3[[#This Row],[HomeForecast]])^2</f>
        <v>0.45747920577467177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-0.46469872053158934</v>
      </c>
      <c r="J247">
        <f>(Table3[[#This Row],[HomeMargin]]-Table3[[#This Row],[HomeForecast]])^2</f>
        <v>2.3571500187373386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-9.0627334755780775E-2</v>
      </c>
      <c r="J248">
        <f>(Table3[[#This Row],[HomeMargin]]-Table3[[#This Row],[HomeForecast]])^2</f>
        <v>1.1894679833164981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-0.29768953400550313</v>
      </c>
      <c r="J249">
        <f>(Table3[[#This Row],[HomeMargin]]-Table3[[#This Row],[HomeForecast]])^2</f>
        <v>0.49323999064540736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0.58048935221787923</v>
      </c>
      <c r="J250">
        <f>(Table3[[#This Row],[HomeMargin]]-Table3[[#This Row],[HomeForecast]])^2</f>
        <v>5.8540317747310571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0.79799920236755129</v>
      </c>
      <c r="J251">
        <f>(Table3[[#This Row],[HomeMargin]]-Table3[[#This Row],[HomeForecast]])^2</f>
        <v>4.0804322244145499E-2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-0.52817234351958731</v>
      </c>
      <c r="J252">
        <f>(Table3[[#This Row],[HomeMargin]]-Table3[[#This Row],[HomeForecast]])^2</f>
        <v>12.053587276302274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1.0985138696372672</v>
      </c>
      <c r="J253">
        <f>(Table3[[#This Row],[HomeMargin]]-Table3[[#This Row],[HomeForecast]])^2</f>
        <v>0.81267724323637414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-5.5517970182825421E-2</v>
      </c>
      <c r="J254">
        <f>(Table3[[#This Row],[HomeMargin]]-Table3[[#This Row],[HomeForecast]])^2</f>
        <v>4.2251541257445222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0.55878935894611048</v>
      </c>
      <c r="J255">
        <f>(Table3[[#This Row],[HomeMargin]]-Table3[[#This Row],[HomeForecast]])^2</f>
        <v>2.4298242655636266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-1.1956513419037387</v>
      </c>
      <c r="J256">
        <f>(Table3[[#This Row],[HomeMargin]]-Table3[[#This Row],[HomeForecast]])^2</f>
        <v>3.8279447588733646E-2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-2.1455123521935793</v>
      </c>
      <c r="J257">
        <f>(Table3[[#This Row],[HomeMargin]]-Table3[[#This Row],[HomeForecast]])^2</f>
        <v>1.3121985490280668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-0.11236478747766021</v>
      </c>
      <c r="J258">
        <f>(Table3[[#This Row],[HomeMargin]]-Table3[[#This Row],[HomeForecast]])^2</f>
        <v>1.2373554204202204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0.55996427073455124</v>
      </c>
      <c r="J259">
        <f>(Table3[[#This Row],[HomeMargin]]-Table3[[#This Row],[HomeForecast]])^2</f>
        <v>2.4334885259683801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1.2636837952483566</v>
      </c>
      <c r="J260">
        <f>(Table3[[#This Row],[HomeMargin]]-Table3[[#This Row],[HomeForecast]])^2</f>
        <v>3.0147939628831506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0.40541444911044339</v>
      </c>
      <c r="J261">
        <f>(Table3[[#This Row],[HomeMargin]]-Table3[[#This Row],[HomeForecast]])^2</f>
        <v>1.9751897737684112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0.88032094569388275</v>
      </c>
      <c r="J262">
        <f>(Table3[[#This Row],[HomeMargin]]-Table3[[#This Row],[HomeForecast]])^2</f>
        <v>1.253681184651841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0.95674010902041517</v>
      </c>
      <c r="J263">
        <f>(Table3[[#This Row],[HomeMargin]]-Table3[[#This Row],[HomeForecast]])^2</f>
        <v>15.655792290330888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1.1813296904780632</v>
      </c>
      <c r="J264">
        <f>(Table3[[#This Row],[HomeMargin]]-Table3[[#This Row],[HomeForecast]])^2</f>
        <v>3.3075616947366173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5.0648803477357784E-3</v>
      </c>
      <c r="J265">
        <f>(Table3[[#This Row],[HomeMargin]]-Table3[[#This Row],[HomeForecast]])^2</f>
        <v>1.0101554137084083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-0.30848577821863032</v>
      </c>
      <c r="J266">
        <f>(Table3[[#This Row],[HomeMargin]]-Table3[[#This Row],[HomeForecast]])^2</f>
        <v>13.627277249614114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-0.32494711607493204</v>
      </c>
      <c r="J267">
        <f>(Table3[[#This Row],[HomeMargin]]-Table3[[#This Row],[HomeForecast]])^2</f>
        <v>0.45569639609555135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0.24833265484283401</v>
      </c>
      <c r="J268">
        <f>(Table3[[#This Row],[HomeMargin]]-Table3[[#This Row],[HomeForecast]])^2</f>
        <v>1.558334417146958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1.3919701592041367E-2</v>
      </c>
      <c r="J269">
        <f>(Table3[[#This Row],[HomeMargin]]-Table3[[#This Row],[HomeForecast]])^2</f>
        <v>0.97235435490832878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-0.79931553465993044</v>
      </c>
      <c r="J270">
        <f>(Table3[[#This Row],[HomeMargin]]-Table3[[#This Row],[HomeForecast]])^2</f>
        <v>1.4416431853089684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0.1973186216720047</v>
      </c>
      <c r="J271">
        <f>(Table3[[#This Row],[HomeMargin]]-Table3[[#This Row],[HomeForecast]])^2</f>
        <v>1.4335718818025489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0.50731701896766057</v>
      </c>
      <c r="J272">
        <f>(Table3[[#This Row],[HomeMargin]]-Table3[[#This Row],[HomeForecast]])^2</f>
        <v>2.2720045956695549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0.64405814799313621</v>
      </c>
      <c r="J273">
        <f>(Table3[[#This Row],[HomeMargin]]-Table3[[#This Row],[HomeForecast]])^2</f>
        <v>21.56727608194144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0.7229552226827044</v>
      </c>
      <c r="J274">
        <f>(Table3[[#This Row],[HomeMargin]]-Table3[[#This Row],[HomeForecast]])^2</f>
        <v>5.1849329179079717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0.52798701263995373</v>
      </c>
      <c r="J275">
        <f>(Table3[[#This Row],[HomeMargin]]-Table3[[#This Row],[HomeForecast]])^2</f>
        <v>0.22279626023655519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-0.88563787670838456</v>
      </c>
      <c r="J276">
        <f>(Table3[[#This Row],[HomeMargin]]-Table3[[#This Row],[HomeForecast]])^2</f>
        <v>8.3269059554940732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2.4165597539645178</v>
      </c>
      <c r="J277">
        <f>(Table3[[#This Row],[HomeMargin]]-Table3[[#This Row],[HomeForecast]])^2</f>
        <v>0.34040252069394394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-0.75331402541153647</v>
      </c>
      <c r="J278">
        <f>(Table3[[#This Row],[HomeMargin]]-Table3[[#This Row],[HomeForecast]])^2</f>
        <v>14.087366173350953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8.0319273890451459E-2</v>
      </c>
      <c r="J279">
        <f>(Table3[[#This Row],[HomeMargin]]-Table3[[#This Row],[HomeForecast]])^2</f>
        <v>8.5245355424155811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-0.51823364079820422</v>
      </c>
      <c r="J280">
        <f>(Table3[[#This Row],[HomeMargin]]-Table3[[#This Row],[HomeForecast]])^2</f>
        <v>42.013295135280103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-0.21796815420959009</v>
      </c>
      <c r="J281">
        <f>(Table3[[#This Row],[HomeMargin]]-Table3[[#This Row],[HomeForecast]])^2</f>
        <v>4.919382733087895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-0.4603555450613156</v>
      </c>
      <c r="J282">
        <f>(Table3[[#This Row],[HomeMargin]]-Table3[[#This Row],[HomeForecast]])^2</f>
        <v>6.0533494081139629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-0.3619298198173575</v>
      </c>
      <c r="J283">
        <f>(Table3[[#This Row],[HomeMargin]]-Table3[[#This Row],[HomeForecast]])^2</f>
        <v>0.40713355483830987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0.2691128151307085</v>
      </c>
      <c r="J284">
        <f>(Table3[[#This Row],[HomeMargin]]-Table3[[#This Row],[HomeForecast]])^2</f>
        <v>1.6106473375289918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1.7609328514729736</v>
      </c>
      <c r="J285">
        <f>(Table3[[#This Row],[HomeMargin]]-Table3[[#This Row],[HomeForecast]])^2</f>
        <v>0.57901880445079057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-1.4346775300121386</v>
      </c>
      <c r="J286">
        <f>(Table3[[#This Row],[HomeMargin]]-Table3[[#This Row],[HomeForecast]])^2</f>
        <v>5.9276546751460089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-0.90066750343658974</v>
      </c>
      <c r="J287">
        <f>(Table3[[#This Row],[HomeMargin]]-Table3[[#This Row],[HomeForecast]])^2</f>
        <v>9.8669448735199099E-3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5.4527508332461491E-2</v>
      </c>
      <c r="J288">
        <f>(Table3[[#This Row],[HomeMargin]]-Table3[[#This Row],[HomeForecast]])^2</f>
        <v>1.1120282658298695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1.7826703041948528</v>
      </c>
      <c r="J289">
        <f>(Table3[[#This Row],[HomeMargin]]-Table3[[#This Row],[HomeForecast]])^2</f>
        <v>7.7432540218478749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2.2487056673740513E-2</v>
      </c>
      <c r="J290">
        <f>(Table3[[#This Row],[HomeMargin]]-Table3[[#This Row],[HomeForecast]])^2</f>
        <v>1.0454797810653291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-1.436134286023927</v>
      </c>
      <c r="J291">
        <f>(Table3[[#This Row],[HomeMargin]]-Table3[[#This Row],[HomeForecast]])^2</f>
        <v>0.19021311544560057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1.2128150331600658</v>
      </c>
      <c r="J292">
        <f>(Table3[[#This Row],[HomeMargin]]-Table3[[#This Row],[HomeForecast]])^2</f>
        <v>4.5290238338919896E-2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0.85919073830153181</v>
      </c>
      <c r="J293">
        <f>(Table3[[#This Row],[HomeMargin]]-Table3[[#This Row],[HomeForecast]])^2</f>
        <v>9.864682818370877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0.48191603807491795</v>
      </c>
      <c r="J294">
        <f>(Table3[[#This Row],[HomeMargin]]-Table3[[#This Row],[HomeForecast]])^2</f>
        <v>2.1960751439036614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-3.5497522313313427E-2</v>
      </c>
      <c r="J295">
        <f>(Table3[[#This Row],[HomeMargin]]-Table3[[#This Row],[HomeForecast]])^2</f>
        <v>3.8592699848371308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-0.91810976860453919</v>
      </c>
      <c r="J296">
        <f>(Table3[[#This Row],[HomeMargin]]-Table3[[#This Row],[HomeForecast]])^2</f>
        <v>8.5153646216252383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-0.41125467893286222</v>
      </c>
      <c r="J297">
        <f>(Table3[[#This Row],[HomeMargin]]-Table3[[#This Row],[HomeForecast]])^2</f>
        <v>0.34662105307844721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-0.11519925349535823</v>
      </c>
      <c r="J298">
        <f>(Table3[[#This Row],[HomeMargin]]-Table3[[#This Row],[HomeForecast]])^2</f>
        <v>0.78287236101517144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9.0140864254226849E-2</v>
      </c>
      <c r="J299">
        <f>(Table3[[#This Row],[HomeMargin]]-Table3[[#This Row],[HomeForecast]])^2</f>
        <v>8.4672801898831391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-1.4972032900631151</v>
      </c>
      <c r="J300">
        <f>(Table3[[#This Row],[HomeMargin]]-Table3[[#This Row],[HomeForecast]])^2</f>
        <v>2.2583979513971255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-0.15315184086129732</v>
      </c>
      <c r="J301">
        <f>(Table3[[#This Row],[HomeMargin]]-Table3[[#This Row],[HomeForecast]])^2</f>
        <v>0.71715180463660955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1.7481320396142748</v>
      </c>
      <c r="J302">
        <f>(Table3[[#This Row],[HomeMargin]]-Table3[[#This Row],[HomeForecast]])^2</f>
        <v>1.5671733902403158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-0.4126091220178893</v>
      </c>
      <c r="J303">
        <f>(Table3[[#This Row],[HomeMargin]]-Table3[[#This Row],[HomeForecast]])^2</f>
        <v>1.9954645316081523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0.27289386694035422</v>
      </c>
      <c r="J304">
        <f>(Table3[[#This Row],[HomeMargin]]-Table3[[#This Row],[HomeForecast]])^2</f>
        <v>1.6202587964943682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1.850299755174432</v>
      </c>
      <c r="J305">
        <f>(Table3[[#This Row],[HomeMargin]]-Table3[[#This Row],[HomeForecast]])^2</f>
        <v>4.6212111426031068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1.12782065123747</v>
      </c>
      <c r="J306">
        <f>(Table3[[#This Row],[HomeMargin]]-Table3[[#This Row],[HomeForecast]])^2</f>
        <v>26.29454463125747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0.92789706596604371</v>
      </c>
      <c r="J307">
        <f>(Table3[[#This Row],[HomeMargin]]-Table3[[#This Row],[HomeForecast]])^2</f>
        <v>5.1988330963050524E-3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-0.52314150879100252</v>
      </c>
      <c r="J308">
        <f>(Table3[[#This Row],[HomeMargin]]-Table3[[#This Row],[HomeForecast]])^2</f>
        <v>2.1811110030561163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0.37412338869438122</v>
      </c>
      <c r="J309">
        <f>(Table3[[#This Row],[HomeMargin]]-Table3[[#This Row],[HomeForecast]])^2</f>
        <v>13.146981200413117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0.30314623391240586</v>
      </c>
      <c r="J310">
        <f>(Table3[[#This Row],[HomeMargin]]-Table3[[#This Row],[HomeForecast]])^2</f>
        <v>0.48560517131046343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0.88451201634300991</v>
      </c>
      <c r="J311">
        <f>(Table3[[#This Row],[HomeMargin]]-Table3[[#This Row],[HomeForecast]])^2</f>
        <v>4.4752894089971171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0.29260363822825963</v>
      </c>
      <c r="J312">
        <f>(Table3[[#This Row],[HomeMargin]]-Table3[[#This Row],[HomeForecast]])^2</f>
        <v>0.50040961264789496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1.999293068931004</v>
      </c>
      <c r="J313">
        <f>(Table3[[#This Row],[HomeMargin]]-Table3[[#This Row],[HomeForecast]])^2</f>
        <v>1.0014143618895284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0.3239566542245681</v>
      </c>
      <c r="J314">
        <f>(Table3[[#This Row],[HomeMargin]]-Table3[[#This Row],[HomeForecast]])^2</f>
        <v>1.7528612222655129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0.2875308718676583</v>
      </c>
      <c r="J315">
        <f>(Table3[[#This Row],[HomeMargin]]-Table3[[#This Row],[HomeForecast]])^2</f>
        <v>2.9325505148063424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4.7224170137687149E-3</v>
      </c>
      <c r="J316">
        <f>(Table3[[#This Row],[HomeMargin]]-Table3[[#This Row],[HomeForecast]])^2</f>
        <v>0.99057746719491446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-3.7335044657532457E-2</v>
      </c>
      <c r="J317">
        <f>(Table3[[#This Row],[HomeMargin]]-Table3[[#This Row],[HomeForecast]])^2</f>
        <v>16.300074262819841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1.1881805593411903</v>
      </c>
      <c r="J318">
        <f>(Table3[[#This Row],[HomeMargin]]-Table3[[#This Row],[HomeForecast]])^2</f>
        <v>3.541192291396323E-2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0.59835284962797275</v>
      </c>
      <c r="J319">
        <f>(Table3[[#This Row],[HomeMargin]]-Table3[[#This Row],[HomeForecast]])^2</f>
        <v>0.16132043340196986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0.91649931248529637</v>
      </c>
      <c r="J320">
        <f>(Table3[[#This Row],[HomeMargin]]-Table3[[#This Row],[HomeForecast]])^2</f>
        <v>4.3409751148742428</v>
      </c>
    </row>
    <row r="321" spans="4:6" x14ac:dyDescent="0.2">
      <c r="D321" t="s">
        <v>21</v>
      </c>
      <c r="F321" t="s">
        <v>31</v>
      </c>
    </row>
    <row r="322" spans="4:6" x14ac:dyDescent="0.2">
      <c r="D322" t="s">
        <v>16</v>
      </c>
      <c r="F322" t="s">
        <v>23</v>
      </c>
    </row>
    <row r="323" spans="4:6" x14ac:dyDescent="0.2">
      <c r="D323" t="s">
        <v>25</v>
      </c>
      <c r="F323" t="s">
        <v>34</v>
      </c>
    </row>
    <row r="324" spans="4:6" x14ac:dyDescent="0.2">
      <c r="D324" t="s">
        <v>17</v>
      </c>
      <c r="F324" t="s">
        <v>22</v>
      </c>
    </row>
    <row r="325" spans="4:6" x14ac:dyDescent="0.2">
      <c r="D325" t="s">
        <v>36</v>
      </c>
      <c r="F325" t="s">
        <v>31</v>
      </c>
    </row>
    <row r="326" spans="4:6" x14ac:dyDescent="0.2">
      <c r="D326" t="s">
        <v>32</v>
      </c>
      <c r="F326" t="s">
        <v>10</v>
      </c>
    </row>
    <row r="327" spans="4:6" x14ac:dyDescent="0.2">
      <c r="D327" t="s">
        <v>15</v>
      </c>
      <c r="F327" t="s">
        <v>12</v>
      </c>
    </row>
    <row r="328" spans="4:6" x14ac:dyDescent="0.2">
      <c r="D328" t="s">
        <v>30</v>
      </c>
      <c r="F328" t="s">
        <v>26</v>
      </c>
    </row>
    <row r="329" spans="4:6" x14ac:dyDescent="0.2">
      <c r="D329" t="s">
        <v>24</v>
      </c>
      <c r="F329" t="s">
        <v>11</v>
      </c>
    </row>
    <row r="330" spans="4:6" x14ac:dyDescent="0.2">
      <c r="D330" t="s">
        <v>22</v>
      </c>
      <c r="F330" t="s">
        <v>18</v>
      </c>
    </row>
    <row r="331" spans="4:6" x14ac:dyDescent="0.2">
      <c r="D331" t="s">
        <v>35</v>
      </c>
      <c r="F331" t="s">
        <v>27</v>
      </c>
    </row>
    <row r="332" spans="4:6" x14ac:dyDescent="0.2">
      <c r="D332" t="s">
        <v>13</v>
      </c>
      <c r="F332" t="s">
        <v>33</v>
      </c>
    </row>
    <row r="333" spans="4:6" x14ac:dyDescent="0.2">
      <c r="D333" t="s">
        <v>17</v>
      </c>
      <c r="F333" t="s">
        <v>37</v>
      </c>
    </row>
    <row r="334" spans="4:6" x14ac:dyDescent="0.2">
      <c r="D334" t="s">
        <v>28</v>
      </c>
      <c r="F334" t="s">
        <v>19</v>
      </c>
    </row>
    <row r="335" spans="4:6" x14ac:dyDescent="0.2">
      <c r="D335" t="s">
        <v>20</v>
      </c>
      <c r="F335" t="s">
        <v>55</v>
      </c>
    </row>
    <row r="336" spans="4:6" x14ac:dyDescent="0.2">
      <c r="D336" t="s">
        <v>39</v>
      </c>
      <c r="F336" t="s">
        <v>38</v>
      </c>
    </row>
    <row r="337" spans="4:6" x14ac:dyDescent="0.2">
      <c r="D337" t="s">
        <v>10</v>
      </c>
      <c r="F337" t="s">
        <v>23</v>
      </c>
    </row>
    <row r="338" spans="4:6" x14ac:dyDescent="0.2">
      <c r="D338" t="s">
        <v>21</v>
      </c>
      <c r="F338" t="s">
        <v>13</v>
      </c>
    </row>
    <row r="339" spans="4:6" x14ac:dyDescent="0.2">
      <c r="D339" t="s">
        <v>34</v>
      </c>
      <c r="F339" t="s">
        <v>14</v>
      </c>
    </row>
    <row r="340" spans="4:6" x14ac:dyDescent="0.2">
      <c r="D340" t="s">
        <v>25</v>
      </c>
      <c r="F340" t="s">
        <v>40</v>
      </c>
    </row>
    <row r="341" spans="4:6" x14ac:dyDescent="0.2">
      <c r="D341" t="s">
        <v>20</v>
      </c>
      <c r="F341" t="s">
        <v>31</v>
      </c>
    </row>
    <row r="342" spans="4:6" x14ac:dyDescent="0.2">
      <c r="D342" t="s">
        <v>39</v>
      </c>
      <c r="F342" t="s">
        <v>16</v>
      </c>
    </row>
    <row r="343" spans="4:6" x14ac:dyDescent="0.2">
      <c r="D343" t="s">
        <v>28</v>
      </c>
      <c r="F343" t="s">
        <v>26</v>
      </c>
    </row>
    <row r="344" spans="4:6" x14ac:dyDescent="0.2">
      <c r="D344" t="s">
        <v>17</v>
      </c>
      <c r="F344" t="s">
        <v>11</v>
      </c>
    </row>
    <row r="345" spans="4:6" x14ac:dyDescent="0.2">
      <c r="D345" t="s">
        <v>19</v>
      </c>
      <c r="F345" t="s">
        <v>18</v>
      </c>
    </row>
    <row r="346" spans="4:6" x14ac:dyDescent="0.2">
      <c r="D346" t="s">
        <v>12</v>
      </c>
      <c r="F346" t="s">
        <v>29</v>
      </c>
    </row>
    <row r="347" spans="4:6" x14ac:dyDescent="0.2">
      <c r="D347" t="s">
        <v>35</v>
      </c>
      <c r="F347" t="s">
        <v>30</v>
      </c>
    </row>
    <row r="348" spans="4:6" x14ac:dyDescent="0.2">
      <c r="D348" t="s">
        <v>24</v>
      </c>
      <c r="F348" t="s">
        <v>27</v>
      </c>
    </row>
    <row r="349" spans="4:6" x14ac:dyDescent="0.2">
      <c r="D349" t="s">
        <v>32</v>
      </c>
      <c r="F349" t="s">
        <v>14</v>
      </c>
    </row>
    <row r="350" spans="4:6" x14ac:dyDescent="0.2">
      <c r="D350" t="s">
        <v>36</v>
      </c>
      <c r="F350" t="s">
        <v>33</v>
      </c>
    </row>
    <row r="351" spans="4:6" x14ac:dyDescent="0.2">
      <c r="D351" t="s">
        <v>15</v>
      </c>
      <c r="F351" t="s">
        <v>55</v>
      </c>
    </row>
    <row r="352" spans="4:6" x14ac:dyDescent="0.2">
      <c r="D352" t="s">
        <v>37</v>
      </c>
      <c r="F352" t="s">
        <v>22</v>
      </c>
    </row>
    <row r="353" spans="4:6" x14ac:dyDescent="0.2">
      <c r="D353" t="s">
        <v>25</v>
      </c>
      <c r="F353" t="s">
        <v>23</v>
      </c>
    </row>
    <row r="354" spans="4:6" x14ac:dyDescent="0.2">
      <c r="D354" t="s">
        <v>12</v>
      </c>
      <c r="F354" t="s">
        <v>10</v>
      </c>
    </row>
    <row r="355" spans="4:6" x14ac:dyDescent="0.2">
      <c r="D355" t="s">
        <v>32</v>
      </c>
      <c r="F355" t="s">
        <v>30</v>
      </c>
    </row>
    <row r="356" spans="4:6" x14ac:dyDescent="0.2">
      <c r="D356" t="s">
        <v>21</v>
      </c>
      <c r="F356" t="s">
        <v>33</v>
      </c>
    </row>
    <row r="357" spans="4:6" x14ac:dyDescent="0.2">
      <c r="D357" t="s">
        <v>16</v>
      </c>
      <c r="F357" t="s">
        <v>38</v>
      </c>
    </row>
    <row r="358" spans="4:6" x14ac:dyDescent="0.2">
      <c r="D358" t="s">
        <v>34</v>
      </c>
      <c r="F358" t="s">
        <v>40</v>
      </c>
    </row>
    <row r="359" spans="4:6" x14ac:dyDescent="0.2">
      <c r="D359" t="s">
        <v>36</v>
      </c>
      <c r="F359" t="s">
        <v>13</v>
      </c>
    </row>
    <row r="360" spans="4:6" x14ac:dyDescent="0.2">
      <c r="D360" t="s">
        <v>26</v>
      </c>
      <c r="F360" t="s">
        <v>24</v>
      </c>
    </row>
    <row r="361" spans="4:6" x14ac:dyDescent="0.2">
      <c r="D361" t="s">
        <v>11</v>
      </c>
      <c r="F361" t="s">
        <v>29</v>
      </c>
    </row>
    <row r="362" spans="4:6" x14ac:dyDescent="0.2">
      <c r="D362" t="s">
        <v>35</v>
      </c>
      <c r="F362" t="s">
        <v>15</v>
      </c>
    </row>
    <row r="363" spans="4:6" x14ac:dyDescent="0.2">
      <c r="D363" t="s">
        <v>27</v>
      </c>
      <c r="F363" t="s">
        <v>37</v>
      </c>
    </row>
    <row r="364" spans="4:6" x14ac:dyDescent="0.2">
      <c r="D364" t="s">
        <v>20</v>
      </c>
      <c r="F364" t="s">
        <v>55</v>
      </c>
    </row>
    <row r="365" spans="4:6" x14ac:dyDescent="0.2">
      <c r="D365" t="s">
        <v>28</v>
      </c>
      <c r="F365" t="s">
        <v>22</v>
      </c>
    </row>
    <row r="366" spans="4:6" x14ac:dyDescent="0.2">
      <c r="D366" t="s">
        <v>39</v>
      </c>
      <c r="F366" t="s">
        <v>17</v>
      </c>
    </row>
    <row r="367" spans="4:6" x14ac:dyDescent="0.2">
      <c r="D367" t="s">
        <v>38</v>
      </c>
      <c r="F367" t="s">
        <v>31</v>
      </c>
    </row>
    <row r="368" spans="4:6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0" zoomScaleNormal="70" workbookViewId="0">
      <pane ySplit="1" topLeftCell="A287" activePane="bottomLeft" state="frozen"/>
      <selection activeCell="I1" sqref="I1"/>
      <selection pane="bottomLeft" activeCell="J316" sqref="J316:J319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0.20781111258114676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-0.1981495100594213</v>
      </c>
      <c r="H2" t="s">
        <v>10</v>
      </c>
      <c r="I2">
        <f>VLOOKUP(Table4[[#This Row],[Visitor]],'NHL Model'!$A$6:$B$38,2,FALSE)</f>
        <v>0.27981279116457602</v>
      </c>
      <c r="J2">
        <f>($B$1+Table4[[#This Row],[Home Differential]])-Table4[[#This Row],[Away Differential]]</f>
        <v>-0.27015118864285059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0.45552120368359383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0.20749956700535019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-0.15545019701583887</v>
      </c>
      <c r="H3" t="s">
        <v>12</v>
      </c>
      <c r="I3">
        <f>VLOOKUP(Table4[[#This Row],[Visitor]],'NHL Model'!$A$6:$B$38,2,FALSE)</f>
        <v>1.4784730509534416</v>
      </c>
      <c r="J3">
        <f>($B$1+Table4[[#This Row],[Home Differential]])-Table4[[#This Row],[Away Differential]]</f>
        <v>-1.4261121353881336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0.73142659069981708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7.2131676183123578E-2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187</v>
      </c>
      <c r="V3">
        <f>COUNTIF(Table4[Locked Correct],"YES")</f>
        <v>198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-0.39108791057695064</v>
      </c>
      <c r="H4" t="s">
        <v>14</v>
      </c>
      <c r="I4">
        <f>VLOOKUP(Table4[[#This Row],[Visitor]],'NHL Model'!$A$6:$B$38,2,FALSE)</f>
        <v>0.19552804934912488</v>
      </c>
      <c r="J4">
        <f>($B$1+Table4[[#This Row],[Home Differential]])-Table4[[#This Row],[Away Differential]]</f>
        <v>-0.37880484734492875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0.51448166649680405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0.23572805216772061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127</v>
      </c>
      <c r="V4">
        <f>COUNTIF(Table4[Locked Correct],"NO")</f>
        <v>116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-0.8965878665431638</v>
      </c>
      <c r="H5" t="s">
        <v>16</v>
      </c>
      <c r="I5">
        <f>VLOOKUP(Table4[[#This Row],[Visitor]],'NHL Model'!$A$6:$B$38,2,FALSE)</f>
        <v>-1.5116691651852812</v>
      </c>
      <c r="J5">
        <f>($B$1+Table4[[#This Row],[Home Differential]])-Table4[[#This Row],[Away Differential]]</f>
        <v>0.82289241122326406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0.69438949628287971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0.48217677254799141</v>
      </c>
      <c r="O5">
        <v>-4.1674767740132361E-3</v>
      </c>
      <c r="P5" s="11"/>
      <c r="Q5" t="s">
        <v>16</v>
      </c>
      <c r="R5" t="s">
        <v>248</v>
      </c>
      <c r="T5">
        <f>SUM(T3:T4)</f>
        <v>314</v>
      </c>
      <c r="V5">
        <f>SUM(V3:V4)</f>
        <v>314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-0.72519112941434305</v>
      </c>
      <c r="H6" t="s">
        <v>18</v>
      </c>
      <c r="I6">
        <f>VLOOKUP(Table4[[#This Row],[Visitor]],'NHL Model'!$A$6:$B$38,2,FALSE)</f>
        <v>-0.67174708781561598</v>
      </c>
      <c r="J6">
        <f>($B$1+Table4[[#This Row],[Home Differential]])-Table4[[#This Row],[Away Differential]]</f>
        <v>0.15436707098241964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0.52924412168173818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0.22161109697119813</v>
      </c>
      <c r="O6">
        <v>-4.4363714293103977E-3</v>
      </c>
      <c r="P6" s="11"/>
      <c r="Q6" t="s">
        <v>18</v>
      </c>
      <c r="R6" t="s">
        <v>249</v>
      </c>
      <c r="T6" s="13">
        <f>T3/T5</f>
        <v>0.59554140127388533</v>
      </c>
      <c r="V6" s="13">
        <f>V3/V5</f>
        <v>0.63057324840764328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-5.4617353012467046E-4</v>
      </c>
      <c r="H7" t="s">
        <v>13</v>
      </c>
      <c r="I7">
        <f>VLOOKUP(Table4[[#This Row],[Visitor]],'NHL Model'!$A$6:$B$38,2,FALSE)</f>
        <v>-0.15545019701583887</v>
      </c>
      <c r="J7">
        <f>($B$1+Table4[[#This Row],[Home Differential]])-Table4[[#This Row],[Away Differential]]</f>
        <v>0.36271513606686095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0.49036980844331884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0.24046254903273723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-7.0657671368725999E-2</v>
      </c>
      <c r="H8" t="s">
        <v>21</v>
      </c>
      <c r="I8">
        <f>VLOOKUP(Table4[[#This Row],[Visitor]],'NHL Model'!$A$6:$B$38,2,FALSE)</f>
        <v>-5.2681296301607013E-2</v>
      </c>
      <c r="J8">
        <f>($B$1+Table4[[#This Row],[Home Differential]])-Table4[[#This Row],[Away Differential]]</f>
        <v>0.18983473751402777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0.56730301085437274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0.32183270612443654</v>
      </c>
      <c r="O8">
        <v>-4.9858230986448791E-3</v>
      </c>
      <c r="P8" s="11"/>
      <c r="Q8" t="s">
        <v>21</v>
      </c>
      <c r="R8" t="s">
        <v>248</v>
      </c>
      <c r="T8">
        <f>SUM(Table4[Error])</f>
        <v>68.698178960827576</v>
      </c>
      <c r="V8">
        <f>COUNTIF(Table4[Locked Correct],"")</f>
        <v>998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-5.2681296301607013E-2</v>
      </c>
      <c r="H9" t="s">
        <v>10</v>
      </c>
      <c r="I9">
        <f>VLOOKUP(Table4[[#This Row],[Visitor]],'NHL Model'!$A$6:$B$38,2,FALSE)</f>
        <v>0.27981279116457602</v>
      </c>
      <c r="J9">
        <f>($B$1+Table4[[#This Row],[Home Differential]])-Table4[[#This Row],[Away Differential]]</f>
        <v>-0.12468297488503627</v>
      </c>
      <c r="K9" t="str">
        <f>IF(Table4[[#This Row],[HomeIce Differential]]&gt;0,Table4[[#This Row],[Home]],Table4[[#This Row],[Visitor]])</f>
        <v>Chicago Blackhawks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0.44650397696178878</v>
      </c>
      <c r="M9" t="str">
        <f>IF(OR((NHL2025_26Results[[#This Row],[Winning Team]]="")),"-",IF(Table4[[#This Row],[Predicted Winner]]=NHL2025_26Results[[#This Row],[Winning Team]],"YES","NO"))</f>
        <v>NO</v>
      </c>
      <c r="N9">
        <f>IF(Table4[[#This Row],[Adjusted Correct]]="-", "",IF(Table4[[#This Row],[Adjusted Correct]]="YES",(Table4[[#This Row],[Strength of Win]]-1)^2,(Table4[[#This Row],[Strength of Win]]-0)^2))</f>
        <v>0.19936580144269361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-0.73027559042992929</v>
      </c>
      <c r="H10" t="s">
        <v>15</v>
      </c>
      <c r="I10">
        <f>VLOOKUP(Table4[[#This Row],[Visitor]],'NHL Model'!$A$6:$B$38,2,FALSE)</f>
        <v>-0.39108791057695064</v>
      </c>
      <c r="J10">
        <f>($B$1+Table4[[#This Row],[Home Differential]])-Table4[[#This Row],[Away Differential]]</f>
        <v>-0.13137656727183195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0.59784262378477659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0.16173055524431273</v>
      </c>
      <c r="O10">
        <v>2.893763878885032E-2</v>
      </c>
      <c r="P10" s="11"/>
      <c r="Q10" t="s">
        <v>23</v>
      </c>
      <c r="R10" t="s">
        <v>249</v>
      </c>
      <c r="T10">
        <v>0.14382515661737183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0.67827132507054233</v>
      </c>
      <c r="H11" t="s">
        <v>24</v>
      </c>
      <c r="I11">
        <f>VLOOKUP(Table4[[#This Row],[Visitor]],'NHL Model'!$A$6:$B$38,2,FALSE)</f>
        <v>0.29030528207371809</v>
      </c>
      <c r="J11">
        <f>($B$1+Table4[[#This Row],[Home Differential]])-Table4[[#This Row],[Away Differential]]</f>
        <v>0.59577715557797106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0.63568774271005402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0.1327234208116958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1.4784730509534416</v>
      </c>
      <c r="H12" t="s">
        <v>55</v>
      </c>
      <c r="I12">
        <f>VLOOKUP(Table4[[#This Row],[Visitor]],'NHL Model'!$A$6:$B$38,2,FALSE)</f>
        <v>-0.21513148032837168</v>
      </c>
      <c r="J12">
        <f>($B$1+Table4[[#This Row],[Home Differential]])-Table4[[#This Row],[Away Differential]]</f>
        <v>1.9014156438629601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0.90183765052914588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9.6358468536380925E-3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-0.4561706649361581</v>
      </c>
      <c r="H13" t="s">
        <v>18</v>
      </c>
      <c r="I13">
        <f>VLOOKUP(Table4[[#This Row],[Visitor]],'NHL Model'!$A$6:$B$38,2,FALSE)</f>
        <v>-0.67174708781561598</v>
      </c>
      <c r="J13">
        <f>($B$1+Table4[[#This Row],[Home Differential]])-Table4[[#This Row],[Away Differential]]</f>
        <v>0.42338753546060465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0.59479208368221026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0.35377762281102543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-0.1981495100594213</v>
      </c>
      <c r="H14" t="s">
        <v>27</v>
      </c>
      <c r="I14">
        <f>VLOOKUP(Table4[[#This Row],[Visitor]],'NHL Model'!$A$6:$B$38,2,FALSE)</f>
        <v>-0.59708196015665005</v>
      </c>
      <c r="J14">
        <f>($B$1+Table4[[#This Row],[Home Differential]])-Table4[[#This Row],[Away Differential]]</f>
        <v>0.60674356267837548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0.6907132637908685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9.5658285194896886E-2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-1.4469605932441605</v>
      </c>
      <c r="H15" t="s">
        <v>28</v>
      </c>
      <c r="I15">
        <f>VLOOKUP(Table4[[#This Row],[Visitor]],'NHL Model'!$A$6:$B$38,2,FALSE)</f>
        <v>-0.57641196648435689</v>
      </c>
      <c r="J15">
        <f>($B$1+Table4[[#This Row],[Home Differential]])-Table4[[#This Row],[Away Differential]]</f>
        <v>-0.66273751417865678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0.55531832677295301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0.30837844404991221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0.19552804934912488</v>
      </c>
      <c r="H16" t="s">
        <v>30</v>
      </c>
      <c r="I16">
        <f>VLOOKUP(Table4[[#This Row],[Visitor]],'NHL Model'!$A$6:$B$38,2,FALSE)</f>
        <v>-6.1847876079686406E-2</v>
      </c>
      <c r="J16">
        <f>($B$1+Table4[[#This Row],[Home Differential]])-Table4[[#This Row],[Away Differential]]</f>
        <v>0.46518703800995803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0.58414697790849823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0.17293373598263506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-0.53589042422266964</v>
      </c>
      <c r="H17" t="s">
        <v>31</v>
      </c>
      <c r="I17">
        <f>VLOOKUP(Table4[[#This Row],[Visitor]],'NHL Model'!$A$6:$B$38,2,FALSE)</f>
        <v>0.50495447305652519</v>
      </c>
      <c r="J17">
        <f>($B$1+Table4[[#This Row],[Home Differential]])-Table4[[#This Row],[Away Differential]]</f>
        <v>-0.83303378469804801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0.57435666909721328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0.32988558333644574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-0.41822017589574972</v>
      </c>
      <c r="H18" t="s">
        <v>20</v>
      </c>
      <c r="I18">
        <f>VLOOKUP(Table4[[#This Row],[Visitor]],'NHL Model'!$A$6:$B$38,2,FALSE)</f>
        <v>-5.4617353012467046E-4</v>
      </c>
      <c r="J18">
        <f>($B$1+Table4[[#This Row],[Home Differential]])-Table4[[#This Row],[Away Differential]]</f>
        <v>-0.20986288978447828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0.51095279376065761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0.23916716993050588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-1.7055605761743866</v>
      </c>
      <c r="H19" t="s">
        <v>34</v>
      </c>
      <c r="I19">
        <f>VLOOKUP(Table4[[#This Row],[Visitor]],'NHL Model'!$A$6:$B$38,2,FALSE)</f>
        <v>-0.62096640812916071</v>
      </c>
      <c r="J19">
        <f>($B$1+Table4[[#This Row],[Home Differential]])-Table4[[#This Row],[Away Differential]]</f>
        <v>-0.87678305546407909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0.586103460271579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0.17131034559916039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4.5159124835038887E-2</v>
      </c>
      <c r="H20" t="s">
        <v>36</v>
      </c>
      <c r="I20">
        <f>VLOOKUP(Table4[[#This Row],[Visitor]],'NHL Model'!$A$6:$B$38,2,FALSE)</f>
        <v>-0.47846056309234386</v>
      </c>
      <c r="J20">
        <f>($B$1+Table4[[#This Row],[Home Differential]])-Table4[[#This Row],[Away Differential]]</f>
        <v>0.73143080050852949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0.64519814943790899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0.41628065203810233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-0.87485041382128448</v>
      </c>
      <c r="H21" t="s">
        <v>16</v>
      </c>
      <c r="I21">
        <f>VLOOKUP(Table4[[#This Row],[Visitor]],'NHL Model'!$A$6:$B$38,2,FALSE)</f>
        <v>-1.5116691651852812</v>
      </c>
      <c r="J21">
        <f>($B$1+Table4[[#This Row],[Home Differential]])-Table4[[#This Row],[Away Differential]]</f>
        <v>0.8446298639451435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0.66147902246561974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0.11459645223083238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0.13227623341979275</v>
      </c>
      <c r="H22" t="s">
        <v>39</v>
      </c>
      <c r="I22">
        <f>VLOOKUP(Table4[[#This Row],[Visitor]],'NHL Model'!$A$6:$B$38,2,FALSE)</f>
        <v>5.4297665563734943E-2</v>
      </c>
      <c r="J22">
        <f>($B$1+Table4[[#This Row],[Home Differential]])-Table4[[#This Row],[Away Differential]]</f>
        <v>0.28578968043720454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0.5411037455485096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0.29279326344662621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-5.2681296301607013E-2</v>
      </c>
      <c r="H23" t="s">
        <v>23</v>
      </c>
      <c r="I23">
        <f>VLOOKUP(Table4[[#This Row],[Visitor]],'NHL Model'!$A$6:$B$38,2,FALSE)</f>
        <v>-0.73027559042992929</v>
      </c>
      <c r="J23">
        <f>($B$1+Table4[[#This Row],[Home Differential]])-Table4[[#This Row],[Away Differential]]</f>
        <v>0.88540540670946899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0.71905954762121804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7.8927537782794654E-2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0.67827132507054233</v>
      </c>
      <c r="H24" t="s">
        <v>27</v>
      </c>
      <c r="I24">
        <f>VLOOKUP(Table4[[#This Row],[Visitor]],'NHL Model'!$A$6:$B$38,2,FALSE)</f>
        <v>-0.59708196015665005</v>
      </c>
      <c r="J24">
        <f>($B$1+Table4[[#This Row],[Home Differential]])-Table4[[#This Row],[Away Differential]]</f>
        <v>1.4831643978083391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0.80503232813545522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3.8012393072280805E-2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-1.5116691651852812</v>
      </c>
      <c r="H25" t="s">
        <v>35</v>
      </c>
      <c r="I25">
        <f>VLOOKUP(Table4[[#This Row],[Visitor]],'NHL Model'!$A$6:$B$38,2,FALSE)</f>
        <v>-1.7055605761743866</v>
      </c>
      <c r="J25">
        <f>($B$1+Table4[[#This Row],[Home Differential]])-Table4[[#This Row],[Away Differential]]</f>
        <v>0.40170252357025227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0.59777492836608503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0.35733486498307809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0.27981279116457602</v>
      </c>
      <c r="H26" t="s">
        <v>18</v>
      </c>
      <c r="I26">
        <f>VLOOKUP(Table4[[#This Row],[Visitor]],'NHL Model'!$A$6:$B$38,2,FALSE)</f>
        <v>-0.67174708781561598</v>
      </c>
      <c r="J26">
        <f>($B$1+Table4[[#This Row],[Home Differential]])-Table4[[#This Row],[Away Differential]]</f>
        <v>1.1593709915613388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0.66674671443894717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0.44455118121513099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1.4784730509534416</v>
      </c>
      <c r="H27" t="s">
        <v>39</v>
      </c>
      <c r="I27">
        <f>VLOOKUP(Table4[[#This Row],[Visitor]],'NHL Model'!$A$6:$B$38,2,FALSE)</f>
        <v>5.4297665563734943E-2</v>
      </c>
      <c r="J27">
        <f>($B$1+Table4[[#This Row],[Home Differential]])-Table4[[#This Row],[Away Differential]]</f>
        <v>1.6319864979708534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0.77318225212963254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0.59781079500825063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-0.4561706649361581</v>
      </c>
      <c r="H28" t="s">
        <v>19</v>
      </c>
      <c r="I28">
        <f>VLOOKUP(Table4[[#This Row],[Visitor]],'NHL Model'!$A$6:$B$38,2,FALSE)</f>
        <v>-0.72519112941434305</v>
      </c>
      <c r="J28">
        <f>($B$1+Table4[[#This Row],[Home Differential]])-Table4[[#This Row],[Away Differential]]</f>
        <v>0.47683157705933171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0.64901155369676955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0.12319288943835568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-0.8965878665431638</v>
      </c>
      <c r="H29" t="s">
        <v>38</v>
      </c>
      <c r="I29">
        <f>VLOOKUP(Table4[[#This Row],[Visitor]],'NHL Model'!$A$6:$B$38,2,FALSE)</f>
        <v>-0.87485041382128448</v>
      </c>
      <c r="J29">
        <f>($B$1+Table4[[#This Row],[Home Differential]])-Table4[[#This Row],[Away Differential]]</f>
        <v>0.18607365985926738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0.5823176288271823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0.17445856318854747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-0.1981495100594213</v>
      </c>
      <c r="H30" t="s">
        <v>36</v>
      </c>
      <c r="I30">
        <f>VLOOKUP(Table4[[#This Row],[Visitor]],'NHL Model'!$A$6:$B$38,2,FALSE)</f>
        <v>-0.47846056309234386</v>
      </c>
      <c r="J30">
        <f>($B$1+Table4[[#This Row],[Home Differential]])-Table4[[#This Row],[Away Differential]]</f>
        <v>0.48812216561406929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0.67365252277992316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0.10650267588790857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-0.62096640812916071</v>
      </c>
      <c r="H31" t="s">
        <v>28</v>
      </c>
      <c r="I31">
        <f>VLOOKUP(Table4[[#This Row],[Visitor]],'NHL Model'!$A$6:$B$38,2,FALSE)</f>
        <v>-0.57641196648435689</v>
      </c>
      <c r="J31">
        <f>($B$1+Table4[[#This Row],[Home Differential]])-Table4[[#This Row],[Away Differential]]</f>
        <v>0.16325667093634294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0.56348041626625034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0.31751017951558674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-1.4469605932441605</v>
      </c>
      <c r="H32" t="s">
        <v>55</v>
      </c>
      <c r="I32">
        <f>VLOOKUP(Table4[[#This Row],[Visitor]],'NHL Model'!$A$6:$B$38,2,FALSE)</f>
        <v>-0.21513148032837168</v>
      </c>
      <c r="J32">
        <f>($B$1+Table4[[#This Row],[Home Differential]])-Table4[[#This Row],[Away Differential]]</f>
        <v>-1.024018000334642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0.60727954927713779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0.15422935241596805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-6.1847876079686406E-2</v>
      </c>
      <c r="H33" t="s">
        <v>22</v>
      </c>
      <c r="I33">
        <f>VLOOKUP(Table4[[#This Row],[Visitor]],'NHL Model'!$A$6:$B$38,2,FALSE)</f>
        <v>-7.0657671368725999E-2</v>
      </c>
      <c r="J33">
        <f>($B$1+Table4[[#This Row],[Home Differential]])-Table4[[#This Row],[Away Differential]]</f>
        <v>0.21662090787018637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0.57115553600102686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0.32621864630462027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0.19552804934912488</v>
      </c>
      <c r="H34" t="s">
        <v>15</v>
      </c>
      <c r="I34">
        <f>VLOOKUP(Table4[[#This Row],[Visitor]],'NHL Model'!$A$6:$B$38,2,FALSE)</f>
        <v>-0.39108791057695064</v>
      </c>
      <c r="J34">
        <f>($B$1+Table4[[#This Row],[Home Differential]])-Table4[[#This Row],[Away Differential]]</f>
        <v>0.79442707250722222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0.56880405266988598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0.32353805033368643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-0.53589042422266964</v>
      </c>
      <c r="H35" t="s">
        <v>20</v>
      </c>
      <c r="I35">
        <f>VLOOKUP(Table4[[#This Row],[Visitor]],'NHL Model'!$A$6:$B$38,2,FALSE)</f>
        <v>-5.4617353012467046E-4</v>
      </c>
      <c r="J35">
        <f>($B$1+Table4[[#This Row],[Home Differential]])-Table4[[#This Row],[Away Differential]]</f>
        <v>-0.32753313811139823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0.50165295943170563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0.25165569170658847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-0.41822017589574972</v>
      </c>
      <c r="H36" t="s">
        <v>31</v>
      </c>
      <c r="I36">
        <f>VLOOKUP(Table4[[#This Row],[Visitor]],'NHL Model'!$A$6:$B$38,2,FALSE)</f>
        <v>0.50495447305652519</v>
      </c>
      <c r="J36">
        <f>($B$1+Table4[[#This Row],[Home Differential]])-Table4[[#This Row],[Away Differential]]</f>
        <v>-0.71536353637112815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0.58365650342616515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0.17334190713932682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4.5159124835038887E-2</v>
      </c>
      <c r="H37" t="s">
        <v>24</v>
      </c>
      <c r="I37">
        <f>VLOOKUP(Table4[[#This Row],[Visitor]],'NHL Model'!$A$6:$B$38,2,FALSE)</f>
        <v>0.29030528207371809</v>
      </c>
      <c r="J37">
        <f>($B$1+Table4[[#This Row],[Home Differential]])-Table4[[#This Row],[Away Differential]]</f>
        <v>-3.7335044657532457E-2</v>
      </c>
      <c r="K37" t="str">
        <f>IF(Table4[[#This Row],[HomeIce Differential]]&gt;0,Table4[[#This Row],[Home]],Table4[[#This Row],[Visitor]])</f>
        <v>New Jersey Devils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0.50788228145925651</v>
      </c>
      <c r="M37" t="str">
        <f>IF(OR((NHL2025_26Results[[#This Row],[Winning Team]]="")),"-",IF(Table4[[#This Row],[Predicted Winner]]=NHL2025_26Results[[#This Row],[Winning Team]],"YES","NO"))</f>
        <v>YES</v>
      </c>
      <c r="N37">
        <f>IF(Table4[[#This Row],[Adjusted Correct]]="-", "",IF(Table4[[#This Row],[Adjusted Correct]]="YES",(Table4[[#This Row],[Strength of Win]]-1)^2,(Table4[[#This Row],[Strength of Win]]-0)^2))</f>
        <v>0.24217984890174643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0.13227623341979275</v>
      </c>
      <c r="H38" t="s">
        <v>13</v>
      </c>
      <c r="I38">
        <f>VLOOKUP(Table4[[#This Row],[Visitor]],'NHL Model'!$A$6:$B$38,2,FALSE)</f>
        <v>-0.15545019701583887</v>
      </c>
      <c r="J38">
        <f>($B$1+Table4[[#This Row],[Home Differential]])-Table4[[#This Row],[Away Differential]]</f>
        <v>0.49553754301677833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0.56183680247002477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0.19198698766969211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-0.39108791057695064</v>
      </c>
      <c r="H39" t="s">
        <v>22</v>
      </c>
      <c r="I39">
        <f>VLOOKUP(Table4[[#This Row],[Visitor]],'NHL Model'!$A$6:$B$38,2,FALSE)</f>
        <v>-7.0657671368725999E-2</v>
      </c>
      <c r="J39">
        <f>($B$1+Table4[[#This Row],[Home Differential]])-Table4[[#This Row],[Away Differential]]</f>
        <v>-0.11261912662707788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0.47619746352525111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0.27436909721738068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-5.2681296301607013E-2</v>
      </c>
      <c r="H40" t="s">
        <v>37</v>
      </c>
      <c r="I40">
        <f>VLOOKUP(Table4[[#This Row],[Visitor]],'NHL Model'!$A$6:$B$38,2,FALSE)</f>
        <v>4.5159124835038887E-2</v>
      </c>
      <c r="J40">
        <f>($B$1+Table4[[#This Row],[Home Differential]])-Table4[[#This Row],[Away Differential]]</f>
        <v>0.10997069144450086</v>
      </c>
      <c r="K40" t="str">
        <f>IF(Table4[[#This Row],[HomeIce Differential]]&gt;0,Table4[[#This Row],[Home]],Table4[[#This Row],[Visitor]])</f>
        <v>Boston Bruins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0.56127109737487146</v>
      </c>
      <c r="M40" t="str">
        <f>IF(OR((NHL2025_26Results[[#This Row],[Winning Team]]="")),"-",IF(Table4[[#This Row],[Predicted Winner]]=NHL2025_26Results[[#This Row],[Winning Team]],"YES","NO"))</f>
        <v>NO</v>
      </c>
      <c r="N40">
        <f>IF(Table4[[#This Row],[Adjusted Correct]]="-", "",IF(Table4[[#This Row],[Adjusted Correct]]="YES",(Table4[[#This Row],[Strength of Win]]-1)^2,(Table4[[#This Row],[Strength of Win]]-0)^2))</f>
        <v>0.31502524474839244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-0.73027559042992929</v>
      </c>
      <c r="H41" t="s">
        <v>12</v>
      </c>
      <c r="I41">
        <f>VLOOKUP(Table4[[#This Row],[Visitor]],'NHL Model'!$A$6:$B$38,2,FALSE)</f>
        <v>1.4784730509534416</v>
      </c>
      <c r="J41">
        <f>($B$1+Table4[[#This Row],[Home Differential]])-Table4[[#This Row],[Away Differential]]</f>
        <v>-2.0009375288022242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0.81159467727108059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3.5496565632588274E-2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-0.57641196648435689</v>
      </c>
      <c r="H42" t="s">
        <v>24</v>
      </c>
      <c r="I42">
        <f>VLOOKUP(Table4[[#This Row],[Visitor]],'NHL Model'!$A$6:$B$38,2,FALSE)</f>
        <v>0.29030528207371809</v>
      </c>
      <c r="J42">
        <f>($B$1+Table4[[#This Row],[Home Differential]])-Table4[[#This Row],[Away Differential]]</f>
        <v>-0.65890613597692815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0.59018012223972627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0.16795233220744571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0.27981279116457602</v>
      </c>
      <c r="H43" t="s">
        <v>55</v>
      </c>
      <c r="I43">
        <f>VLOOKUP(Table4[[#This Row],[Visitor]],'NHL Model'!$A$6:$B$38,2,FALSE)</f>
        <v>-0.21513148032837168</v>
      </c>
      <c r="J43">
        <f>($B$1+Table4[[#This Row],[Home Differential]])-Table4[[#This Row],[Away Differential]]</f>
        <v>0.70275538407409444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0.6481198550381142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0.12381963641839776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-0.62096640812916071</v>
      </c>
      <c r="H44" t="s">
        <v>13</v>
      </c>
      <c r="I44">
        <f>VLOOKUP(Table4[[#This Row],[Visitor]],'NHL Model'!$A$6:$B$38,2,FALSE)</f>
        <v>-0.15545019701583887</v>
      </c>
      <c r="J44">
        <f>($B$1+Table4[[#This Row],[Home Differential]])-Table4[[#This Row],[Away Differential]]</f>
        <v>-0.25770509853217505</v>
      </c>
      <c r="K44" t="str">
        <f>IF(Table4[[#This Row],[HomeIce Differential]]&gt;0,Table4[[#This Row],[Home]],Table4[[#This Row],[Visitor]])</f>
        <v>Los Angeles Kings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0.59886222896647401</v>
      </c>
      <c r="M44" t="str">
        <f>IF(OR((NHL2025_26Results[[#This Row],[Winning Team]]="")),"-",IF(Table4[[#This Row],[Predicted Winner]]=NHL2025_26Results[[#This Row],[Winning Team]],"YES","NO"))</f>
        <v>NO</v>
      </c>
      <c r="N44">
        <f>IF(Table4[[#This Row],[Adjusted Correct]]="-", "",IF(Table4[[#This Row],[Adjusted Correct]]="YES",(Table4[[#This Row],[Strength of Win]]-1)^2,(Table4[[#This Row],[Strength of Win]]-0)^2))</f>
        <v>0.35863596928269353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-6.1847876079686406E-2</v>
      </c>
      <c r="H45" t="s">
        <v>40</v>
      </c>
      <c r="I45">
        <f>VLOOKUP(Table4[[#This Row],[Visitor]],'NHL Model'!$A$6:$B$38,2,FALSE)</f>
        <v>0.13227623341979275</v>
      </c>
      <c r="J45">
        <f>($B$1+Table4[[#This Row],[Home Differential]])-Table4[[#This Row],[Away Differential]]</f>
        <v>1.368700308166762E-2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0.47565274588815903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0.2262455346709456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-0.47846056309234386</v>
      </c>
      <c r="H46" t="s">
        <v>29</v>
      </c>
      <c r="I46">
        <f>VLOOKUP(Table4[[#This Row],[Visitor]],'NHL Model'!$A$6:$B$38,2,FALSE)</f>
        <v>-1.4469605932441605</v>
      </c>
      <c r="J46">
        <f>($B$1+Table4[[#This Row],[Home Differential]])-Table4[[#This Row],[Away Differential]]</f>
        <v>1.1763111427329633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0.71167861353866801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0.50648644896832073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-0.59708196015665005</v>
      </c>
      <c r="H47" t="s">
        <v>11</v>
      </c>
      <c r="I47">
        <f>VLOOKUP(Table4[[#This Row],[Visitor]],'NHL Model'!$A$6:$B$38,2,FALSE)</f>
        <v>-0.1981495100594213</v>
      </c>
      <c r="J47">
        <f>($B$1+Table4[[#This Row],[Home Differential]])-Table4[[#This Row],[Away Differential]]</f>
        <v>-0.19112133751608198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0.48499257709683213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0.23521779983902666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-0.72519112941434305</v>
      </c>
      <c r="H48" t="s">
        <v>26</v>
      </c>
      <c r="I48">
        <f>VLOOKUP(Table4[[#This Row],[Visitor]],'NHL Model'!$A$6:$B$38,2,FALSE)</f>
        <v>-0.4561706649361581</v>
      </c>
      <c r="J48">
        <f>($B$1+Table4[[#This Row],[Home Differential]])-Table4[[#This Row],[Away Differential]]</f>
        <v>-6.1209351897038244E-2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0.50176119110191264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0.24824191069218482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-0.87485041382128448</v>
      </c>
      <c r="H49" t="s">
        <v>35</v>
      </c>
      <c r="I49">
        <f>VLOOKUP(Table4[[#This Row],[Visitor]],'NHL Model'!$A$6:$B$38,2,FALSE)</f>
        <v>-1.7055605761743866</v>
      </c>
      <c r="J49">
        <f>($B$1+Table4[[#This Row],[Home Differential]])-Table4[[#This Row],[Away Differential]]</f>
        <v>1.038521274934249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0.68936548501789108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0.47522477193395218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0.50495447305652519</v>
      </c>
      <c r="H50" t="s">
        <v>14</v>
      </c>
      <c r="I50">
        <f>VLOOKUP(Table4[[#This Row],[Visitor]],'NHL Model'!$A$6:$B$38,2,FALSE)</f>
        <v>0.19552804934912488</v>
      </c>
      <c r="J50">
        <f>($B$1+Table4[[#This Row],[Home Differential]])-Table4[[#This Row],[Away Differential]]</f>
        <v>0.51723753628854707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0.72515098875402095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7.5541978982892319E-2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-1.5116691651852812</v>
      </c>
      <c r="H51" t="s">
        <v>20</v>
      </c>
      <c r="I51">
        <f>VLOOKUP(Table4[[#This Row],[Visitor]],'NHL Model'!$A$6:$B$38,2,FALSE)</f>
        <v>-5.4617353012467046E-4</v>
      </c>
      <c r="J51">
        <f>($B$1+Table4[[#This Row],[Home Differential]])-Table4[[#This Row],[Away Differential]]</f>
        <v>-1.3033118790740097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0.66821826589833133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0.11007911908351037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5.4297665563734943E-2</v>
      </c>
      <c r="H52" t="s">
        <v>34</v>
      </c>
      <c r="I52">
        <f>VLOOKUP(Table4[[#This Row],[Visitor]],'NHL Model'!$A$6:$B$38,2,FALSE)</f>
        <v>-0.62096640812916071</v>
      </c>
      <c r="J52">
        <f>($B$1+Table4[[#This Row],[Home Differential]])-Table4[[#This Row],[Away Differential]]</f>
        <v>0.88307518627404247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0.6695039061751189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0.10922766803350462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-0.67174708781561598</v>
      </c>
      <c r="H53" t="s">
        <v>32</v>
      </c>
      <c r="I53">
        <f>VLOOKUP(Table4[[#This Row],[Visitor]],'NHL Model'!$A$6:$B$38,2,FALSE)</f>
        <v>-0.53589042422266964</v>
      </c>
      <c r="J53">
        <f>($B$1+Table4[[#This Row],[Home Differential]])-Table4[[#This Row],[Away Differential]]</f>
        <v>7.1954448988200415E-2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0.55034885989504467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0.20218614779768618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-0.39108791057695064</v>
      </c>
      <c r="H54" t="s">
        <v>17</v>
      </c>
      <c r="I54">
        <f>VLOOKUP(Table4[[#This Row],[Visitor]],'NHL Model'!$A$6:$B$38,2,FALSE)</f>
        <v>-0.8965878665431638</v>
      </c>
      <c r="J54">
        <f>($B$1+Table4[[#This Row],[Home Differential]])-Table4[[#This Row],[Away Differential]]</f>
        <v>0.71331106854735993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0.64259207615072889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0.41292457633170415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-0.41822017589574972</v>
      </c>
      <c r="H55" t="s">
        <v>25</v>
      </c>
      <c r="I55">
        <f>VLOOKUP(Table4[[#This Row],[Visitor]],'NHL Model'!$A$6:$B$38,2,FALSE)</f>
        <v>0.67827132507054233</v>
      </c>
      <c r="J55">
        <f>($B$1+Table4[[#This Row],[Home Differential]])-Table4[[#This Row],[Away Differential]]</f>
        <v>-0.88868038838514529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0.6923307250745383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9.466038273315934E-2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-0.72519112941434305</v>
      </c>
      <c r="H56" t="s">
        <v>29</v>
      </c>
      <c r="I56">
        <f>VLOOKUP(Table4[[#This Row],[Visitor]],'NHL Model'!$A$6:$B$38,2,FALSE)</f>
        <v>-1.4469605932441605</v>
      </c>
      <c r="J56">
        <f>($B$1+Table4[[#This Row],[Home Differential]])-Table4[[#This Row],[Away Differential]]</f>
        <v>0.92958057641096414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0.68771369248938874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9.7522737858612055E-2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-7.0657671368725999E-2</v>
      </c>
      <c r="H57" t="s">
        <v>37</v>
      </c>
      <c r="I57">
        <f>VLOOKUP(Table4[[#This Row],[Visitor]],'NHL Model'!$A$6:$B$38,2,FALSE)</f>
        <v>4.5159124835038887E-2</v>
      </c>
      <c r="J57">
        <f>($B$1+Table4[[#This Row],[Home Differential]])-Table4[[#This Row],[Away Differential]]</f>
        <v>9.1994316377381868E-2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0.50613170548015474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0.24390589233194063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-0.73027559042992929</v>
      </c>
      <c r="H58" t="s">
        <v>36</v>
      </c>
      <c r="I58">
        <f>VLOOKUP(Table4[[#This Row],[Visitor]],'NHL Model'!$A$6:$B$38,2,FALSE)</f>
        <v>-0.47846056309234386</v>
      </c>
      <c r="J58">
        <f>($B$1+Table4[[#This Row],[Home Differential]])-Table4[[#This Row],[Away Differential]]</f>
        <v>-4.4003914756438722E-2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0.46383339072728236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0.21514141435356779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-0.4561706649361581</v>
      </c>
      <c r="H59" t="s">
        <v>11</v>
      </c>
      <c r="I59">
        <f>VLOOKUP(Table4[[#This Row],[Visitor]],'NHL Model'!$A$6:$B$38,2,FALSE)</f>
        <v>-0.1981495100594213</v>
      </c>
      <c r="J59">
        <f>($B$1+Table4[[#This Row],[Home Differential]])-Table4[[#This Row],[Away Differential]]</f>
        <v>-5.0210042295590035E-2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0.42679028975082528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0.1821499514255934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-1.7055605761743866</v>
      </c>
      <c r="H60" t="s">
        <v>10</v>
      </c>
      <c r="I60">
        <f>VLOOKUP(Table4[[#This Row],[Visitor]],'NHL Model'!$A$6:$B$38,2,FALSE)</f>
        <v>0.27981279116457602</v>
      </c>
      <c r="J60">
        <f>($B$1+Table4[[#This Row],[Home Differential]])-Table4[[#This Row],[Away Differential]]</f>
        <v>-1.7775622547578158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0.73642740045690225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6.9470515229906174E-2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-0.21513148032837168</v>
      </c>
      <c r="H61" t="s">
        <v>16</v>
      </c>
      <c r="I61">
        <f>VLOOKUP(Table4[[#This Row],[Visitor]],'NHL Model'!$A$6:$B$38,2,FALSE)</f>
        <v>-1.5116691651852812</v>
      </c>
      <c r="J61">
        <f>($B$1+Table4[[#This Row],[Home Differential]])-Table4[[#This Row],[Away Differential]]</f>
        <v>1.5043487974380563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0.82463570748140835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3.0752635090546179E-2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0.50495447305652519</v>
      </c>
      <c r="H62" t="s">
        <v>25</v>
      </c>
      <c r="I62">
        <f>VLOOKUP(Table4[[#This Row],[Visitor]],'NHL Model'!$A$6:$B$38,2,FALSE)</f>
        <v>0.67827132507054233</v>
      </c>
      <c r="J62">
        <f>($B$1+Table4[[#This Row],[Home Differential]])-Table4[[#This Row],[Away Differential]]</f>
        <v>3.4494260567129675E-2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0.55541985802479821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0.30849121868828699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-0.57641196648435689</v>
      </c>
      <c r="H63" t="s">
        <v>12</v>
      </c>
      <c r="I63">
        <f>VLOOKUP(Table4[[#This Row],[Visitor]],'NHL Model'!$A$6:$B$38,2,FALSE)</f>
        <v>1.4784730509534416</v>
      </c>
      <c r="J63">
        <f>($B$1+Table4[[#This Row],[Home Differential]])-Table4[[#This Row],[Away Differential]]</f>
        <v>-1.8470739048566518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0.78488646288063779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4.6273833852003225E-2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5.4297665563734943E-2</v>
      </c>
      <c r="H64" t="s">
        <v>38</v>
      </c>
      <c r="I64">
        <f>VLOOKUP(Table4[[#This Row],[Visitor]],'NHL Model'!$A$6:$B$38,2,FALSE)</f>
        <v>-0.87485041382128448</v>
      </c>
      <c r="J64">
        <f>($B$1+Table4[[#This Row],[Home Differential]])-Table4[[#This Row],[Away Differential]]</f>
        <v>1.1369591919661661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0.68526246428687698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0.46958464496052338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-0.15545019701583887</v>
      </c>
      <c r="H65" t="s">
        <v>14</v>
      </c>
      <c r="I65">
        <f>VLOOKUP(Table4[[#This Row],[Visitor]],'NHL Model'!$A$6:$B$38,2,FALSE)</f>
        <v>0.19552804934912488</v>
      </c>
      <c r="J65">
        <f>($B$1+Table4[[#This Row],[Home Differential]])-Table4[[#This Row],[Away Differential]]</f>
        <v>-0.14316713378381699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0.48059103543891774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0.26978567246641555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-0.67174708781561598</v>
      </c>
      <c r="H66" t="s">
        <v>29</v>
      </c>
      <c r="I66">
        <f>VLOOKUP(Table4[[#This Row],[Visitor]],'NHL Model'!$A$6:$B$38,2,FALSE)</f>
        <v>-1.4469605932441605</v>
      </c>
      <c r="J66">
        <f>($B$1+Table4[[#This Row],[Home Differential]])-Table4[[#This Row],[Away Differential]]</f>
        <v>0.98302461800969132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0.68138366964397601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0.10151636596953902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0.29030528207371809</v>
      </c>
      <c r="H67" t="s">
        <v>11</v>
      </c>
      <c r="I67">
        <f>VLOOKUP(Table4[[#This Row],[Visitor]],'NHL Model'!$A$6:$B$38,2,FALSE)</f>
        <v>-0.1981495100594213</v>
      </c>
      <c r="J67">
        <f>($B$1+Table4[[#This Row],[Home Differential]])-Table4[[#This Row],[Away Differential]]</f>
        <v>0.69626590471428618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0.7555712644033552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5.9745406785374489E-2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-6.1847876079686406E-2</v>
      </c>
      <c r="H68" t="s">
        <v>17</v>
      </c>
      <c r="I68">
        <f>VLOOKUP(Table4[[#This Row],[Visitor]],'NHL Model'!$A$6:$B$38,2,FALSE)</f>
        <v>-0.8965878665431638</v>
      </c>
      <c r="J68">
        <f>($B$1+Table4[[#This Row],[Home Differential]])-Table4[[#This Row],[Away Differential]]</f>
        <v>1.0425511030446242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0.68994507567700691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9.6134056096936968E-2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-0.47846056309234386</v>
      </c>
      <c r="H69" t="s">
        <v>32</v>
      </c>
      <c r="I69">
        <f>VLOOKUP(Table4[[#This Row],[Visitor]],'NHL Model'!$A$6:$B$38,2,FALSE)</f>
        <v>-0.53589042422266964</v>
      </c>
      <c r="J69">
        <f>($B$1+Table4[[#This Row],[Home Differential]])-Table4[[#This Row],[Away Differential]]</f>
        <v>0.26524097371147254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0.58064380378973668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0.17585961929994087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-0.59708196015665005</v>
      </c>
      <c r="H70" t="s">
        <v>40</v>
      </c>
      <c r="I70">
        <f>VLOOKUP(Table4[[#This Row],[Visitor]],'NHL Model'!$A$6:$B$38,2,FALSE)</f>
        <v>0.13227623341979275</v>
      </c>
      <c r="J70">
        <f>($B$1+Table4[[#This Row],[Home Differential]])-Table4[[#This Row],[Away Differential]]</f>
        <v>-0.52154708099529601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0.59882111441700525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0.16094449823761359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-0.72519112941434305</v>
      </c>
      <c r="H71" t="s">
        <v>15</v>
      </c>
      <c r="I71">
        <f>VLOOKUP(Table4[[#This Row],[Visitor]],'NHL Model'!$A$6:$B$38,2,FALSE)</f>
        <v>-0.39108791057695064</v>
      </c>
      <c r="J71">
        <f>($B$1+Table4[[#This Row],[Home Differential]])-Table4[[#This Row],[Away Differential]]</f>
        <v>-0.12629210625624571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0.58573154952940987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0.3430814481141235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-5.4617353012467046E-4</v>
      </c>
      <c r="H72" t="s">
        <v>21</v>
      </c>
      <c r="I72">
        <f>VLOOKUP(Table4[[#This Row],[Visitor]],'NHL Model'!$A$6:$B$38,2,FALSE)</f>
        <v>-5.2681296301607013E-2</v>
      </c>
      <c r="J72">
        <f>($B$1+Table4[[#This Row],[Home Differential]])-Table4[[#This Row],[Away Differential]]</f>
        <v>0.25994623535262912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0.57738680801168807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0.1786019100425498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0.27981279116457602</v>
      </c>
      <c r="H73" t="s">
        <v>38</v>
      </c>
      <c r="I73">
        <f>VLOOKUP(Table4[[#This Row],[Visitor]],'NHL Model'!$A$6:$B$38,2,FALSE)</f>
        <v>-0.87485041382128448</v>
      </c>
      <c r="J73">
        <f>($B$1+Table4[[#This Row],[Home Differential]])-Table4[[#This Row],[Away Differential]]</f>
        <v>1.3624743175670073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0.72227387158490575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0.52167954557424889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-0.4561706649361581</v>
      </c>
      <c r="H74" t="s">
        <v>37</v>
      </c>
      <c r="I74">
        <f>VLOOKUP(Table4[[#This Row],[Visitor]],'NHL Model'!$A$6:$B$38,2,FALSE)</f>
        <v>4.5159124835038887E-2</v>
      </c>
      <c r="J74">
        <f>($B$1+Table4[[#This Row],[Home Differential]])-Table4[[#This Row],[Away Differential]]</f>
        <v>-0.2935186771900502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0.50831706463223703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0.25838623819633383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-0.21513148032837168</v>
      </c>
      <c r="H75" t="s">
        <v>33</v>
      </c>
      <c r="I75">
        <f>VLOOKUP(Table4[[#This Row],[Visitor]],'NHL Model'!$A$6:$B$38,2,FALSE)</f>
        <v>-0.41822017589574972</v>
      </c>
      <c r="J75">
        <f>($B$1+Table4[[#This Row],[Home Differential]])-Table4[[#This Row],[Away Differential]]</f>
        <v>0.41089980814852478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0.66737023534373463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0.11064256033528248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-7.0657671368725999E-2</v>
      </c>
      <c r="H76" t="s">
        <v>34</v>
      </c>
      <c r="I76">
        <f>VLOOKUP(Table4[[#This Row],[Visitor]],'NHL Model'!$A$6:$B$38,2,FALSE)</f>
        <v>-0.62096640812916071</v>
      </c>
      <c r="J76">
        <f>($B$1+Table4[[#This Row],[Home Differential]])-Table4[[#This Row],[Away Differential]]</f>
        <v>0.7581198493415815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0.64903670606629138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0.12317523368879875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-0.73027559042992929</v>
      </c>
      <c r="H77" t="s">
        <v>11</v>
      </c>
      <c r="I77">
        <f>VLOOKUP(Table4[[#This Row],[Visitor]],'NHL Model'!$A$6:$B$38,2,FALSE)</f>
        <v>-0.1981495100594213</v>
      </c>
      <c r="J77">
        <f>($B$1+Table4[[#This Row],[Home Differential]])-Table4[[#This Row],[Away Differential]]</f>
        <v>-0.32431496778936131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0.50414917183132291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0.25416638745820874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-0.57641196648435689</v>
      </c>
      <c r="H78" t="s">
        <v>37</v>
      </c>
      <c r="I78">
        <f>VLOOKUP(Table4[[#This Row],[Visitor]],'NHL Model'!$A$6:$B$38,2,FALSE)</f>
        <v>4.5159124835038887E-2</v>
      </c>
      <c r="J78">
        <f>($B$1+Table4[[#This Row],[Home Differential]])-Table4[[#This Row],[Away Differential]]</f>
        <v>-0.41375997873824899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0.55950909374402913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0.31305042598226479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1.4784730509534416</v>
      </c>
      <c r="H79" t="s">
        <v>21</v>
      </c>
      <c r="I79">
        <f>VLOOKUP(Table4[[#This Row],[Visitor]],'NHL Model'!$A$6:$B$38,2,FALSE)</f>
        <v>-5.2681296301607013E-2</v>
      </c>
      <c r="J79">
        <f>($B$1+Table4[[#This Row],[Home Differential]])-Table4[[#This Row],[Away Differential]]</f>
        <v>1.7389654598361954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0.87847322736897571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1.4768756466112675E-2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-0.15545019701583887</v>
      </c>
      <c r="H80" t="s">
        <v>25</v>
      </c>
      <c r="I80">
        <f>VLOOKUP(Table4[[#This Row],[Visitor]],'NHL Model'!$A$6:$B$38,2,FALSE)</f>
        <v>0.67827132507054233</v>
      </c>
      <c r="J80">
        <f>($B$1+Table4[[#This Row],[Home Differential]])-Table4[[#This Row],[Away Differential]]</f>
        <v>-0.62591040950523447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0.65453779170779169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0.11934413735812911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-0.67174708781561598</v>
      </c>
      <c r="H81" t="s">
        <v>15</v>
      </c>
      <c r="I81">
        <f>VLOOKUP(Table4[[#This Row],[Visitor]],'NHL Model'!$A$6:$B$38,2,FALSE)</f>
        <v>-0.39108791057695064</v>
      </c>
      <c r="J81">
        <f>($B$1+Table4[[#This Row],[Home Differential]])-Table4[[#This Row],[Away Differential]]</f>
        <v>-7.2848064657518585E-2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0.59187273314584943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0.16656786594983902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0.29030528207371809</v>
      </c>
      <c r="H82" t="s">
        <v>17</v>
      </c>
      <c r="I82">
        <f>VLOOKUP(Table4[[#This Row],[Visitor]],'NHL Model'!$A$6:$B$38,2,FALSE)</f>
        <v>-0.8965878665431638</v>
      </c>
      <c r="J82">
        <f>($B$1+Table4[[#This Row],[Home Differential]])-Table4[[#This Row],[Away Differential]]</f>
        <v>1.3947042611980287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0.8560242704122093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2.0729010710336632E-2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-0.47846056309234386</v>
      </c>
      <c r="H83" t="s">
        <v>30</v>
      </c>
      <c r="I83">
        <f>VLOOKUP(Table4[[#This Row],[Visitor]],'NHL Model'!$A$6:$B$38,2,FALSE)</f>
        <v>-6.1847876079686406E-2</v>
      </c>
      <c r="J83">
        <f>($B$1+Table4[[#This Row],[Home Differential]])-Table4[[#This Row],[Away Differential]]</f>
        <v>-0.20880157443151071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0.54680944263449871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0.20538168128525372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-0.59708196015665005</v>
      </c>
      <c r="H84" t="s">
        <v>34</v>
      </c>
      <c r="I84">
        <f>VLOOKUP(Table4[[#This Row],[Visitor]],'NHL Model'!$A$6:$B$38,2,FALSE)</f>
        <v>-0.62096640812916071</v>
      </c>
      <c r="J84">
        <f>($B$1+Table4[[#This Row],[Home Differential]])-Table4[[#This Row],[Away Differential]]</f>
        <v>0.23169556055365742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0.57581912948851943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0.17992941090787745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-0.41822017589574972</v>
      </c>
      <c r="H85" t="s">
        <v>14</v>
      </c>
      <c r="I85">
        <f>VLOOKUP(Table4[[#This Row],[Visitor]],'NHL Model'!$A$6:$B$38,2,FALSE)</f>
        <v>0.19552804934912488</v>
      </c>
      <c r="J85">
        <f>($B$1+Table4[[#This Row],[Home Differential]])-Table4[[#This Row],[Away Differential]]</f>
        <v>-0.40593711266372784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0.5183839688056644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0.23195400150338324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-1.7055605761743866</v>
      </c>
      <c r="H86" t="s">
        <v>39</v>
      </c>
      <c r="I86">
        <f>VLOOKUP(Table4[[#This Row],[Visitor]],'NHL Model'!$A$6:$B$38,2,FALSE)</f>
        <v>5.4297665563734943E-2</v>
      </c>
      <c r="J86">
        <f>($B$1+Table4[[#This Row],[Home Differential]])-Table4[[#This Row],[Away Differential]]</f>
        <v>-1.5520471291569748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0.77570960927384813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0.60172539791978619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-0.72519112941434305</v>
      </c>
      <c r="H87" t="s">
        <v>32</v>
      </c>
      <c r="I87">
        <f>VLOOKUP(Table4[[#This Row],[Visitor]],'NHL Model'!$A$6:$B$38,2,FALSE)</f>
        <v>-0.53589042422266964</v>
      </c>
      <c r="J87">
        <f>($B$1+Table4[[#This Row],[Home Differential]])-Table4[[#This Row],[Away Differential]]</f>
        <v>1.8510407389473293E-2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0.5566788827404574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0.30989137848916393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-5.4617353012467046E-4</v>
      </c>
      <c r="H88" t="s">
        <v>16</v>
      </c>
      <c r="I88">
        <f>VLOOKUP(Table4[[#This Row],[Visitor]],'NHL Model'!$A$6:$B$38,2,FALSE)</f>
        <v>-1.5116691651852812</v>
      </c>
      <c r="J88">
        <f>($B$1+Table4[[#This Row],[Home Differential]])-Table4[[#This Row],[Away Differential]]</f>
        <v>1.7189341042363033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0.78722596675672807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4.5272789222608988E-2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0.13227623341979275</v>
      </c>
      <c r="H89" t="s">
        <v>29</v>
      </c>
      <c r="I89">
        <f>VLOOKUP(Table4[[#This Row],[Visitor]],'NHL Model'!$A$6:$B$38,2,FALSE)</f>
        <v>-1.4469605932441605</v>
      </c>
      <c r="J89">
        <f>($B$1+Table4[[#This Row],[Home Differential]])-Table4[[#This Row],[Away Differential]]</f>
        <v>1.7870479392451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0.84873842607603889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2.2880063745953954E-2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0.27981279116457602</v>
      </c>
      <c r="H90" t="s">
        <v>31</v>
      </c>
      <c r="I90">
        <f>VLOOKUP(Table4[[#This Row],[Visitor]],'NHL Model'!$A$6:$B$38,2,FALSE)</f>
        <v>0.50495447305652519</v>
      </c>
      <c r="J90">
        <f>($B$1+Table4[[#This Row],[Home Differential]])-Table4[[#This Row],[Away Differential]]</f>
        <v>-1.7330569310802402E-2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0.47617678237171013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0.22674432806987499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-0.4561706649361581</v>
      </c>
      <c r="H91" t="s">
        <v>17</v>
      </c>
      <c r="I91">
        <f>VLOOKUP(Table4[[#This Row],[Visitor]],'NHL Model'!$A$6:$B$38,2,FALSE)</f>
        <v>-0.8965878665431638</v>
      </c>
      <c r="J91">
        <f>($B$1+Table4[[#This Row],[Home Differential]])-Table4[[#This Row],[Away Differential]]</f>
        <v>0.64822831418815241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0.67366271625802865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0.10649602276008792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-0.21513148032837168</v>
      </c>
      <c r="H92" t="s">
        <v>21</v>
      </c>
      <c r="I92">
        <f>VLOOKUP(Table4[[#This Row],[Visitor]],'NHL Model'!$A$6:$B$38,2,FALSE)</f>
        <v>-5.2681296301607013E-2</v>
      </c>
      <c r="J92">
        <f>($B$1+Table4[[#This Row],[Home Differential]])-Table4[[#This Row],[Away Differential]]</f>
        <v>4.5360928554382098E-2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0.61479654873636835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0.14838169886541305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-7.0657671368725999E-2</v>
      </c>
      <c r="H93" t="s">
        <v>38</v>
      </c>
      <c r="I93">
        <f>VLOOKUP(Table4[[#This Row],[Visitor]],'NHL Model'!$A$6:$B$38,2,FALSE)</f>
        <v>-0.87485041382128448</v>
      </c>
      <c r="J93">
        <f>($B$1+Table4[[#This Row],[Home Differential]])-Table4[[#This Row],[Away Differential]]</f>
        <v>1.0120038550337052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0.66478238217837604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0.44193561565475642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-1.5116691651852812</v>
      </c>
      <c r="H94" t="s">
        <v>40</v>
      </c>
      <c r="I94">
        <f>VLOOKUP(Table4[[#This Row],[Visitor]],'NHL Model'!$A$6:$B$38,2,FALSE)</f>
        <v>0.13227623341979275</v>
      </c>
      <c r="J94">
        <f>($B$1+Table4[[#This Row],[Home Differential]])-Table4[[#This Row],[Away Differential]]</f>
        <v>-1.436134286023927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0.7328680280846529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7.1359490419381791E-2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-0.67174708781561598</v>
      </c>
      <c r="H95" t="s">
        <v>23</v>
      </c>
      <c r="I95">
        <f>VLOOKUP(Table4[[#This Row],[Visitor]],'NHL Model'!$A$6:$B$38,2,FALSE)</f>
        <v>-0.73027559042992929</v>
      </c>
      <c r="J95">
        <f>($B$1+Table4[[#This Row],[Home Differential]])-Table4[[#This Row],[Away Differential]]</f>
        <v>0.26633961519546007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0.57830633686889765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0.17782554552492763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-0.39108791057695064</v>
      </c>
      <c r="H96" t="s">
        <v>34</v>
      </c>
      <c r="I96">
        <f>VLOOKUP(Table4[[#This Row],[Visitor]],'NHL Model'!$A$6:$B$38,2,FALSE)</f>
        <v>-0.62096640812916071</v>
      </c>
      <c r="J96">
        <f>($B$1+Table4[[#This Row],[Home Differential]])-Table4[[#This Row],[Away Differential]]</f>
        <v>0.43768961013335683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0.60295077672722652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0.36354963915596578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-0.59708196015665005</v>
      </c>
      <c r="H97" t="s">
        <v>32</v>
      </c>
      <c r="I97">
        <f>VLOOKUP(Table4[[#This Row],[Visitor]],'NHL Model'!$A$6:$B$38,2,FALSE)</f>
        <v>-0.53589042422266964</v>
      </c>
      <c r="J97">
        <f>($B$1+Table4[[#This Row],[Home Differential]])-Table4[[#This Row],[Away Differential]]</f>
        <v>0.14661957664716635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0.56358306277879144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0.1904597430935403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-5.4617353012467046E-4</v>
      </c>
      <c r="H98" t="s">
        <v>25</v>
      </c>
      <c r="I98">
        <f>VLOOKUP(Table4[[#This Row],[Visitor]],'NHL Model'!$A$6:$B$38,2,FALSE)</f>
        <v>0.67827132507054233</v>
      </c>
      <c r="J98">
        <f>($B$1+Table4[[#This Row],[Home Differential]])-Table4[[#This Row],[Away Differential]]</f>
        <v>-0.47100638601952027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0.63225869626929776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0.39975105900815211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-5.2681296301607013E-2</v>
      </c>
      <c r="H99" t="s">
        <v>11</v>
      </c>
      <c r="I99">
        <f>VLOOKUP(Table4[[#This Row],[Visitor]],'NHL Model'!$A$6:$B$38,2,FALSE)</f>
        <v>-0.1981495100594213</v>
      </c>
      <c r="J99">
        <f>($B$1+Table4[[#This Row],[Home Differential]])-Table4[[#This Row],[Away Differential]]</f>
        <v>0.35327932633896109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0.64252643077174154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0.41284021424027356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5.4297665563734943E-2</v>
      </c>
      <c r="H100" t="s">
        <v>28</v>
      </c>
      <c r="I100">
        <f>VLOOKUP(Table4[[#This Row],[Visitor]],'NHL Model'!$A$6:$B$38,2,FALSE)</f>
        <v>-0.57641196648435689</v>
      </c>
      <c r="J100">
        <f>($B$1+Table4[[#This Row],[Home Differential]])-Table4[[#This Row],[Away Differential]]</f>
        <v>0.83852074462923865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0.66309585662755544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0.43969611507663153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-1.4469605932441605</v>
      </c>
      <c r="H101" t="s">
        <v>31</v>
      </c>
      <c r="I101">
        <f>VLOOKUP(Table4[[#This Row],[Visitor]],'NHL Model'!$A$6:$B$38,2,FALSE)</f>
        <v>0.50495447305652519</v>
      </c>
      <c r="J101">
        <f>($B$1+Table4[[#This Row],[Home Differential]])-Table4[[#This Row],[Away Differential]]</f>
        <v>-1.7441039537195389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0.73161525506992087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7.203037131118363E-2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-6.1847876079686406E-2</v>
      </c>
      <c r="H102" t="s">
        <v>33</v>
      </c>
      <c r="I102">
        <f>VLOOKUP(Table4[[#This Row],[Visitor]],'NHL Model'!$A$6:$B$38,2,FALSE)</f>
        <v>-0.41822017589574972</v>
      </c>
      <c r="J102">
        <f>($B$1+Table4[[#This Row],[Home Differential]])-Table4[[#This Row],[Away Differential]]</f>
        <v>0.56418341239721004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0.62114376764895207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0.14353204479123122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-0.47846056309234386</v>
      </c>
      <c r="H103" t="s">
        <v>17</v>
      </c>
      <c r="I103">
        <f>VLOOKUP(Table4[[#This Row],[Visitor]],'NHL Model'!$A$6:$B$38,2,FALSE)</f>
        <v>-0.8965878665431638</v>
      </c>
      <c r="J103">
        <f>($B$1+Table4[[#This Row],[Home Differential]])-Table4[[#This Row],[Away Differential]]</f>
        <v>0.62593841603196676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0.63252116992296714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0.40008303040071908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0.19552804934912488</v>
      </c>
      <c r="H104" t="s">
        <v>38</v>
      </c>
      <c r="I104">
        <f>VLOOKUP(Table4[[#This Row],[Visitor]],'NHL Model'!$A$6:$B$38,2,FALSE)</f>
        <v>-0.87485041382128448</v>
      </c>
      <c r="J104">
        <f>($B$1+Table4[[#This Row],[Home Differential]])-Table4[[#This Row],[Away Differential]]</f>
        <v>1.278189575751556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0.73939137147471512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6.791685726182993E-2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-1.7055605761743866</v>
      </c>
      <c r="H105" t="s">
        <v>13</v>
      </c>
      <c r="I105">
        <f>VLOOKUP(Table4[[#This Row],[Visitor]],'NHL Model'!$A$6:$B$38,2,FALSE)</f>
        <v>-0.15545019701583887</v>
      </c>
      <c r="J105">
        <f>($B$1+Table4[[#This Row],[Home Differential]])-Table4[[#This Row],[Away Differential]]</f>
        <v>-1.342299266577401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0.7548541550518667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6.0096485295334214E-2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-0.72519112941434305</v>
      </c>
      <c r="H106" t="s">
        <v>24</v>
      </c>
      <c r="I106">
        <f>VLOOKUP(Table4[[#This Row],[Visitor]],'NHL Model'!$A$6:$B$38,2,FALSE)</f>
        <v>0.29030528207371809</v>
      </c>
      <c r="J106">
        <f>($B$1+Table4[[#This Row],[Home Differential]])-Table4[[#This Row],[Away Differential]]</f>
        <v>-0.80768529890691443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0.60453755763609152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0.15639054332042765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-0.21513148032837168</v>
      </c>
      <c r="H107" t="s">
        <v>12</v>
      </c>
      <c r="I107">
        <f>VLOOKUP(Table4[[#This Row],[Visitor]],'NHL Model'!$A$6:$B$38,2,FALSE)</f>
        <v>1.4784730509534416</v>
      </c>
      <c r="J107">
        <f>($B$1+Table4[[#This Row],[Home Differential]])-Table4[[#This Row],[Away Differential]]</f>
        <v>-1.4857934187006665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0.67021621027611844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0.44918976851688219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-7.0657671368725999E-2</v>
      </c>
      <c r="H108" t="s">
        <v>32</v>
      </c>
      <c r="I108">
        <f>VLOOKUP(Table4[[#This Row],[Visitor]],'NHL Model'!$A$6:$B$38,2,FALSE)</f>
        <v>-0.53589042422266964</v>
      </c>
      <c r="J108">
        <f>($B$1+Table4[[#This Row],[Home Differential]])-Table4[[#This Row],[Away Differential]]</f>
        <v>0.67304386543509043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0.63680063935656328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0.1319137755718012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-0.73027559042992929</v>
      </c>
      <c r="H109" t="s">
        <v>26</v>
      </c>
      <c r="I109">
        <f>VLOOKUP(Table4[[#This Row],[Visitor]],'NHL Model'!$A$6:$B$38,2,FALSE)</f>
        <v>-0.4561706649361581</v>
      </c>
      <c r="J109">
        <f>($B$1+Table4[[#This Row],[Home Differential]])-Table4[[#This Row],[Away Differential]]</f>
        <v>-6.6293812912624484E-2</v>
      </c>
      <c r="K109" t="str">
        <f>IF(Table4[[#This Row],[HomeIce Differential]]&gt;0,Table4[[#This Row],[Home]],Table4[[#This Row],[Visitor]])</f>
        <v>Detroit Red Wings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0.51412187398822384</v>
      </c>
      <c r="M109" t="str">
        <f>IF(OR((NHL2025_26Results[[#This Row],[Winning Team]]="")),"-",IF(Table4[[#This Row],[Predicted Winner]]=NHL2025_26Results[[#This Row],[Winning Team]],"YES","NO"))</f>
        <v>NO</v>
      </c>
      <c r="N109">
        <f>IF(Table4[[#This Row],[Adjusted Correct]]="-", "",IF(Table4[[#This Row],[Adjusted Correct]]="YES",(Table4[[#This Row],[Strength of Win]]-1)^2,(Table4[[#This Row],[Strength of Win]]-0)^2))</f>
        <v>0.26432130131316312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-1.5116691651852812</v>
      </c>
      <c r="H110" t="s">
        <v>18</v>
      </c>
      <c r="I110">
        <f>VLOOKUP(Table4[[#This Row],[Visitor]],'NHL Model'!$A$6:$B$38,2,FALSE)</f>
        <v>-0.67174708781561598</v>
      </c>
      <c r="J110">
        <f>($B$1+Table4[[#This Row],[Home Differential]])-Table4[[#This Row],[Away Differential]]</f>
        <v>-0.63211096478851836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0.59801284999099691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0.16159366877236075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0.29030528207371809</v>
      </c>
      <c r="H111" t="s">
        <v>34</v>
      </c>
      <c r="I111">
        <f>VLOOKUP(Table4[[#This Row],[Visitor]],'NHL Model'!$A$6:$B$38,2,FALSE)</f>
        <v>-0.62096640812916071</v>
      </c>
      <c r="J111">
        <f>($B$1+Table4[[#This Row],[Home Differential]])-Table4[[#This Row],[Away Differential]]</f>
        <v>1.1190828027840256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0.81638297098870682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3.3715213342934078E-2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-5.2681296301607013E-2</v>
      </c>
      <c r="H112" t="s">
        <v>31</v>
      </c>
      <c r="I112">
        <f>VLOOKUP(Table4[[#This Row],[Visitor]],'NHL Model'!$A$6:$B$38,2,FALSE)</f>
        <v>0.50495447305652519</v>
      </c>
      <c r="J112">
        <f>($B$1+Table4[[#This Row],[Home Differential]])-Table4[[#This Row],[Away Differential]]</f>
        <v>-0.34982465677698543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0.47888501462099686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0.27156082798655867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1.4784730509534416</v>
      </c>
      <c r="H113" t="s">
        <v>25</v>
      </c>
      <c r="I113">
        <f>VLOOKUP(Table4[[#This Row],[Visitor]],'NHL Model'!$A$6:$B$38,2,FALSE)</f>
        <v>0.67827132507054233</v>
      </c>
      <c r="J113">
        <f>($B$1+Table4[[#This Row],[Home Differential]])-Table4[[#This Row],[Away Differential]]</f>
        <v>1.0080128384640461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0.67129339383809716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0.45063482061067062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5.4297665563734943E-2</v>
      </c>
      <c r="H114" t="s">
        <v>13</v>
      </c>
      <c r="I114">
        <f>VLOOKUP(Table4[[#This Row],[Visitor]],'NHL Model'!$A$6:$B$38,2,FALSE)</f>
        <v>-0.15545019701583887</v>
      </c>
      <c r="J114">
        <f>($B$1+Table4[[#This Row],[Home Differential]])-Table4[[#This Row],[Away Differential]]</f>
        <v>0.4175589751607206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0.50073345110117484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0.25073398905169264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-0.8965878665431638</v>
      </c>
      <c r="H115" t="s">
        <v>18</v>
      </c>
      <c r="I115">
        <f>VLOOKUP(Table4[[#This Row],[Visitor]],'NHL Model'!$A$6:$B$38,2,FALSE)</f>
        <v>-0.67174708781561598</v>
      </c>
      <c r="J115">
        <f>($B$1+Table4[[#This Row],[Home Differential]])-Table4[[#This Row],[Away Differential]]</f>
        <v>-1.7029666146401112E-2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0.47303752969476531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0.22376450449972599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-0.1981495100594213</v>
      </c>
      <c r="H116" t="s">
        <v>14</v>
      </c>
      <c r="I116">
        <f>VLOOKUP(Table4[[#This Row],[Visitor]],'NHL Model'!$A$6:$B$38,2,FALSE)</f>
        <v>0.19552804934912488</v>
      </c>
      <c r="J116">
        <f>($B$1+Table4[[#This Row],[Home Differential]])-Table4[[#This Row],[Away Differential]]</f>
        <v>-0.18586644682739942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0.42328399496279623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0.33260135046607203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-1.4469605932441605</v>
      </c>
      <c r="H117" t="s">
        <v>38</v>
      </c>
      <c r="I117">
        <f>VLOOKUP(Table4[[#This Row],[Visitor]],'NHL Model'!$A$6:$B$38,2,FALSE)</f>
        <v>-0.87485041382128448</v>
      </c>
      <c r="J117">
        <f>($B$1+Table4[[#This Row],[Home Differential]])-Table4[[#This Row],[Away Differential]]</f>
        <v>-0.36429906684172919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0.53316460111330488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0.2842644918803095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-6.1847876079686406E-2</v>
      </c>
      <c r="H118" t="s">
        <v>26</v>
      </c>
      <c r="I118">
        <f>VLOOKUP(Table4[[#This Row],[Visitor]],'NHL Model'!$A$6:$B$38,2,FALSE)</f>
        <v>-0.4561706649361581</v>
      </c>
      <c r="J118">
        <f>($B$1+Table4[[#This Row],[Home Differential]])-Table4[[#This Row],[Away Differential]]</f>
        <v>0.60213390143761847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0.57950261119816437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0.17681805398916212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-0.39108791057695064</v>
      </c>
      <c r="H119" t="s">
        <v>33</v>
      </c>
      <c r="I119">
        <f>VLOOKUP(Table4[[#This Row],[Visitor]],'NHL Model'!$A$6:$B$38,2,FALSE)</f>
        <v>-0.41822017589574972</v>
      </c>
      <c r="J119">
        <f>($B$1+Table4[[#This Row],[Home Differential]])-Table4[[#This Row],[Away Differential]]</f>
        <v>0.23494337789994585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0.57379076812267416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0.32923584558280844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-0.47846056309234386</v>
      </c>
      <c r="H120" t="s">
        <v>27</v>
      </c>
      <c r="I120">
        <f>VLOOKUP(Table4[[#This Row],[Visitor]],'NHL Model'!$A$6:$B$38,2,FALSE)</f>
        <v>-0.59708196015665005</v>
      </c>
      <c r="J120">
        <f>($B$1+Table4[[#This Row],[Home Differential]])-Table4[[#This Row],[Away Differential]]</f>
        <v>0.32643250964545295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0.58944468602909894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0.16855566582974515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-1.7055605761743866</v>
      </c>
      <c r="H121" t="s">
        <v>55</v>
      </c>
      <c r="I121">
        <f>VLOOKUP(Table4[[#This Row],[Visitor]],'NHL Model'!$A$6:$B$38,2,FALSE)</f>
        <v>-0.21513148032837168</v>
      </c>
      <c r="J121">
        <f>($B$1+Table4[[#This Row],[Home Differential]])-Table4[[#This Row],[Away Differential]]</f>
        <v>-1.2826179832648681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0.64447273232332725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0.12639963806164051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4.5159124835038887E-2</v>
      </c>
      <c r="H122" t="s">
        <v>10</v>
      </c>
      <c r="I122">
        <f>VLOOKUP(Table4[[#This Row],[Visitor]],'NHL Model'!$A$6:$B$38,2,FALSE)</f>
        <v>0.27981279116457602</v>
      </c>
      <c r="J122">
        <f>($B$1+Table4[[#This Row],[Home Differential]])-Table4[[#This Row],[Away Differential]]</f>
        <v>-2.6842553748390396E-2</v>
      </c>
      <c r="K122" t="str">
        <f>IF(Table4[[#This Row],[HomeIce Differential]]&gt;0,Table4[[#This Row],[Home]],Table4[[#This Row],[Visitor]])</f>
        <v>Chicago Blackhawks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0.48462986526610319</v>
      </c>
      <c r="M122" t="str">
        <f>IF(OR((NHL2025_26Results[[#This Row],[Winning Team]]="")),"-",IF(Table4[[#This Row],[Predicted Winner]]=NHL2025_26Results[[#This Row],[Winning Team]],"YES","NO"))</f>
        <v>YES</v>
      </c>
      <c r="N122">
        <f>IF(Table4[[#This Row],[Adjusted Correct]]="-", "",IF(Table4[[#This Row],[Adjusted Correct]]="YES",(Table4[[#This Row],[Strength of Win]]-1)^2,(Table4[[#This Row],[Strength of Win]]-0)^2))</f>
        <v>0.26560637577563495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0.13227623341979275</v>
      </c>
      <c r="H123" t="s">
        <v>32</v>
      </c>
      <c r="I123">
        <f>VLOOKUP(Table4[[#This Row],[Visitor]],'NHL Model'!$A$6:$B$38,2,FALSE)</f>
        <v>-0.53589042422266964</v>
      </c>
      <c r="J123">
        <f>($B$1+Table4[[#This Row],[Home Differential]])-Table4[[#This Row],[Away Differential]]</f>
        <v>0.87597777022360912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0.71770361632710755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0.515098480889008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-0.73027559042992929</v>
      </c>
      <c r="H124" t="s">
        <v>19</v>
      </c>
      <c r="I124">
        <f>VLOOKUP(Table4[[#This Row],[Visitor]],'NHL Model'!$A$6:$B$38,2,FALSE)</f>
        <v>-0.72519112941434305</v>
      </c>
      <c r="J124">
        <f>($B$1+Table4[[#This Row],[Home Differential]])-Table4[[#This Row],[Away Differential]]</f>
        <v>0.20272665156556047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0.57165267161627209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0.18348143373347722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-0.57641196648435689</v>
      </c>
      <c r="H125" t="s">
        <v>22</v>
      </c>
      <c r="I125">
        <f>VLOOKUP(Table4[[#This Row],[Visitor]],'NHL Model'!$A$6:$B$38,2,FALSE)</f>
        <v>-7.0657671368725999E-2</v>
      </c>
      <c r="J125">
        <f>($B$1+Table4[[#This Row],[Home Differential]])-Table4[[#This Row],[Away Differential]]</f>
        <v>-0.29794318253448415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0.4958057730311442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0.25421181850872204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0.29030528207371809</v>
      </c>
      <c r="H126" t="s">
        <v>33</v>
      </c>
      <c r="I126">
        <f>VLOOKUP(Table4[[#This Row],[Visitor]],'NHL Model'!$A$6:$B$38,2,FALSE)</f>
        <v>-0.41822017589574972</v>
      </c>
      <c r="J126">
        <f>($B$1+Table4[[#This Row],[Home Differential]])-Table4[[#This Row],[Away Differential]]</f>
        <v>0.91633657055061457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0.78722296238415446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4.5274067736574948E-2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0.13227623341979275</v>
      </c>
      <c r="H127" t="s">
        <v>16</v>
      </c>
      <c r="I127">
        <f>VLOOKUP(Table4[[#This Row],[Visitor]],'NHL Model'!$A$6:$B$38,2,FALSE)</f>
        <v>-1.5116691651852812</v>
      </c>
      <c r="J127">
        <f>($B$1+Table4[[#This Row],[Home Differential]])-Table4[[#This Row],[Away Differential]]</f>
        <v>1.8517565111862206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0.85804514656995712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2.0151180412344958E-2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-5.2681296301607013E-2</v>
      </c>
      <c r="H128" t="s">
        <v>12</v>
      </c>
      <c r="I128">
        <f>VLOOKUP(Table4[[#This Row],[Visitor]],'NHL Model'!$A$6:$B$38,2,FALSE)</f>
        <v>1.4784730509534416</v>
      </c>
      <c r="J128">
        <f>($B$1+Table4[[#This Row],[Home Differential]])-Table4[[#This Row],[Away Differential]]</f>
        <v>-1.3233432346739018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0.66401425851182916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0.44091493550701427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5.4297665563734943E-2</v>
      </c>
      <c r="H129" t="s">
        <v>25</v>
      </c>
      <c r="I129">
        <f>VLOOKUP(Table4[[#This Row],[Visitor]],'NHL Model'!$A$6:$B$38,2,FALSE)</f>
        <v>0.67827132507054233</v>
      </c>
      <c r="J129">
        <f>($B$1+Table4[[#This Row],[Home Differential]])-Table4[[#This Row],[Away Differential]]</f>
        <v>-0.41616254692566063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0.6218984391103054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0.38675766856783422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-0.4561706649361581</v>
      </c>
      <c r="H130" t="s">
        <v>35</v>
      </c>
      <c r="I130">
        <f>VLOOKUP(Table4[[#This Row],[Visitor]],'NHL Model'!$A$6:$B$38,2,FALSE)</f>
        <v>-1.7055605761743866</v>
      </c>
      <c r="J130">
        <f>($B$1+Table4[[#This Row],[Home Differential]])-Table4[[#This Row],[Away Differential]]</f>
        <v>1.4572010238193753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0.79001334291991898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4.4094396151667541E-2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-0.1981495100594213</v>
      </c>
      <c r="H131" t="s">
        <v>20</v>
      </c>
      <c r="I131">
        <f>VLOOKUP(Table4[[#This Row],[Visitor]],'NHL Model'!$A$6:$B$38,2,FALSE)</f>
        <v>-5.4617353012467046E-4</v>
      </c>
      <c r="J131">
        <f>($B$1+Table4[[#This Row],[Home Differential]])-Table4[[#This Row],[Away Differential]]</f>
        <v>1.020777605185013E-2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0.58480146832270574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0.17238982070698111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-0.62096640812916071</v>
      </c>
      <c r="H132" t="s">
        <v>55</v>
      </c>
      <c r="I132">
        <f>VLOOKUP(Table4[[#This Row],[Visitor]],'NHL Model'!$A$6:$B$38,2,FALSE)</f>
        <v>-0.21513148032837168</v>
      </c>
      <c r="J132">
        <f>($B$1+Table4[[#This Row],[Home Differential]])-Table4[[#This Row],[Away Differential]]</f>
        <v>-0.19802381521964227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0.48848080623793455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0.26165188558699348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-1.4469605932441605</v>
      </c>
      <c r="H133" t="s">
        <v>13</v>
      </c>
      <c r="I133">
        <f>VLOOKUP(Table4[[#This Row],[Visitor]],'NHL Model'!$A$6:$B$38,2,FALSE)</f>
        <v>-0.15545019701583887</v>
      </c>
      <c r="J133">
        <f>($B$1+Table4[[#This Row],[Home Differential]])-Table4[[#This Row],[Away Differential]]</f>
        <v>-1.0836992836471748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0.71766097200567724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0.5150372707401335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-0.59708196015665005</v>
      </c>
      <c r="H134" t="s">
        <v>30</v>
      </c>
      <c r="I134">
        <f>VLOOKUP(Table4[[#This Row],[Visitor]],'NHL Model'!$A$6:$B$38,2,FALSE)</f>
        <v>-6.1847876079686406E-2</v>
      </c>
      <c r="J134">
        <f>($B$1+Table4[[#This Row],[Home Differential]])-Table4[[#This Row],[Away Differential]]</f>
        <v>-0.32742297149581689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0.56387018364544406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0.31794958400434681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0.19552804934912488</v>
      </c>
      <c r="H135" t="s">
        <v>28</v>
      </c>
      <c r="I135">
        <f>VLOOKUP(Table4[[#This Row],[Visitor]],'NHL Model'!$A$6:$B$38,2,FALSE)</f>
        <v>-0.57641196648435689</v>
      </c>
      <c r="J135">
        <f>($B$1+Table4[[#This Row],[Home Differential]])-Table4[[#This Row],[Away Differential]]</f>
        <v>0.97975112841462852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0.71694972584972783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0.51401690939599987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-0.53589042422266964</v>
      </c>
      <c r="H136" t="s">
        <v>17</v>
      </c>
      <c r="I136">
        <f>VLOOKUP(Table4[[#This Row],[Visitor]],'NHL Model'!$A$6:$B$38,2,FALSE)</f>
        <v>-0.8965878665431638</v>
      </c>
      <c r="J136">
        <f>($B$1+Table4[[#This Row],[Home Differential]])-Table4[[#This Row],[Away Differential]]</f>
        <v>0.56850855490164087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0.64780356779610082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0.12404232685715576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4.5159124835038887E-2</v>
      </c>
      <c r="H137" t="s">
        <v>31</v>
      </c>
      <c r="I137">
        <f>VLOOKUP(Table4[[#This Row],[Visitor]],'NHL Model'!$A$6:$B$38,2,FALSE)</f>
        <v>0.50495447305652519</v>
      </c>
      <c r="J137">
        <f>($B$1+Table4[[#This Row],[Home Differential]])-Table4[[#This Row],[Away Differential]]</f>
        <v>-0.25198423564033956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0.51701090292531127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0.26730027374364562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-0.72519112941434305</v>
      </c>
      <c r="H138" t="s">
        <v>23</v>
      </c>
      <c r="I138">
        <f>VLOOKUP(Table4[[#This Row],[Visitor]],'NHL Model'!$A$6:$B$38,2,FALSE)</f>
        <v>-0.73027559042992929</v>
      </c>
      <c r="J138">
        <f>($B$1+Table4[[#This Row],[Home Differential]])-Table4[[#This Row],[Away Differential]]</f>
        <v>0.21289557359673295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0.58463635971431027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0.17252695367137985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-0.87485041382128448</v>
      </c>
      <c r="H139" t="s">
        <v>18</v>
      </c>
      <c r="I139">
        <f>VLOOKUP(Table4[[#This Row],[Visitor]],'NHL Model'!$A$6:$B$38,2,FALSE)</f>
        <v>-0.67174708781561598</v>
      </c>
      <c r="J139">
        <f>($B$1+Table4[[#This Row],[Home Differential]])-Table4[[#This Row],[Away Differential]]</f>
        <v>4.7077865754783232E-3</v>
      </c>
      <c r="K139" t="str">
        <f>IF(Table4[[#This Row],[HomeIce Differential]]&gt;0,Table4[[#This Row],[Home]],Table4[[#This Row],[Visitor]])</f>
        <v>Vancouver Canucks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0.49357770666080908</v>
      </c>
      <c r="M139" t="str">
        <f>IF(OR((NHL2025_26Results[[#This Row],[Winning Team]]="")),"-",IF(Table4[[#This Row],[Predicted Winner]]=NHL2025_26Results[[#This Row],[Winning Team]],"YES","NO"))</f>
        <v>NO</v>
      </c>
      <c r="N139">
        <f>IF(Table4[[#This Row],[Adjusted Correct]]="-", "",IF(Table4[[#This Row],[Adjusted Correct]]="YES",(Table4[[#This Row],[Strength of Win]]-1)^2,(Table4[[#This Row],[Strength of Win]]-0)^2))</f>
        <v>0.2436189525125437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-7.0657671368725999E-2</v>
      </c>
      <c r="H140" t="s">
        <v>36</v>
      </c>
      <c r="I140">
        <f>VLOOKUP(Table4[[#This Row],[Visitor]],'NHL Model'!$A$6:$B$38,2,FALSE)</f>
        <v>-0.47846056309234386</v>
      </c>
      <c r="J140">
        <f>($B$1+Table4[[#This Row],[Home Differential]])-Table4[[#This Row],[Away Differential]]</f>
        <v>0.61561400430476465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0.6285407805849802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0.39506351285837621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-1.5116691651852812</v>
      </c>
      <c r="H141" t="s">
        <v>15</v>
      </c>
      <c r="I141">
        <f>VLOOKUP(Table4[[#This Row],[Visitor]],'NHL Model'!$A$6:$B$38,2,FALSE)</f>
        <v>-0.39108791057695064</v>
      </c>
      <c r="J141">
        <f>($B$1+Table4[[#This Row],[Home Differential]])-Table4[[#This Row],[Away Differential]]</f>
        <v>-0.91277014202718365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0.71267465746992975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0.50790516739988167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0.27981279116457602</v>
      </c>
      <c r="H142" t="s">
        <v>13</v>
      </c>
      <c r="I142">
        <f>VLOOKUP(Table4[[#This Row],[Visitor]],'NHL Model'!$A$6:$B$38,2,FALSE)</f>
        <v>-0.15545019701583887</v>
      </c>
      <c r="J142">
        <f>($B$1+Table4[[#This Row],[Home Differential]])-Table4[[#This Row],[Away Differential]]</f>
        <v>0.64307410076156168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0.53769571271066197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0.28911667946742675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-0.62096640812916071</v>
      </c>
      <c r="H143" t="s">
        <v>33</v>
      </c>
      <c r="I143">
        <f>VLOOKUP(Table4[[#This Row],[Visitor]],'NHL Model'!$A$6:$B$38,2,FALSE)</f>
        <v>-0.41822017589574972</v>
      </c>
      <c r="J143">
        <f>($B$1+Table4[[#This Row],[Home Differential]])-Table4[[#This Row],[Away Differential]]</f>
        <v>5.0648803477357784E-3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0.54072845720926144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0.29238726443590807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0.29030528207371809</v>
      </c>
      <c r="H144" t="s">
        <v>12</v>
      </c>
      <c r="I144">
        <f>VLOOKUP(Table4[[#This Row],[Visitor]],'NHL Model'!$A$6:$B$38,2,FALSE)</f>
        <v>1.4784730509534416</v>
      </c>
      <c r="J144">
        <f>($B$1+Table4[[#This Row],[Home Differential]])-Table4[[#This Row],[Away Differential]]</f>
        <v>-0.98035665629857682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0.54777961064997494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0.30006250184383815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-1.4469605932441605</v>
      </c>
      <c r="H145" t="s">
        <v>39</v>
      </c>
      <c r="I145">
        <f>VLOOKUP(Table4[[#This Row],[Visitor]],'NHL Model'!$A$6:$B$38,2,FALSE)</f>
        <v>5.4297665563734943E-2</v>
      </c>
      <c r="J145">
        <f>($B$1+Table4[[#This Row],[Home Differential]])-Table4[[#This Row],[Away Differential]]</f>
        <v>-1.2934471462267485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0.73851642622765867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6.8373659352755467E-2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4.5159124835038887E-2</v>
      </c>
      <c r="H146" t="s">
        <v>20</v>
      </c>
      <c r="I146">
        <f>VLOOKUP(Table4[[#This Row],[Visitor]],'NHL Model'!$A$6:$B$38,2,FALSE)</f>
        <v>-5.4617353012467046E-4</v>
      </c>
      <c r="J146">
        <f>($B$1+Table4[[#This Row],[Home Differential]])-Table4[[#This Row],[Away Differential]]</f>
        <v>0.25351641094631028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0.55569280674019639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0.19740888198240447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-0.87485041382128448</v>
      </c>
      <c r="H147" t="s">
        <v>17</v>
      </c>
      <c r="I147">
        <f>VLOOKUP(Table4[[#This Row],[Visitor]],'NHL Model'!$A$6:$B$38,2,FALSE)</f>
        <v>-0.8965878665431638</v>
      </c>
      <c r="J147">
        <f>($B$1+Table4[[#This Row],[Home Differential]])-Table4[[#This Row],[Away Differential]]</f>
        <v>0.22954856530302614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0.57301485835600074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0.18231631118474612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0.13227623341979275</v>
      </c>
      <c r="H148" t="s">
        <v>55</v>
      </c>
      <c r="I148">
        <f>VLOOKUP(Table4[[#This Row],[Visitor]],'NHL Model'!$A$6:$B$38,2,FALSE)</f>
        <v>-0.21513148032837168</v>
      </c>
      <c r="J148">
        <f>($B$1+Table4[[#This Row],[Home Differential]])-Table4[[#This Row],[Away Differential]]</f>
        <v>0.55521882632931119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0.67157041098508741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0.45100681691067923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-0.47846056309234386</v>
      </c>
      <c r="H149" t="s">
        <v>21</v>
      </c>
      <c r="I149">
        <f>VLOOKUP(Table4[[#This Row],[Visitor]],'NHL Model'!$A$6:$B$38,2,FALSE)</f>
        <v>-5.2681296301607013E-2</v>
      </c>
      <c r="J149">
        <f>($B$1+Table4[[#This Row],[Home Differential]])-Table4[[#This Row],[Away Differential]]</f>
        <v>-0.21796815420959009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0.48885382471245381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0.23897806193599452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0.19552804934912488</v>
      </c>
      <c r="H150" t="s">
        <v>35</v>
      </c>
      <c r="I150">
        <f>VLOOKUP(Table4[[#This Row],[Visitor]],'NHL Model'!$A$6:$B$38,2,FALSE)</f>
        <v>-1.7055605761743866</v>
      </c>
      <c r="J150">
        <f>($B$1+Table4[[#This Row],[Home Differential]])-Table4[[#This Row],[Away Differential]]</f>
        <v>2.1088997381046584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0.87934970148268399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1.4556494532317466E-2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-5.2681296301607013E-2</v>
      </c>
      <c r="H151" t="s">
        <v>30</v>
      </c>
      <c r="I151">
        <f>VLOOKUP(Table4[[#This Row],[Visitor]],'NHL Model'!$A$6:$B$38,2,FALSE)</f>
        <v>-6.1847876079686406E-2</v>
      </c>
      <c r="J151">
        <f>($B$1+Table4[[#This Row],[Home Differential]])-Table4[[#This Row],[Away Differential]]</f>
        <v>0.21697769235922615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0.56454018391937499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0.18962525142097175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-0.73027559042992929</v>
      </c>
      <c r="H152" t="s">
        <v>28</v>
      </c>
      <c r="I152">
        <f>VLOOKUP(Table4[[#This Row],[Visitor]],'NHL Model'!$A$6:$B$38,2,FALSE)</f>
        <v>-0.57641196648435689</v>
      </c>
      <c r="J152">
        <f>($B$1+Table4[[#This Row],[Home Differential]])-Table4[[#This Row],[Away Differential]]</f>
        <v>5.3947488635574303E-2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0.55025448520646525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0.30277999848983206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0.67827132507054233</v>
      </c>
      <c r="H153" t="s">
        <v>20</v>
      </c>
      <c r="I153">
        <f>VLOOKUP(Table4[[#This Row],[Visitor]],'NHL Model'!$A$6:$B$38,2,FALSE)</f>
        <v>-5.4617353012467046E-4</v>
      </c>
      <c r="J153">
        <f>($B$1+Table4[[#This Row],[Home Differential]])-Table4[[#This Row],[Away Differential]]</f>
        <v>0.8866286111818138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0.69894807029323869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0.48852840496664213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0.27981279116457602</v>
      </c>
      <c r="H154" t="s">
        <v>36</v>
      </c>
      <c r="I154">
        <f>VLOOKUP(Table4[[#This Row],[Visitor]],'NHL Model'!$A$6:$B$38,2,FALSE)</f>
        <v>-0.47846056309234386</v>
      </c>
      <c r="J154">
        <f>($B$1+Table4[[#This Row],[Home Differential]])-Table4[[#This Row],[Away Differential]]</f>
        <v>0.96608446683806659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0.68599320160855137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9.8600269436047869E-2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1.4784730509534416</v>
      </c>
      <c r="H155" t="s">
        <v>24</v>
      </c>
      <c r="I155">
        <f>VLOOKUP(Table4[[#This Row],[Visitor]],'NHL Model'!$A$6:$B$38,2,FALSE)</f>
        <v>0.29030528207371809</v>
      </c>
      <c r="J155">
        <f>($B$1+Table4[[#This Row],[Home Differential]])-Table4[[#This Row],[Away Differential]]</f>
        <v>1.3959788814608705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0.78856314080263812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4.470554542724503E-2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5.4297665563734943E-2</v>
      </c>
      <c r="H156" t="s">
        <v>22</v>
      </c>
      <c r="I156">
        <f>VLOOKUP(Table4[[#This Row],[Visitor]],'NHL Model'!$A$6:$B$38,2,FALSE)</f>
        <v>-7.0657671368725999E-2</v>
      </c>
      <c r="J156">
        <f>($B$1+Table4[[#This Row],[Home Differential]])-Table4[[#This Row],[Away Differential]]</f>
        <v>0.33276644951360768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0.59035566592264133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0.16780848044168264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-0.8965878665431638</v>
      </c>
      <c r="H157" t="s">
        <v>55</v>
      </c>
      <c r="I157">
        <f>VLOOKUP(Table4[[#This Row],[Visitor]],'NHL Model'!$A$6:$B$38,2,FALSE)</f>
        <v>-0.21513148032837168</v>
      </c>
      <c r="J157">
        <f>($B$1+Table4[[#This Row],[Home Differential]])-Table4[[#This Row],[Away Differential]]</f>
        <v>-0.47364527363364539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0.49208523930199005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0.24214788273889681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-0.1981495100594213</v>
      </c>
      <c r="H158" t="s">
        <v>31</v>
      </c>
      <c r="I158">
        <f>VLOOKUP(Table4[[#This Row],[Visitor]],'NHL Model'!$A$6:$B$38,2,FALSE)</f>
        <v>0.50495447305652519</v>
      </c>
      <c r="J158">
        <f>($B$1+Table4[[#This Row],[Home Differential]])-Table4[[#This Row],[Away Differential]]</f>
        <v>-0.49529287053479976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0.48790224134280191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0.2622441144217259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-0.62096640812916071</v>
      </c>
      <c r="H159" t="s">
        <v>40</v>
      </c>
      <c r="I159">
        <f>VLOOKUP(Table4[[#This Row],[Visitor]],'NHL Model'!$A$6:$B$38,2,FALSE)</f>
        <v>0.13227623341979275</v>
      </c>
      <c r="J159">
        <f>($B$1+Table4[[#This Row],[Home Differential]])-Table4[[#This Row],[Away Differential]]</f>
        <v>-0.54543152896780667</v>
      </c>
      <c r="K159" t="str">
        <f>IF(Table4[[#This Row],[HomeIce Differential]]&gt;0,Table4[[#This Row],[Home]],Table4[[#This Row],[Visitor]])</f>
        <v>Winnipeg Jets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0.60476256455153155</v>
      </c>
      <c r="M159" t="str">
        <f>IF(OR((NHL2025_26Results[[#This Row],[Winning Team]]="")),"-",IF(Table4[[#This Row],[Predicted Winner]]=NHL2025_26Results[[#This Row],[Winning Team]],"YES","NO"))</f>
        <v>YES</v>
      </c>
      <c r="N159">
        <f>IF(Table4[[#This Row],[Adjusted Correct]]="-", "",IF(Table4[[#This Row],[Adjusted Correct]]="YES",(Table4[[#This Row],[Strength of Win]]-1)^2,(Table4[[#This Row],[Strength of Win]]-0)^2))</f>
        <v>0.15621263037988226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-1.4469605932441605</v>
      </c>
      <c r="H160" t="s">
        <v>37</v>
      </c>
      <c r="I160">
        <f>VLOOKUP(Table4[[#This Row],[Visitor]],'NHL Model'!$A$6:$B$38,2,FALSE)</f>
        <v>4.5159124835038887E-2</v>
      </c>
      <c r="J160">
        <f>($B$1+Table4[[#This Row],[Home Differential]])-Table4[[#This Row],[Away Differential]]</f>
        <v>-1.2843086054980526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0.69181527781152607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9.4977822990386859E-2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-0.59708196015665005</v>
      </c>
      <c r="H161" t="s">
        <v>14</v>
      </c>
      <c r="I161">
        <f>VLOOKUP(Table4[[#This Row],[Visitor]],'NHL Model'!$A$6:$B$38,2,FALSE)</f>
        <v>0.19552804934912488</v>
      </c>
      <c r="J161">
        <f>($B$1+Table4[[#This Row],[Home Differential]])-Table4[[#This Row],[Away Differential]]</f>
        <v>-0.58479889692462816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0.54161331373551103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0.29334498161556111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-0.53589042422266964</v>
      </c>
      <c r="H162" t="s">
        <v>18</v>
      </c>
      <c r="I162">
        <f>VLOOKUP(Table4[[#This Row],[Visitor]],'NHL Model'!$A$6:$B$38,2,FALSE)</f>
        <v>-0.67174708781561598</v>
      </c>
      <c r="J162">
        <f>($B$1+Table4[[#This Row],[Home Differential]])-Table4[[#This Row],[Away Differential]]</f>
        <v>0.34366777617409311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0.56865884096335206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0.32337287740578291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-0.41822017589574972</v>
      </c>
      <c r="H163" t="s">
        <v>13</v>
      </c>
      <c r="I163">
        <f>VLOOKUP(Table4[[#This Row],[Visitor]],'NHL Model'!$A$6:$B$38,2,FALSE)</f>
        <v>-0.15545019701583887</v>
      </c>
      <c r="J163">
        <f>($B$1+Table4[[#This Row],[Home Differential]])-Table4[[#This Row],[Away Differential]]</f>
        <v>-5.4958866298764092E-2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0.56970222036192164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0.18515617916146024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-1.7055605761743866</v>
      </c>
      <c r="H164" t="s">
        <v>26</v>
      </c>
      <c r="I164">
        <f>VLOOKUP(Table4[[#This Row],[Visitor]],'NHL Model'!$A$6:$B$38,2,FALSE)</f>
        <v>-0.4561706649361581</v>
      </c>
      <c r="J164">
        <f>($B$1+Table4[[#This Row],[Home Differential]])-Table4[[#This Row],[Away Differential]]</f>
        <v>-1.0415787986570817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0.65690462532691907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0.11771443612206178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-0.72519112941434305</v>
      </c>
      <c r="H165" t="s">
        <v>16</v>
      </c>
      <c r="I165">
        <f>VLOOKUP(Table4[[#This Row],[Visitor]],'NHL Model'!$A$6:$B$38,2,FALSE)</f>
        <v>-1.5116691651852812</v>
      </c>
      <c r="J165">
        <f>($B$1+Table4[[#This Row],[Home Differential]])-Table4[[#This Row],[Away Differential]]</f>
        <v>0.99428914835208482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0.69702041298330686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9.179663014880593E-2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-0.87485041382128448</v>
      </c>
      <c r="H166" t="s">
        <v>15</v>
      </c>
      <c r="I166">
        <f>VLOOKUP(Table4[[#This Row],[Visitor]],'NHL Model'!$A$6:$B$38,2,FALSE)</f>
        <v>-0.39108791057695064</v>
      </c>
      <c r="J166">
        <f>($B$1+Table4[[#This Row],[Home Differential]])-Table4[[#This Row],[Away Differential]]</f>
        <v>-0.27595139066318702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0.62108410081812382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0.14357725865280976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-0.57641196648435689</v>
      </c>
      <c r="H167" t="s">
        <v>19</v>
      </c>
      <c r="I167">
        <f>VLOOKUP(Table4[[#This Row],[Visitor]],'NHL Model'!$A$6:$B$38,2,FALSE)</f>
        <v>-0.72519112941434305</v>
      </c>
      <c r="J167">
        <f>($B$1+Table4[[#This Row],[Home Differential]])-Table4[[#This Row],[Away Differential]]</f>
        <v>0.35659027551113293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0.5983326040835768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0.16133669694228067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-5.2681296301607013E-2</v>
      </c>
      <c r="H168" t="s">
        <v>23</v>
      </c>
      <c r="I168">
        <f>VLOOKUP(Table4[[#This Row],[Visitor]],'NHL Model'!$A$6:$B$38,2,FALSE)</f>
        <v>-0.73027559042992929</v>
      </c>
      <c r="J168">
        <f>($B$1+Table4[[#This Row],[Home Differential]])-Table4[[#This Row],[Away Differential]]</f>
        <v>0.88540540670946899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0.71905954762121804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7.8927537782794654E-2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0.67827132507054233</v>
      </c>
      <c r="H169" t="s">
        <v>30</v>
      </c>
      <c r="I169">
        <f>VLOOKUP(Table4[[#This Row],[Visitor]],'NHL Model'!$A$6:$B$38,2,FALSE)</f>
        <v>-6.1847876079686406E-2</v>
      </c>
      <c r="J169">
        <f>($B$1+Table4[[#This Row],[Home Differential]])-Table4[[#This Row],[Away Differential]]</f>
        <v>0.9479303137313756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0.66966955916810278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0.10911820014019555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-0.8965878665431638</v>
      </c>
      <c r="H170" t="s">
        <v>15</v>
      </c>
      <c r="I170">
        <f>VLOOKUP(Table4[[#This Row],[Visitor]],'NHL Model'!$A$6:$B$38,2,FALSE)</f>
        <v>-0.39108791057695064</v>
      </c>
      <c r="J170">
        <f>($B$1+Table4[[#This Row],[Home Differential]])-Table4[[#This Row],[Away Differential]]</f>
        <v>-0.29768884338506646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0.58826968997764684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0.16952184819110305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-0.15545019701583887</v>
      </c>
      <c r="H171" t="s">
        <v>26</v>
      </c>
      <c r="I171">
        <f>VLOOKUP(Table4[[#This Row],[Visitor]],'NHL Model'!$A$6:$B$38,2,FALSE)</f>
        <v>-0.4561706649361581</v>
      </c>
      <c r="J171">
        <f>($B$1+Table4[[#This Row],[Home Differential]])-Table4[[#This Row],[Away Differential]]</f>
        <v>0.50853158050146596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0.56604024272977271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0.32040155638958001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-0.62096640812916071</v>
      </c>
      <c r="H172" t="s">
        <v>14</v>
      </c>
      <c r="I172">
        <f>VLOOKUP(Table4[[#This Row],[Visitor]],'NHL Model'!$A$6:$B$38,2,FALSE)</f>
        <v>0.19552804934912488</v>
      </c>
      <c r="J172">
        <f>($B$1+Table4[[#This Row],[Home Differential]])-Table4[[#This Row],[Away Differential]]</f>
        <v>-0.60868334489713882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0.54754397741021676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0.20471645237776645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-0.47846056309234386</v>
      </c>
      <c r="H173" t="s">
        <v>16</v>
      </c>
      <c r="I173">
        <f>VLOOKUP(Table4[[#This Row],[Visitor]],'NHL Model'!$A$6:$B$38,2,FALSE)</f>
        <v>-1.5116691651852812</v>
      </c>
      <c r="J173">
        <f>($B$1+Table4[[#This Row],[Home Differential]])-Table4[[#This Row],[Away Differential]]</f>
        <v>1.241019714674084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0.72098533403258613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7.7849183824907534E-2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-0.59708196015665005</v>
      </c>
      <c r="H174" t="s">
        <v>29</v>
      </c>
      <c r="I174">
        <f>VLOOKUP(Table4[[#This Row],[Visitor]],'NHL Model'!$A$6:$B$38,2,FALSE)</f>
        <v>-1.4469605932441605</v>
      </c>
      <c r="J174">
        <f>($B$1+Table4[[#This Row],[Home Differential]])-Table4[[#This Row],[Away Differential]]</f>
        <v>1.0576897456686571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0.69461787252772278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9.3258243779494168E-2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-0.41822017589574972</v>
      </c>
      <c r="H175" t="s">
        <v>24</v>
      </c>
      <c r="I175">
        <f>VLOOKUP(Table4[[#This Row],[Visitor]],'NHL Model'!$A$6:$B$38,2,FALSE)</f>
        <v>0.29030528207371809</v>
      </c>
      <c r="J175">
        <f>($B$1+Table4[[#This Row],[Home Differential]])-Table4[[#This Row],[Away Differential]]</f>
        <v>-0.50071434538832105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0.5745278819601104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0.33008228714957055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-1.7055605761743866</v>
      </c>
      <c r="H176" t="s">
        <v>38</v>
      </c>
      <c r="I176">
        <f>VLOOKUP(Table4[[#This Row],[Visitor]],'NHL Model'!$A$6:$B$38,2,FALSE)</f>
        <v>-0.87485041382128448</v>
      </c>
      <c r="J176">
        <f>($B$1+Table4[[#This Row],[Home Differential]])-Table4[[#This Row],[Away Differential]]</f>
        <v>-0.62289904977195532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0.57035778415949423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0.18459243363233974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4.5159124835038887E-2</v>
      </c>
      <c r="H177" t="s">
        <v>39</v>
      </c>
      <c r="I177">
        <f>VLOOKUP(Table4[[#This Row],[Visitor]],'NHL Model'!$A$6:$B$38,2,FALSE)</f>
        <v>5.4297665563734943E-2</v>
      </c>
      <c r="J177">
        <f>($B$1+Table4[[#This Row],[Home Differential]])-Table4[[#This Row],[Away Differential]]</f>
        <v>0.19867257185245069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0.47608792591695098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0.27448386137000219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0.13227623341979275</v>
      </c>
      <c r="H178" t="s">
        <v>10</v>
      </c>
      <c r="I178">
        <f>VLOOKUP(Table4[[#This Row],[Visitor]],'NHL Model'!$A$6:$B$38,2,FALSE)</f>
        <v>0.27981279116457602</v>
      </c>
      <c r="J178">
        <f>($B$1+Table4[[#This Row],[Home Differential]])-Table4[[#This Row],[Away Differential]]</f>
        <v>6.0274554836363459E-2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0.58009756871795382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0.17631805179657351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0.50495447305652519</v>
      </c>
      <c r="H179" t="s">
        <v>26</v>
      </c>
      <c r="I179">
        <f>VLOOKUP(Table4[[#This Row],[Visitor]],'NHL Model'!$A$6:$B$38,2,FALSE)</f>
        <v>-0.4561706649361581</v>
      </c>
      <c r="J179">
        <f>($B$1+Table4[[#This Row],[Home Differential]])-Table4[[#This Row],[Away Differential]]</f>
        <v>1.1689362505738301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0.77486401234821245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5.0686212935945836E-2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-5.4617353012467046E-4</v>
      </c>
      <c r="H180" t="s">
        <v>12</v>
      </c>
      <c r="I180">
        <f>VLOOKUP(Table4[[#This Row],[Visitor]],'NHL Model'!$A$6:$B$38,2,FALSE)</f>
        <v>1.4784730509534416</v>
      </c>
      <c r="J180">
        <f>($B$1+Table4[[#This Row],[Home Differential]])-Table4[[#This Row],[Away Differential]]</f>
        <v>-1.2712081119024194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0.70914749526132326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8.4595179512761978E-2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-7.0657671368725999E-2</v>
      </c>
      <c r="H181" t="s">
        <v>30</v>
      </c>
      <c r="I181">
        <f>VLOOKUP(Table4[[#This Row],[Visitor]],'NHL Model'!$A$6:$B$38,2,FALSE)</f>
        <v>-6.1847876079686406E-2</v>
      </c>
      <c r="J181">
        <f>($B$1+Table4[[#This Row],[Home Differential]])-Table4[[#This Row],[Away Differential]]</f>
        <v>0.19900131729210718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0.50933356179870737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0.25942067717455763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-5.2681296301607013E-2</v>
      </c>
      <c r="H182" t="s">
        <v>25</v>
      </c>
      <c r="I182">
        <f>VLOOKUP(Table4[[#This Row],[Visitor]],'NHL Model'!$A$6:$B$38,2,FALSE)</f>
        <v>0.67827132507054233</v>
      </c>
      <c r="J182">
        <f>($B$1+Table4[[#This Row],[Home Differential]])-Table4[[#This Row],[Away Differential]]</f>
        <v>-0.52314150879100252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0.58743603138613365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0.34508109097069062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-0.73027559042992929</v>
      </c>
      <c r="H183" t="s">
        <v>22</v>
      </c>
      <c r="I183">
        <f>VLOOKUP(Table4[[#This Row],[Visitor]],'NHL Model'!$A$6:$B$38,2,FALSE)</f>
        <v>-7.0657671368725999E-2</v>
      </c>
      <c r="J183">
        <f>($B$1+Table4[[#This Row],[Home Differential]])-Table4[[#This Row],[Away Differential]]</f>
        <v>-0.45180680648005656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0.52248570549844886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0.27299131245021185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-0.57641196648435689</v>
      </c>
      <c r="H184" t="s">
        <v>35</v>
      </c>
      <c r="I184">
        <f>VLOOKUP(Table4[[#This Row],[Visitor]],'NHL Model'!$A$6:$B$38,2,FALSE)</f>
        <v>-1.7055605761743866</v>
      </c>
      <c r="J184">
        <f>($B$1+Table4[[#This Row],[Home Differential]])-Table4[[#This Row],[Away Differential]]</f>
        <v>1.3369597222711764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0.73933439330672623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6.7946558512772495E-2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-0.8965878665431638</v>
      </c>
      <c r="H185" t="s">
        <v>10</v>
      </c>
      <c r="I185">
        <f>VLOOKUP(Table4[[#This Row],[Visitor]],'NHL Model'!$A$6:$B$38,2,FALSE)</f>
        <v>0.27981279116457602</v>
      </c>
      <c r="J185">
        <f>($B$1+Table4[[#This Row],[Home Differential]])-Table4[[#This Row],[Away Differential]]</f>
        <v>-0.96858954512659312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0.58375198747022561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0.34076638287543842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-0.1981495100594213</v>
      </c>
      <c r="H186" t="s">
        <v>39</v>
      </c>
      <c r="I186">
        <f>VLOOKUP(Table4[[#This Row],[Visitor]],'NHL Model'!$A$6:$B$38,2,FALSE)</f>
        <v>5.4297665563734943E-2</v>
      </c>
      <c r="J186">
        <f>($B$1+Table4[[#This Row],[Home Differential]])-Table4[[#This Row],[Away Differential]]</f>
        <v>-4.4636063042009483E-2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0.49422466680658039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0.2442580212800754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-0.15545019701583887</v>
      </c>
      <c r="H187" t="s">
        <v>24</v>
      </c>
      <c r="I187">
        <f>VLOOKUP(Table4[[#This Row],[Visitor]],'NHL Model'!$A$6:$B$38,2,FALSE)</f>
        <v>0.29030528207371809</v>
      </c>
      <c r="J187">
        <f>($B$1+Table4[[#This Row],[Home Differential]])-Table4[[#This Row],[Away Differential]]</f>
        <v>-0.23794436650841019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0.53673494859336368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0.21461450785479338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-0.62096640812916071</v>
      </c>
      <c r="H188" t="s">
        <v>38</v>
      </c>
      <c r="I188">
        <f>VLOOKUP(Table4[[#This Row],[Visitor]],'NHL Model'!$A$6:$B$38,2,FALSE)</f>
        <v>-0.87485041382128448</v>
      </c>
      <c r="J188">
        <f>($B$1+Table4[[#This Row],[Home Differential]])-Table4[[#This Row],[Away Differential]]</f>
        <v>0.46169511827327053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0.58563414192589847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0.17169906433748647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-0.67174708781561598</v>
      </c>
      <c r="H189" t="s">
        <v>36</v>
      </c>
      <c r="I189">
        <f>VLOOKUP(Table4[[#This Row],[Visitor]],'NHL Model'!$A$6:$B$38,2,FALSE)</f>
        <v>-0.47846056309234386</v>
      </c>
      <c r="J189">
        <f>($B$1+Table4[[#This Row],[Home Differential]])-Table4[[#This Row],[Away Differential]]</f>
        <v>1.4524587857874638E-2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0.54208900112346159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0.20968248289210917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-1.4469605932441605</v>
      </c>
      <c r="H190" t="s">
        <v>16</v>
      </c>
      <c r="I190">
        <f>VLOOKUP(Table4[[#This Row],[Visitor]],'NHL Model'!$A$6:$B$38,2,FALSE)</f>
        <v>-1.5116691651852812</v>
      </c>
      <c r="J190">
        <f>($B$1+Table4[[#This Row],[Home Differential]])-Table4[[#This Row],[Away Differential]]</f>
        <v>0.27251968452226749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0.57919518630773192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0.17707669122658445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-0.59708196015665005</v>
      </c>
      <c r="H191" t="s">
        <v>19</v>
      </c>
      <c r="I191">
        <f>VLOOKUP(Table4[[#This Row],[Visitor]],'NHL Model'!$A$6:$B$38,2,FALSE)</f>
        <v>-0.72519112941434305</v>
      </c>
      <c r="J191">
        <f>($B$1+Table4[[#This Row],[Home Differential]])-Table4[[#This Row],[Away Differential]]</f>
        <v>0.33592028183883976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0.5908092663507627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0.34905558920592644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-0.53589042422266964</v>
      </c>
      <c r="H192" t="s">
        <v>15</v>
      </c>
      <c r="I192">
        <f>VLOOKUP(Table4[[#This Row],[Visitor]],'NHL Model'!$A$6:$B$38,2,FALSE)</f>
        <v>-0.39108791057695064</v>
      </c>
      <c r="J192">
        <f>($B$1+Table4[[#This Row],[Home Differential]])-Table4[[#This Row],[Away Differential]]</f>
        <v>6.3008598935427762E-2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0.45350666605457346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0.2056682961559344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-0.41822017589574972</v>
      </c>
      <c r="H193" t="s">
        <v>12</v>
      </c>
      <c r="I193">
        <f>VLOOKUP(Table4[[#This Row],[Visitor]],'NHL Model'!$A$6:$B$38,2,FALSE)</f>
        <v>1.4784730509534416</v>
      </c>
      <c r="J193">
        <f>($B$1+Table4[[#This Row],[Home Differential]])-Table4[[#This Row],[Away Differential]]</f>
        <v>-1.6888821142680446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0.7692195240665638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0.5916986762051909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0.13227623341979275</v>
      </c>
      <c r="H194" t="s">
        <v>14</v>
      </c>
      <c r="I194">
        <f>VLOOKUP(Table4[[#This Row],[Visitor]],'NHL Model'!$A$6:$B$38,2,FALSE)</f>
        <v>0.19552804934912488</v>
      </c>
      <c r="J194">
        <f>($B$1+Table4[[#This Row],[Home Differential]])-Table4[[#This Row],[Away Differential]]</f>
        <v>0.14455929665181461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0.61250723981280519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0.15015063919749086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0.50495447305652519</v>
      </c>
      <c r="H195" t="s">
        <v>24</v>
      </c>
      <c r="I195">
        <f>VLOOKUP(Table4[[#This Row],[Visitor]],'NHL Model'!$A$6:$B$38,2,FALSE)</f>
        <v>0.29030528207371809</v>
      </c>
      <c r="J195">
        <f>($B$1+Table4[[#This Row],[Home Differential]])-Table4[[#This Row],[Away Differential]]</f>
        <v>0.42246030356395392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0.67187153043581915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0.10766829253853155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-6.1847876079686406E-2</v>
      </c>
      <c r="H196" t="s">
        <v>28</v>
      </c>
      <c r="I196">
        <f>VLOOKUP(Table4[[#This Row],[Visitor]],'NHL Model'!$A$6:$B$38,2,FALSE)</f>
        <v>-0.57641196648435689</v>
      </c>
      <c r="J196">
        <f>($B$1+Table4[[#This Row],[Home Differential]])-Table4[[#This Row],[Away Differential]]</f>
        <v>0.72237520298581726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0.64389572670594097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0.12681025345828989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-0.59708196015665005</v>
      </c>
      <c r="H197" t="s">
        <v>16</v>
      </c>
      <c r="I197">
        <f>VLOOKUP(Table4[[#This Row],[Visitor]],'NHL Model'!$A$6:$B$38,2,FALSE)</f>
        <v>-1.5116691651852812</v>
      </c>
      <c r="J197">
        <f>($B$1+Table4[[#This Row],[Home Differential]])-Table4[[#This Row],[Away Differential]]</f>
        <v>1.1223983176097778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0.7039245930216409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0.49550983266068277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-0.41822017589574972</v>
      </c>
      <c r="H198" t="s">
        <v>26</v>
      </c>
      <c r="I198">
        <f>VLOOKUP(Table4[[#This Row],[Visitor]],'NHL Model'!$A$6:$B$38,2,FALSE)</f>
        <v>-0.4561706649361581</v>
      </c>
      <c r="J198">
        <f>($B$1+Table4[[#This Row],[Home Differential]])-Table4[[#This Row],[Away Differential]]</f>
        <v>0.24576160162155514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0.52824730936302611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0.2790452198492766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-0.21513148032837168</v>
      </c>
      <c r="H199" t="s">
        <v>37</v>
      </c>
      <c r="I199">
        <f>VLOOKUP(Table4[[#This Row],[Visitor]],'NHL Model'!$A$6:$B$38,2,FALSE)</f>
        <v>4.5159124835038887E-2</v>
      </c>
      <c r="J199">
        <f>($B$1+Table4[[#This Row],[Home Differential]])-Table4[[#This Row],[Away Differential]]</f>
        <v>-5.2479492582263802E-2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0.44504787123984435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0.30797186521542835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-1.4469605932441605</v>
      </c>
      <c r="H200" t="s">
        <v>38</v>
      </c>
      <c r="I200">
        <f>VLOOKUP(Table4[[#This Row],[Visitor]],'NHL Model'!$A$6:$B$38,2,FALSE)</f>
        <v>-0.87485041382128448</v>
      </c>
      <c r="J200">
        <f>($B$1+Table4[[#This Row],[Home Differential]])-Table4[[#This Row],[Away Differential]]</f>
        <v>-0.36429906684172919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0.53316460111330488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0.21793528965369974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-0.53589042422266964</v>
      </c>
      <c r="H201" t="s">
        <v>10</v>
      </c>
      <c r="I201">
        <f>VLOOKUP(Table4[[#This Row],[Visitor]],'NHL Model'!$A$6:$B$38,2,FALSE)</f>
        <v>0.27981279116457602</v>
      </c>
      <c r="J201">
        <f>($B$1+Table4[[#This Row],[Home Differential]])-Table4[[#This Row],[Away Differential]]</f>
        <v>-0.60789210280609884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0.5419756314380052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0.29373758507262443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-1.7055605761743866</v>
      </c>
      <c r="H202" t="s">
        <v>17</v>
      </c>
      <c r="I202">
        <f>VLOOKUP(Table4[[#This Row],[Visitor]],'NHL Model'!$A$6:$B$38,2,FALSE)</f>
        <v>-0.8965878665431638</v>
      </c>
      <c r="J202">
        <f>($B$1+Table4[[#This Row],[Home Differential]])-Table4[[#This Row],[Away Differential]]</f>
        <v>-0.60116159705007599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0.54646216084807653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0.29862089323874907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-0.72519112941434305</v>
      </c>
      <c r="H203" t="s">
        <v>14</v>
      </c>
      <c r="I203">
        <f>VLOOKUP(Table4[[#This Row],[Visitor]],'NHL Model'!$A$6:$B$38,2,FALSE)</f>
        <v>0.19552804934912488</v>
      </c>
      <c r="J203">
        <f>($B$1+Table4[[#This Row],[Home Differential]])-Table4[[#This Row],[Away Differential]]</f>
        <v>-0.71290806618232128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0.54851749377384518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0.30087144097594026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0.50495447305652519</v>
      </c>
      <c r="H204" t="s">
        <v>11</v>
      </c>
      <c r="I204">
        <f>VLOOKUP(Table4[[#This Row],[Visitor]],'NHL Model'!$A$6:$B$38,2,FALSE)</f>
        <v>-0.1981495100594213</v>
      </c>
      <c r="J204">
        <f>($B$1+Table4[[#This Row],[Home Differential]])-Table4[[#This Row],[Away Differential]]</f>
        <v>0.91091509569709328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0.78177172539269979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4.762357983807923E-2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-0.73027559042992929</v>
      </c>
      <c r="H205" t="s">
        <v>55</v>
      </c>
      <c r="I205">
        <f>VLOOKUP(Table4[[#This Row],[Visitor]],'NHL Model'!$A$6:$B$38,2,FALSE)</f>
        <v>-0.21513148032837168</v>
      </c>
      <c r="J205">
        <f>($B$1+Table4[[#This Row],[Home Differential]])-Table4[[#This Row],[Away Differential]]</f>
        <v>-0.30733299752041088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0.50170673729771953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0.24829617565448389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1.4784730509534416</v>
      </c>
      <c r="H206" t="s">
        <v>37</v>
      </c>
      <c r="I206">
        <f>VLOOKUP(Table4[[#This Row],[Visitor]],'NHL Model'!$A$6:$B$38,2,FALSE)</f>
        <v>4.5159124835038887E-2</v>
      </c>
      <c r="J206">
        <f>($B$1+Table4[[#This Row],[Home Differential]])-Table4[[#This Row],[Away Differential]]</f>
        <v>1.6411250386995495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0.81936839905298631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3.2627775260681197E-2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5.4297665563734943E-2</v>
      </c>
      <c r="H207" t="s">
        <v>17</v>
      </c>
      <c r="I207">
        <f>VLOOKUP(Table4[[#This Row],[Visitor]],'NHL Model'!$A$6:$B$38,2,FALSE)</f>
        <v>-0.8965878665431638</v>
      </c>
      <c r="J207">
        <f>($B$1+Table4[[#This Row],[Home Differential]])-Table4[[#This Row],[Away Differential]]</f>
        <v>1.1586966446880456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0.70914520559862138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8.4596511426268228E-2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-0.15545019701583887</v>
      </c>
      <c r="H208" t="s">
        <v>40</v>
      </c>
      <c r="I208">
        <f>VLOOKUP(Table4[[#This Row],[Visitor]],'NHL Model'!$A$6:$B$38,2,FALSE)</f>
        <v>0.13227623341979275</v>
      </c>
      <c r="J208">
        <f>($B$1+Table4[[#This Row],[Home Differential]])-Table4[[#This Row],[Away Differential]]</f>
        <v>-7.9915317854484857E-2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0.53780962258023257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0.28923919013989219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-0.62096640812916071</v>
      </c>
      <c r="H209" t="s">
        <v>29</v>
      </c>
      <c r="I209">
        <f>VLOOKUP(Table4[[#This Row],[Visitor]],'NHL Model'!$A$6:$B$38,2,FALSE)</f>
        <v>-1.4469605932441605</v>
      </c>
      <c r="J209">
        <f>($B$1+Table4[[#This Row],[Home Differential]])-Table4[[#This Row],[Away Differential]]</f>
        <v>1.0338052976961465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0.68868720885301704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9.6915653931725035E-2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-0.67174708781561598</v>
      </c>
      <c r="H210" t="s">
        <v>27</v>
      </c>
      <c r="I210">
        <f>VLOOKUP(Table4[[#This Row],[Visitor]],'NHL Model'!$A$6:$B$38,2,FALSE)</f>
        <v>-0.59708196015665005</v>
      </c>
      <c r="J210">
        <f>($B$1+Table4[[#This Row],[Home Differential]])-Table4[[#This Row],[Away Differential]]</f>
        <v>0.13314598492218083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0.55914974213440694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0.31264843412897375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-6.1847876079686406E-2</v>
      </c>
      <c r="H211" t="s">
        <v>21</v>
      </c>
      <c r="I211">
        <f>VLOOKUP(Table4[[#This Row],[Visitor]],'NHL Model'!$A$6:$B$38,2,FALSE)</f>
        <v>-5.2681296301607013E-2</v>
      </c>
      <c r="J211">
        <f>($B$1+Table4[[#This Row],[Home Differential]])-Table4[[#This Row],[Away Differential]]</f>
        <v>0.19864453280306738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0.56857008104158591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0.32327193705563556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-0.39108791057695064</v>
      </c>
      <c r="H212" t="s">
        <v>25</v>
      </c>
      <c r="I212">
        <f>VLOOKUP(Table4[[#This Row],[Visitor]],'NHL Model'!$A$6:$B$38,2,FALSE)</f>
        <v>0.67827132507054233</v>
      </c>
      <c r="J212">
        <f>($B$1+Table4[[#This Row],[Home Differential]])-Table4[[#This Row],[Away Differential]]</f>
        <v>-0.86154812306634621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0.68842842276567795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9.7076847740283106E-2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-5.4617353012467046E-4</v>
      </c>
      <c r="H213" t="s">
        <v>26</v>
      </c>
      <c r="I213">
        <f>VLOOKUP(Table4[[#This Row],[Visitor]],'NHL Model'!$A$6:$B$38,2,FALSE)</f>
        <v>-0.4561706649361581</v>
      </c>
      <c r="J213">
        <f>($B$1+Table4[[#This Row],[Home Differential]])-Table4[[#This Row],[Away Differential]]</f>
        <v>0.66343560398718016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0.58831933816826665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0.16948096732621398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-1.5116691651852812</v>
      </c>
      <c r="H214" t="s">
        <v>28</v>
      </c>
      <c r="I214">
        <f>VLOOKUP(Table4[[#This Row],[Visitor]],'NHL Model'!$A$6:$B$38,2,FALSE)</f>
        <v>-0.57641196648435689</v>
      </c>
      <c r="J214">
        <f>($B$1+Table4[[#This Row],[Home Differential]])-Table4[[#This Row],[Away Differential]]</f>
        <v>-0.72744608611977746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0.56462504726687113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0.31880144400111643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-0.53589042422266964</v>
      </c>
      <c r="H215" t="s">
        <v>33</v>
      </c>
      <c r="I215">
        <f>VLOOKUP(Table4[[#This Row],[Visitor]],'NHL Model'!$A$6:$B$38,2,FALSE)</f>
        <v>-0.41822017589574972</v>
      </c>
      <c r="J215">
        <f>($B$1+Table4[[#This Row],[Home Differential]])-Table4[[#This Row],[Away Differential]]</f>
        <v>9.0140864254226849E-2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0.57900225976804598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0.33524361681650378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-0.72519112941434305</v>
      </c>
      <c r="H216" t="s">
        <v>55</v>
      </c>
      <c r="I216">
        <f>VLOOKUP(Table4[[#This Row],[Visitor]],'NHL Model'!$A$6:$B$38,2,FALSE)</f>
        <v>-0.21513148032837168</v>
      </c>
      <c r="J216">
        <f>($B$1+Table4[[#This Row],[Home Differential]])-Table4[[#This Row],[Away Differential]]</f>
        <v>-0.30224853650482464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0.48945432260156296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0.23956553391335486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-0.87485041382128448</v>
      </c>
      <c r="H217" t="s">
        <v>10</v>
      </c>
      <c r="I217">
        <f>VLOOKUP(Table4[[#This Row],[Visitor]],'NHL Model'!$A$6:$B$38,2,FALSE)</f>
        <v>0.27981279116457602</v>
      </c>
      <c r="J217">
        <f>($B$1+Table4[[#This Row],[Home Differential]])-Table4[[#This Row],[Away Differential]]</f>
        <v>-0.94685209240471369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0.61695038125282486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0.14672701042235622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-7.0657671368725999E-2</v>
      </c>
      <c r="H218" t="s">
        <v>35</v>
      </c>
      <c r="I218">
        <f>VLOOKUP(Table4[[#This Row],[Visitor]],'NHL Model'!$A$6:$B$38,2,FALSE)</f>
        <v>-1.7055605761743866</v>
      </c>
      <c r="J218">
        <f>($B$1+Table4[[#This Row],[Home Differential]])-Table4[[#This Row],[Away Differential]]</f>
        <v>1.8427140173868073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0.80502863215168396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3.8013834280643366E-2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-5.2681296301607013E-2</v>
      </c>
      <c r="H219" t="s">
        <v>36</v>
      </c>
      <c r="I219">
        <f>VLOOKUP(Table4[[#This Row],[Visitor]],'NHL Model'!$A$6:$B$38,2,FALSE)</f>
        <v>-0.47846056309234386</v>
      </c>
      <c r="J219">
        <f>($B$1+Table4[[#This Row],[Home Differential]])-Table4[[#This Row],[Away Differential]]</f>
        <v>0.63359037937188356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0.68284221187578209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0.1005890625678463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-0.73027559042992929</v>
      </c>
      <c r="H220" t="s">
        <v>35</v>
      </c>
      <c r="I220">
        <f>VLOOKUP(Table4[[#This Row],[Visitor]],'NHL Model'!$A$6:$B$38,2,FALSE)</f>
        <v>-1.7055605761743866</v>
      </c>
      <c r="J220">
        <f>($B$1+Table4[[#This Row],[Home Differential]])-Table4[[#This Row],[Away Differential]]</f>
        <v>1.183096098325604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0.71265446083942141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0.50787638055432638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0.67827132507054233</v>
      </c>
      <c r="H221" t="s">
        <v>34</v>
      </c>
      <c r="I221">
        <f>VLOOKUP(Table4[[#This Row],[Visitor]],'NHL Model'!$A$6:$B$38,2,FALSE)</f>
        <v>-0.62096640812916071</v>
      </c>
      <c r="J221">
        <f>($B$1+Table4[[#This Row],[Home Differential]])-Table4[[#This Row],[Away Differential]]</f>
        <v>1.50704884578085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0.80846751260582106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3.6684693727401317E-2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5.4297665563734943E-2</v>
      </c>
      <c r="H222" t="s">
        <v>31</v>
      </c>
      <c r="I222">
        <f>VLOOKUP(Table4[[#This Row],[Visitor]],'NHL Model'!$A$6:$B$38,2,FALSE)</f>
        <v>0.50495447305652519</v>
      </c>
      <c r="J222">
        <f>($B$1+Table4[[#This Row],[Home Differential]])-Table4[[#This Row],[Away Differential]]</f>
        <v>-0.24284569491164348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0.513188189669739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0.23698573867702602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-0.15545019701583887</v>
      </c>
      <c r="H223" t="s">
        <v>11</v>
      </c>
      <c r="I223">
        <f>VLOOKUP(Table4[[#This Row],[Visitor]],'NHL Model'!$A$6:$B$38,2,FALSE)</f>
        <v>-0.1981495100594213</v>
      </c>
      <c r="J223">
        <f>($B$1+Table4[[#This Row],[Home Differential]])-Table4[[#This Row],[Away Differential]]</f>
        <v>0.25051042562472919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0.57602970119976116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0.33181021666428612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0.29030528207371809</v>
      </c>
      <c r="H224" t="s">
        <v>18</v>
      </c>
      <c r="I224">
        <f>VLOOKUP(Table4[[#This Row],[Visitor]],'NHL Model'!$A$6:$B$38,2,FALSE)</f>
        <v>-0.67174708781561598</v>
      </c>
      <c r="J224">
        <f>($B$1+Table4[[#This Row],[Home Differential]])-Table4[[#This Row],[Away Differential]]</f>
        <v>1.1698634824704808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0.77990628402415407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4.8441243812056334E-2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-1.4469605932441605</v>
      </c>
      <c r="H225" t="s">
        <v>27</v>
      </c>
      <c r="I225">
        <f>VLOOKUP(Table4[[#This Row],[Visitor]],'NHL Model'!$A$6:$B$38,2,FALSE)</f>
        <v>-0.59708196015665005</v>
      </c>
      <c r="J225">
        <f>($B$1+Table4[[#This Row],[Home Differential]])-Table4[[#This Row],[Away Differential]]</f>
        <v>-0.64206752050636362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0.55234546169575538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0.20039458566438642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0.19552804934912488</v>
      </c>
      <c r="H226" t="s">
        <v>22</v>
      </c>
      <c r="I226">
        <f>VLOOKUP(Table4[[#This Row],[Visitor]],'NHL Model'!$A$6:$B$38,2,FALSE)</f>
        <v>-7.0657671368725999E-2</v>
      </c>
      <c r="J226">
        <f>($B$1+Table4[[#This Row],[Home Differential]])-Table4[[#This Row],[Away Differential]]</f>
        <v>0.47399683329899767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0.64420953514481372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0.12658685488186955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-5.4617353012467046E-4</v>
      </c>
      <c r="H227" t="s">
        <v>37</v>
      </c>
      <c r="I227">
        <f>VLOOKUP(Table4[[#This Row],[Visitor]],'NHL Model'!$A$6:$B$38,2,FALSE)</f>
        <v>4.5159124835038887E-2</v>
      </c>
      <c r="J227">
        <f>($B$1+Table4[[#This Row],[Home Differential]])-Table4[[#This Row],[Away Differential]]</f>
        <v>0.16210581421598319</v>
      </c>
      <c r="K227" t="str">
        <f>IF(Table4[[#This Row],[HomeIce Differential]]&gt;0,Table4[[#This Row],[Home]],Table4[[#This Row],[Visitor]])</f>
        <v>Vegas Golden Knights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0.51621550263747007</v>
      </c>
      <c r="M227" t="str">
        <f>IF(OR((NHL2025_26Results[[#This Row],[Winning Team]]="")),"-",IF(Table4[[#This Row],[Predicted Winner]]=NHL2025_26Results[[#This Row],[Winning Team]],"YES","NO"))</f>
        <v>NO</v>
      </c>
      <c r="N227">
        <f>IF(Table4[[#This Row],[Adjusted Correct]]="-", "",IF(Table4[[#This Row],[Adjusted Correct]]="YES",(Table4[[#This Row],[Strength of Win]]-1)^2,(Table4[[#This Row],[Strength of Win]]-0)^2))</f>
        <v>0.26647844516325586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-1.5116691651852812</v>
      </c>
      <c r="H228" t="s">
        <v>10</v>
      </c>
      <c r="I228">
        <f>VLOOKUP(Table4[[#This Row],[Visitor]],'NHL Model'!$A$6:$B$38,2,FALSE)</f>
        <v>0.27981279116457602</v>
      </c>
      <c r="J228">
        <f>($B$1+Table4[[#This Row],[Home Differential]])-Table4[[#This Row],[Away Differential]]</f>
        <v>-1.5836708437687104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0.70854093790463091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8.4948384877512217E-2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-0.4561706649361581</v>
      </c>
      <c r="H229" t="s">
        <v>15</v>
      </c>
      <c r="I229">
        <f>VLOOKUP(Table4[[#This Row],[Visitor]],'NHL Model'!$A$6:$B$38,2,FALSE)</f>
        <v>-0.39108791057695064</v>
      </c>
      <c r="J229">
        <f>($B$1+Table4[[#This Row],[Home Differential]])-Table4[[#This Row],[Away Differential]]</f>
        <v>0.1427283582219393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0.47954432191763374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0.22996275668344315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-6.1847876079686406E-2</v>
      </c>
      <c r="H230" t="s">
        <v>34</v>
      </c>
      <c r="I230">
        <f>VLOOKUP(Table4[[#This Row],[Visitor]],'NHL Model'!$A$6:$B$38,2,FALSE)</f>
        <v>-0.62096640812916071</v>
      </c>
      <c r="J230">
        <f>($B$1+Table4[[#This Row],[Home Differential]])-Table4[[#This Row],[Away Differential]]</f>
        <v>0.76692964463062108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0.65030377625350444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0.42289500140956798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-0.41822017589574972</v>
      </c>
      <c r="H231" t="s">
        <v>40</v>
      </c>
      <c r="I231">
        <f>VLOOKUP(Table4[[#This Row],[Visitor]],'NHL Model'!$A$6:$B$38,2,FALSE)</f>
        <v>0.13227623341979275</v>
      </c>
      <c r="J231">
        <f>($B$1+Table4[[#This Row],[Home Differential]])-Table4[[#This Row],[Away Differential]]</f>
        <v>-0.34268529673439574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0.57560255594697918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0.33131830241269528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0.67827132507054233</v>
      </c>
      <c r="H232" t="s">
        <v>23</v>
      </c>
      <c r="I232">
        <f>VLOOKUP(Table4[[#This Row],[Visitor]],'NHL Model'!$A$6:$B$38,2,FALSE)</f>
        <v>-0.73027559042992929</v>
      </c>
      <c r="J232">
        <f>($B$1+Table4[[#This Row],[Home Differential]])-Table4[[#This Row],[Away Differential]]</f>
        <v>1.6163580280816183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0.82418892286994594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3.0909534841629817E-2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-0.8965878665431638</v>
      </c>
      <c r="H233" t="s">
        <v>12</v>
      </c>
      <c r="I233">
        <f>VLOOKUP(Table4[[#This Row],[Visitor]],'NHL Model'!$A$6:$B$38,2,FALSE)</f>
        <v>1.4784730509534416</v>
      </c>
      <c r="J233">
        <f>($B$1+Table4[[#This Row],[Home Differential]])-Table4[[#This Row],[Away Differential]]</f>
        <v>-2.1672498049154587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0.80150096098828127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3.9401868488575832E-2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-0.67174708781561598</v>
      </c>
      <c r="H234" t="s">
        <v>55</v>
      </c>
      <c r="I234">
        <f>VLOOKUP(Table4[[#This Row],[Visitor]],'NHL Model'!$A$6:$B$38,2,FALSE)</f>
        <v>-0.21513148032837168</v>
      </c>
      <c r="J234">
        <f>($B$1+Table4[[#This Row],[Home Differential]])-Table4[[#This Row],[Away Differential]]</f>
        <v>-0.24880449490609755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0.49578434544697558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0.24580211719028602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0.29030528207371809</v>
      </c>
      <c r="H235" t="s">
        <v>14</v>
      </c>
      <c r="I235">
        <f>VLOOKUP(Table4[[#This Row],[Visitor]],'NHL Model'!$A$6:$B$38,2,FALSE)</f>
        <v>0.19552804934912488</v>
      </c>
      <c r="J235">
        <f>($B$1+Table4[[#This Row],[Home Differential]])-Table4[[#This Row],[Away Differential]]</f>
        <v>0.30258834530573997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0.69895052776467637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9.0630784733166894E-2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-1.4469605932441605</v>
      </c>
      <c r="H236" t="s">
        <v>39</v>
      </c>
      <c r="I236">
        <f>VLOOKUP(Table4[[#This Row],[Visitor]],'NHL Model'!$A$6:$B$38,2,FALSE)</f>
        <v>5.4297665563734943E-2</v>
      </c>
      <c r="J236">
        <f>($B$1+Table4[[#This Row],[Home Differential]])-Table4[[#This Row],[Away Differential]]</f>
        <v>-1.2934471462267485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0.73851642622765867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6.8373659352755467E-2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-0.39108791057695064</v>
      </c>
      <c r="H237" t="s">
        <v>30</v>
      </c>
      <c r="I237">
        <f>VLOOKUP(Table4[[#This Row],[Visitor]],'NHL Model'!$A$6:$B$38,2,FALSE)</f>
        <v>-6.1847876079686406E-2</v>
      </c>
      <c r="J237">
        <f>($B$1+Table4[[#This Row],[Home Differential]])-Table4[[#This Row],[Away Differential]]</f>
        <v>-0.12142892191611747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0.53675236754035738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0.21459836897946413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-0.59708196015665005</v>
      </c>
      <c r="H238" t="s">
        <v>36</v>
      </c>
      <c r="I238">
        <f>VLOOKUP(Table4[[#This Row],[Visitor]],'NHL Model'!$A$6:$B$38,2,FALSE)</f>
        <v>-0.47846056309234386</v>
      </c>
      <c r="J238">
        <f>($B$1+Table4[[#This Row],[Home Differential]])-Table4[[#This Row],[Away Differential]]</f>
        <v>8.9189715516840573E-2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0.55532320400720836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0.30838386090883158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-0.41822017589574972</v>
      </c>
      <c r="H239" t="s">
        <v>11</v>
      </c>
      <c r="I239">
        <f>VLOOKUP(Table4[[#This Row],[Visitor]],'NHL Model'!$A$6:$B$38,2,FALSE)</f>
        <v>-0.1981495100594213</v>
      </c>
      <c r="J239">
        <f>($B$1+Table4[[#This Row],[Home Differential]])-Table4[[#This Row],[Away Differential]]</f>
        <v>-1.225955325518166E-2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0.46176323216698556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0.21322528258130141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-1.7055605761743866</v>
      </c>
      <c r="H240" t="s">
        <v>32</v>
      </c>
      <c r="I240">
        <f>VLOOKUP(Table4[[#This Row],[Visitor]],'NHL Model'!$A$6:$B$38,2,FALSE)</f>
        <v>-0.53589042422266964</v>
      </c>
      <c r="J240">
        <f>($B$1+Table4[[#This Row],[Home Differential]])-Table4[[#This Row],[Away Differential]]</f>
        <v>-0.96185903937057016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0.5983395269813071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0.16133113558560014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4.5159124835038887E-2</v>
      </c>
      <c r="H241" t="s">
        <v>22</v>
      </c>
      <c r="I241">
        <f>VLOOKUP(Table4[[#This Row],[Visitor]],'NHL Model'!$A$6:$B$38,2,FALSE)</f>
        <v>-7.0657671368725999E-2</v>
      </c>
      <c r="J241">
        <f>($B$1+Table4[[#This Row],[Home Differential]])-Table4[[#This Row],[Away Differential]]</f>
        <v>0.32362790878491166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0.58654583466674248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0.17094434683142065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-0.72519112941434305</v>
      </c>
      <c r="H242" t="s">
        <v>21</v>
      </c>
      <c r="I242">
        <f>VLOOKUP(Table4[[#This Row],[Visitor]],'NHL Model'!$A$6:$B$38,2,FALSE)</f>
        <v>-5.2681296301607013E-2</v>
      </c>
      <c r="J242">
        <f>($B$1+Table4[[#This Row],[Home Differential]])-Table4[[#This Row],[Away Differential]]</f>
        <v>-0.46469872053158934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0.51281874576173325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0.23734557448117069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-0.87485041382128448</v>
      </c>
      <c r="H243" t="s">
        <v>28</v>
      </c>
      <c r="I243">
        <f>VLOOKUP(Table4[[#This Row],[Visitor]],'NHL Model'!$A$6:$B$38,2,FALSE)</f>
        <v>-0.57641196648435689</v>
      </c>
      <c r="J243">
        <f>($B$1+Table4[[#This Row],[Home Differential]])-Table4[[#This Row],[Away Differential]]</f>
        <v>-9.0627334755780775E-2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0.4730344906150652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0.22376162931145421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-5.4617353012467046E-4</v>
      </c>
      <c r="H244" t="s">
        <v>31</v>
      </c>
      <c r="I244">
        <f>VLOOKUP(Table4[[#This Row],[Visitor]],'NHL Model'!$A$6:$B$38,2,FALSE)</f>
        <v>0.50495447305652519</v>
      </c>
      <c r="J244">
        <f>($B$1+Table4[[#This Row],[Home Differential]])-Table4[[#This Row],[Away Differential]]</f>
        <v>-0.29768953400550313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0.52358447462092461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0.22697175282222043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0.50495447305652519</v>
      </c>
      <c r="H245" t="s">
        <v>40</v>
      </c>
      <c r="I245">
        <f>VLOOKUP(Table4[[#This Row],[Visitor]],'NHL Model'!$A$6:$B$38,2,FALSE)</f>
        <v>0.13227623341979275</v>
      </c>
      <c r="J245">
        <f>($B$1+Table4[[#This Row],[Home Differential]])-Table4[[#This Row],[Away Differential]]</f>
        <v>0.58048935221787923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0.67172426611510028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0.10776495745766949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5.4297665563734943E-2</v>
      </c>
      <c r="H246" t="s">
        <v>32</v>
      </c>
      <c r="I246">
        <f>VLOOKUP(Table4[[#This Row],[Visitor]],'NHL Model'!$A$6:$B$38,2,FALSE)</f>
        <v>-0.53589042422266964</v>
      </c>
      <c r="J246">
        <f>($B$1+Table4[[#This Row],[Home Differential]])-Table4[[#This Row],[Away Differential]]</f>
        <v>0.79799920236755129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0.6572678394653908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0.11746533386472113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-0.4561706649361581</v>
      </c>
      <c r="H247" t="s">
        <v>10</v>
      </c>
      <c r="I247">
        <f>VLOOKUP(Table4[[#This Row],[Visitor]],'NHL Model'!$A$6:$B$38,2,FALSE)</f>
        <v>0.27981279116457602</v>
      </c>
      <c r="J247">
        <f>($B$1+Table4[[#This Row],[Home Differential]])-Table4[[#This Row],[Away Differential]]</f>
        <v>-0.52817234351958731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0.51596447002766899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0.23429039427559537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-0.62096640812916071</v>
      </c>
      <c r="H248" t="s">
        <v>16</v>
      </c>
      <c r="I248">
        <f>VLOOKUP(Table4[[#This Row],[Visitor]],'NHL Model'!$A$6:$B$38,2,FALSE)</f>
        <v>-1.5116691651852812</v>
      </c>
      <c r="J248">
        <f>($B$1+Table4[[#This Row],[Home Differential]])-Table4[[#This Row],[Away Differential]]</f>
        <v>1.0985138696372672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0.69799392934693516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9.1207666711303995E-2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-0.47846056309234386</v>
      </c>
      <c r="H249" t="s">
        <v>55</v>
      </c>
      <c r="I249">
        <f>VLOOKUP(Table4[[#This Row],[Visitor]],'NHL Model'!$A$6:$B$38,2,FALSE)</f>
        <v>-0.21513148032837168</v>
      </c>
      <c r="J249">
        <f>($B$1+Table4[[#This Row],[Home Differential]])-Table4[[#This Row],[Away Differential]]</f>
        <v>-5.5517970182825421E-2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0.46548940155228352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0.21668038295750305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0.19552804934912488</v>
      </c>
      <c r="H250" t="s">
        <v>13</v>
      </c>
      <c r="I250">
        <f>VLOOKUP(Table4[[#This Row],[Visitor]],'NHL Model'!$A$6:$B$38,2,FALSE)</f>
        <v>-0.15545019701583887</v>
      </c>
      <c r="J250">
        <f>($B$1+Table4[[#This Row],[Home Differential]])-Table4[[#This Row],[Away Differential]]</f>
        <v>0.55878935894611048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0.55482052181107067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0.30782581142270876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-0.72519112941434305</v>
      </c>
      <c r="H251" t="s">
        <v>25</v>
      </c>
      <c r="I251">
        <f>VLOOKUP(Table4[[#This Row],[Visitor]],'NHL Model'!$A$6:$B$38,2,FALSE)</f>
        <v>0.67827132507054233</v>
      </c>
      <c r="J251">
        <f>($B$1+Table4[[#This Row],[Home Differential]])-Table4[[#This Row],[Away Differential]]</f>
        <v>-1.1956513419037387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0.72252653926188504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7.6991521413986228E-2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-0.87485041382128448</v>
      </c>
      <c r="H252" t="s">
        <v>12</v>
      </c>
      <c r="I252">
        <f>VLOOKUP(Table4[[#This Row],[Visitor]],'NHL Model'!$A$6:$B$38,2,FALSE)</f>
        <v>1.4784730509534416</v>
      </c>
      <c r="J252">
        <f>($B$1+Table4[[#This Row],[Home Differential]])-Table4[[#This Row],[Away Differential]]</f>
        <v>-2.1455123521935793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0.83489443955243159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2.7259846090705666E-2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-0.8965878665431638</v>
      </c>
      <c r="H253" t="s">
        <v>28</v>
      </c>
      <c r="I253">
        <f>VLOOKUP(Table4[[#This Row],[Visitor]],'NHL Model'!$A$6:$B$38,2,FALSE)</f>
        <v>-0.57641196648435689</v>
      </c>
      <c r="J253">
        <f>($B$1+Table4[[#This Row],[Home Differential]])-Table4[[#This Row],[Away Differential]]</f>
        <v>-0.11236478747766021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0.44012401679780522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0.19370915016223472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0.29030528207371809</v>
      </c>
      <c r="H254" t="s">
        <v>30</v>
      </c>
      <c r="I254">
        <f>VLOOKUP(Table4[[#This Row],[Visitor]],'NHL Model'!$A$6:$B$38,2,FALSE)</f>
        <v>-6.1847876079686406E-2</v>
      </c>
      <c r="J254">
        <f>($B$1+Table4[[#This Row],[Home Differential]])-Table4[[#This Row],[Away Differential]]</f>
        <v>0.55996427073455124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0.68053694893852923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0.46313053887056232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-0.39108791057695064</v>
      </c>
      <c r="H255" t="s">
        <v>29</v>
      </c>
      <c r="I255">
        <f>VLOOKUP(Table4[[#This Row],[Visitor]],'NHL Model'!$A$6:$B$38,2,FALSE)</f>
        <v>-1.4469605932441605</v>
      </c>
      <c r="J255">
        <f>($B$1+Table4[[#This Row],[Home Differential]])-Table4[[#This Row],[Away Differential]]</f>
        <v>1.2636837952483566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0.72174951976642976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7.7423329750212461E-2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-5.4617353012467046E-4</v>
      </c>
      <c r="H256" t="s">
        <v>11</v>
      </c>
      <c r="I256">
        <f>VLOOKUP(Table4[[#This Row],[Visitor]],'NHL Model'!$A$6:$B$38,2,FALSE)</f>
        <v>-0.1981495100594213</v>
      </c>
      <c r="J256">
        <f>($B$1+Table4[[#This Row],[Home Differential]])-Table4[[#This Row],[Away Differential]]</f>
        <v>0.40541444911044339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0.59830879663825509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0.35797341613471689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-5.2681296301607013E-2</v>
      </c>
      <c r="H257" t="s">
        <v>19</v>
      </c>
      <c r="I257">
        <f>VLOOKUP(Table4[[#This Row],[Visitor]],'NHL Model'!$A$6:$B$38,2,FALSE)</f>
        <v>-0.72519112941434305</v>
      </c>
      <c r="J257">
        <f>($B$1+Table4[[#This Row],[Home Differential]])-Table4[[#This Row],[Away Differential]]</f>
        <v>0.88032094569388275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0.71832827421933643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7.9338961104257338E-2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0.67827132507054233</v>
      </c>
      <c r="H258" t="s">
        <v>22</v>
      </c>
      <c r="I258">
        <f>VLOOKUP(Table4[[#This Row],[Visitor]],'NHL Model'!$A$6:$B$38,2,FALSE)</f>
        <v>-7.0657671368725999E-2</v>
      </c>
      <c r="J258">
        <f>($B$1+Table4[[#This Row],[Home Differential]])-Table4[[#This Row],[Away Differential]]</f>
        <v>0.95674010902041517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0.72931927235334348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0.53190660102601039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1.4784730509534416</v>
      </c>
      <c r="H259" t="s">
        <v>31</v>
      </c>
      <c r="I259">
        <f>VLOOKUP(Table4[[#This Row],[Visitor]],'NHL Model'!$A$6:$B$38,2,FALSE)</f>
        <v>0.50495447305652519</v>
      </c>
      <c r="J259">
        <f>($B$1+Table4[[#This Row],[Home Differential]])-Table4[[#This Row],[Away Differential]]</f>
        <v>1.1813296904780632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0.77860057992367193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4.9017703210134378E-2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-0.62096640812916071</v>
      </c>
      <c r="H260" t="s">
        <v>33</v>
      </c>
      <c r="I260">
        <f>VLOOKUP(Table4[[#This Row],[Visitor]],'NHL Model'!$A$6:$B$38,2,FALSE)</f>
        <v>-0.41822017589574972</v>
      </c>
      <c r="J260">
        <f>($B$1+Table4[[#This Row],[Home Differential]])-Table4[[#This Row],[Away Differential]]</f>
        <v>5.0648803477357784E-3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0.54072845720926144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0.29238726443590807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-0.67174708781561598</v>
      </c>
      <c r="H261" t="s">
        <v>13</v>
      </c>
      <c r="I261">
        <f>VLOOKUP(Table4[[#This Row],[Visitor]],'NHL Model'!$A$6:$B$38,2,FALSE)</f>
        <v>-0.15545019701583887</v>
      </c>
      <c r="J261">
        <f>($B$1+Table4[[#This Row],[Home Differential]])-Table4[[#This Row],[Away Differential]]</f>
        <v>-0.30848577821863032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0.60616576817551504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0.15510540215678217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-0.47846056309234386</v>
      </c>
      <c r="H262" t="s">
        <v>39</v>
      </c>
      <c r="I262">
        <f>VLOOKUP(Table4[[#This Row],[Visitor]],'NHL Model'!$A$6:$B$38,2,FALSE)</f>
        <v>5.4297665563734943E-2</v>
      </c>
      <c r="J262">
        <f>($B$1+Table4[[#This Row],[Home Differential]])-Table4[[#This Row],[Away Differential]]</f>
        <v>-0.32494711607493204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0.5967355698618404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0.1626222006146546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-0.53589042422266964</v>
      </c>
      <c r="H263" t="s">
        <v>28</v>
      </c>
      <c r="I263">
        <f>VLOOKUP(Table4[[#This Row],[Visitor]],'NHL Model'!$A$6:$B$38,2,FALSE)</f>
        <v>-0.57641196648435689</v>
      </c>
      <c r="J263">
        <f>($B$1+Table4[[#This Row],[Home Differential]])-Table4[[#This Row],[Away Differential]]</f>
        <v>0.24833265484283401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0.60175421882503488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0.36210813987372797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-1.7055605761743866</v>
      </c>
      <c r="H264" t="s">
        <v>16</v>
      </c>
      <c r="I264">
        <f>VLOOKUP(Table4[[#This Row],[Visitor]],'NHL Model'!$A$6:$B$38,2,FALSE)</f>
        <v>-1.5116691651852812</v>
      </c>
      <c r="J264">
        <f>($B$1+Table4[[#This Row],[Home Differential]])-Table4[[#This Row],[Away Differential]]</f>
        <v>1.3919701592041367E-2</v>
      </c>
      <c r="K264" t="str">
        <f>IF(Table4[[#This Row],[HomeIce Differential]]&gt;0,Table4[[#This Row],[Home]],Table4[[#This Row],[Visitor]])</f>
        <v>St. Louis Blues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0.54200200326154246</v>
      </c>
      <c r="M264" t="str">
        <f>IF(OR((NHL2025_26Results[[#This Row],[Winning Team]]="")),"-",IF(Table4[[#This Row],[Predicted Winner]]=NHL2025_26Results[[#This Row],[Winning Team]],"YES","NO"))</f>
        <v>YES</v>
      </c>
      <c r="N264">
        <f>IF(Table4[[#This Row],[Adjusted Correct]]="-", "",IF(Table4[[#This Row],[Adjusted Correct]]="YES",(Table4[[#This Row],[Strength of Win]]-1)^2,(Table4[[#This Row],[Strength of Win]]-0)^2))</f>
        <v>0.20976216501644016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-0.87485041382128448</v>
      </c>
      <c r="H265" t="s">
        <v>40</v>
      </c>
      <c r="I265">
        <f>VLOOKUP(Table4[[#This Row],[Visitor]],'NHL Model'!$A$6:$B$38,2,FALSE)</f>
        <v>0.13227623341979275</v>
      </c>
      <c r="J265">
        <f>($B$1+Table4[[#This Row],[Home Differential]])-Table4[[#This Row],[Away Differential]]</f>
        <v>-0.79931553465993044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0.64127747143284697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0.12868185250161193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0.27981279116457602</v>
      </c>
      <c r="H266" t="s">
        <v>24</v>
      </c>
      <c r="I266">
        <f>VLOOKUP(Table4[[#This Row],[Visitor]],'NHL Model'!$A$6:$B$38,2,FALSE)</f>
        <v>0.29030528207371809</v>
      </c>
      <c r="J266">
        <f>($B$1+Table4[[#This Row],[Home Differential]])-Table4[[#This Row],[Away Differential]]</f>
        <v>0.1973186216720047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0.53296653762880286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0.28405333023203416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-0.59708196015665005</v>
      </c>
      <c r="H267" t="s">
        <v>17</v>
      </c>
      <c r="I267">
        <f>VLOOKUP(Table4[[#This Row],[Visitor]],'NHL Model'!$A$6:$B$38,2,FALSE)</f>
        <v>-0.8965878665431638</v>
      </c>
      <c r="J267">
        <f>($B$1+Table4[[#This Row],[Home Differential]])-Table4[[#This Row],[Away Differential]]</f>
        <v>0.50731701896766057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0.61546042891202191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0.37879153955656997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4.5159124835038887E-2</v>
      </c>
      <c r="H268" t="s">
        <v>15</v>
      </c>
      <c r="I268">
        <f>VLOOKUP(Table4[[#This Row],[Visitor]],'NHL Model'!$A$6:$B$38,2,FALSE)</f>
        <v>-0.39108791057695064</v>
      </c>
      <c r="J268">
        <f>($B$1+Table4[[#This Row],[Home Differential]])-Table4[[#This Row],[Away Differential]]</f>
        <v>0.64405814799313621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0.51123641516859797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0.26136267219443909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-0.21513148032837168</v>
      </c>
      <c r="H269" t="s">
        <v>23</v>
      </c>
      <c r="I269">
        <f>VLOOKUP(Table4[[#This Row],[Visitor]],'NHL Model'!$A$6:$B$38,2,FALSE)</f>
        <v>-0.73027559042992929</v>
      </c>
      <c r="J269">
        <f>($B$1+Table4[[#This Row],[Home Differential]])-Table4[[#This Row],[Away Differential]]</f>
        <v>0.7229552226827044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0.71225165421241188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8.2799110503493381E-2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-0.57641196648435689</v>
      </c>
      <c r="H270" t="s">
        <v>17</v>
      </c>
      <c r="I270">
        <f>VLOOKUP(Table4[[#This Row],[Visitor]],'NHL Model'!$A$6:$B$38,2,FALSE)</f>
        <v>-0.8965878665431638</v>
      </c>
      <c r="J270">
        <f>($B$1+Table4[[#This Row],[Home Differential]])-Table4[[#This Row],[Away Differential]]</f>
        <v>0.52798701263995373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0.6229837666448359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0.14214124021331556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-1.5116691651852812</v>
      </c>
      <c r="H271" t="s">
        <v>33</v>
      </c>
      <c r="I271">
        <f>VLOOKUP(Table4[[#This Row],[Visitor]],'NHL Model'!$A$6:$B$38,2,FALSE)</f>
        <v>-0.41822017589574972</v>
      </c>
      <c r="J271">
        <f>($B$1+Table4[[#This Row],[Home Differential]])-Table4[[#This Row],[Away Differential]]</f>
        <v>-0.88563787670838456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0.58737700632386014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0.34501174755798003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1.4784730509534416</v>
      </c>
      <c r="H272" t="s">
        <v>23</v>
      </c>
      <c r="I272">
        <f>VLOOKUP(Table4[[#This Row],[Visitor]],'NHL Model'!$A$6:$B$38,2,FALSE)</f>
        <v>-0.73027559042992929</v>
      </c>
      <c r="J272">
        <f>($B$1+Table4[[#This Row],[Home Differential]])-Table4[[#This Row],[Away Differential]]</f>
        <v>2.4165597539645178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0.97592833284501912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5.7944515962018528E-4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-0.4561706649361581</v>
      </c>
      <c r="H273" t="s">
        <v>31</v>
      </c>
      <c r="I273">
        <f>VLOOKUP(Table4[[#This Row],[Visitor]],'NHL Model'!$A$6:$B$38,2,FALSE)</f>
        <v>0.50495447305652519</v>
      </c>
      <c r="J273">
        <f>($B$1+Table4[[#This Row],[Home Differential]])-Table4[[#This Row],[Away Differential]]</f>
        <v>-0.75331402541153647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0.54834550768687707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0.30068279580037893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-0.1981495100594213</v>
      </c>
      <c r="H274" t="s">
        <v>22</v>
      </c>
      <c r="I274">
        <f>VLOOKUP(Table4[[#This Row],[Visitor]],'NHL Model'!$A$6:$B$38,2,FALSE)</f>
        <v>-7.0657671368725999E-2</v>
      </c>
      <c r="J274">
        <f>($B$1+Table4[[#This Row],[Home Differential]])-Table4[[#This Row],[Away Differential]]</f>
        <v>8.0319273890451459E-2</v>
      </c>
      <c r="K274" t="str">
        <f>IF(Table4[[#This Row],[HomeIce Differential]]&gt;0,Table4[[#This Row],[Home]],Table4[[#This Row],[Visitor]])</f>
        <v>Florida Panthers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0.61500020800875677</v>
      </c>
      <c r="M274" t="str">
        <f>IF(OR((NHL2025_26Results[[#This Row],[Winning Team]]="")),"-",IF(Table4[[#This Row],[Predicted Winner]]=NHL2025_26Results[[#This Row],[Winning Team]],"YES","NO"))</f>
        <v>YES</v>
      </c>
      <c r="N274">
        <f>IF(Table4[[#This Row],[Adjusted Correct]]="-", "",IF(Table4[[#This Row],[Adjusted Correct]]="YES",(Table4[[#This Row],[Strength of Win]]-1)^2,(Table4[[#This Row],[Strength of Win]]-0)^2))</f>
        <v>0.14822483983330056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-0.67174708781561598</v>
      </c>
      <c r="H275" t="s">
        <v>39</v>
      </c>
      <c r="I275">
        <f>VLOOKUP(Table4[[#This Row],[Visitor]],'NHL Model'!$A$6:$B$38,2,FALSE)</f>
        <v>5.4297665563734943E-2</v>
      </c>
      <c r="J275">
        <f>($B$1+Table4[[#This Row],[Home Differential]])-Table4[[#This Row],[Away Differential]]</f>
        <v>-0.51823364079820422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0.62702122239749647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0.13911316854185779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-0.47846056309234386</v>
      </c>
      <c r="H276" t="s">
        <v>21</v>
      </c>
      <c r="I276">
        <f>VLOOKUP(Table4[[#This Row],[Visitor]],'NHL Model'!$A$6:$B$38,2,FALSE)</f>
        <v>-5.2681296301607013E-2</v>
      </c>
      <c r="J276">
        <f>($B$1+Table4[[#This Row],[Home Differential]])-Table4[[#This Row],[Away Differential]]</f>
        <v>-0.21796815420959009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0.48885382471245381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0.23897806193599452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-0.53589042422266964</v>
      </c>
      <c r="H277" t="s">
        <v>40</v>
      </c>
      <c r="I277">
        <f>VLOOKUP(Table4[[#This Row],[Visitor]],'NHL Model'!$A$6:$B$38,2,FALSE)</f>
        <v>0.13227623341979275</v>
      </c>
      <c r="J277">
        <f>($B$1+Table4[[#This Row],[Home Differential]])-Table4[[#This Row],[Away Differential]]</f>
        <v>-0.4603555450613156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0.56621070836811926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0.32059456627072741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-0.72519112941434305</v>
      </c>
      <c r="H278" t="s">
        <v>13</v>
      </c>
      <c r="I278">
        <f>VLOOKUP(Table4[[#This Row],[Visitor]],'NHL Model'!$A$6:$B$38,2,FALSE)</f>
        <v>-0.15545019701583887</v>
      </c>
      <c r="J278">
        <f>($B$1+Table4[[#This Row],[Home Differential]])-Table4[[#This Row],[Away Differential]]</f>
        <v>-0.3619298198173575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0.59988069997625038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0.16009545425149538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-5.4617353012467046E-4</v>
      </c>
      <c r="H279" t="s">
        <v>30</v>
      </c>
      <c r="I279">
        <f>VLOOKUP(Table4[[#This Row],[Visitor]],'NHL Model'!$A$6:$B$38,2,FALSE)</f>
        <v>-6.1847876079686406E-2</v>
      </c>
      <c r="J279">
        <f>($B$1+Table4[[#This Row],[Home Differential]])-Table4[[#This Row],[Away Differential]]</f>
        <v>0.2691128151307085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0.5194173589560227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0.26979439278484973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0.67827132507054233</v>
      </c>
      <c r="H280" t="s">
        <v>38</v>
      </c>
      <c r="I280">
        <f>VLOOKUP(Table4[[#This Row],[Visitor]],'NHL Model'!$A$6:$B$38,2,FALSE)</f>
        <v>-0.87485041382128448</v>
      </c>
      <c r="J280">
        <f>($B$1+Table4[[#This Row],[Home Differential]])-Table4[[#This Row],[Away Differential]]</f>
        <v>1.7609328514729736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0.82469501458434713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3.0731837911582266E-2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-1.4469605932441605</v>
      </c>
      <c r="H281" t="s">
        <v>14</v>
      </c>
      <c r="I281">
        <f>VLOOKUP(Table4[[#This Row],[Visitor]],'NHL Model'!$A$6:$B$38,2,FALSE)</f>
        <v>0.19552804934912488</v>
      </c>
      <c r="J281">
        <f>($B$1+Table4[[#This Row],[Home Differential]])-Table4[[#This Row],[Away Differential]]</f>
        <v>-1.4346775300121386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0.66634272044942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0.44401262109593387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-1.7055605761743866</v>
      </c>
      <c r="H282" t="s">
        <v>27</v>
      </c>
      <c r="I282">
        <f>VLOOKUP(Table4[[#This Row],[Visitor]],'NHL Model'!$A$6:$B$38,2,FALSE)</f>
        <v>-0.59708196015665005</v>
      </c>
      <c r="J282">
        <f>($B$1+Table4[[#This Row],[Home Differential]])-Table4[[#This Row],[Away Differential]]</f>
        <v>-0.90066750343658974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0.58953864474194484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0.16847852416027936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-0.21513148032837168</v>
      </c>
      <c r="H283" t="s">
        <v>30</v>
      </c>
      <c r="I283">
        <f>VLOOKUP(Table4[[#This Row],[Visitor]],'NHL Model'!$A$6:$B$38,2,FALSE)</f>
        <v>-6.1847876079686406E-2</v>
      </c>
      <c r="J283">
        <f>($B$1+Table4[[#This Row],[Home Differential]])-Table4[[#This Row],[Away Differential]]</f>
        <v>5.4527508332461491E-2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0.55830114302220157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0.31170016629989677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0.67827132507054233</v>
      </c>
      <c r="H284" t="s">
        <v>17</v>
      </c>
      <c r="I284">
        <f>VLOOKUP(Table4[[#This Row],[Visitor]],'NHL Model'!$A$6:$B$38,2,FALSE)</f>
        <v>-0.8965878665431638</v>
      </c>
      <c r="J284">
        <f>($B$1+Table4[[#This Row],[Home Differential]])-Table4[[#This Row],[Away Differential]]</f>
        <v>1.7826703041948528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0.84810881202932342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0.71928855704179029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-0.57641196648435689</v>
      </c>
      <c r="H285" t="s">
        <v>15</v>
      </c>
      <c r="I285">
        <f>VLOOKUP(Table4[[#This Row],[Visitor]],'NHL Model'!$A$6:$B$38,2,FALSE)</f>
        <v>-0.39108791057695064</v>
      </c>
      <c r="J285">
        <f>($B$1+Table4[[#This Row],[Home Differential]])-Table4[[#This Row],[Away Differential]]</f>
        <v>2.2487056673740513E-2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0.42876611934158149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0.18384038509523931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-1.5116691651852812</v>
      </c>
      <c r="H286" t="s">
        <v>40</v>
      </c>
      <c r="I286">
        <f>VLOOKUP(Table4[[#This Row],[Visitor]],'NHL Model'!$A$6:$B$38,2,FALSE)</f>
        <v>0.13227623341979275</v>
      </c>
      <c r="J286">
        <f>($B$1+Table4[[#This Row],[Home Differential]])-Table4[[#This Row],[Away Differential]]</f>
        <v>-1.436134286023927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0.7328680280846529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7.1359490419381791E-2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0.27981279116457602</v>
      </c>
      <c r="H287" t="s">
        <v>19</v>
      </c>
      <c r="I287">
        <f>VLOOKUP(Table4[[#This Row],[Visitor]],'NHL Model'!$A$6:$B$38,2,FALSE)</f>
        <v>-0.72519112941434305</v>
      </c>
      <c r="J287">
        <f>($B$1+Table4[[#This Row],[Home Differential]])-Table4[[#This Row],[Away Differential]]</f>
        <v>1.2128150331600658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0.72147926395210571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7.7573800408660798E-2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5.4297665563734943E-2</v>
      </c>
      <c r="H288" t="s">
        <v>27</v>
      </c>
      <c r="I288">
        <f>VLOOKUP(Table4[[#This Row],[Visitor]],'NHL Model'!$A$6:$B$38,2,FALSE)</f>
        <v>-0.59708196015665005</v>
      </c>
      <c r="J288">
        <f>($B$1+Table4[[#This Row],[Home Differential]])-Table4[[#This Row],[Away Differential]]</f>
        <v>0.85919073830153181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0.66606872170475306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0.11151009862389766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-0.4561706649361581</v>
      </c>
      <c r="H289" t="s">
        <v>23</v>
      </c>
      <c r="I289">
        <f>VLOOKUP(Table4[[#This Row],[Visitor]],'NHL Model'!$A$6:$B$38,2,FALSE)</f>
        <v>-0.73027559042992929</v>
      </c>
      <c r="J289">
        <f>($B$1+Table4[[#This Row],[Home Differential]])-Table4[[#This Row],[Away Differential]]</f>
        <v>0.48191603807491795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0.64974282709865117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0.42216574136614771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-0.1981495100594213</v>
      </c>
      <c r="H290" t="s">
        <v>37</v>
      </c>
      <c r="I290">
        <f>VLOOKUP(Table4[[#This Row],[Visitor]],'NHL Model'!$A$6:$B$38,2,FALSE)</f>
        <v>4.5159124835038887E-2</v>
      </c>
      <c r="J290">
        <f>($B$1+Table4[[#This Row],[Home Differential]])-Table4[[#This Row],[Away Differential]]</f>
        <v>-3.5497522313313427E-2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0.44758331281243569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0.30516419628328328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-0.62096640812916071</v>
      </c>
      <c r="H291" t="s">
        <v>31</v>
      </c>
      <c r="I291">
        <f>VLOOKUP(Table4[[#This Row],[Visitor]],'NHL Model'!$A$6:$B$38,2,FALSE)</f>
        <v>0.50495447305652519</v>
      </c>
      <c r="J291">
        <f>($B$1+Table4[[#This Row],[Home Differential]])-Table4[[#This Row],[Away Differential]]</f>
        <v>-0.91810976860453919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0.61281651203071763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0.37554407741749468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-0.67174708781561598</v>
      </c>
      <c r="H292" t="s">
        <v>21</v>
      </c>
      <c r="I292">
        <f>VLOOKUP(Table4[[#This Row],[Visitor]],'NHL Model'!$A$6:$B$38,2,FALSE)</f>
        <v>-5.2681296301607013E-2</v>
      </c>
      <c r="J292">
        <f>($B$1+Table4[[#This Row],[Home Differential]])-Table4[[#This Row],[Away Differential]]</f>
        <v>-0.41125467893286222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0.51914876860714587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0.23121790673202414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-0.47846056309234386</v>
      </c>
      <c r="H293" t="s">
        <v>13</v>
      </c>
      <c r="I293">
        <f>VLOOKUP(Table4[[#This Row],[Visitor]],'NHL Model'!$A$6:$B$38,2,FALSE)</f>
        <v>-0.15545019701583887</v>
      </c>
      <c r="J293">
        <f>($B$1+Table4[[#This Row],[Home Differential]])-Table4[[#This Row],[Away Differential]]</f>
        <v>-0.11519925349535823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0.57589058457447939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0.17986879625257682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-0.53589042422266964</v>
      </c>
      <c r="H294" t="s">
        <v>33</v>
      </c>
      <c r="I294">
        <f>VLOOKUP(Table4[[#This Row],[Visitor]],'NHL Model'!$A$6:$B$38,2,FALSE)</f>
        <v>-0.41822017589574972</v>
      </c>
      <c r="J294">
        <f>($B$1+Table4[[#This Row],[Home Differential]])-Table4[[#This Row],[Away Differential]]</f>
        <v>9.0140864254226849E-2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0.57900225976804598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0.17723909728041184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-1.7055605761743866</v>
      </c>
      <c r="H295" t="s">
        <v>20</v>
      </c>
      <c r="I295">
        <f>VLOOKUP(Table4[[#This Row],[Visitor]],'NHL Model'!$A$6:$B$38,2,FALSE)</f>
        <v>-5.4617353012467046E-4</v>
      </c>
      <c r="J295">
        <f>($B$1+Table4[[#This Row],[Home Differential]])-Table4[[#This Row],[Away Differential]]</f>
        <v>-1.4972032900631151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0.69610472845060267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9.2352336070081947E-2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-7.0657671368725999E-2</v>
      </c>
      <c r="H296" t="s">
        <v>24</v>
      </c>
      <c r="I296">
        <f>VLOOKUP(Table4[[#This Row],[Visitor]],'NHL Model'!$A$6:$B$38,2,FALSE)</f>
        <v>0.29030528207371809</v>
      </c>
      <c r="J296">
        <f>($B$1+Table4[[#This Row],[Home Differential]])-Table4[[#This Row],[Away Differential]]</f>
        <v>-0.15315184086129732</v>
      </c>
      <c r="K296" t="str">
        <f>IF(Table4[[#This Row],[HomeIce Differential]]&gt;0,Table4[[#This Row],[Home]],Table4[[#This Row],[Visitor]])</f>
        <v>New Jersey Devils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0.52453965031218519</v>
      </c>
      <c r="M296" t="str">
        <f>IF(OR((NHL2025_26Results[[#This Row],[Winning Team]]="")),"-",IF(Table4[[#This Row],[Predicted Winner]]=NHL2025_26Results[[#This Row],[Winning Team]],"YES","NO"))</f>
        <v>YES</v>
      </c>
      <c r="N296">
        <f>IF(Table4[[#This Row],[Adjusted Correct]]="-", "",IF(Table4[[#This Row],[Adjusted Correct]]="YES",(Table4[[#This Row],[Strength of Win]]-1)^2,(Table4[[#This Row],[Strength of Win]]-0)^2))</f>
        <v>0.22606254412525914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1.4784730509534416</v>
      </c>
      <c r="H297" t="s">
        <v>30</v>
      </c>
      <c r="I297">
        <f>VLOOKUP(Table4[[#This Row],[Visitor]],'NHL Model'!$A$6:$B$38,2,FALSE)</f>
        <v>-6.1847876079686406E-2</v>
      </c>
      <c r="J297">
        <f>($B$1+Table4[[#This Row],[Home Differential]])-Table4[[#This Row],[Away Differential]]</f>
        <v>1.7481320396142748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0.82285393581394017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3.1380728056611629E-2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-0.62096640812916071</v>
      </c>
      <c r="H298" t="s">
        <v>20</v>
      </c>
      <c r="I298">
        <f>VLOOKUP(Table4[[#This Row],[Visitor]],'NHL Model'!$A$6:$B$38,2,FALSE)</f>
        <v>-5.4617353012467046E-4</v>
      </c>
      <c r="J298">
        <f>($B$1+Table4[[#This Row],[Home Differential]])-Table4[[#This Row],[Away Differential]]</f>
        <v>-0.4126091220178893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0.54011280236520998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0.29172183927880035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-0.39108791057695064</v>
      </c>
      <c r="H299" t="s">
        <v>26</v>
      </c>
      <c r="I299">
        <f>VLOOKUP(Table4[[#This Row],[Visitor]],'NHL Model'!$A$6:$B$38,2,FALSE)</f>
        <v>-0.4561706649361581</v>
      </c>
      <c r="J299">
        <f>($B$1+Table4[[#This Row],[Home Differential]])-Table4[[#This Row],[Away Differential]]</f>
        <v>0.27289386694035422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0.53214961167188646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0.28318320920253953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0.19552804934912488</v>
      </c>
      <c r="H300" t="s">
        <v>29</v>
      </c>
      <c r="I300">
        <f>VLOOKUP(Table4[[#This Row],[Visitor]],'NHL Model'!$A$6:$B$38,2,FALSE)</f>
        <v>-1.4469605932441605</v>
      </c>
      <c r="J300">
        <f>($B$1+Table4[[#This Row],[Home Differential]])-Table4[[#This Row],[Away Differential]]</f>
        <v>1.850299755174432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0.84215651843649453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2.491456467208869E-2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4.5159124835038887E-2</v>
      </c>
      <c r="H301" t="s">
        <v>38</v>
      </c>
      <c r="I301">
        <f>VLOOKUP(Table4[[#This Row],[Visitor]],'NHL Model'!$A$6:$B$38,2,FALSE)</f>
        <v>-0.87485041382128448</v>
      </c>
      <c r="J301">
        <f>($B$1+Table4[[#This Row],[Home Differential]])-Table4[[#This Row],[Away Differential]]</f>
        <v>1.12782065123747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0.68143975103130472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0.46436013428560657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0.50495447305652519</v>
      </c>
      <c r="H302" t="s">
        <v>55</v>
      </c>
      <c r="I302">
        <f>VLOOKUP(Table4[[#This Row],[Visitor]],'NHL Model'!$A$6:$B$38,2,FALSE)</f>
        <v>-0.21513148032837168</v>
      </c>
      <c r="J302">
        <f>($B$1+Table4[[#This Row],[Home Differential]])-Table4[[#This Row],[Away Differential]]</f>
        <v>0.92789706596604371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0.78421415992630306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4.6563528776311112E-2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-5.2681296301607013E-2</v>
      </c>
      <c r="H303" t="s">
        <v>25</v>
      </c>
      <c r="I303">
        <f>VLOOKUP(Table4[[#This Row],[Visitor]],'NHL Model'!$A$6:$B$38,2,FALSE)</f>
        <v>0.67827132507054233</v>
      </c>
      <c r="J303">
        <f>($B$1+Table4[[#This Row],[Home Differential]])-Table4[[#This Row],[Away Differential]]</f>
        <v>-0.52314150879100252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0.58743603138613365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0.17020902819842329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-0.73027559042992929</v>
      </c>
      <c r="H304" t="s">
        <v>17</v>
      </c>
      <c r="I304">
        <f>VLOOKUP(Table4[[#This Row],[Visitor]],'NHL Model'!$A$6:$B$38,2,FALSE)</f>
        <v>-0.8965878665431638</v>
      </c>
      <c r="J304">
        <f>($B$1+Table4[[#This Row],[Home Differential]])-Table4[[#This Row],[Away Differential]]</f>
        <v>0.37412338869438122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0.59630383417753119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0.16297059429976224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-0.57641196648435689</v>
      </c>
      <c r="H305" t="s">
        <v>18</v>
      </c>
      <c r="I305">
        <f>VLOOKUP(Table4[[#This Row],[Visitor]],'NHL Model'!$A$6:$B$38,2,FALSE)</f>
        <v>-0.67174708781561598</v>
      </c>
      <c r="J305">
        <f>($B$1+Table4[[#This Row],[Home Differential]])-Table4[[#This Row],[Away Differential]]</f>
        <v>0.30314623391240586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0.54360005457041816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0.20830091018812527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-0.1981495100594213</v>
      </c>
      <c r="H306" t="s">
        <v>38</v>
      </c>
      <c r="I306">
        <f>VLOOKUP(Table4[[#This Row],[Visitor]],'NHL Model'!$A$6:$B$38,2,FALSE)</f>
        <v>-0.87485041382128448</v>
      </c>
      <c r="J306">
        <f>($B$1+Table4[[#This Row],[Home Differential]])-Table4[[#This Row],[Away Differential]]</f>
        <v>0.88451201634300991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0.71054841261381418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8.3782221440382762E-2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-7.0657671368725999E-2</v>
      </c>
      <c r="H307" t="s">
        <v>13</v>
      </c>
      <c r="I307">
        <f>VLOOKUP(Table4[[#This Row],[Visitor]],'NHL Model'!$A$6:$B$38,2,FALSE)</f>
        <v>-0.15545019701583887</v>
      </c>
      <c r="J307">
        <f>($B$1+Table4[[#This Row],[Home Differential]])-Table4[[#This Row],[Away Differential]]</f>
        <v>0.29260363822825963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0.48028601128600351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0.27010263006501212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0.27981279116457602</v>
      </c>
      <c r="H308" t="s">
        <v>16</v>
      </c>
      <c r="I308">
        <f>VLOOKUP(Table4[[#This Row],[Visitor]],'NHL Model'!$A$6:$B$38,2,FALSE)</f>
        <v>-1.5116691651852812</v>
      </c>
      <c r="J308">
        <f>($B$1+Table4[[#This Row],[Home Differential]])-Table4[[#This Row],[Away Differential]]</f>
        <v>1.999293068931004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0.83459459062298391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2.7358949451178283E-2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5.4297665563734943E-2</v>
      </c>
      <c r="H309" t="s">
        <v>30</v>
      </c>
      <c r="I309">
        <f>VLOOKUP(Table4[[#This Row],[Visitor]],'NHL Model'!$A$6:$B$38,2,FALSE)</f>
        <v>-6.1847876079686406E-2</v>
      </c>
      <c r="J309">
        <f>($B$1+Table4[[#This Row],[Home Differential]])-Table4[[#This Row],[Away Differential]]</f>
        <v>0.3239566542245681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0.5298145930411553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0.28070350299936503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-0.4561706649361581</v>
      </c>
      <c r="H310" t="s">
        <v>32</v>
      </c>
      <c r="I310">
        <f>VLOOKUP(Table4[[#This Row],[Visitor]],'NHL Model'!$A$6:$B$38,2,FALSE)</f>
        <v>-0.53589042422266964</v>
      </c>
      <c r="J310">
        <f>($B$1+Table4[[#This Row],[Home Differential]])-Table4[[#This Row],[Away Differential]]</f>
        <v>0.2875308718676583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0.62178535012479819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0.1430463213802215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-0.41822017589574972</v>
      </c>
      <c r="H311" t="s">
        <v>55</v>
      </c>
      <c r="I311">
        <f>VLOOKUP(Table4[[#This Row],[Visitor]],'NHL Model'!$A$6:$B$38,2,FALSE)</f>
        <v>-0.21513148032837168</v>
      </c>
      <c r="J311">
        <f>($B$1+Table4[[#This Row],[Home Differential]])-Table4[[#This Row],[Away Differential]]</f>
        <v>4.7224170137687149E-3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0.54067920236661782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0.21097559513856642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4.5159124835038887E-2</v>
      </c>
      <c r="H312" t="s">
        <v>24</v>
      </c>
      <c r="I312">
        <f>VLOOKUP(Table4[[#This Row],[Visitor]],'NHL Model'!$A$6:$B$38,2,FALSE)</f>
        <v>0.29030528207371809</v>
      </c>
      <c r="J312">
        <f>($B$1+Table4[[#This Row],[Home Differential]])-Table4[[#This Row],[Away Differential]]</f>
        <v>-3.7335044657532457E-2</v>
      </c>
      <c r="K312" t="str">
        <f>IF(Table4[[#This Row],[HomeIce Differential]]&gt;0,Table4[[#This Row],[Home]],Table4[[#This Row],[Visitor]])</f>
        <v>New Jersey Devils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0.50788228145925651</v>
      </c>
      <c r="M312" t="str">
        <f>IF(OR((NHL2025_26Results[[#This Row],[Winning Team]]="")),"-",IF(Table4[[#This Row],[Predicted Winner]]=NHL2025_26Results[[#This Row],[Winning Team]],"YES","NO"))</f>
        <v>NO</v>
      </c>
      <c r="N312">
        <f>IF(Table4[[#This Row],[Adjusted Correct]]="-", "",IF(Table4[[#This Row],[Adjusted Correct]]="YES",(Table4[[#This Row],[Strength of Win]]-1)^2,(Table4[[#This Row],[Strength of Win]]-0)^2))</f>
        <v>0.25794441182025946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-0.72519112941434305</v>
      </c>
      <c r="H313" t="s">
        <v>35</v>
      </c>
      <c r="I313">
        <f>VLOOKUP(Table4[[#This Row],[Visitor]],'NHL Model'!$A$6:$B$38,2,FALSE)</f>
        <v>-1.7055605761743866</v>
      </c>
      <c r="J313">
        <f>($B$1+Table4[[#This Row],[Home Differential]])-Table4[[#This Row],[Away Differential]]</f>
        <v>1.1881805593411903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0.72490687553557809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7.5676227127597931E-2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-5.4617353012467046E-4</v>
      </c>
      <c r="H314" t="s">
        <v>15</v>
      </c>
      <c r="I314">
        <f>VLOOKUP(Table4[[#This Row],[Visitor]],'NHL Model'!$A$6:$B$38,2,FALSE)</f>
        <v>-0.39108791057695064</v>
      </c>
      <c r="J314">
        <f>($B$1+Table4[[#This Row],[Home Differential]])-Table4[[#This Row],[Away Differential]]</f>
        <v>0.59835284962797275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0.50466284347298462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0.24535889863626892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0.13227623341979275</v>
      </c>
      <c r="H315" t="s">
        <v>28</v>
      </c>
      <c r="I315">
        <f>VLOOKUP(Table4[[#This Row],[Visitor]],'NHL Model'!$A$6:$B$38,2,FALSE)</f>
        <v>-0.57641196648435689</v>
      </c>
      <c r="J315">
        <f>($B$1+Table4[[#This Row],[Home Differential]])-Table4[[#This Row],[Away Differential]]</f>
        <v>0.91649931248529637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0.72353163348927219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7.6434757681110119E-2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0.50495447305652519</v>
      </c>
      <c r="H316" t="s">
        <v>21</v>
      </c>
      <c r="I316">
        <f>VLOOKUP(Table4[[#This Row],[Visitor]],'NHL Model'!$A$6:$B$38,2,FALSE)</f>
        <v>-5.2681296301607013E-2</v>
      </c>
      <c r="J316">
        <f>($B$1+Table4[[#This Row],[Home Differential]])-Table4[[#This Row],[Away Differential]]</f>
        <v>0.76544688193927901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0.76084973676613277</v>
      </c>
      <c r="M316" t="str">
        <f>IF(OR((NHL2025_26Results[[#This Row],[Winning Team]]="")),"-",IF(Table4[[#This Row],[Predicted Winner]]=NHL2025_26Results[[#This Row],[Winning Team]],"YES","NO"))</f>
        <v>-</v>
      </c>
      <c r="N316" t="str">
        <f>IF(Table4[[#This Row],[Adjusted Correct]]="-", "",IF(Table4[[#This Row],[Adjusted Correct]]="YES",(Table4[[#This Row],[Strength of Win]]-1)^2,(Table4[[#This Row],[Strength of Win]]-0)^2))</f>
        <v/>
      </c>
      <c r="O316">
        <v>0.76544688193927901</v>
      </c>
      <c r="P316" s="11">
        <v>0.76084973676613277</v>
      </c>
      <c r="Q316" t="s">
        <v>31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-0.73027559042992929</v>
      </c>
      <c r="H317" t="s">
        <v>16</v>
      </c>
      <c r="I317">
        <f>VLOOKUP(Table4[[#This Row],[Visitor]],'NHL Model'!$A$6:$B$38,2,FALSE)</f>
        <v>-1.5116691651852812</v>
      </c>
      <c r="J317">
        <f>($B$1+Table4[[#This Row],[Home Differential]])-Table4[[#This Row],[Away Differential]]</f>
        <v>0.98920468733649858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0.68476799828715018</v>
      </c>
      <c r="M317" t="str">
        <f>IF(OR((NHL2025_26Results[[#This Row],[Winning Team]]="")),"-",IF(Table4[[#This Row],[Predicted Winner]]=NHL2025_26Results[[#This Row],[Winning Team]],"YES","NO"))</f>
        <v>-</v>
      </c>
      <c r="N317" t="str">
        <f>IF(Table4[[#This Row],[Adjusted Correct]]="-", "",IF(Table4[[#This Row],[Adjusted Correct]]="YES",(Table4[[#This Row],[Strength of Win]]-1)^2,(Table4[[#This Row],[Strength of Win]]-0)^2))</f>
        <v/>
      </c>
      <c r="O317">
        <v>0.98920468733649858</v>
      </c>
      <c r="P317" s="11">
        <v>0.68476799828715018</v>
      </c>
      <c r="Q317" t="s">
        <v>23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-0.62096640812916071</v>
      </c>
      <c r="H318" t="s">
        <v>25</v>
      </c>
      <c r="I318">
        <f>VLOOKUP(Table4[[#This Row],[Visitor]],'NHL Model'!$A$6:$B$38,2,FALSE)</f>
        <v>0.67827132507054233</v>
      </c>
      <c r="J318">
        <f>($B$1+Table4[[#This Row],[Home Differential]])-Table4[[#This Row],[Away Differential]]</f>
        <v>-1.0914266206185563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0.72149073367909078</v>
      </c>
      <c r="M318" t="str">
        <f>IF(OR((NHL2025_26Results[[#This Row],[Winning Team]]="")),"-",IF(Table4[[#This Row],[Predicted Winner]]=NHL2025_26Results[[#This Row],[Winning Team]],"YES","NO"))</f>
        <v>-</v>
      </c>
      <c r="N318" t="str">
        <f>IF(Table4[[#This Row],[Adjusted Correct]]="-", "",IF(Table4[[#This Row],[Adjusted Correct]]="YES",(Table4[[#This Row],[Strength of Win]]-1)^2,(Table4[[#This Row],[Strength of Win]]-0)^2))</f>
        <v/>
      </c>
      <c r="O318">
        <v>-1.0914266206185563</v>
      </c>
      <c r="P318" s="11">
        <v>0.72149073367909078</v>
      </c>
      <c r="Q318" t="s">
        <v>25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-7.0657671368725999E-2</v>
      </c>
      <c r="H319" t="s">
        <v>17</v>
      </c>
      <c r="I319">
        <f>VLOOKUP(Table4[[#This Row],[Visitor]],'NHL Model'!$A$6:$B$38,2,FALSE)</f>
        <v>-0.8965878665431638</v>
      </c>
      <c r="J319">
        <f>($B$1+Table4[[#This Row],[Home Differential]])-Table4[[#This Row],[Away Differential]]</f>
        <v>1.0337413077555846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0.68867800548979374</v>
      </c>
      <c r="M319" t="str">
        <f>IF(OR((NHL2025_26Results[[#This Row],[Winning Team]]="")),"-",IF(Table4[[#This Row],[Predicted Winner]]=NHL2025_26Results[[#This Row],[Winning Team]],"YES","NO"))</f>
        <v>-</v>
      </c>
      <c r="N319" t="str">
        <f>IF(Table4[[#This Row],[Adjusted Correct]]="-", "",IF(Table4[[#This Row],[Adjusted Correct]]="YES",(Table4[[#This Row],[Strength of Win]]-1)^2,(Table4[[#This Row],[Strength of Win]]-0)^2))</f>
        <v/>
      </c>
      <c r="O319">
        <v>1.0337413077555846</v>
      </c>
      <c r="P319" s="11">
        <v>0.68867800548979374</v>
      </c>
      <c r="Q319" t="s">
        <v>22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0.50495447305652519</v>
      </c>
      <c r="H320" t="s">
        <v>36</v>
      </c>
      <c r="I320">
        <f>VLOOKUP(Table4[[#This Row],[Visitor]],'NHL Model'!$A$6:$B$38,2,FALSE)</f>
        <v>-0.47846056309234386</v>
      </c>
      <c r="J320">
        <f>($B$1+Table4[[#This Row],[Home Differential]])-Table4[[#This Row],[Away Differential]]</f>
        <v>1.1912261487300158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0.82208750649674023</v>
      </c>
      <c r="M320" t="str">
        <f>IF(OR((NHL2025_26Results[[#This Row],[Winning Team]]="")),"-",IF(Table4[[#This Row],[Predicted Winner]]=NHL2025_26Results[[#This Row],[Winning Team]],"YES","NO"))</f>
        <v>-</v>
      </c>
      <c r="N320" t="str">
        <f>IF(Table4[[#This Row],[Adjusted Correct]]="-", "",IF(Table4[[#This Row],[Adjusted Correct]]="YES",(Table4[[#This Row],[Strength of Win]]-1)^2,(Table4[[#This Row],[Strength of Win]]-0)^2))</f>
        <v/>
      </c>
      <c r="P320" s="11"/>
    </row>
    <row r="321" spans="4:16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0.27981279116457602</v>
      </c>
      <c r="H321" t="s">
        <v>32</v>
      </c>
      <c r="I321">
        <f>VLOOKUP(Table4[[#This Row],[Visitor]],'NHL Model'!$A$6:$B$38,2,FALSE)</f>
        <v>-0.53589042422266964</v>
      </c>
      <c r="J321">
        <f>($B$1+Table4[[#This Row],[Home Differential]])-Table4[[#This Row],[Away Differential]]</f>
        <v>1.0235143279683925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0.69425306038013446</v>
      </c>
      <c r="M321" t="str">
        <f>IF(OR((NHL2025_26Results[[#This Row],[Winning Team]]="")),"-",IF(Table4[[#This Row],[Predicted Winner]]=NHL2025_26Results[[#This Row],[Winning Team]],"YES","NO"))</f>
        <v>-</v>
      </c>
      <c r="N321" t="str">
        <f>IF(Table4[[#This Row],[Adjusted Correct]]="-", "",IF(Table4[[#This Row],[Adjusted Correct]]="YES",(Table4[[#This Row],[Strength of Win]]-1)^2,(Table4[[#This Row],[Strength of Win]]-0)^2))</f>
        <v/>
      </c>
      <c r="P321" s="11"/>
    </row>
    <row r="322" spans="4:16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1.4784730509534416</v>
      </c>
      <c r="H322" t="s">
        <v>15</v>
      </c>
      <c r="I322">
        <f>VLOOKUP(Table4[[#This Row],[Visitor]],'NHL Model'!$A$6:$B$38,2,FALSE)</f>
        <v>-0.39108791057695064</v>
      </c>
      <c r="J322">
        <f>($B$1+Table4[[#This Row],[Home Differential]])-Table4[[#This Row],[Away Differential]]</f>
        <v>2.0773720741115391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0.80786927300255584</v>
      </c>
      <c r="M322" t="str">
        <f>IF(OR((NHL2025_26Results[[#This Row],[Winning Team]]="")),"-",IF(Table4[[#This Row],[Predicted Winner]]=NHL2025_26Results[[#This Row],[Winning Team]],"YES","NO"))</f>
        <v>-</v>
      </c>
      <c r="N322" t="str">
        <f>IF(Table4[[#This Row],[Adjusted Correct]]="-", "",IF(Table4[[#This Row],[Adjusted Correct]]="YES",(Table4[[#This Row],[Strength of Win]]-1)^2,(Table4[[#This Row],[Strength of Win]]-0)^2))</f>
        <v/>
      </c>
      <c r="P322" s="11"/>
    </row>
    <row r="323" spans="4:16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-0.4561706649361581</v>
      </c>
      <c r="H323" t="s">
        <v>30</v>
      </c>
      <c r="I323">
        <f>VLOOKUP(Table4[[#This Row],[Visitor]],'NHL Model'!$A$6:$B$38,2,FALSE)</f>
        <v>-6.1847876079686406E-2</v>
      </c>
      <c r="J323">
        <f>($B$1+Table4[[#This Row],[Home Differential]])-Table4[[#This Row],[Away Differential]]</f>
        <v>-0.18651167627532494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0.5050859406164846</v>
      </c>
      <c r="M323" t="str">
        <f>IF(OR((NHL2025_26Results[[#This Row],[Winning Team]]="")),"-",IF(Table4[[#This Row],[Predicted Winner]]=NHL2025_26Results[[#This Row],[Winning Team]],"YES","NO"))</f>
        <v>-</v>
      </c>
      <c r="N323" t="str">
        <f>IF(Table4[[#This Row],[Adjusted Correct]]="-", "",IF(Table4[[#This Row],[Adjusted Correct]]="YES",(Table4[[#This Row],[Strength of Win]]-1)^2,(Table4[[#This Row],[Strength of Win]]-0)^2))</f>
        <v/>
      </c>
      <c r="P323" s="11"/>
    </row>
    <row r="324" spans="4:16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-0.1981495100594213</v>
      </c>
      <c r="H324" t="s">
        <v>24</v>
      </c>
      <c r="I324">
        <f>VLOOKUP(Table4[[#This Row],[Visitor]],'NHL Model'!$A$6:$B$38,2,FALSE)</f>
        <v>0.29030528207371809</v>
      </c>
      <c r="J324">
        <f>($B$1+Table4[[#This Row],[Home Differential]])-Table4[[#This Row],[Away Differential]]</f>
        <v>-0.28064367955199265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0.4783198255448029</v>
      </c>
      <c r="M324" t="str">
        <f>IF(OR((NHL2025_26Results[[#This Row],[Winning Team]]="")),"-",IF(Table4[[#This Row],[Predicted Winner]]=NHL2025_26Results[[#This Row],[Winning Team]],"YES","NO"))</f>
        <v>-</v>
      </c>
      <c r="N324" t="str">
        <f>IF(Table4[[#This Row],[Adjusted Correct]]="-", "",IF(Table4[[#This Row],[Adjusted Correct]]="YES",(Table4[[#This Row],[Strength of Win]]-1)^2,(Table4[[#This Row],[Strength of Win]]-0)^2))</f>
        <v/>
      </c>
      <c r="P324" s="11"/>
    </row>
    <row r="325" spans="4:16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-0.67174708781561598</v>
      </c>
      <c r="H325" t="s">
        <v>22</v>
      </c>
      <c r="I325">
        <f>VLOOKUP(Table4[[#This Row],[Visitor]],'NHL Model'!$A$6:$B$38,2,FALSE)</f>
        <v>-7.0657671368725999E-2</v>
      </c>
      <c r="J325">
        <f>($B$1+Table4[[#This Row],[Home Differential]])-Table4[[#This Row],[Away Differential]]</f>
        <v>-0.39327830386574325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0.51656331364770491</v>
      </c>
      <c r="M325" t="str">
        <f>IF(OR((NHL2025_26Results[[#This Row],[Winning Team]]="")),"-",IF(Table4[[#This Row],[Predicted Winner]]=NHL2025_26Results[[#This Row],[Winning Team]],"YES","NO"))</f>
        <v>-</v>
      </c>
      <c r="N325" t="str">
        <f>IF(Table4[[#This Row],[Adjusted Correct]]="-", "",IF(Table4[[#This Row],[Adjusted Correct]]="YES",(Table4[[#This Row],[Strength of Win]]-1)^2,(Table4[[#This Row],[Strength of Win]]-0)^2))</f>
        <v/>
      </c>
      <c r="P325" s="11"/>
    </row>
    <row r="326" spans="4:16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-0.59708196015665005</v>
      </c>
      <c r="H326" t="s">
        <v>35</v>
      </c>
      <c r="I326">
        <f>VLOOKUP(Table4[[#This Row],[Visitor]],'NHL Model'!$A$6:$B$38,2,FALSE)</f>
        <v>-1.7055605761743866</v>
      </c>
      <c r="J326">
        <f>($B$1+Table4[[#This Row],[Home Differential]])-Table4[[#This Row],[Away Differential]]</f>
        <v>1.3162897285988833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0.73181105557391213</v>
      </c>
      <c r="M326" t="str">
        <f>IF(OR((NHL2025_26Results[[#This Row],[Winning Team]]="")),"-",IF(Table4[[#This Row],[Predicted Winner]]=NHL2025_26Results[[#This Row],[Winning Team]],"YES","NO"))</f>
        <v>-</v>
      </c>
      <c r="N326" t="str">
        <f>IF(Table4[[#This Row],[Adjusted Correct]]="-", "",IF(Table4[[#This Row],[Adjusted Correct]]="YES",(Table4[[#This Row],[Strength of Win]]-1)^2,(Table4[[#This Row],[Strength of Win]]-0)^2))</f>
        <v/>
      </c>
      <c r="P326" s="11"/>
    </row>
    <row r="327" spans="4:16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-0.41822017589574972</v>
      </c>
      <c r="H327" t="s">
        <v>13</v>
      </c>
      <c r="I327">
        <f>VLOOKUP(Table4[[#This Row],[Visitor]],'NHL Model'!$A$6:$B$38,2,FALSE)</f>
        <v>-0.15545019701583887</v>
      </c>
      <c r="J327">
        <f>($B$1+Table4[[#This Row],[Home Differential]])-Table4[[#This Row],[Away Differential]]</f>
        <v>-5.4958866298764092E-2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0.56970222036192164</v>
      </c>
      <c r="M327" t="str">
        <f>IF(OR((NHL2025_26Results[[#This Row],[Winning Team]]="")),"-",IF(Table4[[#This Row],[Predicted Winner]]=NHL2025_26Results[[#This Row],[Winning Team]],"YES","NO"))</f>
        <v>-</v>
      </c>
      <c r="N327" t="str">
        <f>IF(Table4[[#This Row],[Adjusted Correct]]="-", "",IF(Table4[[#This Row],[Adjusted Correct]]="YES",(Table4[[#This Row],[Strength of Win]]-1)^2,(Table4[[#This Row],[Strength of Win]]-0)^2))</f>
        <v/>
      </c>
      <c r="P327" s="11"/>
    </row>
    <row r="328" spans="4:16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4.5159124835038887E-2</v>
      </c>
      <c r="H328" t="s">
        <v>17</v>
      </c>
      <c r="I328">
        <f>VLOOKUP(Table4[[#This Row],[Visitor]],'NHL Model'!$A$6:$B$38,2,FALSE)</f>
        <v>-0.8965878665431638</v>
      </c>
      <c r="J328">
        <f>($B$1+Table4[[#This Row],[Home Differential]])-Table4[[#This Row],[Away Differential]]</f>
        <v>1.1495581039593494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0.70533537434272242</v>
      </c>
      <c r="M328" t="str">
        <f>IF(OR((NHL2025_26Results[[#This Row],[Winning Team]]="")),"-",IF(Table4[[#This Row],[Predicted Winner]]=NHL2025_26Results[[#This Row],[Winning Team]],"YES","NO"))</f>
        <v>-</v>
      </c>
      <c r="N328" t="str">
        <f>IF(Table4[[#This Row],[Adjusted Correct]]="-", "",IF(Table4[[#This Row],[Adjusted Correct]]="YES",(Table4[[#This Row],[Strength of Win]]-1)^2,(Table4[[#This Row],[Strength of Win]]-0)^2))</f>
        <v/>
      </c>
      <c r="P328" s="11"/>
    </row>
    <row r="329" spans="4:16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-0.72519112941434305</v>
      </c>
      <c r="H329" t="s">
        <v>28</v>
      </c>
      <c r="I329">
        <f>VLOOKUP(Table4[[#This Row],[Visitor]],'NHL Model'!$A$6:$B$38,2,FALSE)</f>
        <v>-0.57641196648435689</v>
      </c>
      <c r="J329">
        <f>($B$1+Table4[[#This Row],[Home Differential]])-Table4[[#This Row],[Away Differential]]</f>
        <v>5.9031949651160542E-2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0.56250689990262193</v>
      </c>
      <c r="M329" t="str">
        <f>IF(OR((NHL2025_26Results[[#This Row],[Winning Team]]="")),"-",IF(Table4[[#This Row],[Predicted Winner]]=NHL2025_26Results[[#This Row],[Winning Team]],"YES","NO"))</f>
        <v>-</v>
      </c>
      <c r="N329" t="str">
        <f>IF(Table4[[#This Row],[Adjusted Correct]]="-", "",IF(Table4[[#This Row],[Adjusted Correct]]="YES",(Table4[[#This Row],[Strength of Win]]-1)^2,(Table4[[#This Row],[Strength of Win]]-0)^2))</f>
        <v/>
      </c>
      <c r="P329" s="11"/>
    </row>
    <row r="330" spans="4:16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-0.21513148032837168</v>
      </c>
      <c r="H330" t="s">
        <v>20</v>
      </c>
      <c r="I330">
        <f>VLOOKUP(Table4[[#This Row],[Visitor]],'NHL Model'!$A$6:$B$38,2,FALSE)</f>
        <v>-5.4617353012467046E-4</v>
      </c>
      <c r="J330">
        <f>($B$1+Table4[[#This Row],[Home Differential]])-Table4[[#This Row],[Away Differential]]</f>
        <v>-6.7741942171002448E-3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0.41273900542658387</v>
      </c>
      <c r="M330" t="str">
        <f>IF(OR((NHL2025_26Results[[#This Row],[Winning Team]]="")),"-",IF(Table4[[#This Row],[Predicted Winner]]=NHL2025_26Results[[#This Row],[Winning Team]],"YES","NO"))</f>
        <v>-</v>
      </c>
      <c r="N330" t="str">
        <f>IF(Table4[[#This Row],[Adjusted Correct]]="-", "",IF(Table4[[#This Row],[Adjusted Correct]]="YES",(Table4[[#This Row],[Strength of Win]]-1)^2,(Table4[[#This Row],[Strength of Win]]-0)^2))</f>
        <v/>
      </c>
      <c r="P330" s="11"/>
    </row>
    <row r="331" spans="4:16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-0.87485041382128448</v>
      </c>
      <c r="H331" t="s">
        <v>39</v>
      </c>
      <c r="I331">
        <f>VLOOKUP(Table4[[#This Row],[Visitor]],'NHL Model'!$A$6:$B$38,2,FALSE)</f>
        <v>5.4297665563734943E-2</v>
      </c>
      <c r="J331">
        <f>($B$1+Table4[[#This Row],[Home Differential]])-Table4[[#This Row],[Away Differential]]</f>
        <v>-0.7213369668038726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0.65623259006977086</v>
      </c>
      <c r="M331" t="str">
        <f>IF(OR((NHL2025_26Results[[#This Row],[Winning Team]]="")),"-",IF(Table4[[#This Row],[Predicted Winner]]=NHL2025_26Results[[#This Row],[Winning Team]],"YES","NO"))</f>
        <v>-</v>
      </c>
      <c r="N331" t="str">
        <f>IF(Table4[[#This Row],[Adjusted Correct]]="-", "",IF(Table4[[#This Row],[Adjusted Correct]]="YES",(Table4[[#This Row],[Strength of Win]]-1)^2,(Table4[[#This Row],[Strength of Win]]-0)^2))</f>
        <v/>
      </c>
      <c r="P331" s="11"/>
    </row>
    <row r="332" spans="4:16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-0.73027559042992929</v>
      </c>
      <c r="H332" t="s">
        <v>10</v>
      </c>
      <c r="I332">
        <f>VLOOKUP(Table4[[#This Row],[Visitor]],'NHL Model'!$A$6:$B$38,2,FALSE)</f>
        <v>0.27981279116457602</v>
      </c>
      <c r="J332">
        <f>($B$1+Table4[[#This Row],[Home Differential]])-Table4[[#This Row],[Away Differential]]</f>
        <v>-0.80227726901335861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0.59364852343162111</v>
      </c>
      <c r="M332" t="str">
        <f>IF(OR((NHL2025_26Results[[#This Row],[Winning Team]]="")),"-",IF(Table4[[#This Row],[Predicted Winner]]=NHL2025_26Results[[#This Row],[Winning Team]],"YES","NO"))</f>
        <v>-</v>
      </c>
      <c r="N332" t="str">
        <f>IF(Table4[[#This Row],[Adjusted Correct]]="-", "",IF(Table4[[#This Row],[Adjusted Correct]]="YES",(Table4[[#This Row],[Strength of Win]]-1)^2,(Table4[[#This Row],[Strength of Win]]-0)^2))</f>
        <v/>
      </c>
      <c r="P332" s="11"/>
    </row>
    <row r="333" spans="4:16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-0.15545019701583887</v>
      </c>
      <c r="H333" t="s">
        <v>21</v>
      </c>
      <c r="I333">
        <f>VLOOKUP(Table4[[#This Row],[Visitor]],'NHL Model'!$A$6:$B$38,2,FALSE)</f>
        <v>-5.2681296301607013E-2</v>
      </c>
      <c r="J333">
        <f>($B$1+Table4[[#This Row],[Home Differential]])-Table4[[#This Row],[Away Differential]]</f>
        <v>0.1050422118669149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0.55510771257319425</v>
      </c>
      <c r="M333" t="str">
        <f>IF(OR((NHL2025_26Results[[#This Row],[Winning Team]]="")),"-",IF(Table4[[#This Row],[Predicted Winner]]=NHL2025_26Results[[#This Row],[Winning Team]],"YES","NO"))</f>
        <v>-</v>
      </c>
      <c r="N333" t="str">
        <f>IF(Table4[[#This Row],[Adjusted Correct]]="-", "",IF(Table4[[#This Row],[Adjusted Correct]]="YES",(Table4[[#This Row],[Strength of Win]]-1)^2,(Table4[[#This Row],[Strength of Win]]-0)^2))</f>
        <v/>
      </c>
      <c r="P333" s="11"/>
    </row>
    <row r="334" spans="4:16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0.19552804934912488</v>
      </c>
      <c r="H334" t="s">
        <v>34</v>
      </c>
      <c r="I334">
        <f>VLOOKUP(Table4[[#This Row],[Visitor]],'NHL Model'!$A$6:$B$38,2,FALSE)</f>
        <v>-0.62096640812916071</v>
      </c>
      <c r="J334">
        <f>($B$1+Table4[[#This Row],[Home Differential]])-Table4[[#This Row],[Away Differential]]</f>
        <v>1.0243055700594323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0.72335777539729129</v>
      </c>
      <c r="M334" t="str">
        <f>IF(OR((NHL2025_26Results[[#This Row],[Winning Team]]="")),"-",IF(Table4[[#This Row],[Predicted Winner]]=NHL2025_26Results[[#This Row],[Winning Team]],"YES","NO"))</f>
        <v>-</v>
      </c>
      <c r="N334" t="str">
        <f>IF(Table4[[#This Row],[Adjusted Correct]]="-", "",IF(Table4[[#This Row],[Adjusted Correct]]="YES",(Table4[[#This Row],[Strength of Win]]-1)^2,(Table4[[#This Row],[Strength of Win]]-0)^2))</f>
        <v/>
      </c>
      <c r="P334" s="11"/>
    </row>
    <row r="335" spans="4:16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0.13227623341979275</v>
      </c>
      <c r="H335" t="s">
        <v>25</v>
      </c>
      <c r="I335">
        <f>VLOOKUP(Table4[[#This Row],[Visitor]],'NHL Model'!$A$6:$B$38,2,FALSE)</f>
        <v>0.67827132507054233</v>
      </c>
      <c r="J335">
        <f>($B$1+Table4[[#This Row],[Home Differential]])-Table4[[#This Row],[Away Differential]]</f>
        <v>-0.33818397906960285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0.56083448570639116</v>
      </c>
      <c r="M335" t="str">
        <f>IF(OR((NHL2025_26Results[[#This Row],[Winning Team]]="")),"-",IF(Table4[[#This Row],[Predicted Winner]]=NHL2025_26Results[[#This Row],[Winning Team]],"YES","NO"))</f>
        <v>-</v>
      </c>
      <c r="N335" t="str">
        <f>IF(Table4[[#This Row],[Adjusted Correct]]="-", "",IF(Table4[[#This Row],[Adjusted Correct]]="YES",(Table4[[#This Row],[Strength of Win]]-1)^2,(Table4[[#This Row],[Strength of Win]]-0)^2))</f>
        <v/>
      </c>
      <c r="P335" s="11"/>
    </row>
    <row r="336" spans="4:16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0.50495447305652519</v>
      </c>
      <c r="H336" t="s">
        <v>20</v>
      </c>
      <c r="I336">
        <f>VLOOKUP(Table4[[#This Row],[Visitor]],'NHL Model'!$A$6:$B$38,2,FALSE)</f>
        <v>-5.4617353012467046E-4</v>
      </c>
      <c r="J336">
        <f>($B$1+Table4[[#This Row],[Home Differential]])-Table4[[#This Row],[Away Differential]]</f>
        <v>0.71331175916779666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0.73417112284774233</v>
      </c>
      <c r="M336" t="str">
        <f>IF(OR((NHL2025_26Results[[#This Row],[Winning Team]]="")),"-",IF(Table4[[#This Row],[Predicted Winner]]=NHL2025_26Results[[#This Row],[Winning Team]],"YES","NO"))</f>
        <v>-</v>
      </c>
      <c r="N336" t="str">
        <f>IF(Table4[[#This Row],[Adjusted Correct]]="-", "",IF(Table4[[#This Row],[Adjusted Correct]]="YES",(Table4[[#This Row],[Strength of Win]]-1)^2,(Table4[[#This Row],[Strength of Win]]-0)^2))</f>
        <v/>
      </c>
      <c r="P336" s="11"/>
    </row>
    <row r="337" spans="4:16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-1.5116691651852812</v>
      </c>
      <c r="H337" t="s">
        <v>39</v>
      </c>
      <c r="I337">
        <f>VLOOKUP(Table4[[#This Row],[Visitor]],'NHL Model'!$A$6:$B$38,2,FALSE)</f>
        <v>5.4297665563734943E-2</v>
      </c>
      <c r="J337">
        <f>($B$1+Table4[[#This Row],[Home Differential]])-Table4[[#This Row],[Away Differential]]</f>
        <v>-1.3581557181678692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0.74782314672157679</v>
      </c>
      <c r="M337" t="str">
        <f>IF(OR((NHL2025_26Results[[#This Row],[Winning Team]]="")),"-",IF(Table4[[#This Row],[Predicted Winner]]=NHL2025_26Results[[#This Row],[Winning Team]],"YES","NO"))</f>
        <v>-</v>
      </c>
      <c r="N337" t="str">
        <f>IF(Table4[[#This Row],[Adjusted Correct]]="-", "",IF(Table4[[#This Row],[Adjusted Correct]]="YES",(Table4[[#This Row],[Strength of Win]]-1)^2,(Table4[[#This Row],[Strength of Win]]-0)^2))</f>
        <v/>
      </c>
      <c r="P337" s="11"/>
    </row>
    <row r="338" spans="4:16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-0.4561706649361581</v>
      </c>
      <c r="H338" t="s">
        <v>28</v>
      </c>
      <c r="I338">
        <f>VLOOKUP(Table4[[#This Row],[Visitor]],'NHL Model'!$A$6:$B$38,2,FALSE)</f>
        <v>-0.57641196648435689</v>
      </c>
      <c r="J338">
        <f>($B$1+Table4[[#This Row],[Home Differential]])-Table4[[#This Row],[Away Differential]]</f>
        <v>0.32805241412934555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0.62761336728696282</v>
      </c>
      <c r="M338" t="str">
        <f>IF(OR((NHL2025_26Results[[#This Row],[Winning Team]]="")),"-",IF(Table4[[#This Row],[Predicted Winner]]=NHL2025_26Results[[#This Row],[Winning Team]],"YES","NO"))</f>
        <v>-</v>
      </c>
      <c r="N338" t="str">
        <f>IF(Table4[[#This Row],[Adjusted Correct]]="-", "",IF(Table4[[#This Row],[Adjusted Correct]]="YES",(Table4[[#This Row],[Strength of Win]]-1)^2,(Table4[[#This Row],[Strength of Win]]-0)^2))</f>
        <v/>
      </c>
      <c r="P338" s="11"/>
    </row>
    <row r="339" spans="4:16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-0.1981495100594213</v>
      </c>
      <c r="H339" t="s">
        <v>17</v>
      </c>
      <c r="I339">
        <f>VLOOKUP(Table4[[#This Row],[Visitor]],'NHL Model'!$A$6:$B$38,2,FALSE)</f>
        <v>-0.8965878665431638</v>
      </c>
      <c r="J339">
        <f>($B$1+Table4[[#This Row],[Home Differential]])-Table4[[#This Row],[Away Differential]]</f>
        <v>0.90624946906488923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0.7337897476847367</v>
      </c>
      <c r="M339" t="str">
        <f>IF(OR((NHL2025_26Results[[#This Row],[Winning Team]]="")),"-",IF(Table4[[#This Row],[Predicted Winner]]=NHL2025_26Results[[#This Row],[Winning Team]],"YES","NO"))</f>
        <v>-</v>
      </c>
      <c r="N339" t="str">
        <f>IF(Table4[[#This Row],[Adjusted Correct]]="-", "",IF(Table4[[#This Row],[Adjusted Correct]]="YES",(Table4[[#This Row],[Strength of Win]]-1)^2,(Table4[[#This Row],[Strength of Win]]-0)^2))</f>
        <v/>
      </c>
      <c r="P339" s="11"/>
    </row>
    <row r="340" spans="4:16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-0.67174708781561598</v>
      </c>
      <c r="H340" t="s">
        <v>19</v>
      </c>
      <c r="I340">
        <f>VLOOKUP(Table4[[#This Row],[Visitor]],'NHL Model'!$A$6:$B$38,2,FALSE)</f>
        <v>-0.72519112941434305</v>
      </c>
      <c r="J340">
        <f>($B$1+Table4[[#This Row],[Home Differential]])-Table4[[#This Row],[Away Differential]]</f>
        <v>0.26125515417987383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0.57757506346701604</v>
      </c>
      <c r="M340" t="str">
        <f>IF(OR((NHL2025_26Results[[#This Row],[Winning Team]]="")),"-",IF(Table4[[#This Row],[Predicted Winner]]=NHL2025_26Results[[#This Row],[Winning Team]],"YES","NO"))</f>
        <v>-</v>
      </c>
      <c r="N340" t="str">
        <f>IF(Table4[[#This Row],[Adjusted Correct]]="-", "",IF(Table4[[#This Row],[Adjusted Correct]]="YES",(Table4[[#This Row],[Strength of Win]]-1)^2,(Table4[[#This Row],[Strength of Win]]-0)^2))</f>
        <v/>
      </c>
      <c r="P340" s="11"/>
    </row>
    <row r="341" spans="4:16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-1.4469605932441605</v>
      </c>
      <c r="H341" t="s">
        <v>12</v>
      </c>
      <c r="I341">
        <f>VLOOKUP(Table4[[#This Row],[Visitor]],'NHL Model'!$A$6:$B$38,2,FALSE)</f>
        <v>1.4784730509534416</v>
      </c>
      <c r="J341">
        <f>($B$1+Table4[[#This Row],[Home Differential]])-Table4[[#This Row],[Away Differential]]</f>
        <v>-2.7176225316164553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0.9171782757103194</v>
      </c>
      <c r="M341" t="str">
        <f>IF(OR((NHL2025_26Results[[#This Row],[Winning Team]]="")),"-",IF(Table4[[#This Row],[Predicted Winner]]=NHL2025_26Results[[#This Row],[Winning Team]],"YES","NO"))</f>
        <v>-</v>
      </c>
      <c r="N341" t="str">
        <f>IF(Table4[[#This Row],[Adjusted Correct]]="-", "",IF(Table4[[#This Row],[Adjusted Correct]]="YES",(Table4[[#This Row],[Strength of Win]]-1)^2,(Table4[[#This Row],[Strength of Win]]-0)^2))</f>
        <v/>
      </c>
      <c r="P341" s="11"/>
    </row>
    <row r="342" spans="4:16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-6.1847876079686406E-2</v>
      </c>
      <c r="H342" t="s">
        <v>35</v>
      </c>
      <c r="I342">
        <f>VLOOKUP(Table4[[#This Row],[Visitor]],'NHL Model'!$A$6:$B$38,2,FALSE)</f>
        <v>-1.7055605761743866</v>
      </c>
      <c r="J342">
        <f>($B$1+Table4[[#This Row],[Home Differential]])-Table4[[#This Row],[Away Differential]]</f>
        <v>1.8515238126758469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0.80629570233889714</v>
      </c>
      <c r="M342" t="str">
        <f>IF(OR((NHL2025_26Results[[#This Row],[Winning Team]]="")),"-",IF(Table4[[#This Row],[Predicted Winner]]=NHL2025_26Results[[#This Row],[Winning Team]],"YES","NO"))</f>
        <v>-</v>
      </c>
      <c r="N342" t="str">
        <f>IF(Table4[[#This Row],[Adjusted Correct]]="-", "",IF(Table4[[#This Row],[Adjusted Correct]]="YES",(Table4[[#This Row],[Strength of Win]]-1)^2,(Table4[[#This Row],[Strength of Win]]-0)^2))</f>
        <v/>
      </c>
      <c r="P342" s="11"/>
    </row>
    <row r="343" spans="4:16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-0.59708196015665005</v>
      </c>
      <c r="H343" t="s">
        <v>24</v>
      </c>
      <c r="I343">
        <f>VLOOKUP(Table4[[#This Row],[Visitor]],'NHL Model'!$A$6:$B$38,2,FALSE)</f>
        <v>0.29030528207371809</v>
      </c>
      <c r="J343">
        <f>($B$1+Table4[[#This Row],[Home Differential]])-Table4[[#This Row],[Away Differential]]</f>
        <v>-0.67957612964922132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0.59774014328022662</v>
      </c>
      <c r="M343" t="str">
        <f>IF(OR((NHL2025_26Results[[#This Row],[Winning Team]]="")),"-",IF(Table4[[#This Row],[Predicted Winner]]=NHL2025_26Results[[#This Row],[Winning Team]],"YES","NO"))</f>
        <v>-</v>
      </c>
      <c r="N343" t="str">
        <f>IF(Table4[[#This Row],[Adjusted Correct]]="-", "",IF(Table4[[#This Row],[Adjusted Correct]]="YES",(Table4[[#This Row],[Strength of Win]]-1)^2,(Table4[[#This Row],[Strength of Win]]-0)^2))</f>
        <v/>
      </c>
      <c r="P343" s="11"/>
    </row>
    <row r="344" spans="4:16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0.19552804934912488</v>
      </c>
      <c r="H344" t="s">
        <v>32</v>
      </c>
      <c r="I344">
        <f>VLOOKUP(Table4[[#This Row],[Visitor]],'NHL Model'!$A$6:$B$38,2,FALSE)</f>
        <v>-0.53589042422266964</v>
      </c>
      <c r="J344">
        <f>($B$1+Table4[[#This Row],[Home Differential]])-Table4[[#This Row],[Away Differential]]</f>
        <v>0.93922958615294128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0.71112170868756319</v>
      </c>
      <c r="M344" t="str">
        <f>IF(OR((NHL2025_26Results[[#This Row],[Winning Team]]="")),"-",IF(Table4[[#This Row],[Predicted Winner]]=NHL2025_26Results[[#This Row],[Winning Team]],"YES","NO"))</f>
        <v>-</v>
      </c>
      <c r="N344" t="str">
        <f>IF(Table4[[#This Row],[Adjusted Correct]]="-", "",IF(Table4[[#This Row],[Adjusted Correct]]="YES",(Table4[[#This Row],[Strength of Win]]-1)^2,(Table4[[#This Row],[Strength of Win]]-0)^2))</f>
        <v/>
      </c>
      <c r="P344" s="11"/>
    </row>
    <row r="345" spans="4:16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-0.41822017589574972</v>
      </c>
      <c r="H345" t="s">
        <v>36</v>
      </c>
      <c r="I345">
        <f>VLOOKUP(Table4[[#This Row],[Visitor]],'NHL Model'!$A$6:$B$38,2,FALSE)</f>
        <v>-0.47846056309234386</v>
      </c>
      <c r="J345">
        <f>($B$1+Table4[[#This Row],[Home Differential]])-Table4[[#This Row],[Away Differential]]</f>
        <v>0.2680514997777409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0.57855254893705499</v>
      </c>
      <c r="M345" t="str">
        <f>IF(OR((NHL2025_26Results[[#This Row],[Winning Team]]="")),"-",IF(Table4[[#This Row],[Predicted Winner]]=NHL2025_26Results[[#This Row],[Winning Team]],"YES","NO"))</f>
        <v>-</v>
      </c>
      <c r="N345" t="str">
        <f>IF(Table4[[#This Row],[Adjusted Correct]]="-", "",IF(Table4[[#This Row],[Adjusted Correct]]="YES",(Table4[[#This Row],[Strength of Win]]-1)^2,(Table4[[#This Row],[Strength of Win]]-0)^2))</f>
        <v/>
      </c>
      <c r="P345" s="11"/>
    </row>
    <row r="346" spans="4:16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-0.21513148032837168</v>
      </c>
      <c r="H346" t="s">
        <v>15</v>
      </c>
      <c r="I346">
        <f>VLOOKUP(Table4[[#This Row],[Visitor]],'NHL Model'!$A$6:$B$38,2,FALSE)</f>
        <v>-0.39108791057695064</v>
      </c>
      <c r="J346">
        <f>($B$1+Table4[[#This Row],[Home Differential]])-Table4[[#This Row],[Away Differential]]</f>
        <v>0.38376754282972569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0.54300030500092977</v>
      </c>
      <c r="M346" t="str">
        <f>IF(OR((NHL2025_26Results[[#This Row],[Winning Team]]="")),"-",IF(Table4[[#This Row],[Predicted Winner]]=NHL2025_26Results[[#This Row],[Winning Team]],"YES","NO"))</f>
        <v>-</v>
      </c>
      <c r="N346" t="str">
        <f>IF(Table4[[#This Row],[Adjusted Correct]]="-", "",IF(Table4[[#This Row],[Adjusted Correct]]="YES",(Table4[[#This Row],[Strength of Win]]-1)^2,(Table4[[#This Row],[Strength of Win]]-0)^2))</f>
        <v/>
      </c>
      <c r="P346" s="11"/>
    </row>
    <row r="347" spans="4:16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-7.0657671368725999E-2</v>
      </c>
      <c r="H347" t="s">
        <v>37</v>
      </c>
      <c r="I347">
        <f>VLOOKUP(Table4[[#This Row],[Visitor]],'NHL Model'!$A$6:$B$38,2,FALSE)</f>
        <v>4.5159124835038887E-2</v>
      </c>
      <c r="J347">
        <f>($B$1+Table4[[#This Row],[Home Differential]])-Table4[[#This Row],[Away Differential]]</f>
        <v>9.1994316377381868E-2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0.50613170548015474</v>
      </c>
      <c r="M347" t="str">
        <f>IF(OR((NHL2025_26Results[[#This Row],[Winning Team]]="")),"-",IF(Table4[[#This Row],[Predicted Winner]]=NHL2025_26Results[[#This Row],[Winning Team]],"YES","NO"))</f>
        <v>-</v>
      </c>
      <c r="N347" t="str">
        <f>IF(Table4[[#This Row],[Adjusted Correct]]="-", "",IF(Table4[[#This Row],[Adjusted Correct]]="YES",(Table4[[#This Row],[Strength of Win]]-1)^2,(Table4[[#This Row],[Strength of Win]]-0)^2))</f>
        <v/>
      </c>
      <c r="P347" s="11"/>
    </row>
    <row r="348" spans="4:16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-0.73027559042992929</v>
      </c>
      <c r="H348" t="s">
        <v>25</v>
      </c>
      <c r="I348">
        <f>VLOOKUP(Table4[[#This Row],[Visitor]],'NHL Model'!$A$6:$B$38,2,FALSE)</f>
        <v>0.67827132507054233</v>
      </c>
      <c r="J348">
        <f>($B$1+Table4[[#This Row],[Home Differential]])-Table4[[#This Row],[Away Differential]]</f>
        <v>-1.2007358029193249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0.73473981053139559</v>
      </c>
      <c r="M348" t="str">
        <f>IF(OR((NHL2025_26Results[[#This Row],[Winning Team]]="")),"-",IF(Table4[[#This Row],[Predicted Winner]]=NHL2025_26Results[[#This Row],[Winning Team]],"YES","NO"))</f>
        <v>-</v>
      </c>
      <c r="N348" t="str">
        <f>IF(Table4[[#This Row],[Adjusted Correct]]="-", "",IF(Table4[[#This Row],[Adjusted Correct]]="YES",(Table4[[#This Row],[Strength of Win]]-1)^2,(Table4[[#This Row],[Strength of Win]]-0)^2))</f>
        <v/>
      </c>
      <c r="P348" s="11"/>
    </row>
    <row r="349" spans="4:16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0.27981279116457602</v>
      </c>
      <c r="H349" t="s">
        <v>12</v>
      </c>
      <c r="I349">
        <f>VLOOKUP(Table4[[#This Row],[Visitor]],'NHL Model'!$A$6:$B$38,2,FALSE)</f>
        <v>1.4784730509534416</v>
      </c>
      <c r="J349">
        <f>($B$1+Table4[[#This Row],[Home Differential]])-Table4[[#This Row],[Away Differential]]</f>
        <v>-0.99084914720771877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0.66173980301210877</v>
      </c>
      <c r="M349" t="str">
        <f>IF(OR((NHL2025_26Results[[#This Row],[Winning Team]]="")),"-",IF(Table4[[#This Row],[Predicted Winner]]=NHL2025_26Results[[#This Row],[Winning Team]],"YES","NO"))</f>
        <v>-</v>
      </c>
      <c r="N349" t="str">
        <f>IF(Table4[[#This Row],[Adjusted Correct]]="-", "",IF(Table4[[#This Row],[Adjusted Correct]]="YES",(Table4[[#This Row],[Strength of Win]]-1)^2,(Table4[[#This Row],[Strength of Win]]-0)^2))</f>
        <v/>
      </c>
      <c r="P349" s="11"/>
    </row>
    <row r="350" spans="4:16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-6.1847876079686406E-2</v>
      </c>
      <c r="H350" t="s">
        <v>32</v>
      </c>
      <c r="I350">
        <f>VLOOKUP(Table4[[#This Row],[Visitor]],'NHL Model'!$A$6:$B$38,2,FALSE)</f>
        <v>-0.53589042422266964</v>
      </c>
      <c r="J350">
        <f>($B$1+Table4[[#This Row],[Home Differential]])-Table4[[#This Row],[Away Differential]]</f>
        <v>0.68185366072413001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0.63806770954377634</v>
      </c>
      <c r="M350" t="str">
        <f>IF(OR((NHL2025_26Results[[#This Row],[Winning Team]]="")),"-",IF(Table4[[#This Row],[Predicted Winner]]=NHL2025_26Results[[#This Row],[Winning Team]],"YES","NO"))</f>
        <v>-</v>
      </c>
      <c r="N350" t="str">
        <f>IF(Table4[[#This Row],[Adjusted Correct]]="-", "",IF(Table4[[#This Row],[Adjusted Correct]]="YES",(Table4[[#This Row],[Strength of Win]]-1)^2,(Table4[[#This Row],[Strength of Win]]-0)^2))</f>
        <v/>
      </c>
      <c r="P350" s="11"/>
    </row>
    <row r="351" spans="4:16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-0.41822017589574972</v>
      </c>
      <c r="H351" t="s">
        <v>21</v>
      </c>
      <c r="I351">
        <f>VLOOKUP(Table4[[#This Row],[Visitor]],'NHL Model'!$A$6:$B$38,2,FALSE)</f>
        <v>-5.2681296301607013E-2</v>
      </c>
      <c r="J351">
        <f>($B$1+Table4[[#This Row],[Home Differential]])-Table4[[#This Row],[Away Differential]]</f>
        <v>-0.15772776701299596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0.48268522079355247</v>
      </c>
      <c r="M351" t="str">
        <f>IF(OR((NHL2025_26Results[[#This Row],[Winning Team]]="")),"-",IF(Table4[[#This Row],[Predicted Winner]]=NHL2025_26Results[[#This Row],[Winning Team]],"YES","NO"))</f>
        <v>-</v>
      </c>
      <c r="N351" t="str">
        <f>IF(Table4[[#This Row],[Adjusted Correct]]="-", "",IF(Table4[[#This Row],[Adjusted Correct]]="YES",(Table4[[#This Row],[Strength of Win]]-1)^2,(Table4[[#This Row],[Strength of Win]]-0)^2))</f>
        <v/>
      </c>
      <c r="P351" s="11"/>
    </row>
    <row r="352" spans="4:16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-0.87485041382128448</v>
      </c>
      <c r="H352" t="s">
        <v>16</v>
      </c>
      <c r="I352">
        <f>VLOOKUP(Table4[[#This Row],[Visitor]],'NHL Model'!$A$6:$B$38,2,FALSE)</f>
        <v>-1.5116691651852812</v>
      </c>
      <c r="J352">
        <f>($B$1+Table4[[#This Row],[Home Differential]])-Table4[[#This Row],[Away Differential]]</f>
        <v>0.8446298639451435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0.66147902246561974</v>
      </c>
      <c r="M352" t="str">
        <f>IF(OR((NHL2025_26Results[[#This Row],[Winning Team]]="")),"-",IF(Table4[[#This Row],[Predicted Winner]]=NHL2025_26Results[[#This Row],[Winning Team]],"YES","NO"))</f>
        <v>-</v>
      </c>
      <c r="N352" t="str">
        <f>IF(Table4[[#This Row],[Adjusted Correct]]="-", "",IF(Table4[[#This Row],[Adjusted Correct]]="YES",(Table4[[#This Row],[Strength of Win]]-1)^2,(Table4[[#This Row],[Strength of Win]]-0)^2))</f>
        <v/>
      </c>
      <c r="P352" s="11"/>
    </row>
    <row r="353" spans="4:16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0.13227623341979275</v>
      </c>
      <c r="H353" t="s">
        <v>34</v>
      </c>
      <c r="I353">
        <f>VLOOKUP(Table4[[#This Row],[Visitor]],'NHL Model'!$A$6:$B$38,2,FALSE)</f>
        <v>-0.62096640812916071</v>
      </c>
      <c r="J353">
        <f>($B$1+Table4[[#This Row],[Home Differential]])-Table4[[#This Row],[Away Differential]]</f>
        <v>0.96105375413010019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0.72993968303683565</v>
      </c>
      <c r="M353" t="str">
        <f>IF(OR((NHL2025_26Results[[#This Row],[Winning Team]]="")),"-",IF(Table4[[#This Row],[Predicted Winner]]=NHL2025_26Results[[#This Row],[Winning Team]],"YES","NO"))</f>
        <v>-</v>
      </c>
      <c r="N353" t="str">
        <f>IF(Table4[[#This Row],[Adjusted Correct]]="-", "",IF(Table4[[#This Row],[Adjusted Correct]]="YES",(Table4[[#This Row],[Strength of Win]]-1)^2,(Table4[[#This Row],[Strength of Win]]-0)^2))</f>
        <v/>
      </c>
      <c r="P353" s="11"/>
    </row>
    <row r="354" spans="4:16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-0.15545019701583887</v>
      </c>
      <c r="H354" t="s">
        <v>36</v>
      </c>
      <c r="I354">
        <f>VLOOKUP(Table4[[#This Row],[Visitor]],'NHL Model'!$A$6:$B$38,2,FALSE)</f>
        <v>-0.47846056309234386</v>
      </c>
      <c r="J354">
        <f>($B$1+Table4[[#This Row],[Home Differential]])-Table4[[#This Row],[Away Differential]]</f>
        <v>0.53082147865765172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0.61634548230380171</v>
      </c>
      <c r="M354" t="str">
        <f>IF(OR((NHL2025_26Results[[#This Row],[Winning Team]]="")),"-",IF(Table4[[#This Row],[Predicted Winner]]=NHL2025_26Results[[#This Row],[Winning Team]],"YES","NO"))</f>
        <v>-</v>
      </c>
      <c r="N354" t="str">
        <f>IF(Table4[[#This Row],[Adjusted Correct]]="-", "",IF(Table4[[#This Row],[Adjusted Correct]]="YES",(Table4[[#This Row],[Strength of Win]]-1)^2,(Table4[[#This Row],[Strength of Win]]-0)^2))</f>
        <v/>
      </c>
      <c r="P354" s="11"/>
    </row>
    <row r="355" spans="4:16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0.29030528207371809</v>
      </c>
      <c r="H355" t="s">
        <v>26</v>
      </c>
      <c r="I355">
        <f>VLOOKUP(Table4[[#This Row],[Visitor]],'NHL Model'!$A$6:$B$38,2,FALSE)</f>
        <v>-0.4561706649361581</v>
      </c>
      <c r="J355">
        <f>($B$1+Table4[[#This Row],[Home Differential]])-Table4[[#This Row],[Away Differential]]</f>
        <v>0.95428705959102289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0.74890097124050325</v>
      </c>
      <c r="M355" t="str">
        <f>IF(OR((NHL2025_26Results[[#This Row],[Winning Team]]="")),"-",IF(Table4[[#This Row],[Predicted Winner]]=NHL2025_26Results[[#This Row],[Winning Team]],"YES","NO"))</f>
        <v>-</v>
      </c>
      <c r="N355" t="str">
        <f>IF(Table4[[#This Row],[Adjusted Correct]]="-", "",IF(Table4[[#This Row],[Adjusted Correct]]="YES",(Table4[[#This Row],[Strength of Win]]-1)^2,(Table4[[#This Row],[Strength of Win]]-0)^2))</f>
        <v/>
      </c>
      <c r="P355" s="11"/>
    </row>
    <row r="356" spans="4:16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-1.4469605932441605</v>
      </c>
      <c r="H356" t="s">
        <v>11</v>
      </c>
      <c r="I356">
        <f>VLOOKUP(Table4[[#This Row],[Visitor]],'NHL Model'!$A$6:$B$38,2,FALSE)</f>
        <v>-0.1981495100594213</v>
      </c>
      <c r="J356">
        <f>($B$1+Table4[[#This Row],[Home Differential]])-Table4[[#This Row],[Away Differential]]</f>
        <v>-1.0409999706035924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0.60972198381074116</v>
      </c>
      <c r="M356" t="str">
        <f>IF(OR((NHL2025_26Results[[#This Row],[Winning Team]]="")),"-",IF(Table4[[#This Row],[Predicted Winner]]=NHL2025_26Results[[#This Row],[Winning Team]],"YES","NO"))</f>
        <v>-</v>
      </c>
      <c r="N356" t="str">
        <f>IF(Table4[[#This Row],[Adjusted Correct]]="-", "",IF(Table4[[#This Row],[Adjusted Correct]]="YES",(Table4[[#This Row],[Strength of Win]]-1)^2,(Table4[[#This Row],[Strength of Win]]-0)^2))</f>
        <v/>
      </c>
      <c r="P356" s="11"/>
    </row>
    <row r="357" spans="4:16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-0.39108791057695064</v>
      </c>
      <c r="H357" t="s">
        <v>35</v>
      </c>
      <c r="I357">
        <f>VLOOKUP(Table4[[#This Row],[Visitor]],'NHL Model'!$A$6:$B$38,2,FALSE)</f>
        <v>-1.7055605761743866</v>
      </c>
      <c r="J357">
        <f>($B$1+Table4[[#This Row],[Home Differential]])-Table4[[#This Row],[Away Differential]]</f>
        <v>1.5222837781785827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0.75894270281261922</v>
      </c>
      <c r="M357" t="str">
        <f>IF(OR((NHL2025_26Results[[#This Row],[Winning Team]]="")),"-",IF(Table4[[#This Row],[Predicted Winner]]=NHL2025_26Results[[#This Row],[Winning Team]],"YES","NO"))</f>
        <v>-</v>
      </c>
      <c r="N357" t="str">
        <f>IF(Table4[[#This Row],[Adjusted Correct]]="-", "",IF(Table4[[#This Row],[Adjusted Correct]]="YES",(Table4[[#This Row],[Strength of Win]]-1)^2,(Table4[[#This Row],[Strength of Win]]-0)^2))</f>
        <v/>
      </c>
      <c r="P357" s="11"/>
    </row>
    <row r="358" spans="4:16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4.5159124835038887E-2</v>
      </c>
      <c r="H358" t="s">
        <v>27</v>
      </c>
      <c r="I358">
        <f>VLOOKUP(Table4[[#This Row],[Visitor]],'NHL Model'!$A$6:$B$38,2,FALSE)</f>
        <v>-0.59708196015665005</v>
      </c>
      <c r="J358">
        <f>($B$1+Table4[[#This Row],[Home Differential]])-Table4[[#This Row],[Away Differential]]</f>
        <v>0.85005219757283568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0.66225889044885422</v>
      </c>
      <c r="M358" t="str">
        <f>IF(OR((NHL2025_26Results[[#This Row],[Winning Team]]="")),"-",IF(Table4[[#This Row],[Predicted Winner]]=NHL2025_26Results[[#This Row],[Winning Team]],"YES","NO"))</f>
        <v>-</v>
      </c>
      <c r="N358" t="str">
        <f>IF(Table4[[#This Row],[Adjusted Correct]]="-", "",IF(Table4[[#This Row],[Adjusted Correct]]="YES",(Table4[[#This Row],[Strength of Win]]-1)^2,(Table4[[#This Row],[Strength of Win]]-0)^2))</f>
        <v/>
      </c>
      <c r="P358" s="11"/>
    </row>
    <row r="359" spans="4:16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-0.21513148032837168</v>
      </c>
      <c r="H359" t="s">
        <v>20</v>
      </c>
      <c r="I359">
        <f>VLOOKUP(Table4[[#This Row],[Visitor]],'NHL Model'!$A$6:$B$38,2,FALSE)</f>
        <v>-5.4617353012467046E-4</v>
      </c>
      <c r="J359">
        <f>($B$1+Table4[[#This Row],[Home Differential]])-Table4[[#This Row],[Away Differential]]</f>
        <v>-6.7741942171002448E-3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0.41273900542658387</v>
      </c>
      <c r="M359" t="str">
        <f>IF(OR((NHL2025_26Results[[#This Row],[Winning Team]]="")),"-",IF(Table4[[#This Row],[Predicted Winner]]=NHL2025_26Results[[#This Row],[Winning Team]],"YES","NO"))</f>
        <v>-</v>
      </c>
      <c r="N359" t="str">
        <f>IF(Table4[[#This Row],[Adjusted Correct]]="-", "",IF(Table4[[#This Row],[Adjusted Correct]]="YES",(Table4[[#This Row],[Strength of Win]]-1)^2,(Table4[[#This Row],[Strength of Win]]-0)^2))</f>
        <v/>
      </c>
      <c r="P359" s="11"/>
    </row>
    <row r="360" spans="4:16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-7.0657671368725999E-2</v>
      </c>
      <c r="H360" t="s">
        <v>28</v>
      </c>
      <c r="I360">
        <f>VLOOKUP(Table4[[#This Row],[Visitor]],'NHL Model'!$A$6:$B$38,2,FALSE)</f>
        <v>-0.57641196648435689</v>
      </c>
      <c r="J360">
        <f>($B$1+Table4[[#This Row],[Home Differential]])-Table4[[#This Row],[Away Differential]]</f>
        <v>0.71356540769677768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0.64262865651872791</v>
      </c>
      <c r="M360" t="str">
        <f>IF(OR((NHL2025_26Results[[#This Row],[Winning Team]]="")),"-",IF(Table4[[#This Row],[Predicted Winner]]=NHL2025_26Results[[#This Row],[Winning Team]],"YES","NO"))</f>
        <v>-</v>
      </c>
      <c r="N360" t="str">
        <f>IF(Table4[[#This Row],[Adjusted Correct]]="-", "",IF(Table4[[#This Row],[Adjusted Correct]]="YES",(Table4[[#This Row],[Strength of Win]]-1)^2,(Table4[[#This Row],[Strength of Win]]-0)^2))</f>
        <v/>
      </c>
      <c r="P360" s="11"/>
    </row>
    <row r="361" spans="4:16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-0.8965878665431638</v>
      </c>
      <c r="H361" t="s">
        <v>39</v>
      </c>
      <c r="I361">
        <f>VLOOKUP(Table4[[#This Row],[Visitor]],'NHL Model'!$A$6:$B$38,2,FALSE)</f>
        <v>5.4297665563734943E-2</v>
      </c>
      <c r="J361">
        <f>($B$1+Table4[[#This Row],[Home Differential]])-Table4[[#This Row],[Away Differential]]</f>
        <v>-0.74307441952575204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0.6230018270247184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6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0.50495447305652519</v>
      </c>
      <c r="H362" t="s">
        <v>38</v>
      </c>
      <c r="I362">
        <f>VLOOKUP(Table4[[#This Row],[Visitor]],'NHL Model'!$A$6:$B$38,2,FALSE)</f>
        <v>-0.87485041382128448</v>
      </c>
      <c r="J362">
        <f>($B$1+Table4[[#This Row],[Home Differential]])-Table4[[#This Row],[Away Differential]]</f>
        <v>1.5876159994589565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0.85991806713885077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6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0.67827132507054233</v>
      </c>
      <c r="H363" t="s">
        <v>15</v>
      </c>
      <c r="I363">
        <f>VLOOKUP(Table4[[#This Row],[Visitor]],'NHL Model'!$A$6:$B$38,2,FALSE)</f>
        <v>-0.39108791057695064</v>
      </c>
      <c r="J363">
        <f>($B$1+Table4[[#This Row],[Home Differential]])-Table4[[#This Row],[Away Differential]]</f>
        <v>1.2771703482286398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0.65427746065516512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6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-0.57641196648435689</v>
      </c>
      <c r="H364" t="s">
        <v>19</v>
      </c>
      <c r="I364">
        <f>VLOOKUP(Table4[[#This Row],[Visitor]],'NHL Model'!$A$6:$B$38,2,FALSE)</f>
        <v>-0.72519112941434305</v>
      </c>
      <c r="J364">
        <f>($B$1+Table4[[#This Row],[Home Differential]])-Table4[[#This Row],[Away Differential]]</f>
        <v>0.35659027551113293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0.5983326040835768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6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0.27981279116457602</v>
      </c>
      <c r="H365" t="s">
        <v>34</v>
      </c>
      <c r="I365">
        <f>VLOOKUP(Table4[[#This Row],[Visitor]],'NHL Model'!$A$6:$B$38,2,FALSE)</f>
        <v>-0.62096640812916071</v>
      </c>
      <c r="J365">
        <f>($B$1+Table4[[#This Row],[Home Differential]])-Table4[[#This Row],[Away Differential]]</f>
        <v>1.1085903118748834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0.70648912708986256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6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1.4784730509534416</v>
      </c>
      <c r="H366" t="s">
        <v>33</v>
      </c>
      <c r="I366">
        <f>VLOOKUP(Table4[[#This Row],[Visitor]],'NHL Model'!$A$6:$B$38,2,FALSE)</f>
        <v>-0.41822017589574972</v>
      </c>
      <c r="J366">
        <f>($B$1+Table4[[#This Row],[Home Differential]])-Table4[[#This Row],[Away Differential]]</f>
        <v>2.104504339430338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0.93104691397634176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6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-0.4561706649361581</v>
      </c>
      <c r="H367" t="s">
        <v>29</v>
      </c>
      <c r="I367">
        <f>VLOOKUP(Table4[[#This Row],[Visitor]],'NHL Model'!$A$6:$B$38,2,FALSE)</f>
        <v>-1.4469605932441605</v>
      </c>
      <c r="J367">
        <f>($B$1+Table4[[#This Row],[Home Differential]])-Table4[[#This Row],[Away Differential]]</f>
        <v>1.1986010408891492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0.75282015987372952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6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-0.1981495100594213</v>
      </c>
      <c r="H368" t="s">
        <v>27</v>
      </c>
      <c r="I368">
        <f>VLOOKUP(Table4[[#This Row],[Visitor]],'NHL Model'!$A$6:$B$38,2,FALSE)</f>
        <v>-0.59708196015665005</v>
      </c>
      <c r="J368">
        <f>($B$1+Table4[[#This Row],[Home Differential]])-Table4[[#This Row],[Away Differential]]</f>
        <v>0.60674356267837548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0.6907132637908685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0.29030528207371809</v>
      </c>
      <c r="H369" t="s">
        <v>35</v>
      </c>
      <c r="I369">
        <f>VLOOKUP(Table4[[#This Row],[Visitor]],'NHL Model'!$A$6:$B$38,2,FALSE)</f>
        <v>-1.7055605761743866</v>
      </c>
      <c r="J369">
        <f>($B$1+Table4[[#This Row],[Home Differential]])-Table4[[#This Row],[Away Differential]]</f>
        <v>2.2036769708292514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0.97237489707409952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-6.1847876079686406E-2</v>
      </c>
      <c r="H370" t="s">
        <v>21</v>
      </c>
      <c r="I370">
        <f>VLOOKUP(Table4[[#This Row],[Visitor]],'NHL Model'!$A$6:$B$38,2,FALSE)</f>
        <v>-5.2681296301607013E-2</v>
      </c>
      <c r="J370">
        <f>($B$1+Table4[[#This Row],[Home Differential]])-Table4[[#This Row],[Away Differential]]</f>
        <v>0.19864453280306738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0.56857008104158591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0.19552804934912488</v>
      </c>
      <c r="H371" t="s">
        <v>23</v>
      </c>
      <c r="I371">
        <f>VLOOKUP(Table4[[#This Row],[Visitor]],'NHL Model'!$A$6:$B$38,2,FALSE)</f>
        <v>-0.73027559042992929</v>
      </c>
      <c r="J371">
        <f>($B$1+Table4[[#This Row],[Home Differential]])-Table4[[#This Row],[Away Differential]]</f>
        <v>1.1336147523602009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0.73907918566141617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-0.53589042422266964</v>
      </c>
      <c r="H372" t="s">
        <v>39</v>
      </c>
      <c r="I372">
        <f>VLOOKUP(Table4[[#This Row],[Visitor]],'NHL Model'!$A$6:$B$38,2,FALSE)</f>
        <v>5.4297665563734943E-2</v>
      </c>
      <c r="J372">
        <f>($B$1+Table4[[#This Row],[Home Differential]])-Table4[[#This Row],[Away Differential]]</f>
        <v>-0.38237697720525782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0.58131121810710762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4.5159124835038887E-2</v>
      </c>
      <c r="H373" t="s">
        <v>16</v>
      </c>
      <c r="I373">
        <f>VLOOKUP(Table4[[#This Row],[Visitor]],'NHL Model'!$A$6:$B$38,2,FALSE)</f>
        <v>-1.5116691651852812</v>
      </c>
      <c r="J373">
        <f>($B$1+Table4[[#This Row],[Home Differential]])-Table4[[#This Row],[Away Differential]]</f>
        <v>1.7646394026014667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0.79379953845234152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-0.21513148032837168</v>
      </c>
      <c r="H374" t="s">
        <v>18</v>
      </c>
      <c r="I374">
        <f>VLOOKUP(Table4[[#This Row],[Visitor]],'NHL Model'!$A$6:$B$38,2,FALSE)</f>
        <v>-0.67174708781561598</v>
      </c>
      <c r="J374">
        <f>($B$1+Table4[[#This Row],[Home Differential]])-Table4[[#This Row],[Away Differential]]</f>
        <v>0.6644267200683911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0.65806127707460305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-5.4617353012467046E-4</v>
      </c>
      <c r="H375" t="s">
        <v>36</v>
      </c>
      <c r="I375">
        <f>VLOOKUP(Table4[[#This Row],[Visitor]],'NHL Model'!$A$6:$B$38,2,FALSE)</f>
        <v>-0.47846056309234386</v>
      </c>
      <c r="J375">
        <f>($B$1+Table4[[#This Row],[Home Differential]])-Table4[[#This Row],[Away Differential]]</f>
        <v>0.68572550214336592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0.63862457774229564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-7.0657671368725999E-2</v>
      </c>
      <c r="H376" t="s">
        <v>40</v>
      </c>
      <c r="I376">
        <f>VLOOKUP(Table4[[#This Row],[Visitor]],'NHL Model'!$A$6:$B$38,2,FALSE)</f>
        <v>0.13227623341979275</v>
      </c>
      <c r="J376">
        <f>($B$1+Table4[[#This Row],[Home Differential]])-Table4[[#This Row],[Away Differential]]</f>
        <v>4.8772077926280133E-3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0.47438567570094597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0.50495447305652519</v>
      </c>
      <c r="H377" t="s">
        <v>13</v>
      </c>
      <c r="I377">
        <f>VLOOKUP(Table4[[#This Row],[Visitor]],'NHL Model'!$A$6:$B$38,2,FALSE)</f>
        <v>-0.15545019701583887</v>
      </c>
      <c r="J377">
        <f>($B$1+Table4[[#This Row],[Home Differential]])-Table4[[#This Row],[Away Differential]]</f>
        <v>0.86821578265351085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0.6780627602795174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-5.2681296301607013E-2</v>
      </c>
      <c r="H378" t="s">
        <v>15</v>
      </c>
      <c r="I378">
        <f>VLOOKUP(Table4[[#This Row],[Visitor]],'NHL Model'!$A$6:$B$38,2,FALSE)</f>
        <v>-0.39108791057695064</v>
      </c>
      <c r="J378">
        <f>($B$1+Table4[[#This Row],[Home Differential]])-Table4[[#This Row],[Away Differential]]</f>
        <v>0.54621772685649039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0.54914808540643723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-0.73027559042992929</v>
      </c>
      <c r="H379" t="s">
        <v>24</v>
      </c>
      <c r="I379">
        <f>VLOOKUP(Table4[[#This Row],[Visitor]],'NHL Model'!$A$6:$B$38,2,FALSE)</f>
        <v>0.29030528207371809</v>
      </c>
      <c r="J379">
        <f>($B$1+Table4[[#This Row],[Home Differential]])-Table4[[#This Row],[Away Differential]]</f>
        <v>-0.81276975992250067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0.61689673801471734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0.67827132507054233</v>
      </c>
      <c r="H380" t="s">
        <v>40</v>
      </c>
      <c r="I380">
        <f>VLOOKUP(Table4[[#This Row],[Visitor]],'NHL Model'!$A$6:$B$38,2,FALSE)</f>
        <v>0.13227623341979275</v>
      </c>
      <c r="J380">
        <f>($B$1+Table4[[#This Row],[Home Differential]])-Table4[[#This Row],[Away Differential]]</f>
        <v>0.75380620423189637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0.63473208485648325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-0.57641196648435689</v>
      </c>
      <c r="H381" t="s">
        <v>14</v>
      </c>
      <c r="I381">
        <f>VLOOKUP(Table4[[#This Row],[Visitor]],'NHL Model'!$A$6:$B$38,2,FALSE)</f>
        <v>0.19552804934912488</v>
      </c>
      <c r="J381">
        <f>($B$1+Table4[[#This Row],[Home Differential]])-Table4[[#This Row],[Away Differential]]</f>
        <v>-0.564128903252335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0.53408997600269714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0.27981279116457602</v>
      </c>
      <c r="H382" t="s">
        <v>29</v>
      </c>
      <c r="I382">
        <f>VLOOKUP(Table4[[#This Row],[Visitor]],'NHL Model'!$A$6:$B$38,2,FALSE)</f>
        <v>-1.4469605932441605</v>
      </c>
      <c r="J382">
        <f>($B$1+Table4[[#This Row],[Home Differential]])-Table4[[#This Row],[Away Differential]]</f>
        <v>1.9345844969898833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0.82528787012906579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5.4297665563734943E-2</v>
      </c>
      <c r="H383" t="s">
        <v>55</v>
      </c>
      <c r="I383">
        <f>VLOOKUP(Table4[[#This Row],[Visitor]],'NHL Model'!$A$6:$B$38,2,FALSE)</f>
        <v>-0.21513148032837168</v>
      </c>
      <c r="J383">
        <f>($B$1+Table4[[#This Row],[Home Differential]])-Table4[[#This Row],[Away Differential]]</f>
        <v>0.47724025847325335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0.61113463412337066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-0.4561706649361581</v>
      </c>
      <c r="H384" t="s">
        <v>37</v>
      </c>
      <c r="I384">
        <f>VLOOKUP(Table4[[#This Row],[Visitor]],'NHL Model'!$A$6:$B$38,2,FALSE)</f>
        <v>4.5159124835038887E-2</v>
      </c>
      <c r="J384">
        <f>($B$1+Table4[[#This Row],[Home Differential]])-Table4[[#This Row],[Away Differential]]</f>
        <v>-0.2935186771900502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0.50831706463223703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-0.1981495100594213</v>
      </c>
      <c r="H385" t="s">
        <v>16</v>
      </c>
      <c r="I385">
        <f>VLOOKUP(Table4[[#This Row],[Visitor]],'NHL Model'!$A$6:$B$38,2,FALSE)</f>
        <v>-1.5116691651852812</v>
      </c>
      <c r="J385">
        <f>($B$1+Table4[[#This Row],[Home Differential]])-Table4[[#This Row],[Away Differential]]</f>
        <v>1.5213307677070067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0.8222539117943557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-0.62096640812916071</v>
      </c>
      <c r="H386" t="s">
        <v>12</v>
      </c>
      <c r="I386">
        <f>VLOOKUP(Table4[[#This Row],[Visitor]],'NHL Model'!$A$6:$B$38,2,FALSE)</f>
        <v>1.4784730509534416</v>
      </c>
      <c r="J386">
        <f>($B$1+Table4[[#This Row],[Home Differential]])-Table4[[#This Row],[Away Differential]]</f>
        <v>-1.8916283465014556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0.79837953267111617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-6.1847876079686406E-2</v>
      </c>
      <c r="H387" t="s">
        <v>27</v>
      </c>
      <c r="I387">
        <f>VLOOKUP(Table4[[#This Row],[Visitor]],'NHL Model'!$A$6:$B$38,2,FALSE)</f>
        <v>-0.59708196015665005</v>
      </c>
      <c r="J387">
        <f>($B$1+Table4[[#This Row],[Home Differential]])-Table4[[#This Row],[Away Differential]]</f>
        <v>0.74304519665811042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0.6468685917831386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-0.41822017589574972</v>
      </c>
      <c r="H388" t="s">
        <v>38</v>
      </c>
      <c r="I388">
        <f>VLOOKUP(Table4[[#This Row],[Visitor]],'NHL Model'!$A$6:$B$38,2,FALSE)</f>
        <v>-0.87485041382128448</v>
      </c>
      <c r="J388">
        <f>($B$1+Table4[[#This Row],[Home Differential]])-Table4[[#This Row],[Away Differential]]</f>
        <v>0.66444135050668152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0.61479415053045083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-1.7055605761743866</v>
      </c>
      <c r="H389" t="s">
        <v>36</v>
      </c>
      <c r="I389">
        <f>VLOOKUP(Table4[[#This Row],[Visitor]],'NHL Model'!$A$6:$B$38,2,FALSE)</f>
        <v>-0.47846056309234386</v>
      </c>
      <c r="J389">
        <f>($B$1+Table4[[#This Row],[Home Differential]])-Table4[[#This Row],[Away Differential]]</f>
        <v>-1.019288900500896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0.60659938575289019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-5.4617353012467046E-4</v>
      </c>
      <c r="H390" t="s">
        <v>18</v>
      </c>
      <c r="I390">
        <f>VLOOKUP(Table4[[#This Row],[Visitor]],'NHL Model'!$A$6:$B$38,2,FALSE)</f>
        <v>-0.67174708781561598</v>
      </c>
      <c r="J390">
        <f>($B$1+Table4[[#This Row],[Home Differential]])-Table4[[#This Row],[Away Differential]]</f>
        <v>0.87901202686663804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0.61932465095191747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-7.0657671368725999E-2</v>
      </c>
      <c r="H391" t="s">
        <v>19</v>
      </c>
      <c r="I391">
        <f>VLOOKUP(Table4[[#This Row],[Visitor]],'NHL Model'!$A$6:$B$38,2,FALSE)</f>
        <v>-0.72519112941434305</v>
      </c>
      <c r="J391">
        <f>($B$1+Table4[[#This Row],[Home Differential]])-Table4[[#This Row],[Away Differential]]</f>
        <v>0.86234457062676384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0.66402684292853464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-5.2681296301607013E-2</v>
      </c>
      <c r="H392" t="s">
        <v>26</v>
      </c>
      <c r="I392">
        <f>VLOOKUP(Table4[[#This Row],[Visitor]],'NHL Model'!$A$6:$B$38,2,FALSE)</f>
        <v>-0.4561706649361581</v>
      </c>
      <c r="J392">
        <f>($B$1+Table4[[#This Row],[Home Differential]])-Table4[[#This Row],[Away Differential]]</f>
        <v>0.61130048121569791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0.63337493290566793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1.4784730509534416</v>
      </c>
      <c r="H393" t="s">
        <v>18</v>
      </c>
      <c r="I393">
        <f>VLOOKUP(Table4[[#This Row],[Visitor]],'NHL Model'!$A$6:$B$38,2,FALSE)</f>
        <v>-0.67174708781561598</v>
      </c>
      <c r="J393">
        <f>($B$1+Table4[[#This Row],[Home Differential]])-Table4[[#This Row],[Away Differential]]</f>
        <v>2.3580312513502042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0.92247754736743359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-0.15545019701583887</v>
      </c>
      <c r="H394" t="s">
        <v>38</v>
      </c>
      <c r="I394">
        <f>VLOOKUP(Table4[[#This Row],[Visitor]],'NHL Model'!$A$6:$B$38,2,FALSE)</f>
        <v>-0.87485041382128448</v>
      </c>
      <c r="J394">
        <f>($B$1+Table4[[#This Row],[Home Differential]])-Table4[[#This Row],[Away Differential]]</f>
        <v>0.92721132938659234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0.65258708389719744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-0.62096640812916071</v>
      </c>
      <c r="H395" t="s">
        <v>23</v>
      </c>
      <c r="I395">
        <f>VLOOKUP(Table4[[#This Row],[Visitor]],'NHL Model'!$A$6:$B$38,2,FALSE)</f>
        <v>-0.73027559042992929</v>
      </c>
      <c r="J395">
        <f>($B$1+Table4[[#This Row],[Home Differential]])-Table4[[#This Row],[Away Differential]]</f>
        <v>0.31712029488191534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0.58560987607793868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0.29030528207371809</v>
      </c>
      <c r="H396" t="s">
        <v>27</v>
      </c>
      <c r="I396">
        <f>VLOOKUP(Table4[[#This Row],[Visitor]],'NHL Model'!$A$6:$B$38,2,FALSE)</f>
        <v>-0.59708196015665005</v>
      </c>
      <c r="J396">
        <f>($B$1+Table4[[#This Row],[Home Differential]])-Table4[[#This Row],[Away Differential]]</f>
        <v>1.095198354811515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0.81294778651834099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-1.4469605932441605</v>
      </c>
      <c r="H397" t="s">
        <v>40</v>
      </c>
      <c r="I397">
        <f>VLOOKUP(Table4[[#This Row],[Visitor]],'NHL Model'!$A$6:$B$38,2,FALSE)</f>
        <v>0.13227623341979275</v>
      </c>
      <c r="J397">
        <f>($B$1+Table4[[#This Row],[Home Differential]])-Table4[[#This Row],[Away Differential]]</f>
        <v>-1.3714257140828063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0.72356130759073478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-0.39108791057695064</v>
      </c>
      <c r="H398" t="s">
        <v>37</v>
      </c>
      <c r="I398">
        <f>VLOOKUP(Table4[[#This Row],[Visitor]],'NHL Model'!$A$6:$B$38,2,FALSE)</f>
        <v>4.5159124835038887E-2</v>
      </c>
      <c r="J398">
        <f>($B$1+Table4[[#This Row],[Home Differential]])-Table4[[#This Row],[Away Differential]]</f>
        <v>-0.22843592283084277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0.53995422385891012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0.19552804934912488</v>
      </c>
      <c r="H399" t="s">
        <v>19</v>
      </c>
      <c r="I399">
        <f>VLOOKUP(Table4[[#This Row],[Visitor]],'NHL Model'!$A$6:$B$38,2,FALSE)</f>
        <v>-0.72519112941434305</v>
      </c>
      <c r="J399">
        <f>($B$1+Table4[[#This Row],[Home Differential]])-Table4[[#This Row],[Away Differential]]</f>
        <v>1.1285302913446147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0.73834791225953456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-0.53589042422266964</v>
      </c>
      <c r="H400" t="s">
        <v>17</v>
      </c>
      <c r="I400">
        <f>VLOOKUP(Table4[[#This Row],[Visitor]],'NHL Model'!$A$6:$B$38,2,FALSE)</f>
        <v>-0.8965878665431638</v>
      </c>
      <c r="J400">
        <f>($B$1+Table4[[#This Row],[Home Differential]])-Table4[[#This Row],[Away Differential]]</f>
        <v>0.56850855490164087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0.64780356779610082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-1.7055605761743866</v>
      </c>
      <c r="H401" t="s">
        <v>55</v>
      </c>
      <c r="I401">
        <f>VLOOKUP(Table4[[#This Row],[Visitor]],'NHL Model'!$A$6:$B$38,2,FALSE)</f>
        <v>-0.21513148032837168</v>
      </c>
      <c r="J401">
        <f>($B$1+Table4[[#This Row],[Home Differential]])-Table4[[#This Row],[Away Differential]]</f>
        <v>-1.2826179832648681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0.64447273232332725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-5.4617353012467046E-4</v>
      </c>
      <c r="H402" t="s">
        <v>33</v>
      </c>
      <c r="I402">
        <f>VLOOKUP(Table4[[#This Row],[Visitor]],'NHL Model'!$A$6:$B$38,2,FALSE)</f>
        <v>-0.41822017589574972</v>
      </c>
      <c r="J402">
        <f>($B$1+Table4[[#This Row],[Home Differential]])-Table4[[#This Row],[Away Differential]]</f>
        <v>0.62548511494677184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0.62996049461905435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0.67827132507054233</v>
      </c>
      <c r="H403" t="s">
        <v>16</v>
      </c>
      <c r="I403">
        <f>VLOOKUP(Table4[[#This Row],[Visitor]],'NHL Model'!$A$6:$B$38,2,FALSE)</f>
        <v>-1.5116691651852812</v>
      </c>
      <c r="J403">
        <f>($B$1+Table4[[#This Row],[Home Differential]])-Table4[[#This Row],[Away Differential]]</f>
        <v>2.3977516028369701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0.93657297613894241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0.27981279116457602</v>
      </c>
      <c r="H404" t="s">
        <v>31</v>
      </c>
      <c r="I404">
        <f>VLOOKUP(Table4[[#This Row],[Visitor]],'NHL Model'!$A$6:$B$38,2,FALSE)</f>
        <v>0.50495447305652519</v>
      </c>
      <c r="J404">
        <f>($B$1+Table4[[#This Row],[Home Differential]])-Table4[[#This Row],[Away Differential]]</f>
        <v>-1.7330569310802402E-2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0.47617678237171013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5.4297665563734943E-2</v>
      </c>
      <c r="H405" t="s">
        <v>36</v>
      </c>
      <c r="I405">
        <f>VLOOKUP(Table4[[#This Row],[Visitor]],'NHL Model'!$A$6:$B$38,2,FALSE)</f>
        <v>-0.47846056309234386</v>
      </c>
      <c r="J405">
        <f>($B$1+Table4[[#This Row],[Home Differential]])-Table4[[#This Row],[Away Differential]]</f>
        <v>0.74056934123722562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0.64900798069380783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-6.1847876079686406E-2</v>
      </c>
      <c r="H406" t="s">
        <v>22</v>
      </c>
      <c r="I406">
        <f>VLOOKUP(Table4[[#This Row],[Visitor]],'NHL Model'!$A$6:$B$38,2,FALSE)</f>
        <v>-7.0657671368725999E-2</v>
      </c>
      <c r="J406">
        <f>($B$1+Table4[[#This Row],[Home Differential]])-Table4[[#This Row],[Away Differential]]</f>
        <v>0.21662090787018637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0.57115553600102686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-0.73027559042992929</v>
      </c>
      <c r="H407" t="s">
        <v>40</v>
      </c>
      <c r="I407">
        <f>VLOOKUP(Table4[[#This Row],[Visitor]],'NHL Model'!$A$6:$B$38,2,FALSE)</f>
        <v>0.13227623341979275</v>
      </c>
      <c r="J407">
        <f>($B$1+Table4[[#This Row],[Home Differential]])-Table4[[#This Row],[Away Differential]]</f>
        <v>-0.65474071126857536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0.61797770915149597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0.29030528207371809</v>
      </c>
      <c r="H408" t="s">
        <v>28</v>
      </c>
      <c r="I408">
        <f>VLOOKUP(Table4[[#This Row],[Visitor]],'NHL Model'!$A$6:$B$38,2,FALSE)</f>
        <v>-0.57641196648435689</v>
      </c>
      <c r="J408">
        <f>($B$1+Table4[[#This Row],[Home Differential]])-Table4[[#This Row],[Away Differential]]</f>
        <v>1.0745283611392218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0.80997492144114336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-0.59708196015665005</v>
      </c>
      <c r="H409" t="s">
        <v>14</v>
      </c>
      <c r="I409">
        <f>VLOOKUP(Table4[[#This Row],[Visitor]],'NHL Model'!$A$6:$B$38,2,FALSE)</f>
        <v>0.19552804934912488</v>
      </c>
      <c r="J409">
        <f>($B$1+Table4[[#This Row],[Home Differential]])-Table4[[#This Row],[Away Differential]]</f>
        <v>-0.58479889692462816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0.54161331373551103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-0.41822017589574972</v>
      </c>
      <c r="H410" t="s">
        <v>55</v>
      </c>
      <c r="I410">
        <f>VLOOKUP(Table4[[#This Row],[Visitor]],'NHL Model'!$A$6:$B$38,2,FALSE)</f>
        <v>-0.21513148032837168</v>
      </c>
      <c r="J410">
        <f>($B$1+Table4[[#This Row],[Home Differential]])-Table4[[#This Row],[Away Differential]]</f>
        <v>4.7224170137687149E-3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0.54067920236661782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-1.7055605761743866</v>
      </c>
      <c r="H411" t="s">
        <v>31</v>
      </c>
      <c r="I411">
        <f>VLOOKUP(Table4[[#This Row],[Visitor]],'NHL Model'!$A$6:$B$38,2,FALSE)</f>
        <v>0.50495447305652519</v>
      </c>
      <c r="J411">
        <f>($B$1+Table4[[#This Row],[Home Differential]])-Table4[[#This Row],[Away Differential]]</f>
        <v>-2.0027039366497652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0.76880843811611033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1.4784730509534416</v>
      </c>
      <c r="H412" t="s">
        <v>38</v>
      </c>
      <c r="I412">
        <f>VLOOKUP(Table4[[#This Row],[Visitor]],'NHL Model'!$A$6:$B$38,2,FALSE)</f>
        <v>-0.87485041382128448</v>
      </c>
      <c r="J412">
        <f>($B$1+Table4[[#This Row],[Home Differential]])-Table4[[#This Row],[Away Differential]]</f>
        <v>2.5611345773558729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0.97705123388028792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-0.4561706649361581</v>
      </c>
      <c r="H413" t="s">
        <v>21</v>
      </c>
      <c r="I413">
        <f>VLOOKUP(Table4[[#This Row],[Visitor]],'NHL Model'!$A$6:$B$38,2,FALSE)</f>
        <v>-5.2681296301607013E-2</v>
      </c>
      <c r="J413">
        <f>($B$1+Table4[[#This Row],[Home Differential]])-Table4[[#This Row],[Away Differential]]</f>
        <v>-0.19567825605340433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0.44771227837739225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-0.8965878665431638</v>
      </c>
      <c r="H414" t="s">
        <v>34</v>
      </c>
      <c r="I414">
        <f>VLOOKUP(Table4[[#This Row],[Visitor]],'NHL Model'!$A$6:$B$38,2,FALSE)</f>
        <v>-0.62096640812916071</v>
      </c>
      <c r="J414">
        <f>($B$1+Table4[[#This Row],[Home Differential]])-Table4[[#This Row],[Away Differential]]</f>
        <v>-6.7810345832856389E-2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0.43371596725024175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-0.1981495100594213</v>
      </c>
      <c r="H415" t="s">
        <v>19</v>
      </c>
      <c r="I415">
        <f>VLOOKUP(Table4[[#This Row],[Visitor]],'NHL Model'!$A$6:$B$38,2,FALSE)</f>
        <v>-0.72519112941434305</v>
      </c>
      <c r="J415">
        <f>($B$1+Table4[[#This Row],[Home Differential]])-Table4[[#This Row],[Away Differential]]</f>
        <v>0.73485273193606848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0.7091385851234776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-0.15545019701583887</v>
      </c>
      <c r="H416" t="s">
        <v>22</v>
      </c>
      <c r="I416">
        <f>VLOOKUP(Table4[[#This Row],[Visitor]],'NHL Model'!$A$6:$B$38,2,FALSE)</f>
        <v>-7.0657671368725999E-2</v>
      </c>
      <c r="J416">
        <f>($B$1+Table4[[#This Row],[Home Differential]])-Table4[[#This Row],[Away Differential]]</f>
        <v>0.12301858693403389</v>
      </c>
      <c r="K416" t="str">
        <f>IF(Table4[[#This Row],[HomeIce Differential]]&gt;0,Table4[[#This Row],[Home]],Table4[[#This Row],[Visitor]])</f>
        <v>Los Angeles Kings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0.5576931675326352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-0.67174708781561598</v>
      </c>
      <c r="H417" t="s">
        <v>36</v>
      </c>
      <c r="I417">
        <f>VLOOKUP(Table4[[#This Row],[Visitor]],'NHL Model'!$A$6:$B$38,2,FALSE)</f>
        <v>-0.47846056309234386</v>
      </c>
      <c r="J417">
        <f>($B$1+Table4[[#This Row],[Home Differential]])-Table4[[#This Row],[Away Differential]]</f>
        <v>1.4524587857874638E-2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0.54208900112346159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-1.4469605932441605</v>
      </c>
      <c r="H418" t="s">
        <v>16</v>
      </c>
      <c r="I418">
        <f>VLOOKUP(Table4[[#This Row],[Visitor]],'NHL Model'!$A$6:$B$38,2,FALSE)</f>
        <v>-1.5116691651852812</v>
      </c>
      <c r="J418">
        <f>($B$1+Table4[[#This Row],[Home Differential]])-Table4[[#This Row],[Away Differential]]</f>
        <v>0.27251968452226749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0.57919518630773192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-6.1847876079686406E-2</v>
      </c>
      <c r="H419" t="s">
        <v>37</v>
      </c>
      <c r="I419">
        <f>VLOOKUP(Table4[[#This Row],[Visitor]],'NHL Model'!$A$6:$B$38,2,FALSE)</f>
        <v>4.5159124835038887E-2</v>
      </c>
      <c r="J419">
        <f>($B$1+Table4[[#This Row],[Home Differential]])-Table4[[#This Row],[Away Differential]]</f>
        <v>0.10080411166642148</v>
      </c>
      <c r="K419" t="str">
        <f>IF(Table4[[#This Row],[HomeIce Differential]]&gt;0,Table4[[#This Row],[Home]],Table4[[#This Row],[Visitor]])</f>
        <v>New York Islanders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0.50739877566736791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-0.39108791057695064</v>
      </c>
      <c r="H420" t="s">
        <v>39</v>
      </c>
      <c r="I420">
        <f>VLOOKUP(Table4[[#This Row],[Visitor]],'NHL Model'!$A$6:$B$38,2,FALSE)</f>
        <v>5.4297665563734943E-2</v>
      </c>
      <c r="J420">
        <f>($B$1+Table4[[#This Row],[Home Differential]])-Table4[[#This Row],[Away Differential]]</f>
        <v>-0.23757446355953882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0.58665537227504272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-5.4617353012467046E-4</v>
      </c>
      <c r="H421" t="s">
        <v>10</v>
      </c>
      <c r="I421">
        <f>VLOOKUP(Table4[[#This Row],[Visitor]],'NHL Model'!$A$6:$B$38,2,FALSE)</f>
        <v>0.27981279116457602</v>
      </c>
      <c r="J421">
        <f>($B$1+Table4[[#This Row],[Home Differential]])-Table4[[#This Row],[Away Differential]]</f>
        <v>-7.254785211355394E-2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0.49120343696171653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0.50495447305652519</v>
      </c>
      <c r="H422" t="s">
        <v>55</v>
      </c>
      <c r="I422">
        <f>VLOOKUP(Table4[[#This Row],[Visitor]],'NHL Model'!$A$6:$B$38,2,FALSE)</f>
        <v>-0.21513148032837168</v>
      </c>
      <c r="J422">
        <f>($B$1+Table4[[#This Row],[Home Differential]])-Table4[[#This Row],[Away Differential]]</f>
        <v>0.92789706596604371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0.78421415992630306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-0.67174708781561598</v>
      </c>
      <c r="H423" t="s">
        <v>40</v>
      </c>
      <c r="I423">
        <f>VLOOKUP(Table4[[#This Row],[Visitor]],'NHL Model'!$A$6:$B$38,2,FALSE)</f>
        <v>0.13227623341979275</v>
      </c>
      <c r="J423">
        <f>($B$1+Table4[[#This Row],[Home Differential]])-Table4[[#This Row],[Away Differential]]</f>
        <v>-0.59621220865426194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0.61206610376057258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0.29030528207371809</v>
      </c>
      <c r="H424" t="s">
        <v>39</v>
      </c>
      <c r="I424">
        <f>VLOOKUP(Table4[[#This Row],[Visitor]],'NHL Model'!$A$6:$B$38,2,FALSE)</f>
        <v>5.4297665563734943E-2</v>
      </c>
      <c r="J424">
        <f>($B$1+Table4[[#This Row],[Home Differential]])-Table4[[#This Row],[Away Differential]]</f>
        <v>0.4438187290911299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0.63139986578882235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-0.59708196015665005</v>
      </c>
      <c r="H425" t="s">
        <v>23</v>
      </c>
      <c r="I425">
        <f>VLOOKUP(Table4[[#This Row],[Visitor]],'NHL Model'!$A$6:$B$38,2,FALSE)</f>
        <v>-0.73027559042992929</v>
      </c>
      <c r="J425">
        <f>($B$1+Table4[[#This Row],[Home Differential]])-Table4[[#This Row],[Away Differential]]</f>
        <v>0.341004742854426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0.59154053975264431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-0.41822017589574972</v>
      </c>
      <c r="H426" t="s">
        <v>22</v>
      </c>
      <c r="I426">
        <f>VLOOKUP(Table4[[#This Row],[Visitor]],'NHL Model'!$A$6:$B$38,2,FALSE)</f>
        <v>-7.0657671368725999E-2</v>
      </c>
      <c r="J426">
        <f>($B$1+Table4[[#This Row],[Home Differential]])-Table4[[#This Row],[Away Differential]]</f>
        <v>-0.13975139194587696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0.48009976583411151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-5.2681296301607013E-2</v>
      </c>
      <c r="H427" t="s">
        <v>35</v>
      </c>
      <c r="I427">
        <f>VLOOKUP(Table4[[#This Row],[Visitor]],'NHL Model'!$A$6:$B$38,2,FALSE)</f>
        <v>-1.7055605761743866</v>
      </c>
      <c r="J427">
        <f>($B$1+Table4[[#This Row],[Home Differential]])-Table4[[#This Row],[Away Differential]]</f>
        <v>1.8606903924539264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0.85933006344248586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0.67827132507054233</v>
      </c>
      <c r="H428" t="s">
        <v>19</v>
      </c>
      <c r="I428">
        <f>VLOOKUP(Table4[[#This Row],[Visitor]],'NHL Model'!$A$6:$B$38,2,FALSE)</f>
        <v>-0.72519112941434305</v>
      </c>
      <c r="J428">
        <f>($B$1+Table4[[#This Row],[Home Differential]])-Table4[[#This Row],[Away Differential]]</f>
        <v>1.6112735670660321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0.82345764946806432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-0.57641196648435689</v>
      </c>
      <c r="H429" t="s">
        <v>26</v>
      </c>
      <c r="I429">
        <f>VLOOKUP(Table4[[#This Row],[Visitor]],'NHL Model'!$A$6:$B$38,2,FALSE)</f>
        <v>-0.4561706649361581</v>
      </c>
      <c r="J429">
        <f>($B$1+Table4[[#This Row],[Home Differential]])-Table4[[#This Row],[Away Differential]]</f>
        <v>8.7569811032947975E-2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0.51259474178676745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-1.5116691651852812</v>
      </c>
      <c r="H430" t="s">
        <v>34</v>
      </c>
      <c r="I430">
        <f>VLOOKUP(Table4[[#This Row],[Visitor]],'NHL Model'!$A$6:$B$38,2,FALSE)</f>
        <v>-0.62096640812916071</v>
      </c>
      <c r="J430">
        <f>($B$1+Table4[[#This Row],[Home Differential]])-Table4[[#This Row],[Away Differential]]</f>
        <v>-0.68289164447497364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0.55821699771930766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-0.8965878665431638</v>
      </c>
      <c r="H431" t="s">
        <v>32</v>
      </c>
      <c r="I431">
        <f>VLOOKUP(Table4[[#This Row],[Visitor]],'NHL Model'!$A$6:$B$38,2,FALSE)</f>
        <v>-0.53589042422266964</v>
      </c>
      <c r="J431">
        <f>($B$1+Table4[[#This Row],[Home Differential]])-Table4[[#This Row],[Away Differential]]</f>
        <v>-0.15288632973934746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0.44595203395996985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-0.1981495100594213</v>
      </c>
      <c r="H432" t="s">
        <v>29</v>
      </c>
      <c r="I432">
        <f>VLOOKUP(Table4[[#This Row],[Visitor]],'NHL Model'!$A$6:$B$38,2,FALSE)</f>
        <v>-1.4469605932441605</v>
      </c>
      <c r="J432">
        <f>($B$1+Table4[[#This Row],[Home Differential]])-Table4[[#This Row],[Away Differential]]</f>
        <v>1.456622195765886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0.81294719130043758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-0.15545019701583887</v>
      </c>
      <c r="H433" t="s">
        <v>10</v>
      </c>
      <c r="I433">
        <f>VLOOKUP(Table4[[#This Row],[Visitor]],'NHL Model'!$A$6:$B$38,2,FALSE)</f>
        <v>0.27981279116457602</v>
      </c>
      <c r="J433">
        <f>($B$1+Table4[[#This Row],[Home Differential]])-Table4[[#This Row],[Away Differential]]</f>
        <v>-0.22745187559926813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0.51348253240021047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-6.1847876079686406E-2</v>
      </c>
      <c r="H434" t="s">
        <v>12</v>
      </c>
      <c r="I434">
        <f>VLOOKUP(Table4[[#This Row],[Visitor]],'NHL Model'!$A$6:$B$38,2,FALSE)</f>
        <v>1.4784730509534416</v>
      </c>
      <c r="J434">
        <f>($B$1+Table4[[#This Row],[Home Differential]])-Table4[[#This Row],[Away Differential]]</f>
        <v>-1.3325098144519814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0.71796422223142553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-0.47846056309234386</v>
      </c>
      <c r="H435" t="s">
        <v>15</v>
      </c>
      <c r="I435">
        <f>VLOOKUP(Table4[[#This Row],[Visitor]],'NHL Model'!$A$6:$B$38,2,FALSE)</f>
        <v>-0.39108791057695064</v>
      </c>
      <c r="J435">
        <f>($B$1+Table4[[#This Row],[Home Differential]])-Table4[[#This Row],[Away Differential]]</f>
        <v>0.12043846006575354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0.43837471196065941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4.5159124835038887E-2</v>
      </c>
      <c r="H436" t="s">
        <v>14</v>
      </c>
      <c r="I436">
        <f>VLOOKUP(Table4[[#This Row],[Visitor]],'NHL Model'!$A$6:$B$38,2,FALSE)</f>
        <v>0.19552804934912488</v>
      </c>
      <c r="J436">
        <f>($B$1+Table4[[#This Row],[Home Differential]])-Table4[[#This Row],[Away Differential]]</f>
        <v>5.7442188067060751E-2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0.5482616316951896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0.50495447305652519</v>
      </c>
      <c r="H437" t="s">
        <v>22</v>
      </c>
      <c r="I437">
        <f>VLOOKUP(Table4[[#This Row],[Visitor]],'NHL Model'!$A$6:$B$38,2,FALSE)</f>
        <v>-7.0657671368725999E-2</v>
      </c>
      <c r="J437">
        <f>($B$1+Table4[[#This Row],[Home Differential]])-Table4[[#This Row],[Away Differential]]</f>
        <v>0.78342325700639803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0.76343519172557384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5.4297665563734943E-2</v>
      </c>
      <c r="H438" t="s">
        <v>33</v>
      </c>
      <c r="I438">
        <f>VLOOKUP(Table4[[#This Row],[Visitor]],'NHL Model'!$A$6:$B$38,2,FALSE)</f>
        <v>-0.41822017589574972</v>
      </c>
      <c r="J438">
        <f>($B$1+Table4[[#This Row],[Home Differential]])-Table4[[#This Row],[Away Differential]]</f>
        <v>0.68032895404063143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0.64034389757056653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0.29030528207371809</v>
      </c>
      <c r="H439" t="s">
        <v>20</v>
      </c>
      <c r="I439">
        <f>VLOOKUP(Table4[[#This Row],[Visitor]],'NHL Model'!$A$6:$B$38,2,FALSE)</f>
        <v>-5.4617353012467046E-4</v>
      </c>
      <c r="J439">
        <f>($B$1+Table4[[#This Row],[Home Differential]])-Table4[[#This Row],[Away Differential]]</f>
        <v>0.4986625681849895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0.70808385833206333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-0.87485041382128448</v>
      </c>
      <c r="H440" t="s">
        <v>55</v>
      </c>
      <c r="I440">
        <f>VLOOKUP(Table4[[#This Row],[Visitor]],'NHL Model'!$A$6:$B$38,2,FALSE)</f>
        <v>-0.21513148032837168</v>
      </c>
      <c r="J440">
        <f>($B$1+Table4[[#This Row],[Home Differential]])-Table4[[#This Row],[Away Differential]]</f>
        <v>-0.45190782091176596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0.52499571311924997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0.13227623341979275</v>
      </c>
      <c r="H441" t="s">
        <v>23</v>
      </c>
      <c r="I441">
        <f>VLOOKUP(Table4[[#This Row],[Visitor]],'NHL Model'!$A$6:$B$38,2,FALSE)</f>
        <v>-0.73027559042992929</v>
      </c>
      <c r="J441">
        <f>($B$1+Table4[[#This Row],[Home Differential]])-Table4[[#This Row],[Away Differential]]</f>
        <v>1.0703629364308687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0.74566109330096053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-5.2681296301607013E-2</v>
      </c>
      <c r="H442" t="s">
        <v>24</v>
      </c>
      <c r="I442">
        <f>VLOOKUP(Table4[[#This Row],[Visitor]],'NHL Model'!$A$6:$B$38,2,FALSE)</f>
        <v>0.29030528207371809</v>
      </c>
      <c r="J442">
        <f>($B$1+Table4[[#This Row],[Home Differential]])-Table4[[#This Row],[Away Differential]]</f>
        <v>-0.13517546579417833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0.46944163253867388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0.67827132507054233</v>
      </c>
      <c r="H443" t="s">
        <v>29</v>
      </c>
      <c r="I443">
        <f>VLOOKUP(Table4[[#This Row],[Visitor]],'NHL Model'!$A$6:$B$38,2,FALSE)</f>
        <v>-1.4469605932441605</v>
      </c>
      <c r="J443">
        <f>($B$1+Table4[[#This Row],[Home Differential]])-Table4[[#This Row],[Away Differential]]</f>
        <v>2.3330430308958494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0.92726625564502418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-1.5116691651852812</v>
      </c>
      <c r="H444" t="s">
        <v>55</v>
      </c>
      <c r="I444">
        <f>VLOOKUP(Table4[[#This Row],[Visitor]],'NHL Model'!$A$6:$B$38,2,FALSE)</f>
        <v>-0.21513148032837168</v>
      </c>
      <c r="J444">
        <f>($B$1+Table4[[#This Row],[Home Differential]])-Table4[[#This Row],[Away Differential]]</f>
        <v>-1.0887265722757626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0.61658626977105602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-0.8965878665431638</v>
      </c>
      <c r="H445" t="s">
        <v>40</v>
      </c>
      <c r="I445">
        <f>VLOOKUP(Table4[[#This Row],[Visitor]],'NHL Model'!$A$6:$B$38,2,FALSE)</f>
        <v>0.13227623341979275</v>
      </c>
      <c r="J445">
        <f>($B$1+Table4[[#This Row],[Home Differential]])-Table4[[#This Row],[Away Differential]]</f>
        <v>-0.82105298738180987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0.60788399286869665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-0.1981495100594213</v>
      </c>
      <c r="H446" t="s">
        <v>28</v>
      </c>
      <c r="I446">
        <f>VLOOKUP(Table4[[#This Row],[Visitor]],'NHL Model'!$A$6:$B$38,2,FALSE)</f>
        <v>-0.57641196648435689</v>
      </c>
      <c r="J446">
        <f>($B$1+Table4[[#This Row],[Home Differential]])-Table4[[#This Row],[Away Differential]]</f>
        <v>0.58607356900608232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0.68774039871367076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-0.15545019701583887</v>
      </c>
      <c r="H447" t="s">
        <v>10</v>
      </c>
      <c r="I447">
        <f>VLOOKUP(Table4[[#This Row],[Visitor]],'NHL Model'!$A$6:$B$38,2,FALSE)</f>
        <v>0.27981279116457602</v>
      </c>
      <c r="J447">
        <f>($B$1+Table4[[#This Row],[Home Differential]])-Table4[[#This Row],[Away Differential]]</f>
        <v>-0.22745187559926813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0.51348253240021047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-0.39108791057695064</v>
      </c>
      <c r="H448" t="s">
        <v>12</v>
      </c>
      <c r="I448">
        <f>VLOOKUP(Table4[[#This Row],[Visitor]],'NHL Model'!$A$6:$B$38,2,FALSE)</f>
        <v>1.4784730509534416</v>
      </c>
      <c r="J448">
        <f>($B$1+Table4[[#This Row],[Home Differential]])-Table4[[#This Row],[Away Differential]]</f>
        <v>-1.6617498489492455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0.76531722175770334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-0.47846056309234386</v>
      </c>
      <c r="H449" t="s">
        <v>35</v>
      </c>
      <c r="I449">
        <f>VLOOKUP(Table4[[#This Row],[Visitor]],'NHL Model'!$A$6:$B$38,2,FALSE)</f>
        <v>-1.7055605761743866</v>
      </c>
      <c r="J449">
        <f>($B$1+Table4[[#This Row],[Home Differential]])-Table4[[#This Row],[Away Differential]]</f>
        <v>1.4349111256631895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0.74887179658485747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-0.53589042422266964</v>
      </c>
      <c r="H450" t="s">
        <v>26</v>
      </c>
      <c r="I450">
        <f>VLOOKUP(Table4[[#This Row],[Visitor]],'NHL Model'!$A$6:$B$38,2,FALSE)</f>
        <v>-0.4561706649361581</v>
      </c>
      <c r="J450">
        <f>($B$1+Table4[[#This Row],[Home Differential]])-Table4[[#This Row],[Away Differential]]</f>
        <v>0.12809135329463522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0.53765352817970125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4.5159124835038887E-2</v>
      </c>
      <c r="H451" t="s">
        <v>30</v>
      </c>
      <c r="I451">
        <f>VLOOKUP(Table4[[#This Row],[Visitor]],'NHL Model'!$A$6:$B$38,2,FALSE)</f>
        <v>-6.1847876079686406E-2</v>
      </c>
      <c r="J451">
        <f>($B$1+Table4[[#This Row],[Home Differential]])-Table4[[#This Row],[Away Differential]]</f>
        <v>0.31481811349587202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0.52599093065163616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-0.72519112941434305</v>
      </c>
      <c r="H452" t="s">
        <v>18</v>
      </c>
      <c r="I452">
        <f>VLOOKUP(Table4[[#This Row],[Visitor]],'NHL Model'!$A$6:$B$38,2,FALSE)</f>
        <v>-0.67174708781561598</v>
      </c>
      <c r="J452">
        <f>($B$1+Table4[[#This Row],[Home Differential]])-Table4[[#This Row],[Away Differential]]</f>
        <v>0.15436707098241964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0.52924412168173818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-0.87485041382128448</v>
      </c>
      <c r="H453" t="s">
        <v>34</v>
      </c>
      <c r="I453">
        <f>VLOOKUP(Table4[[#This Row],[Visitor]],'NHL Model'!$A$6:$B$38,2,FALSE)</f>
        <v>-0.62096640812916071</v>
      </c>
      <c r="J453">
        <f>($B$1+Table4[[#This Row],[Home Differential]])-Table4[[#This Row],[Away Differential]]</f>
        <v>-4.6072893110976954E-2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0.46662644106750173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0.50495447305652519</v>
      </c>
      <c r="H454" t="s">
        <v>10</v>
      </c>
      <c r="I454">
        <f>VLOOKUP(Table4[[#This Row],[Visitor]],'NHL Model'!$A$6:$B$38,2,FALSE)</f>
        <v>0.27981279116457602</v>
      </c>
      <c r="J454">
        <f>($B$1+Table4[[#This Row],[Home Differential]])-Table4[[#This Row],[Away Differential]]</f>
        <v>0.43295279447309598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0.69384845084144287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0.67827132507054233</v>
      </c>
      <c r="H455" t="s">
        <v>33</v>
      </c>
      <c r="I455">
        <f>VLOOKUP(Table4[[#This Row],[Visitor]],'NHL Model'!$A$6:$B$38,2,FALSE)</f>
        <v>-0.41822017589574972</v>
      </c>
      <c r="J455">
        <f>($B$1+Table4[[#This Row],[Home Differential]])-Table4[[#This Row],[Away Differential]]</f>
        <v>1.3043026135474389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0.77930750400126869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5.4297665563734943E-2</v>
      </c>
      <c r="H456" t="s">
        <v>14</v>
      </c>
      <c r="I456">
        <f>VLOOKUP(Table4[[#This Row],[Visitor]],'NHL Model'!$A$6:$B$38,2,FALSE)</f>
        <v>0.19552804934912488</v>
      </c>
      <c r="J456">
        <f>($B$1+Table4[[#This Row],[Home Differential]])-Table4[[#This Row],[Away Differential]]</f>
        <v>6.6580728795756827E-2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0.55207146295108844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-0.1981495100594213</v>
      </c>
      <c r="H457" t="s">
        <v>30</v>
      </c>
      <c r="I457">
        <f>VLOOKUP(Table4[[#This Row],[Visitor]],'NHL Model'!$A$6:$B$38,2,FALSE)</f>
        <v>-6.1847876079686406E-2</v>
      </c>
      <c r="J457">
        <f>($B$1+Table4[[#This Row],[Home Differential]])-Table4[[#This Row],[Away Differential]]</f>
        <v>7.1509478601411866E-2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0.55573940741402017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-0.67174708781561598</v>
      </c>
      <c r="H458" t="s">
        <v>35</v>
      </c>
      <c r="I458">
        <f>VLOOKUP(Table4[[#This Row],[Visitor]],'NHL Model'!$A$6:$B$38,2,FALSE)</f>
        <v>-1.7055605761743866</v>
      </c>
      <c r="J458">
        <f>($B$1+Table4[[#This Row],[Home Differential]])-Table4[[#This Row],[Away Differential]]</f>
        <v>1.2416246009399174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0.71857685269016547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-0.39108791057695064</v>
      </c>
      <c r="H459" t="s">
        <v>20</v>
      </c>
      <c r="I459">
        <f>VLOOKUP(Table4[[#This Row],[Visitor]],'NHL Model'!$A$6:$B$38,2,FALSE)</f>
        <v>-5.4617353012467046E-4</v>
      </c>
      <c r="J459">
        <f>($B$1+Table4[[#This Row],[Home Differential]])-Table4[[#This Row],[Away Differential]]</f>
        <v>-0.1827306244656792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0.50705049145179715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-0.59708196015665005</v>
      </c>
      <c r="H460" t="s">
        <v>12</v>
      </c>
      <c r="I460">
        <f>VLOOKUP(Table4[[#This Row],[Visitor]],'NHL Model'!$A$6:$B$38,2,FALSE)</f>
        <v>1.4784730509534416</v>
      </c>
      <c r="J460">
        <f>($B$1+Table4[[#This Row],[Home Differential]])-Table4[[#This Row],[Away Differential]]</f>
        <v>-1.867743898528945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0.79243808253658987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-7.0657671368725999E-2</v>
      </c>
      <c r="H461" t="s">
        <v>28</v>
      </c>
      <c r="I461">
        <f>VLOOKUP(Table4[[#This Row],[Visitor]],'NHL Model'!$A$6:$B$38,2,FALSE)</f>
        <v>-0.57641196648435689</v>
      </c>
      <c r="J461">
        <f>($B$1+Table4[[#This Row],[Home Differential]])-Table4[[#This Row],[Away Differential]]</f>
        <v>0.71356540769677768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0.64262865651872791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-1.5116691651852812</v>
      </c>
      <c r="H462" t="s">
        <v>23</v>
      </c>
      <c r="I462">
        <f>VLOOKUP(Table4[[#This Row],[Visitor]],'NHL Model'!$A$6:$B$38,2,FALSE)</f>
        <v>-0.73027559042992929</v>
      </c>
      <c r="J462">
        <f>($B$1+Table4[[#This Row],[Home Differential]])-Table4[[#This Row],[Away Differential]]</f>
        <v>-0.57358246217420505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0.54249558745518278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-0.53589042422266964</v>
      </c>
      <c r="H463" t="s">
        <v>34</v>
      </c>
      <c r="I463">
        <f>VLOOKUP(Table4[[#This Row],[Visitor]],'NHL Model'!$A$6:$B$38,2,FALSE)</f>
        <v>-0.62096640812916071</v>
      </c>
      <c r="J463">
        <f>($B$1+Table4[[#This Row],[Home Differential]])-Table4[[#This Row],[Away Differential]]</f>
        <v>0.29288709648763783</v>
      </c>
      <c r="K463" t="str">
        <f>IF(Table4[[#This Row],[HomeIce Differential]]&gt;0,Table4[[#This Row],[Home]],Table4[[#This Row],[Visitor]])</f>
        <v>Seattle Kraken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0.60816226837259835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-0.72519112941434305</v>
      </c>
      <c r="H464" t="s">
        <v>37</v>
      </c>
      <c r="I464">
        <f>VLOOKUP(Table4[[#This Row],[Visitor]],'NHL Model'!$A$6:$B$38,2,FALSE)</f>
        <v>4.5159124835038887E-2</v>
      </c>
      <c r="J464">
        <f>($B$1+Table4[[#This Row],[Home Differential]])-Table4[[#This Row],[Away Differential]]</f>
        <v>-0.56253914166823527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0.57386502663270911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-0.21513148032837168</v>
      </c>
      <c r="H465" t="s">
        <v>13</v>
      </c>
      <c r="I465">
        <f>VLOOKUP(Table4[[#This Row],[Visitor]],'NHL Model'!$A$6:$B$38,2,FALSE)</f>
        <v>-0.15545019701583887</v>
      </c>
      <c r="J465">
        <f>($B$1+Table4[[#This Row],[Home Differential]])-Table4[[#This Row],[Away Differential]]</f>
        <v>0.14812982926861396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0.52911729589426293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-0.87485041382128448</v>
      </c>
      <c r="H466" t="s">
        <v>26</v>
      </c>
      <c r="I466">
        <f>VLOOKUP(Table4[[#This Row],[Visitor]],'NHL Model'!$A$6:$B$38,2,FALSE)</f>
        <v>-0.4561706649361581</v>
      </c>
      <c r="J466">
        <f>($B$1+Table4[[#This Row],[Home Differential]])-Table4[[#This Row],[Away Differential]]</f>
        <v>-0.21086863630397956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0.53742760612284168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0.67827132507054233</v>
      </c>
      <c r="H467" t="s">
        <v>28</v>
      </c>
      <c r="I467">
        <f>VLOOKUP(Table4[[#This Row],[Visitor]],'NHL Model'!$A$6:$B$38,2,FALSE)</f>
        <v>-0.57641196648435689</v>
      </c>
      <c r="J467">
        <f>($B$1+Table4[[#This Row],[Home Differential]])-Table4[[#This Row],[Away Differential]]</f>
        <v>1.4624944041360459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0.80205946305825759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-0.8965878665431638</v>
      </c>
      <c r="H468" t="s">
        <v>23</v>
      </c>
      <c r="I468">
        <f>VLOOKUP(Table4[[#This Row],[Visitor]],'NHL Model'!$A$6:$B$38,2,FALSE)</f>
        <v>-0.73027559042992929</v>
      </c>
      <c r="J468">
        <f>($B$1+Table4[[#This Row],[Home Differential]])-Table4[[#This Row],[Away Differential]]</f>
        <v>4.1498836467912192E-2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0.58200544301388324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-0.67174708781561598</v>
      </c>
      <c r="H469" t="s">
        <v>37</v>
      </c>
      <c r="I469">
        <f>VLOOKUP(Table4[[#This Row],[Visitor]],'NHL Model'!$A$6:$B$38,2,FALSE)</f>
        <v>4.5159124835038887E-2</v>
      </c>
      <c r="J469">
        <f>($B$1+Table4[[#This Row],[Home Differential]])-Table4[[#This Row],[Away Differential]]</f>
        <v>-0.50909510006950809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0.58032007398136387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-1.4469605932441605</v>
      </c>
      <c r="H470" t="s">
        <v>12</v>
      </c>
      <c r="I470">
        <f>VLOOKUP(Table4[[#This Row],[Visitor]],'NHL Model'!$A$6:$B$38,2,FALSE)</f>
        <v>1.4784730509534416</v>
      </c>
      <c r="J470">
        <f>($B$1+Table4[[#This Row],[Home Differential]])-Table4[[#This Row],[Away Differential]]</f>
        <v>-2.7176225316164553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0.9171782757103194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-6.1847876079686406E-2</v>
      </c>
      <c r="H471" t="s">
        <v>20</v>
      </c>
      <c r="I471">
        <f>VLOOKUP(Table4[[#This Row],[Visitor]],'NHL Model'!$A$6:$B$38,2,FALSE)</f>
        <v>-5.4617353012467046E-4</v>
      </c>
      <c r="J471">
        <f>($B$1+Table4[[#This Row],[Home Differential]])-Table4[[#This Row],[Away Differential]]</f>
        <v>0.14650941003158505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0.54030250807448077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-0.47846056309234386</v>
      </c>
      <c r="H472" t="s">
        <v>24</v>
      </c>
      <c r="I472">
        <f>VLOOKUP(Table4[[#This Row],[Visitor]],'NHL Model'!$A$6:$B$38,2,FALSE)</f>
        <v>0.29030528207371809</v>
      </c>
      <c r="J472">
        <f>($B$1+Table4[[#This Row],[Home Differential]])-Table4[[#This Row],[Away Differential]]</f>
        <v>-0.56095473258491513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0.58067940226928139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-0.59708196015665005</v>
      </c>
      <c r="H473" t="s">
        <v>33</v>
      </c>
      <c r="I473">
        <f>VLOOKUP(Table4[[#This Row],[Visitor]],'NHL Model'!$A$6:$B$38,2,FALSE)</f>
        <v>-0.41822017589574972</v>
      </c>
      <c r="J473">
        <f>($B$1+Table4[[#This Row],[Home Differential]])-Table4[[#This Row],[Away Differential]]</f>
        <v>2.8949328320246437E-2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0.54665912088396706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0.19552804934912488</v>
      </c>
      <c r="H474" t="s">
        <v>31</v>
      </c>
      <c r="I474">
        <f>VLOOKUP(Table4[[#This Row],[Visitor]],'NHL Model'!$A$6:$B$38,2,FALSE)</f>
        <v>0.50495447305652519</v>
      </c>
      <c r="J474">
        <f>($B$1+Table4[[#This Row],[Home Differential]])-Table4[[#This Row],[Away Differential]]</f>
        <v>-0.10161531112625355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0.45905928248190081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-1.7055605761743866</v>
      </c>
      <c r="H475" t="s">
        <v>21</v>
      </c>
      <c r="I475">
        <f>VLOOKUP(Table4[[#This Row],[Visitor]],'NHL Model'!$A$6:$B$38,2,FALSE)</f>
        <v>-5.2681296301607013E-2</v>
      </c>
      <c r="J475">
        <f>($B$1+Table4[[#This Row],[Home Differential]])-Table4[[#This Row],[Away Differential]]</f>
        <v>-1.4450681672916328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0.66783715548349765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0.13227623341979275</v>
      </c>
      <c r="H476" t="s">
        <v>39</v>
      </c>
      <c r="I476">
        <f>VLOOKUP(Table4[[#This Row],[Visitor]],'NHL Model'!$A$6:$B$38,2,FALSE)</f>
        <v>5.4297665563734943E-2</v>
      </c>
      <c r="J476">
        <f>($B$1+Table4[[#This Row],[Home Differential]])-Table4[[#This Row],[Away Differential]]</f>
        <v>0.28578968043720454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0.5411037455485096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-1.5116691651852812</v>
      </c>
      <c r="H477" t="s">
        <v>26</v>
      </c>
      <c r="I477">
        <f>VLOOKUP(Table4[[#This Row],[Visitor]],'NHL Model'!$A$6:$B$38,2,FALSE)</f>
        <v>-0.4561706649361581</v>
      </c>
      <c r="J477">
        <f>($B$1+Table4[[#This Row],[Home Differential]])-Table4[[#This Row],[Away Differential]]</f>
        <v>-0.84768738766797624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0.62901816277464773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0.27981279116457602</v>
      </c>
      <c r="H478" t="s">
        <v>15</v>
      </c>
      <c r="I478">
        <f>VLOOKUP(Table4[[#This Row],[Visitor]],'NHL Model'!$A$6:$B$38,2,FALSE)</f>
        <v>-0.39108791057695064</v>
      </c>
      <c r="J478">
        <f>($B$1+Table4[[#This Row],[Home Differential]])-Table4[[#This Row],[Away Differential]]</f>
        <v>0.87871181432267342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0.5519127792101105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-0.53589042422266964</v>
      </c>
      <c r="H479" t="s">
        <v>13</v>
      </c>
      <c r="I479">
        <f>VLOOKUP(Table4[[#This Row],[Visitor]],'NHL Model'!$A$6:$B$38,2,FALSE)</f>
        <v>-0.15545019701583887</v>
      </c>
      <c r="J479">
        <f>($B$1+Table4[[#This Row],[Home Differential]])-Table4[[#This Row],[Away Differential]]</f>
        <v>-0.172629114625684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0.56054269516204303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-0.21513148032837168</v>
      </c>
      <c r="H480" t="s">
        <v>11</v>
      </c>
      <c r="I480">
        <f>VLOOKUP(Table4[[#This Row],[Visitor]],'NHL Model'!$A$6:$B$38,2,FALSE)</f>
        <v>-0.1981495100594213</v>
      </c>
      <c r="J480">
        <f>($B$1+Table4[[#This Row],[Home Differential]])-Table4[[#This Row],[Away Differential]]</f>
        <v>0.19082914231219639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0.63571853736293538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-0.57641196648435689</v>
      </c>
      <c r="H481" t="s">
        <v>36</v>
      </c>
      <c r="I481">
        <f>VLOOKUP(Table4[[#This Row],[Visitor]],'NHL Model'!$A$6:$B$38,2,FALSE)</f>
        <v>-0.47846056309234386</v>
      </c>
      <c r="J481">
        <f>($B$1+Table4[[#This Row],[Home Differential]])-Table4[[#This Row],[Away Differential]]</f>
        <v>0.10985970918913374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0.56284654174002235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1.4784730509534416</v>
      </c>
      <c r="H482" t="s">
        <v>11</v>
      </c>
      <c r="I482">
        <f>VLOOKUP(Table4[[#This Row],[Visitor]],'NHL Model'!$A$6:$B$38,2,FALSE)</f>
        <v>-0.1981495100594213</v>
      </c>
      <c r="J482">
        <f>($B$1+Table4[[#This Row],[Home Differential]])-Table4[[#This Row],[Away Differential]]</f>
        <v>1.8844336735940097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0.89939521599554262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-0.8965878665431638</v>
      </c>
      <c r="H483" t="s">
        <v>26</v>
      </c>
      <c r="I483">
        <f>VLOOKUP(Table4[[#This Row],[Visitor]],'NHL Model'!$A$6:$B$38,2,FALSE)</f>
        <v>-0.4561706649361581</v>
      </c>
      <c r="J483">
        <f>($B$1+Table4[[#This Row],[Home Differential]])-Table4[[#This Row],[Away Differential]]</f>
        <v>-0.232606089025859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0.50404284247841613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-0.62096640812916071</v>
      </c>
      <c r="H484" t="s">
        <v>39</v>
      </c>
      <c r="I484">
        <f>VLOOKUP(Table4[[#This Row],[Visitor]],'NHL Model'!$A$6:$B$38,2,FALSE)</f>
        <v>5.4297665563734943E-2</v>
      </c>
      <c r="J484">
        <f>($B$1+Table4[[#This Row],[Home Differential]])-Table4[[#This Row],[Away Differential]]</f>
        <v>-0.46745296111174889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0.61971768318845544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0.29030528207371809</v>
      </c>
      <c r="H485" t="s">
        <v>37</v>
      </c>
      <c r="I485">
        <f>VLOOKUP(Table4[[#This Row],[Visitor]],'NHL Model'!$A$6:$B$38,2,FALSE)</f>
        <v>4.5159124835038887E-2</v>
      </c>
      <c r="J485">
        <f>($B$1+Table4[[#This Row],[Home Differential]])-Table4[[#This Row],[Away Differential]]</f>
        <v>0.45295726981982598</v>
      </c>
      <c r="K485" t="str">
        <f>IF(Table4[[#This Row],[HomeIce Differential]]&gt;0,Table4[[#This Row],[Home]],Table4[[#This Row],[Visitor]])</f>
        <v>New Jersey Devils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0.67679713570970679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-1.4469605932441605</v>
      </c>
      <c r="H486" t="s">
        <v>35</v>
      </c>
      <c r="I486">
        <f>VLOOKUP(Table4[[#This Row],[Visitor]],'NHL Model'!$A$6:$B$38,2,FALSE)</f>
        <v>-1.7055605761743866</v>
      </c>
      <c r="J486">
        <f>($B$1+Table4[[#This Row],[Home Differential]])-Table4[[#This Row],[Away Differential]]</f>
        <v>0.46641109551137294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0.60708164886000326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-6.1847876079686406E-2</v>
      </c>
      <c r="H487" t="s">
        <v>31</v>
      </c>
      <c r="I487">
        <f>VLOOKUP(Table4[[#This Row],[Visitor]],'NHL Model'!$A$6:$B$38,2,FALSE)</f>
        <v>0.50495447305652519</v>
      </c>
      <c r="J487">
        <f>($B$1+Table4[[#This Row],[Home Differential]])-Table4[[#This Row],[Away Differential]]</f>
        <v>-0.35899123655506482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0.53240120159102688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-0.59708196015665005</v>
      </c>
      <c r="H488" t="s">
        <v>20</v>
      </c>
      <c r="I488">
        <f>VLOOKUP(Table4[[#This Row],[Visitor]],'NHL Model'!$A$6:$B$38,2,FALSE)</f>
        <v>-5.4617353012467046E-4</v>
      </c>
      <c r="J488">
        <f>($B$1+Table4[[#This Row],[Home Differential]])-Table4[[#This Row],[Away Differential]]</f>
        <v>-0.38872467404537864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0.53416925669083082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0.19552804934912488</v>
      </c>
      <c r="H489" t="s">
        <v>18</v>
      </c>
      <c r="I489">
        <f>VLOOKUP(Table4[[#This Row],[Visitor]],'NHL Model'!$A$6:$B$38,2,FALSE)</f>
        <v>-0.67174708781561598</v>
      </c>
      <c r="J489">
        <f>($B$1+Table4[[#This Row],[Home Differential]])-Table4[[#This Row],[Away Differential]]</f>
        <v>1.0750862497458877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0.68403621295276762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-0.72519112941434305</v>
      </c>
      <c r="H490" t="s">
        <v>33</v>
      </c>
      <c r="I490">
        <f>VLOOKUP(Table4[[#This Row],[Visitor]],'NHL Model'!$A$6:$B$38,2,FALSE)</f>
        <v>-0.41822017589574972</v>
      </c>
      <c r="J490">
        <f>($B$1+Table4[[#This Row],[Home Differential]])-Table4[[#This Row],[Away Differential]]</f>
        <v>-9.9159840937446619E-2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0.46024505915436703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-0.87485041382128448</v>
      </c>
      <c r="H491" t="s">
        <v>23</v>
      </c>
      <c r="I491">
        <f>VLOOKUP(Table4[[#This Row],[Visitor]],'NHL Model'!$A$6:$B$38,2,FALSE)</f>
        <v>-0.73027559042992929</v>
      </c>
      <c r="J491">
        <f>($B$1+Table4[[#This Row],[Home Differential]])-Table4[[#This Row],[Away Differential]]</f>
        <v>6.3236289189791628E-2</v>
      </c>
      <c r="K491" t="str">
        <f>IF(Table4[[#This Row],[HomeIce Differential]]&gt;0,Table4[[#This Row],[Home]],Table4[[#This Row],[Visitor]])</f>
        <v>Vancouver Canucks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0.54909496919662326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0.13227623341979275</v>
      </c>
      <c r="H492" t="s">
        <v>21</v>
      </c>
      <c r="I492">
        <f>VLOOKUP(Table4[[#This Row],[Visitor]],'NHL Model'!$A$6:$B$38,2,FALSE)</f>
        <v>-5.2681296301607013E-2</v>
      </c>
      <c r="J492">
        <f>($B$1+Table4[[#This Row],[Home Differential]])-Table4[[#This Row],[Away Differential]]</f>
        <v>0.39276864230254649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0.64820598782491712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-7.0657671368725999E-2</v>
      </c>
      <c r="H493" t="s">
        <v>25</v>
      </c>
      <c r="I493">
        <f>VLOOKUP(Table4[[#This Row],[Visitor]],'NHL Model'!$A$6:$B$38,2,FALSE)</f>
        <v>0.67827132507054233</v>
      </c>
      <c r="J493">
        <f>($B$1+Table4[[#This Row],[Home Differential]])-Table4[[#This Row],[Away Differential]]</f>
        <v>-0.54111788385812154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0.6423424934266132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-1.7055605761743866</v>
      </c>
      <c r="H494" t="s">
        <v>10</v>
      </c>
      <c r="I494">
        <f>VLOOKUP(Table4[[#This Row],[Visitor]],'NHL Model'!$A$6:$B$38,2,FALSE)</f>
        <v>0.27981279116457602</v>
      </c>
      <c r="J494">
        <f>($B$1+Table4[[#This Row],[Home Differential]])-Table4[[#This Row],[Away Differential]]</f>
        <v>-1.7775622547578158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0.73642740045690225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-0.21513148032837168</v>
      </c>
      <c r="H495" t="s">
        <v>32</v>
      </c>
      <c r="I495">
        <f>VLOOKUP(Table4[[#This Row],[Visitor]],'NHL Model'!$A$6:$B$38,2,FALSE)</f>
        <v>-0.53589042422266964</v>
      </c>
      <c r="J495">
        <f>($B$1+Table4[[#This Row],[Home Differential]])-Table4[[#This Row],[Away Differential]]</f>
        <v>0.52857005647544475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0.6842941772385589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-0.57641196648435689</v>
      </c>
      <c r="H496" t="s">
        <v>20</v>
      </c>
      <c r="I496">
        <f>VLOOKUP(Table4[[#This Row],[Visitor]],'NHL Model'!$A$6:$B$38,2,FALSE)</f>
        <v>-5.4617353012467046E-4</v>
      </c>
      <c r="J496">
        <f>($B$1+Table4[[#This Row],[Home Differential]])-Table4[[#This Row],[Away Differential]]</f>
        <v>-0.36805468037308547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0.52661973257473149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0.27981279116457602</v>
      </c>
      <c r="H497" t="s">
        <v>26</v>
      </c>
      <c r="I497">
        <f>VLOOKUP(Table4[[#This Row],[Visitor]],'NHL Model'!$A$6:$B$38,2,FALSE)</f>
        <v>-0.4561706649361581</v>
      </c>
      <c r="J497">
        <f>($B$1+Table4[[#This Row],[Home Differential]])-Table4[[#This Row],[Away Differential]]</f>
        <v>0.94379456868188094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0.63574140165529647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1.4784730509534416</v>
      </c>
      <c r="H498" t="s">
        <v>29</v>
      </c>
      <c r="I498">
        <f>VLOOKUP(Table4[[#This Row],[Visitor]],'NHL Model'!$A$6:$B$38,2,FALSE)</f>
        <v>-1.4469605932441605</v>
      </c>
      <c r="J498">
        <f>($B$1+Table4[[#This Row],[Home Differential]])-Table4[[#This Row],[Away Differential]]</f>
        <v>3.1332447567787489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5.4297665563734943E-2</v>
      </c>
      <c r="H499" t="s">
        <v>11</v>
      </c>
      <c r="I499">
        <f>VLOOKUP(Table4[[#This Row],[Visitor]],'NHL Model'!$A$6:$B$38,2,FALSE)</f>
        <v>-0.1981495100594213</v>
      </c>
      <c r="J499">
        <f>($B$1+Table4[[#This Row],[Home Differential]])-Table4[[#This Row],[Away Differential]]</f>
        <v>0.46025828820430303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0.60869219958976728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-0.15545019701583887</v>
      </c>
      <c r="H500" t="s">
        <v>16</v>
      </c>
      <c r="I500">
        <f>VLOOKUP(Table4[[#This Row],[Visitor]],'NHL Model'!$A$6:$B$38,2,FALSE)</f>
        <v>-1.5116691651852812</v>
      </c>
      <c r="J500">
        <f>($B$1+Table4[[#This Row],[Home Differential]])-Table4[[#This Row],[Away Differential]]</f>
        <v>1.5640300807505891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0.76494687131823424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-0.62096640812916071</v>
      </c>
      <c r="H501" t="s">
        <v>36</v>
      </c>
      <c r="I501">
        <f>VLOOKUP(Table4[[#This Row],[Visitor]],'NHL Model'!$A$6:$B$38,2,FALSE)</f>
        <v>-0.47846056309234386</v>
      </c>
      <c r="J501">
        <f>($B$1+Table4[[#This Row],[Home Differential]])-Table4[[#This Row],[Away Differential]]</f>
        <v>6.5305267544329915E-2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0.54939254033250262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0.29030528207371809</v>
      </c>
      <c r="H502" t="s">
        <v>31</v>
      </c>
      <c r="I502">
        <f>VLOOKUP(Table4[[#This Row],[Visitor]],'NHL Model'!$A$6:$B$38,2,FALSE)</f>
        <v>0.50495447305652519</v>
      </c>
      <c r="J502">
        <f>($B$1+Table4[[#This Row],[Home Differential]])-Table4[[#This Row],[Away Differential]]</f>
        <v>-6.8380784016603413E-3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0.36461985133344432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-6.1847876079686406E-2</v>
      </c>
      <c r="H503" t="s">
        <v>37</v>
      </c>
      <c r="I503">
        <f>VLOOKUP(Table4[[#This Row],[Visitor]],'NHL Model'!$A$6:$B$38,2,FALSE)</f>
        <v>4.5159124835038887E-2</v>
      </c>
      <c r="J503">
        <f>($B$1+Table4[[#This Row],[Home Differential]])-Table4[[#This Row],[Away Differential]]</f>
        <v>0.10080411166642148</v>
      </c>
      <c r="K503" t="str">
        <f>IF(Table4[[#This Row],[HomeIce Differential]]&gt;0,Table4[[#This Row],[Home]],Table4[[#This Row],[Visitor]])</f>
        <v>New York Islanders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0.50739877566736791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-0.39108791057695064</v>
      </c>
      <c r="H504" t="s">
        <v>18</v>
      </c>
      <c r="I504">
        <f>VLOOKUP(Table4[[#This Row],[Visitor]],'NHL Model'!$A$6:$B$38,2,FALSE)</f>
        <v>-0.67174708781561598</v>
      </c>
      <c r="J504">
        <f>($B$1+Table4[[#This Row],[Home Differential]])-Table4[[#This Row],[Away Differential]]</f>
        <v>0.48847028981981211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0.56315492445553728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-0.59708196015665005</v>
      </c>
      <c r="H505" t="s">
        <v>25</v>
      </c>
      <c r="I505">
        <f>VLOOKUP(Table4[[#This Row],[Visitor]],'NHL Model'!$A$6:$B$38,2,FALSE)</f>
        <v>0.67827132507054233</v>
      </c>
      <c r="J505">
        <f>($B$1+Table4[[#This Row],[Home Differential]])-Table4[[#This Row],[Away Differential]]</f>
        <v>-1.0675421726460457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0.71558321579690487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0.19552804934912488</v>
      </c>
      <c r="H506" t="s">
        <v>33</v>
      </c>
      <c r="I506">
        <f>VLOOKUP(Table4[[#This Row],[Visitor]],'NHL Model'!$A$6:$B$38,2,FALSE)</f>
        <v>-0.41822017589574972</v>
      </c>
      <c r="J506">
        <f>($B$1+Table4[[#This Row],[Home Differential]])-Table4[[#This Row],[Away Differential]]</f>
        <v>0.82155933782602131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0.69419776679273881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-0.72519112941434305</v>
      </c>
      <c r="H507" t="s">
        <v>17</v>
      </c>
      <c r="I507">
        <f>VLOOKUP(Table4[[#This Row],[Visitor]],'NHL Model'!$A$6:$B$38,2,FALSE)</f>
        <v>-0.8965878665431638</v>
      </c>
      <c r="J507">
        <f>($B$1+Table4[[#This Row],[Home Differential]])-Table4[[#This Row],[Away Differential]]</f>
        <v>0.37920784970996746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0.60855624887368787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0.13227623341979275</v>
      </c>
      <c r="H508" t="s">
        <v>22</v>
      </c>
      <c r="I508">
        <f>VLOOKUP(Table4[[#This Row],[Visitor]],'NHL Model'!$A$6:$B$38,2,FALSE)</f>
        <v>-7.0657671368725999E-2</v>
      </c>
      <c r="J508">
        <f>($B$1+Table4[[#This Row],[Home Differential]])-Table4[[#This Row],[Away Differential]]</f>
        <v>0.41074501736966551</v>
      </c>
      <c r="K508" t="str">
        <f>IF(Table4[[#This Row],[HomeIce Differential]]&gt;0,Table4[[#This Row],[Home]],Table4[[#This Row],[Visitor]])</f>
        <v>Winnipeg Jets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0.65079144278435808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0.67827132507054233</v>
      </c>
      <c r="H509" t="s">
        <v>27</v>
      </c>
      <c r="I509">
        <f>VLOOKUP(Table4[[#This Row],[Visitor]],'NHL Model'!$A$6:$B$38,2,FALSE)</f>
        <v>-0.59708196015665005</v>
      </c>
      <c r="J509">
        <f>($B$1+Table4[[#This Row],[Home Differential]])-Table4[[#This Row],[Away Differential]]</f>
        <v>1.4831643978083391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0.80503232813545522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-0.62096640812916071</v>
      </c>
      <c r="H510" t="s">
        <v>21</v>
      </c>
      <c r="I510">
        <f>VLOOKUP(Table4[[#This Row],[Visitor]],'NHL Model'!$A$6:$B$38,2,FALSE)</f>
        <v>-5.2681296301607013E-2</v>
      </c>
      <c r="J510">
        <f>($B$1+Table4[[#This Row],[Home Differential]])-Table4[[#This Row],[Away Differential]]</f>
        <v>-0.36047399924640694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0.51184522939810484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-0.67174708781561598</v>
      </c>
      <c r="H511" t="s">
        <v>17</v>
      </c>
      <c r="I511">
        <f>VLOOKUP(Table4[[#This Row],[Visitor]],'NHL Model'!$A$6:$B$38,2,FALSE)</f>
        <v>-0.8965878665431638</v>
      </c>
      <c r="J511">
        <f>($B$1+Table4[[#This Row],[Home Differential]])-Table4[[#This Row],[Away Differential]]</f>
        <v>0.43265189130869458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0.60222622602827514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0.29030528207371809</v>
      </c>
      <c r="H512" t="s">
        <v>38</v>
      </c>
      <c r="I512">
        <f>VLOOKUP(Table4[[#This Row],[Visitor]],'NHL Model'!$A$6:$B$38,2,FALSE)</f>
        <v>-0.87485041382128448</v>
      </c>
      <c r="J512">
        <f>($B$1+Table4[[#This Row],[Home Differential]])-Table4[[#This Row],[Away Differential]]</f>
        <v>1.3729668084761493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0.83383080262317166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0.19552804934912488</v>
      </c>
      <c r="H513" t="s">
        <v>55</v>
      </c>
      <c r="I513">
        <f>VLOOKUP(Table4[[#This Row],[Visitor]],'NHL Model'!$A$6:$B$38,2,FALSE)</f>
        <v>-0.21513148032837168</v>
      </c>
      <c r="J513">
        <f>($B$1+Table4[[#This Row],[Home Differential]])-Table4[[#This Row],[Away Differential]]</f>
        <v>0.61847064225864334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0.66498850334554294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-0.53589042422266964</v>
      </c>
      <c r="H514" t="s">
        <v>23</v>
      </c>
      <c r="I514">
        <f>VLOOKUP(Table4[[#This Row],[Visitor]],'NHL Model'!$A$6:$B$38,2,FALSE)</f>
        <v>-0.73027559042992929</v>
      </c>
      <c r="J514">
        <f>($B$1+Table4[[#This Row],[Home Differential]])-Table4[[#This Row],[Away Differential]]</f>
        <v>0.40219627878840641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0.62388367863672323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5.4297665563734943E-2</v>
      </c>
      <c r="H515" t="s">
        <v>13</v>
      </c>
      <c r="I515">
        <f>VLOOKUP(Table4[[#This Row],[Visitor]],'NHL Model'!$A$6:$B$38,2,FALSE)</f>
        <v>-0.15545019701583887</v>
      </c>
      <c r="J515">
        <f>($B$1+Table4[[#This Row],[Home Differential]])-Table4[[#This Row],[Away Differential]]</f>
        <v>0.4175589751607206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0.50073345110117484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-0.39108791057695064</v>
      </c>
      <c r="H516" t="s">
        <v>31</v>
      </c>
      <c r="I516">
        <f>VLOOKUP(Table4[[#This Row],[Visitor]],'NHL Model'!$A$6:$B$38,2,FALSE)</f>
        <v>0.50495447305652519</v>
      </c>
      <c r="J516">
        <f>($B$1+Table4[[#This Row],[Home Differential]])-Table4[[#This Row],[Away Differential]]</f>
        <v>-0.68823127105232906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0.5797542011173048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-1.7055605761743866</v>
      </c>
      <c r="H517" t="s">
        <v>29</v>
      </c>
      <c r="I517">
        <f>VLOOKUP(Table4[[#This Row],[Visitor]],'NHL Model'!$A$6:$B$38,2,FALSE)</f>
        <v>-1.4469605932441605</v>
      </c>
      <c r="J517">
        <f>($B$1+Table4[[#This Row],[Home Differential]])-Table4[[#This Row],[Away Differential]]</f>
        <v>-5.0788870349079307E-2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0.46730471723237577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4.5159124835038887E-2</v>
      </c>
      <c r="H518" t="s">
        <v>11</v>
      </c>
      <c r="I518">
        <f>VLOOKUP(Table4[[#This Row],[Visitor]],'NHL Model'!$A$6:$B$38,2,FALSE)</f>
        <v>-0.1981495100594213</v>
      </c>
      <c r="J518">
        <f>($B$1+Table4[[#This Row],[Home Differential]])-Table4[[#This Row],[Away Differential]]</f>
        <v>0.4511197474756069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0.60488236833386844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0.13227623341979275</v>
      </c>
      <c r="H519" t="s">
        <v>36</v>
      </c>
      <c r="I519">
        <f>VLOOKUP(Table4[[#This Row],[Visitor]],'NHL Model'!$A$6:$B$38,2,FALSE)</f>
        <v>-0.47846056309234386</v>
      </c>
      <c r="J519">
        <f>($B$1+Table4[[#This Row],[Home Differential]])-Table4[[#This Row],[Away Differential]]</f>
        <v>0.81854790909328334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0.70944375755552458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-5.2681296301607013E-2</v>
      </c>
      <c r="H520" t="s">
        <v>55</v>
      </c>
      <c r="I520">
        <f>VLOOKUP(Table4[[#This Row],[Visitor]],'NHL Model'!$A$6:$B$38,2,FALSE)</f>
        <v>-0.21513148032837168</v>
      </c>
      <c r="J520">
        <f>($B$1+Table4[[#This Row],[Home Differential]])-Table4[[#This Row],[Away Differential]]</f>
        <v>0.37026129660791141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0.64496886530534492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-0.57641196648435689</v>
      </c>
      <c r="H521" t="s">
        <v>31</v>
      </c>
      <c r="I521">
        <f>VLOOKUP(Table4[[#This Row],[Visitor]],'NHL Model'!$A$6:$B$38,2,FALSE)</f>
        <v>0.50495447305652519</v>
      </c>
      <c r="J521">
        <f>($B$1+Table4[[#This Row],[Home Differential]])-Table4[[#This Row],[Away Differential]]</f>
        <v>-0.87355532695973537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0.59932344224023915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-0.4561706649361581</v>
      </c>
      <c r="H522" t="s">
        <v>30</v>
      </c>
      <c r="I522">
        <f>VLOOKUP(Table4[[#This Row],[Visitor]],'NHL Model'!$A$6:$B$38,2,FALSE)</f>
        <v>-6.1847876079686406E-2</v>
      </c>
      <c r="J522">
        <f>($B$1+Table4[[#This Row],[Home Differential]])-Table4[[#This Row],[Away Differential]]</f>
        <v>-0.18651167627532494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0.5050859406164846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-0.62096640812916071</v>
      </c>
      <c r="H523" t="s">
        <v>22</v>
      </c>
      <c r="I523">
        <f>VLOOKUP(Table4[[#This Row],[Visitor]],'NHL Model'!$A$6:$B$38,2,FALSE)</f>
        <v>-7.0657671368725999E-2</v>
      </c>
      <c r="J523">
        <f>($B$1+Table4[[#This Row],[Home Differential]])-Table4[[#This Row],[Away Differential]]</f>
        <v>-0.34249762417928797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0.50925977443866388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-0.67174708781561598</v>
      </c>
      <c r="H524" t="s">
        <v>27</v>
      </c>
      <c r="I524">
        <f>VLOOKUP(Table4[[#This Row],[Visitor]],'NHL Model'!$A$6:$B$38,2,FALSE)</f>
        <v>-0.59708196015665005</v>
      </c>
      <c r="J524">
        <f>($B$1+Table4[[#This Row],[Home Differential]])-Table4[[#This Row],[Away Differential]]</f>
        <v>0.13314598492218083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0.55914974213440694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-0.39108791057695064</v>
      </c>
      <c r="H525" t="s">
        <v>38</v>
      </c>
      <c r="I525">
        <f>VLOOKUP(Table4[[#This Row],[Visitor]],'NHL Model'!$A$6:$B$38,2,FALSE)</f>
        <v>-0.87485041382128448</v>
      </c>
      <c r="J525">
        <f>($B$1+Table4[[#This Row],[Home Differential]])-Table4[[#This Row],[Away Differential]]</f>
        <v>0.6915736158254806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0.61869645283931118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0.19552804934912488</v>
      </c>
      <c r="H526" t="s">
        <v>17</v>
      </c>
      <c r="I526">
        <f>VLOOKUP(Table4[[#This Row],[Visitor]],'NHL Model'!$A$6:$B$38,2,FALSE)</f>
        <v>-0.8965878665431638</v>
      </c>
      <c r="J526">
        <f>($B$1+Table4[[#This Row],[Home Differential]])-Table4[[#This Row],[Away Differential]]</f>
        <v>1.2999270284734354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0.76299907482079365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-0.53589042422266964</v>
      </c>
      <c r="H527" t="s">
        <v>12</v>
      </c>
      <c r="I527">
        <f>VLOOKUP(Table4[[#This Row],[Visitor]],'NHL Model'!$A$6:$B$38,2,FALSE)</f>
        <v>1.4784730509534416</v>
      </c>
      <c r="J527">
        <f>($B$1+Table4[[#This Row],[Home Differential]])-Table4[[#This Row],[Away Differential]]</f>
        <v>-1.8065523625949644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0.75982767648770388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-0.41822017589574972</v>
      </c>
      <c r="H528" t="s">
        <v>16</v>
      </c>
      <c r="I528">
        <f>VLOOKUP(Table4[[#This Row],[Visitor]],'NHL Model'!$A$6:$B$38,2,FALSE)</f>
        <v>-1.5116691651852812</v>
      </c>
      <c r="J528">
        <f>($B$1+Table4[[#This Row],[Home Differential]])-Table4[[#This Row],[Away Differential]]</f>
        <v>1.3012601018706782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0.72715393795148753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-0.72519112941434305</v>
      </c>
      <c r="H529" t="s">
        <v>10</v>
      </c>
      <c r="I529">
        <f>VLOOKUP(Table4[[#This Row],[Visitor]],'NHL Model'!$A$6:$B$38,2,FALSE)</f>
        <v>0.27981279116457602</v>
      </c>
      <c r="J529">
        <f>($B$1+Table4[[#This Row],[Home Differential]])-Table4[[#This Row],[Away Differential]]</f>
        <v>-0.79719280799777237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0.58132304713118876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-0.4561706649361581</v>
      </c>
      <c r="H530" t="s">
        <v>55</v>
      </c>
      <c r="I530">
        <f>VLOOKUP(Table4[[#This Row],[Visitor]],'NHL Model'!$A$6:$B$38,2,FALSE)</f>
        <v>-0.21513148032837168</v>
      </c>
      <c r="J530">
        <f>($B$1+Table4[[#This Row],[Home Differential]])-Table4[[#This Row],[Away Differential]]</f>
        <v>-3.322807202663966E-2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0.4243478552172219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-0.1981495100594213</v>
      </c>
      <c r="H531" t="s">
        <v>13</v>
      </c>
      <c r="I531">
        <f>VLOOKUP(Table4[[#This Row],[Visitor]],'NHL Model'!$A$6:$B$38,2,FALSE)</f>
        <v>-0.15545019701583887</v>
      </c>
      <c r="J531">
        <f>($B$1+Table4[[#This Row],[Home Differential]])-Table4[[#This Row],[Away Differential]]</f>
        <v>0.16511179953756433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0.52650966136709276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-1.4469605932441605</v>
      </c>
      <c r="H532" t="s">
        <v>25</v>
      </c>
      <c r="I532">
        <f>VLOOKUP(Table4[[#This Row],[Visitor]],'NHL Model'!$A$6:$B$38,2,FALSE)</f>
        <v>0.67827132507054233</v>
      </c>
      <c r="J532">
        <f>($B$1+Table4[[#This Row],[Home Differential]])-Table4[[#This Row],[Away Differential]]</f>
        <v>-1.917420805733556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0.84028947671829402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-1.7055605761743866</v>
      </c>
      <c r="H533" t="s">
        <v>40</v>
      </c>
      <c r="I533">
        <f>VLOOKUP(Table4[[#This Row],[Visitor]],'NHL Model'!$A$6:$B$38,2,FALSE)</f>
        <v>0.13227623341979275</v>
      </c>
      <c r="J533">
        <f>($B$1+Table4[[#This Row],[Home Differential]])-Table4[[#This Row],[Away Differential]]</f>
        <v>-1.6300256970130325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0.76075449063692424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-5.4617353012467046E-4</v>
      </c>
      <c r="H534" t="s">
        <v>24</v>
      </c>
      <c r="I534">
        <f>VLOOKUP(Table4[[#This Row],[Visitor]],'NHL Model'!$A$6:$B$38,2,FALSE)</f>
        <v>0.29030528207371809</v>
      </c>
      <c r="J534">
        <f>($B$1+Table4[[#This Row],[Home Differential]])-Table4[[#This Row],[Away Differential]]</f>
        <v>-8.3040343022696E-2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0.51445585315486986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-5.2681296301607013E-2</v>
      </c>
      <c r="H535" t="s">
        <v>17</v>
      </c>
      <c r="I535">
        <f>VLOOKUP(Table4[[#This Row],[Visitor]],'NHL Model'!$A$6:$B$38,2,FALSE)</f>
        <v>-0.8965878665431638</v>
      </c>
      <c r="J535">
        <f>($B$1+Table4[[#This Row],[Home Differential]])-Table4[[#This Row],[Away Differential]]</f>
        <v>1.0517176828227035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0.74297943678059553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-0.73027559042992929</v>
      </c>
      <c r="H536" t="s">
        <v>27</v>
      </c>
      <c r="I536">
        <f>VLOOKUP(Table4[[#This Row],[Visitor]],'NHL Model'!$A$6:$B$38,2,FALSE)</f>
        <v>-0.59708196015665005</v>
      </c>
      <c r="J536">
        <f>($B$1+Table4[[#This Row],[Home Differential]])-Table4[[#This Row],[Away Differential]]</f>
        <v>7.4617482307867466E-2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0.55322735028366299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-0.57641196648435689</v>
      </c>
      <c r="H537" t="s">
        <v>34</v>
      </c>
      <c r="I537">
        <f>VLOOKUP(Table4[[#This Row],[Visitor]],'NHL Model'!$A$6:$B$38,2,FALSE)</f>
        <v>-0.62096640812916071</v>
      </c>
      <c r="J537">
        <f>($B$1+Table4[[#This Row],[Home Differential]])-Table4[[#This Row],[Away Differential]]</f>
        <v>0.25236555422595058</v>
      </c>
      <c r="K537" t="str">
        <f>IF(Table4[[#This Row],[HomeIce Differential]]&gt;0,Table4[[#This Row],[Home]],Table4[[#This Row],[Visitor]])</f>
        <v>Columbus Blue Jackets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0.58334246722133354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-1.5116691651852812</v>
      </c>
      <c r="H538" t="s">
        <v>32</v>
      </c>
      <c r="I538">
        <f>VLOOKUP(Table4[[#This Row],[Visitor]],'NHL Model'!$A$6:$B$38,2,FALSE)</f>
        <v>-0.53589042422266964</v>
      </c>
      <c r="J538">
        <f>($B$1+Table4[[#This Row],[Home Differential]])-Table4[[#This Row],[Away Differential]]</f>
        <v>-0.76796762838146471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0.57045306442903576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-0.67174708781561598</v>
      </c>
      <c r="H539" t="s">
        <v>10</v>
      </c>
      <c r="I539">
        <f>VLOOKUP(Table4[[#This Row],[Visitor]],'NHL Model'!$A$6:$B$38,2,FALSE)</f>
        <v>0.27981279116457602</v>
      </c>
      <c r="J539">
        <f>($B$1+Table4[[#This Row],[Home Differential]])-Table4[[#This Row],[Away Differential]]</f>
        <v>-0.74374876639904519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0.58773901358055047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-0.47846056309234386</v>
      </c>
      <c r="H540" t="s">
        <v>14</v>
      </c>
      <c r="I540">
        <f>VLOOKUP(Table4[[#This Row],[Visitor]],'NHL Model'!$A$6:$B$38,2,FALSE)</f>
        <v>0.19552804934912488</v>
      </c>
      <c r="J540">
        <f>($B$1+Table4[[#This Row],[Home Differential]])-Table4[[#This Row],[Away Differential]]</f>
        <v>-0.46617749986032198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0.52455257272456568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-0.41822017589574972</v>
      </c>
      <c r="H541" t="s">
        <v>39</v>
      </c>
      <c r="I541">
        <f>VLOOKUP(Table4[[#This Row],[Visitor]],'NHL Model'!$A$6:$B$38,2,FALSE)</f>
        <v>5.4297665563734943E-2</v>
      </c>
      <c r="J541">
        <f>($B$1+Table4[[#This Row],[Home Differential]])-Table4[[#This Row],[Away Differential]]</f>
        <v>-0.2647067288783379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0.59055767458390307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-1.7055605761743866</v>
      </c>
      <c r="H542" t="s">
        <v>15</v>
      </c>
      <c r="I542">
        <f>VLOOKUP(Table4[[#This Row],[Visitor]],'NHL Model'!$A$6:$B$38,2,FALSE)</f>
        <v>-0.39108791057695064</v>
      </c>
      <c r="J542">
        <f>($B$1+Table4[[#This Row],[Home Differential]])-Table4[[#This Row],[Away Differential]]</f>
        <v>-1.1066615530162891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0.74056112002220109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4.5159124835038887E-2</v>
      </c>
      <c r="H543" t="s">
        <v>13</v>
      </c>
      <c r="I543">
        <f>VLOOKUP(Table4[[#This Row],[Visitor]],'NHL Model'!$A$6:$B$38,2,FALSE)</f>
        <v>-0.15545019701583887</v>
      </c>
      <c r="J543">
        <f>($B$1+Table4[[#This Row],[Home Differential]])-Table4[[#This Row],[Away Differential]]</f>
        <v>0.40842043443202447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0.49694338013893219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-7.0657671368725999E-2</v>
      </c>
      <c r="H544" t="s">
        <v>19</v>
      </c>
      <c r="I544">
        <f>VLOOKUP(Table4[[#This Row],[Visitor]],'NHL Model'!$A$6:$B$38,2,FALSE)</f>
        <v>-0.72519112941434305</v>
      </c>
      <c r="J544">
        <f>($B$1+Table4[[#This Row],[Home Differential]])-Table4[[#This Row],[Away Differential]]</f>
        <v>0.86234457062676384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0.66402684292853464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0.50495447305652519</v>
      </c>
      <c r="H545" t="s">
        <v>39</v>
      </c>
      <c r="I545">
        <f>VLOOKUP(Table4[[#This Row],[Visitor]],'NHL Model'!$A$6:$B$38,2,FALSE)</f>
        <v>5.4297665563734943E-2</v>
      </c>
      <c r="J545">
        <f>($B$1+Table4[[#This Row],[Home Differential]])-Table4[[#This Row],[Away Differential]]</f>
        <v>0.65846792007393706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0.65720425173214903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1.4784730509534416</v>
      </c>
      <c r="H546" t="s">
        <v>40</v>
      </c>
      <c r="I546">
        <f>VLOOKUP(Table4[[#This Row],[Visitor]],'NHL Model'!$A$6:$B$38,2,FALSE)</f>
        <v>0.13227623341979275</v>
      </c>
      <c r="J546">
        <f>($B$1+Table4[[#This Row],[Home Differential]])-Table4[[#This Row],[Away Differential]]</f>
        <v>1.5540079301147958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0.7880215629656564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-0.1981495100594213</v>
      </c>
      <c r="H547" t="s">
        <v>25</v>
      </c>
      <c r="I547">
        <f>VLOOKUP(Table4[[#This Row],[Visitor]],'NHL Model'!$A$6:$B$38,2,FALSE)</f>
        <v>0.67827132507054233</v>
      </c>
      <c r="J547">
        <f>($B$1+Table4[[#This Row],[Home Differential]])-Table4[[#This Row],[Away Differential]]</f>
        <v>-0.6686097225488169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0.59616289806148115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-6.1847876079686406E-2</v>
      </c>
      <c r="H548" t="s">
        <v>38</v>
      </c>
      <c r="I548">
        <f>VLOOKUP(Table4[[#This Row],[Visitor]],'NHL Model'!$A$6:$B$38,2,FALSE)</f>
        <v>-0.87485041382128448</v>
      </c>
      <c r="J548">
        <f>($B$1+Table4[[#This Row],[Home Differential]])-Table4[[#This Row],[Away Differential]]</f>
        <v>1.020813650322745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0.6660494523655891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-0.21513148032837168</v>
      </c>
      <c r="H549" t="s">
        <v>24</v>
      </c>
      <c r="I549">
        <f>VLOOKUP(Table4[[#This Row],[Visitor]],'NHL Model'!$A$6:$B$38,2,FALSE)</f>
        <v>0.29030528207371809</v>
      </c>
      <c r="J549">
        <f>($B$1+Table4[[#This Row],[Home Differential]])-Table4[[#This Row],[Away Differential]]</f>
        <v>-0.29762564982094297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0.4757957464204936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0.50495447305652519</v>
      </c>
      <c r="H550" t="s">
        <v>28</v>
      </c>
      <c r="I550">
        <f>VLOOKUP(Table4[[#This Row],[Visitor]],'NHL Model'!$A$6:$B$38,2,FALSE)</f>
        <v>-0.57641196648435689</v>
      </c>
      <c r="J550">
        <f>($B$1+Table4[[#This Row],[Home Differential]])-Table4[[#This Row],[Away Differential]]</f>
        <v>1.289177552122029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0.83617538243048795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-5.2681296301607013E-2</v>
      </c>
      <c r="H551" t="s">
        <v>38</v>
      </c>
      <c r="I551">
        <f>VLOOKUP(Table4[[#This Row],[Visitor]],'NHL Model'!$A$6:$B$38,2,FALSE)</f>
        <v>-0.87485041382128448</v>
      </c>
      <c r="J551">
        <f>($B$1+Table4[[#This Row],[Home Differential]])-Table4[[#This Row],[Away Differential]]</f>
        <v>1.0299802301008243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0.71956563933561923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-0.73027559042992929</v>
      </c>
      <c r="H552" t="s">
        <v>30</v>
      </c>
      <c r="I552">
        <f>VLOOKUP(Table4[[#This Row],[Visitor]],'NHL Model'!$A$6:$B$38,2,FALSE)</f>
        <v>-6.1847876079686406E-2</v>
      </c>
      <c r="J552">
        <f>($B$1+Table4[[#This Row],[Home Differential]])-Table4[[#This Row],[Away Differential]]</f>
        <v>-0.46061660176909619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0.58302677837993477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-1.5116691651852812</v>
      </c>
      <c r="H553" t="s">
        <v>20</v>
      </c>
      <c r="I553">
        <f>VLOOKUP(Table4[[#This Row],[Visitor]],'NHL Model'!$A$6:$B$38,2,FALSE)</f>
        <v>-5.4617353012467046E-4</v>
      </c>
      <c r="J553">
        <f>($B$1+Table4[[#This Row],[Home Differential]])-Table4[[#This Row],[Away Differential]]</f>
        <v>-1.3033118790740097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0.66821826589833133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-0.1981495100594213</v>
      </c>
      <c r="H554" t="s">
        <v>35</v>
      </c>
      <c r="I554">
        <f>VLOOKUP(Table4[[#This Row],[Visitor]],'NHL Model'!$A$6:$B$38,2,FALSE)</f>
        <v>-1.7055605761743866</v>
      </c>
      <c r="J554">
        <f>($B$1+Table4[[#This Row],[Home Differential]])-Table4[[#This Row],[Away Differential]]</f>
        <v>1.7152221786961122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0.85014037434662704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-0.62096640812916071</v>
      </c>
      <c r="H555" t="s">
        <v>17</v>
      </c>
      <c r="I555">
        <f>VLOOKUP(Table4[[#This Row],[Visitor]],'NHL Model'!$A$6:$B$38,2,FALSE)</f>
        <v>-0.8965878665431638</v>
      </c>
      <c r="J555">
        <f>($B$1+Table4[[#This Row],[Home Differential]])-Table4[[#This Row],[Away Differential]]</f>
        <v>0.48343257099514986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0.60952976523731617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-0.67174708781561598</v>
      </c>
      <c r="H556" t="s">
        <v>14</v>
      </c>
      <c r="I556">
        <f>VLOOKUP(Table4[[#This Row],[Visitor]],'NHL Model'!$A$6:$B$38,2,FALSE)</f>
        <v>0.19552804934912488</v>
      </c>
      <c r="J556">
        <f>($B$1+Table4[[#This Row],[Home Differential]])-Table4[[#This Row],[Away Differential]]</f>
        <v>-0.6594640245835941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0.5548475166192578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-1.4469605932441605</v>
      </c>
      <c r="H557" t="s">
        <v>19</v>
      </c>
      <c r="I557">
        <f>VLOOKUP(Table4[[#This Row],[Visitor]],'NHL Model'!$A$6:$B$38,2,FALSE)</f>
        <v>-0.72519112941434305</v>
      </c>
      <c r="J557">
        <f>($B$1+Table4[[#This Row],[Home Differential]])-Table4[[#This Row],[Away Differential]]</f>
        <v>-0.51395835124867062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0.53392014036314628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-0.39108791057695064</v>
      </c>
      <c r="H558" t="s">
        <v>27</v>
      </c>
      <c r="I558">
        <f>VLOOKUP(Table4[[#This Row],[Visitor]],'NHL Model'!$A$6:$B$38,2,FALSE)</f>
        <v>-0.59708196015665005</v>
      </c>
      <c r="J558">
        <f>($B$1+Table4[[#This Row],[Home Differential]])-Table4[[#This Row],[Away Differential]]</f>
        <v>0.41380516216084617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0.59951559225686069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-0.47846056309234386</v>
      </c>
      <c r="H559" t="s">
        <v>10</v>
      </c>
      <c r="I559">
        <f>VLOOKUP(Table4[[#This Row],[Visitor]],'NHL Model'!$A$6:$B$38,2,FALSE)</f>
        <v>0.27981279116457602</v>
      </c>
      <c r="J559">
        <f>($B$1+Table4[[#This Row],[Home Differential]])-Table4[[#This Row],[Away Differential]]</f>
        <v>-0.55046224167577318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0.55743118768618505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-0.41822017589574972</v>
      </c>
      <c r="H560" t="s">
        <v>32</v>
      </c>
      <c r="I560">
        <f>VLOOKUP(Table4[[#This Row],[Visitor]],'NHL Model'!$A$6:$B$38,2,FALSE)</f>
        <v>-0.53589042422266964</v>
      </c>
      <c r="J560">
        <f>($B$1+Table4[[#This Row],[Home Differential]])-Table4[[#This Row],[Away Differential]]</f>
        <v>0.32548136090806667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0.58681240770863807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4.5159124835038887E-2</v>
      </c>
      <c r="H561" t="s">
        <v>25</v>
      </c>
      <c r="I561">
        <f>VLOOKUP(Table4[[#This Row],[Visitor]],'NHL Model'!$A$6:$B$38,2,FALSE)</f>
        <v>0.67827132507054233</v>
      </c>
      <c r="J561">
        <f>($B$1+Table4[[#This Row],[Home Differential]])-Table4[[#This Row],[Away Differential]]</f>
        <v>-0.4253010876543567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0.62568512457368441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-7.0657671368725999E-2</v>
      </c>
      <c r="H562" t="s">
        <v>26</v>
      </c>
      <c r="I562">
        <f>VLOOKUP(Table4[[#This Row],[Visitor]],'NHL Model'!$A$6:$B$38,2,FALSE)</f>
        <v>-0.4561706649361581</v>
      </c>
      <c r="J562">
        <f>($B$1+Table4[[#This Row],[Home Differential]])-Table4[[#This Row],[Away Differential]]</f>
        <v>0.59332410614857889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0.5782355410109512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-5.2681296301607013E-2</v>
      </c>
      <c r="H563" t="s">
        <v>36</v>
      </c>
      <c r="I563">
        <f>VLOOKUP(Table4[[#This Row],[Visitor]],'NHL Model'!$A$6:$B$38,2,FALSE)</f>
        <v>-0.47846056309234386</v>
      </c>
      <c r="J563">
        <f>($B$1+Table4[[#This Row],[Home Differential]])-Table4[[#This Row],[Away Differential]]</f>
        <v>0.63359037937188356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0.68284221187578209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5.4297665563734943E-2</v>
      </c>
      <c r="H564" t="s">
        <v>19</v>
      </c>
      <c r="I564">
        <f>VLOOKUP(Table4[[#This Row],[Visitor]],'NHL Model'!$A$6:$B$38,2,FALSE)</f>
        <v>-0.72519112941434305</v>
      </c>
      <c r="J564">
        <f>($B$1+Table4[[#This Row],[Home Differential]])-Table4[[#This Row],[Away Differential]]</f>
        <v>0.98729990755922481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0.68449404303736217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-0.4561706649361581</v>
      </c>
      <c r="H565" t="s">
        <v>22</v>
      </c>
      <c r="I565">
        <f>VLOOKUP(Table4[[#This Row],[Visitor]],'NHL Model'!$A$6:$B$38,2,FALSE)</f>
        <v>-7.0657671368725999E-2</v>
      </c>
      <c r="J565">
        <f>($B$1+Table4[[#This Row],[Home Differential]])-Table4[[#This Row],[Away Differential]]</f>
        <v>-0.17770188098628534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0.44512682341795123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-0.8965878665431638</v>
      </c>
      <c r="H566" t="s">
        <v>20</v>
      </c>
      <c r="I566">
        <f>VLOOKUP(Table4[[#This Row],[Visitor]],'NHL Model'!$A$6:$B$38,2,FALSE)</f>
        <v>-5.4617353012467046E-4</v>
      </c>
      <c r="J566">
        <f>($B$1+Table4[[#This Row],[Home Differential]])-Table4[[#This Row],[Away Differential]]</f>
        <v>-0.68823058043189245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0.54342931546392603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-0.62096640812916071</v>
      </c>
      <c r="H567" t="s">
        <v>12</v>
      </c>
      <c r="I567">
        <f>VLOOKUP(Table4[[#This Row],[Visitor]],'NHL Model'!$A$6:$B$38,2,FALSE)</f>
        <v>1.4784730509534416</v>
      </c>
      <c r="J567">
        <f>($B$1+Table4[[#This Row],[Home Differential]])-Table4[[#This Row],[Away Differential]]</f>
        <v>-1.8916283465014556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0.79837953267111617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0.29030528207371809</v>
      </c>
      <c r="H568" t="s">
        <v>23</v>
      </c>
      <c r="I568">
        <f>VLOOKUP(Table4[[#This Row],[Visitor]],'NHL Model'!$A$6:$B$38,2,FALSE)</f>
        <v>-0.73027559042992929</v>
      </c>
      <c r="J568">
        <f>($B$1+Table4[[#This Row],[Home Differential]])-Table4[[#This Row],[Away Differential]]</f>
        <v>1.2283919850847942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0.8321043812528317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-1.4469605932441605</v>
      </c>
      <c r="H569" t="s">
        <v>15</v>
      </c>
      <c r="I569">
        <f>VLOOKUP(Table4[[#This Row],[Visitor]],'NHL Model'!$A$6:$B$38,2,FALSE)</f>
        <v>-0.39108791057695064</v>
      </c>
      <c r="J569">
        <f>($B$1+Table4[[#This Row],[Home Differential]])-Table4[[#This Row],[Away Differential]]</f>
        <v>-0.84806157008606298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0.70336793697601163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0.19552804934912488</v>
      </c>
      <c r="H570" t="s">
        <v>18</v>
      </c>
      <c r="I570">
        <f>VLOOKUP(Table4[[#This Row],[Visitor]],'NHL Model'!$A$6:$B$38,2,FALSE)</f>
        <v>-0.67174708781561598</v>
      </c>
      <c r="J570">
        <f>($B$1+Table4[[#This Row],[Home Differential]])-Table4[[#This Row],[Away Differential]]</f>
        <v>1.0750862497458877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0.68403621295276762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-0.21513148032837168</v>
      </c>
      <c r="H571" t="s">
        <v>40</v>
      </c>
      <c r="I571">
        <f>VLOOKUP(Table4[[#This Row],[Visitor]],'NHL Model'!$A$6:$B$38,2,FALSE)</f>
        <v>0.13227623341979275</v>
      </c>
      <c r="J571">
        <f>($B$1+Table4[[#This Row],[Home Differential]])-Table4[[#This Row],[Away Differential]]</f>
        <v>-0.13959660116701766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0.47659924215653388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0.50495447305652519</v>
      </c>
      <c r="H572" t="s">
        <v>32</v>
      </c>
      <c r="I572">
        <f>VLOOKUP(Table4[[#This Row],[Visitor]],'NHL Model'!$A$6:$B$38,2,FALSE)</f>
        <v>-0.53589042422266964</v>
      </c>
      <c r="J572">
        <f>($B$1+Table4[[#This Row],[Home Differential]])-Table4[[#This Row],[Away Differential]]</f>
        <v>1.2486560098603416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0.83034736526832331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-0.15545019701583887</v>
      </c>
      <c r="H573" t="s">
        <v>28</v>
      </c>
      <c r="I573">
        <f>VLOOKUP(Table4[[#This Row],[Visitor]],'NHL Model'!$A$6:$B$38,2,FALSE)</f>
        <v>-0.57641196648435689</v>
      </c>
      <c r="J573">
        <f>($B$1+Table4[[#This Row],[Home Differential]])-Table4[[#This Row],[Away Differential]]</f>
        <v>0.62877288204966475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0.63043335823754931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-0.59708196015665005</v>
      </c>
      <c r="H574" t="s">
        <v>38</v>
      </c>
      <c r="I574">
        <f>VLOOKUP(Table4[[#This Row],[Visitor]],'NHL Model'!$A$6:$B$38,2,FALSE)</f>
        <v>-0.87485041382128448</v>
      </c>
      <c r="J574">
        <f>($B$1+Table4[[#This Row],[Home Differential]])-Table4[[#This Row],[Away Differential]]</f>
        <v>0.48557956624578119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0.59157768760027751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4.5159124835038887E-2</v>
      </c>
      <c r="H575" t="s">
        <v>35</v>
      </c>
      <c r="I575">
        <f>VLOOKUP(Table4[[#This Row],[Visitor]],'NHL Model'!$A$6:$B$38,2,FALSE)</f>
        <v>-1.7055605761743866</v>
      </c>
      <c r="J575">
        <f>($B$1+Table4[[#This Row],[Home Differential]])-Table4[[#This Row],[Away Differential]]</f>
        <v>1.9585308135905724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0.82168600100461275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-5.2681296301607013E-2</v>
      </c>
      <c r="H576" t="s">
        <v>18</v>
      </c>
      <c r="I576">
        <f>VLOOKUP(Table4[[#This Row],[Visitor]],'NHL Model'!$A$6:$B$38,2,FALSE)</f>
        <v>-0.67174708781561598</v>
      </c>
      <c r="J576">
        <f>($B$1+Table4[[#This Row],[Home Differential]])-Table4[[#This Row],[Away Differential]]</f>
        <v>0.8268769040951558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0.66438024568931875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0.67827132507054233</v>
      </c>
      <c r="H577" t="s">
        <v>11</v>
      </c>
      <c r="I577">
        <f>VLOOKUP(Table4[[#This Row],[Visitor]],'NHL Model'!$A$6:$B$38,2,FALSE)</f>
        <v>-0.1981495100594213</v>
      </c>
      <c r="J577">
        <f>($B$1+Table4[[#This Row],[Home Differential]])-Table4[[#This Row],[Away Differential]]</f>
        <v>1.0842319477111104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0.74765580602046944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0.27981279116457602</v>
      </c>
      <c r="H578" t="s">
        <v>27</v>
      </c>
      <c r="I578">
        <f>VLOOKUP(Table4[[#This Row],[Visitor]],'NHL Model'!$A$6:$B$38,2,FALSE)</f>
        <v>-0.59708196015665005</v>
      </c>
      <c r="J578">
        <f>($B$1+Table4[[#This Row],[Home Differential]])-Table4[[#This Row],[Away Differential]]</f>
        <v>1.0847058639023728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0.70305394261949672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1.4784730509534416</v>
      </c>
      <c r="H579" t="s">
        <v>55</v>
      </c>
      <c r="I579">
        <f>VLOOKUP(Table4[[#This Row],[Visitor]],'NHL Model'!$A$6:$B$38,2,FALSE)</f>
        <v>-0.21513148032837168</v>
      </c>
      <c r="J579">
        <f>($B$1+Table4[[#This Row],[Home Differential]])-Table4[[#This Row],[Away Differential]]</f>
        <v>1.9014156438629601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0.90183765052914588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-0.4561706649361581</v>
      </c>
      <c r="H580" t="s">
        <v>39</v>
      </c>
      <c r="I580">
        <f>VLOOKUP(Table4[[#This Row],[Visitor]],'NHL Model'!$A$6:$B$38,2,FALSE)</f>
        <v>5.4297665563734943E-2</v>
      </c>
      <c r="J580">
        <f>($B$1+Table4[[#This Row],[Home Differential]])-Table4[[#This Row],[Away Differential]]</f>
        <v>-0.30265721791874628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0.55515762874528596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-0.8965878665431638</v>
      </c>
      <c r="H581" t="s">
        <v>16</v>
      </c>
      <c r="I581">
        <f>VLOOKUP(Table4[[#This Row],[Visitor]],'NHL Model'!$A$6:$B$38,2,FALSE)</f>
        <v>-1.5116691651852812</v>
      </c>
      <c r="J581">
        <f>($B$1+Table4[[#This Row],[Home Differential]])-Table4[[#This Row],[Away Differential]]</f>
        <v>0.82289241122326406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0.69438949628287971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-0.15545019701583887</v>
      </c>
      <c r="H582" t="s">
        <v>32</v>
      </c>
      <c r="I582">
        <f>VLOOKUP(Table4[[#This Row],[Visitor]],'NHL Model'!$A$6:$B$38,2,FALSE)</f>
        <v>-0.53589042422266964</v>
      </c>
      <c r="J582">
        <f>($B$1+Table4[[#This Row],[Home Differential]])-Table4[[#This Row],[Away Differential]]</f>
        <v>0.5882513397879775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0.62460534107538468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-0.62096640812916071</v>
      </c>
      <c r="H583" t="s">
        <v>29</v>
      </c>
      <c r="I583">
        <f>VLOOKUP(Table4[[#This Row],[Visitor]],'NHL Model'!$A$6:$B$38,2,FALSE)</f>
        <v>-1.4469605932441605</v>
      </c>
      <c r="J583">
        <f>($B$1+Table4[[#This Row],[Home Differential]])-Table4[[#This Row],[Away Differential]]</f>
        <v>1.0338052976961465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0.68868720885301704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-6.1847876079686406E-2</v>
      </c>
      <c r="H584" t="s">
        <v>24</v>
      </c>
      <c r="I584">
        <f>VLOOKUP(Table4[[#This Row],[Visitor]],'NHL Model'!$A$6:$B$38,2,FALSE)</f>
        <v>0.29030528207371809</v>
      </c>
      <c r="J584">
        <f>($B$1+Table4[[#This Row],[Home Differential]])-Table4[[#This Row],[Away Differential]]</f>
        <v>-0.14434204557225772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0.52327258012497213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-0.47846056309234386</v>
      </c>
      <c r="H585" t="s">
        <v>23</v>
      </c>
      <c r="I585">
        <f>VLOOKUP(Table4[[#This Row],[Visitor]],'NHL Model'!$A$6:$B$38,2,FALSE)</f>
        <v>-0.73027559042992929</v>
      </c>
      <c r="J585">
        <f>($B$1+Table4[[#This Row],[Home Differential]])-Table4[[#This Row],[Away Differential]]</f>
        <v>0.45962613991873219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0.60860128076358966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-0.72519112941434305</v>
      </c>
      <c r="H586" t="s">
        <v>14</v>
      </c>
      <c r="I586">
        <f>VLOOKUP(Table4[[#This Row],[Visitor]],'NHL Model'!$A$6:$B$38,2,FALSE)</f>
        <v>0.19552804934912488</v>
      </c>
      <c r="J586">
        <f>($B$1+Table4[[#This Row],[Home Differential]])-Table4[[#This Row],[Away Differential]]</f>
        <v>-0.71290806618232128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0.54851749377384518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-5.4617353012467046E-4</v>
      </c>
      <c r="H587" t="s">
        <v>33</v>
      </c>
      <c r="I587">
        <f>VLOOKUP(Table4[[#This Row],[Visitor]],'NHL Model'!$A$6:$B$38,2,FALSE)</f>
        <v>-0.41822017589574972</v>
      </c>
      <c r="J587">
        <f>($B$1+Table4[[#This Row],[Home Differential]])-Table4[[#This Row],[Away Differential]]</f>
        <v>0.62548511494677184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0.62996049461905435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-7.0657671368725999E-2</v>
      </c>
      <c r="H588" t="s">
        <v>15</v>
      </c>
      <c r="I588">
        <f>VLOOKUP(Table4[[#This Row],[Visitor]],'NHL Model'!$A$6:$B$38,2,FALSE)</f>
        <v>-0.39108791057695064</v>
      </c>
      <c r="J588">
        <f>($B$1+Table4[[#This Row],[Home Differential]])-Table4[[#This Row],[Away Differential]]</f>
        <v>0.52824135178937137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0.49457904631566929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-0.73027559042992929</v>
      </c>
      <c r="H589" t="s">
        <v>21</v>
      </c>
      <c r="I589">
        <f>VLOOKUP(Table4[[#This Row],[Visitor]],'NHL Model'!$A$6:$B$38,2,FALSE)</f>
        <v>-5.2681296301607013E-2</v>
      </c>
      <c r="J589">
        <f>($B$1+Table4[[#This Row],[Home Differential]])-Table4[[#This Row],[Away Differential]]</f>
        <v>-0.46978318154717558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0.52507116045788982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0.67827132507054233</v>
      </c>
      <c r="H590" t="s">
        <v>26</v>
      </c>
      <c r="I590">
        <f>VLOOKUP(Table4[[#This Row],[Visitor]],'NHL Model'!$A$6:$B$38,2,FALSE)</f>
        <v>-0.4561706649361581</v>
      </c>
      <c r="J590">
        <f>($B$1+Table4[[#This Row],[Home Differential]])-Table4[[#This Row],[Away Differential]]</f>
        <v>1.3422531025878472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0.73850430815439583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-1.5116691651852812</v>
      </c>
      <c r="H591" t="s">
        <v>17</v>
      </c>
      <c r="I591">
        <f>VLOOKUP(Table4[[#This Row],[Visitor]],'NHL Model'!$A$6:$B$38,2,FALSE)</f>
        <v>-0.8965878665431638</v>
      </c>
      <c r="J591">
        <f>($B$1+Table4[[#This Row],[Home Differential]])-Table4[[#This Row],[Away Differential]]</f>
        <v>-0.40727018606097054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0.5185756982958053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5.4297665563734943E-2</v>
      </c>
      <c r="H592" t="s">
        <v>10</v>
      </c>
      <c r="I592">
        <f>VLOOKUP(Table4[[#This Row],[Visitor]],'NHL Model'!$A$6:$B$38,2,FALSE)</f>
        <v>0.27981279116457602</v>
      </c>
      <c r="J592">
        <f>($B$1+Table4[[#This Row],[Home Differential]])-Table4[[#This Row],[Away Differential]]</f>
        <v>-1.770401301969432E-2</v>
      </c>
      <c r="K592" t="str">
        <f>IF(Table4[[#This Row],[HomeIce Differential]]&gt;0,Table4[[#This Row],[Home]],Table4[[#This Row],[Visitor]])</f>
        <v>Chicago Blackhawks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0.48080715201053092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-0.1981495100594213</v>
      </c>
      <c r="H593" t="s">
        <v>37</v>
      </c>
      <c r="I593">
        <f>VLOOKUP(Table4[[#This Row],[Visitor]],'NHL Model'!$A$6:$B$38,2,FALSE)</f>
        <v>4.5159124835038887E-2</v>
      </c>
      <c r="J593">
        <f>($B$1+Table4[[#This Row],[Home Differential]])-Table4[[#This Row],[Away Differential]]</f>
        <v>-3.5497522313313427E-2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0.44758331281243569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-0.15545019701583887</v>
      </c>
      <c r="H594" t="s">
        <v>31</v>
      </c>
      <c r="I594">
        <f>VLOOKUP(Table4[[#This Row],[Visitor]],'NHL Model'!$A$6:$B$38,2,FALSE)</f>
        <v>0.50495447305652519</v>
      </c>
      <c r="J594">
        <f>($B$1+Table4[[#This Row],[Home Differential]])-Table4[[#This Row],[Away Differential]]</f>
        <v>-0.45259355749121732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0.54586357005941855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0.29030528207371809</v>
      </c>
      <c r="H595" t="s">
        <v>22</v>
      </c>
      <c r="I595">
        <f>VLOOKUP(Table4[[#This Row],[Visitor]],'NHL Model'!$A$6:$B$38,2,FALSE)</f>
        <v>-7.0657671368725999E-2</v>
      </c>
      <c r="J595">
        <f>($B$1+Table4[[#This Row],[Home Differential]])-Table4[[#This Row],[Away Differential]]</f>
        <v>0.56877406602359082</v>
      </c>
      <c r="K595" t="str">
        <f>IF(Table4[[#This Row],[HomeIce Differential]]&gt;0,Table4[[#This Row],[Home]],Table4[[#This Row],[Visitor]])</f>
        <v>New Jersey Devils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0.73723473073622925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-6.1847876079686406E-2</v>
      </c>
      <c r="H596" t="s">
        <v>15</v>
      </c>
      <c r="I596">
        <f>VLOOKUP(Table4[[#This Row],[Visitor]],'NHL Model'!$A$6:$B$38,2,FALSE)</f>
        <v>-0.39108791057695064</v>
      </c>
      <c r="J596">
        <f>($B$1+Table4[[#This Row],[Home Differential]])-Table4[[#This Row],[Away Differential]]</f>
        <v>0.53705114707841095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0.49584611650288235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-1.7055605761743866</v>
      </c>
      <c r="H597" t="s">
        <v>29</v>
      </c>
      <c r="I597">
        <f>VLOOKUP(Table4[[#This Row],[Visitor]],'NHL Model'!$A$6:$B$38,2,FALSE)</f>
        <v>-1.4469605932441605</v>
      </c>
      <c r="J597">
        <f>($B$1+Table4[[#This Row],[Home Differential]])-Table4[[#This Row],[Away Differential]]</f>
        <v>-5.0788870349079307E-2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0.46730471723237577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-0.72519112941434305</v>
      </c>
      <c r="H598" t="s">
        <v>36</v>
      </c>
      <c r="I598">
        <f>VLOOKUP(Table4[[#This Row],[Visitor]],'NHL Model'!$A$6:$B$38,2,FALSE)</f>
        <v>-0.47846056309234386</v>
      </c>
      <c r="J598">
        <f>($B$1+Table4[[#This Row],[Home Differential]])-Table4[[#This Row],[Away Differential]]</f>
        <v>-3.8919453740852483E-2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0.45158097603112579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-0.87485041382128448</v>
      </c>
      <c r="H599" t="s">
        <v>33</v>
      </c>
      <c r="I599">
        <f>VLOOKUP(Table4[[#This Row],[Visitor]],'NHL Model'!$A$6:$B$38,2,FALSE)</f>
        <v>-0.41822017589574972</v>
      </c>
      <c r="J599">
        <f>($B$1+Table4[[#This Row],[Home Differential]])-Table4[[#This Row],[Away Differential]]</f>
        <v>-0.24881912534438794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0.4957864496720541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-5.4617353012467046E-4</v>
      </c>
      <c r="H600" t="s">
        <v>12</v>
      </c>
      <c r="I600">
        <f>VLOOKUP(Table4[[#This Row],[Visitor]],'NHL Model'!$A$6:$B$38,2,FALSE)</f>
        <v>1.4784730509534416</v>
      </c>
      <c r="J600">
        <f>($B$1+Table4[[#This Row],[Home Differential]])-Table4[[#This Row],[Away Differential]]</f>
        <v>-1.2712081119024194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0.70914749526132326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0.13227623341979275</v>
      </c>
      <c r="H601" t="s">
        <v>34</v>
      </c>
      <c r="I601">
        <f>VLOOKUP(Table4[[#This Row],[Visitor]],'NHL Model'!$A$6:$B$38,2,FALSE)</f>
        <v>-0.62096640812916071</v>
      </c>
      <c r="J601">
        <f>($B$1+Table4[[#This Row],[Home Differential]])-Table4[[#This Row],[Away Differential]]</f>
        <v>0.96105375413010019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0.72993968303683565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-0.57641196648435689</v>
      </c>
      <c r="H602" t="s">
        <v>30</v>
      </c>
      <c r="I602">
        <f>VLOOKUP(Table4[[#This Row],[Visitor]],'NHL Model'!$A$6:$B$38,2,FALSE)</f>
        <v>-6.1847876079686406E-2</v>
      </c>
      <c r="J602">
        <f>($B$1+Table4[[#This Row],[Home Differential]])-Table4[[#This Row],[Away Differential]]</f>
        <v>-0.30675297782352373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0.55631391702953303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0.27981279116457602</v>
      </c>
      <c r="H603" t="s">
        <v>14</v>
      </c>
      <c r="I603">
        <f>VLOOKUP(Table4[[#This Row],[Visitor]],'NHL Model'!$A$6:$B$38,2,FALSE)</f>
        <v>0.19552804934912488</v>
      </c>
      <c r="J603">
        <f>($B$1+Table4[[#This Row],[Home Differential]])-Table4[[#This Row],[Away Differential]]</f>
        <v>0.29209585439659791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0.58905668386583199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-0.4561706649361581</v>
      </c>
      <c r="H604" t="s">
        <v>19</v>
      </c>
      <c r="I604">
        <f>VLOOKUP(Table4[[#This Row],[Visitor]],'NHL Model'!$A$6:$B$38,2,FALSE)</f>
        <v>-0.72519112941434305</v>
      </c>
      <c r="J604">
        <f>($B$1+Table4[[#This Row],[Home Differential]])-Table4[[#This Row],[Away Differential]]</f>
        <v>0.47683157705933171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0.64901155369676955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-0.53589042422266964</v>
      </c>
      <c r="H605" t="s">
        <v>27</v>
      </c>
      <c r="I605">
        <f>VLOOKUP(Table4[[#This Row],[Visitor]],'NHL Model'!$A$6:$B$38,2,FALSE)</f>
        <v>-0.59708196015665005</v>
      </c>
      <c r="J605">
        <f>($B$1+Table4[[#This Row],[Home Differential]])-Table4[[#This Row],[Away Differential]]</f>
        <v>0.26900264851512717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0.60472708390223262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4.5159124835038887E-2</v>
      </c>
      <c r="H606" t="s">
        <v>18</v>
      </c>
      <c r="I606">
        <f>VLOOKUP(Table4[[#This Row],[Visitor]],'NHL Model'!$A$6:$B$38,2,FALSE)</f>
        <v>-0.67174708781561598</v>
      </c>
      <c r="J606">
        <f>($B$1+Table4[[#This Row],[Home Differential]])-Table4[[#This Row],[Away Differential]]</f>
        <v>0.92471732523180161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0.62589822264753081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0.50495447305652519</v>
      </c>
      <c r="H607" t="s">
        <v>33</v>
      </c>
      <c r="I607">
        <f>VLOOKUP(Table4[[#This Row],[Visitor]],'NHL Model'!$A$6:$B$38,2,FALSE)</f>
        <v>-0.41822017589574972</v>
      </c>
      <c r="J607">
        <f>($B$1+Table4[[#This Row],[Home Differential]])-Table4[[#This Row],[Away Differential]]</f>
        <v>1.1309857615334218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0.81342342337349904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0.67827132507054233</v>
      </c>
      <c r="H608" t="s">
        <v>15</v>
      </c>
      <c r="I608">
        <f>VLOOKUP(Table4[[#This Row],[Visitor]],'NHL Model'!$A$6:$B$38,2,FALSE)</f>
        <v>-0.39108791057695064</v>
      </c>
      <c r="J608">
        <f>($B$1+Table4[[#This Row],[Home Differential]])-Table4[[#This Row],[Away Differential]]</f>
        <v>1.2771703482286398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0.65427746065516512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-1.5116691651852812</v>
      </c>
      <c r="H609" t="s">
        <v>21</v>
      </c>
      <c r="I609">
        <f>VLOOKUP(Table4[[#This Row],[Visitor]],'NHL Model'!$A$6:$B$38,2,FALSE)</f>
        <v>-5.2681296301607013E-2</v>
      </c>
      <c r="J609">
        <f>($B$1+Table4[[#This Row],[Home Differential]])-Table4[[#This Row],[Away Differential]]</f>
        <v>-1.2511767563025273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0.63995069293122631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1.4784730509534416</v>
      </c>
      <c r="H610" t="s">
        <v>13</v>
      </c>
      <c r="I610">
        <f>VLOOKUP(Table4[[#This Row],[Visitor]],'NHL Model'!$A$6:$B$38,2,FALSE)</f>
        <v>-0.15545019701583887</v>
      </c>
      <c r="J610">
        <f>($B$1+Table4[[#This Row],[Home Differential]])-Table4[[#This Row],[Away Differential]]</f>
        <v>1.8417343605504273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0.79395750029562073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-0.1981495100594213</v>
      </c>
      <c r="H611" t="s">
        <v>22</v>
      </c>
      <c r="I611">
        <f>VLOOKUP(Table4[[#This Row],[Visitor]],'NHL Model'!$A$6:$B$38,2,FALSE)</f>
        <v>-7.0657671368725999E-2</v>
      </c>
      <c r="J611">
        <f>($B$1+Table4[[#This Row],[Home Differential]])-Table4[[#This Row],[Away Differential]]</f>
        <v>8.0319273890451459E-2</v>
      </c>
      <c r="K611" t="str">
        <f>IF(Table4[[#This Row],[HomeIce Differential]]&gt;0,Table4[[#This Row],[Home]],Table4[[#This Row],[Visitor]])</f>
        <v>Florida Panthers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0.61500020800875677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-0.47846056309234386</v>
      </c>
      <c r="H612" t="s">
        <v>28</v>
      </c>
      <c r="I612">
        <f>VLOOKUP(Table4[[#This Row],[Visitor]],'NHL Model'!$A$6:$B$38,2,FALSE)</f>
        <v>-0.57641196648435689</v>
      </c>
      <c r="J612">
        <f>($B$1+Table4[[#This Row],[Home Differential]])-Table4[[#This Row],[Away Differential]]</f>
        <v>0.30576251597315979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0.58647182095190131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-0.53589042422266964</v>
      </c>
      <c r="H613" t="s">
        <v>38</v>
      </c>
      <c r="I613">
        <f>VLOOKUP(Table4[[#This Row],[Visitor]],'NHL Model'!$A$6:$B$38,2,FALSE)</f>
        <v>-0.87485041382128448</v>
      </c>
      <c r="J613">
        <f>($B$1+Table4[[#This Row],[Home Differential]])-Table4[[#This Row],[Away Differential]]</f>
        <v>0.54677110217976166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0.62409398485940271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-1.7055605761743866</v>
      </c>
      <c r="H614" t="s">
        <v>23</v>
      </c>
      <c r="I614">
        <f>VLOOKUP(Table4[[#This Row],[Visitor]],'NHL Model'!$A$6:$B$38,2,FALSE)</f>
        <v>-0.73027559042992929</v>
      </c>
      <c r="J614">
        <f>($B$1+Table4[[#This Row],[Home Differential]])-Table4[[#This Row],[Away Differential]]</f>
        <v>-0.7674738731633105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0.57038205000745412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-0.21513148032837168</v>
      </c>
      <c r="H615" t="s">
        <v>29</v>
      </c>
      <c r="I615">
        <f>VLOOKUP(Table4[[#This Row],[Visitor]],'NHL Model'!$A$6:$B$38,2,FALSE)</f>
        <v>-1.4469605932441605</v>
      </c>
      <c r="J615">
        <f>($B$1+Table4[[#This Row],[Home Differential]])-Table4[[#This Row],[Away Differential]]</f>
        <v>1.4396402254969356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0.81532898698749023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-5.4617353012467046E-4</v>
      </c>
      <c r="H616" t="s">
        <v>34</v>
      </c>
      <c r="I616">
        <f>VLOOKUP(Table4[[#This Row],[Visitor]],'NHL Model'!$A$6:$B$38,2,FALSE)</f>
        <v>-0.62096640812916071</v>
      </c>
      <c r="J616">
        <f>($B$1+Table4[[#This Row],[Home Differential]])-Table4[[#This Row],[Away Differential]]</f>
        <v>0.82823134718018276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0.65912050322360671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0.13227623341979275</v>
      </c>
      <c r="H617" t="s">
        <v>17</v>
      </c>
      <c r="I617">
        <f>VLOOKUP(Table4[[#This Row],[Visitor]],'NHL Model'!$A$6:$B$38,2,FALSE)</f>
        <v>-0.8965878665431638</v>
      </c>
      <c r="J617">
        <f>($B$1+Table4[[#This Row],[Home Differential]])-Table4[[#This Row],[Away Differential]]</f>
        <v>1.2366752125441032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0.76958098246033813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0.27981279116457602</v>
      </c>
      <c r="H618" t="s">
        <v>30</v>
      </c>
      <c r="I618">
        <f>VLOOKUP(Table4[[#This Row],[Visitor]],'NHL Model'!$A$6:$B$38,2,FALSE)</f>
        <v>-6.1847876079686406E-2</v>
      </c>
      <c r="J618">
        <f>($B$1+Table4[[#This Row],[Home Differential]])-Table4[[#This Row],[Away Differential]]</f>
        <v>0.54947177982540918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0.5668327428389961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-0.1981495100594213</v>
      </c>
      <c r="H619" t="s">
        <v>18</v>
      </c>
      <c r="I619">
        <f>VLOOKUP(Table4[[#This Row],[Visitor]],'NHL Model'!$A$6:$B$38,2,FALSE)</f>
        <v>-0.67174708781561598</v>
      </c>
      <c r="J619">
        <f>($B$1+Table4[[#This Row],[Home Differential]])-Table4[[#This Row],[Away Differential]]</f>
        <v>0.68140869033734142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0.6555258355020116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0.19552804934912488</v>
      </c>
      <c r="H620" t="s">
        <v>25</v>
      </c>
      <c r="I620">
        <f>VLOOKUP(Table4[[#This Row],[Visitor]],'NHL Model'!$A$6:$B$38,2,FALSE)</f>
        <v>0.67827132507054233</v>
      </c>
      <c r="J620">
        <f>($B$1+Table4[[#This Row],[Home Differential]])-Table4[[#This Row],[Away Differential]]</f>
        <v>-0.27493216314027069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0.56784404821525514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-0.72519112941434305</v>
      </c>
      <c r="H621" t="s">
        <v>24</v>
      </c>
      <c r="I621">
        <f>VLOOKUP(Table4[[#This Row],[Visitor]],'NHL Model'!$A$6:$B$38,2,FALSE)</f>
        <v>0.29030528207371809</v>
      </c>
      <c r="J621">
        <f>($B$1+Table4[[#This Row],[Home Differential]])-Table4[[#This Row],[Away Differential]]</f>
        <v>-0.80768529890691443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0.60453755763609152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-0.87485041382128448</v>
      </c>
      <c r="H622" t="s">
        <v>27</v>
      </c>
      <c r="I622">
        <f>VLOOKUP(Table4[[#This Row],[Visitor]],'NHL Model'!$A$6:$B$38,2,FALSE)</f>
        <v>-0.59708196015665005</v>
      </c>
      <c r="J622">
        <f>($B$1+Table4[[#This Row],[Home Differential]])-Table4[[#This Row],[Away Differential]]</f>
        <v>-6.9957341083487612E-2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0.47006162553786751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0.50495447305652519</v>
      </c>
      <c r="H623" t="s">
        <v>37</v>
      </c>
      <c r="I623">
        <f>VLOOKUP(Table4[[#This Row],[Visitor]],'NHL Model'!$A$6:$B$38,2,FALSE)</f>
        <v>4.5159124835038887E-2</v>
      </c>
      <c r="J623">
        <f>($B$1+Table4[[#This Row],[Home Differential]])-Table4[[#This Row],[Away Differential]]</f>
        <v>0.66760646080263308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0.70276017681741587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-0.57641196648435689</v>
      </c>
      <c r="H624" t="s">
        <v>24</v>
      </c>
      <c r="I624">
        <f>VLOOKUP(Table4[[#This Row],[Visitor]],'NHL Model'!$A$6:$B$38,2,FALSE)</f>
        <v>0.29030528207371809</v>
      </c>
      <c r="J624">
        <f>($B$1+Table4[[#This Row],[Home Differential]])-Table4[[#This Row],[Away Differential]]</f>
        <v>-0.65890613597692815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0.59018012223972627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-1.5116691651852812</v>
      </c>
      <c r="H625" t="s">
        <v>27</v>
      </c>
      <c r="I625">
        <f>VLOOKUP(Table4[[#This Row],[Visitor]],'NHL Model'!$A$6:$B$38,2,FALSE)</f>
        <v>-0.59708196015665005</v>
      </c>
      <c r="J625">
        <f>($B$1+Table4[[#This Row],[Home Differential]])-Table4[[#This Row],[Away Differential]]</f>
        <v>-0.70677609244748429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0.5616521821896735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1.4784730509534416</v>
      </c>
      <c r="H626" t="s">
        <v>35</v>
      </c>
      <c r="I626">
        <f>VLOOKUP(Table4[[#This Row],[Visitor]],'NHL Model'!$A$6:$B$38,2,FALSE)</f>
        <v>-1.7055605761743866</v>
      </c>
      <c r="J626">
        <f>($B$1+Table4[[#This Row],[Home Differential]])-Table4[[#This Row],[Away Differential]]</f>
        <v>3.3918447397089748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5.4297665563734943E-2</v>
      </c>
      <c r="H627" t="s">
        <v>23</v>
      </c>
      <c r="I627">
        <f>VLOOKUP(Table4[[#This Row],[Visitor]],'NHL Model'!$A$6:$B$38,2,FALSE)</f>
        <v>-0.73027559042992929</v>
      </c>
      <c r="J627">
        <f>($B$1+Table4[[#This Row],[Home Differential]])-Table4[[#This Row],[Away Differential]]</f>
        <v>0.99238436857481105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0.68522531643924378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-0.4561706649361581</v>
      </c>
      <c r="H628" t="s">
        <v>40</v>
      </c>
      <c r="I628">
        <f>VLOOKUP(Table4[[#This Row],[Visitor]],'NHL Model'!$A$6:$B$38,2,FALSE)</f>
        <v>0.13227623341979275</v>
      </c>
      <c r="J628">
        <f>($B$1+Table4[[#This Row],[Home Differential]])-Table4[[#This Row],[Away Differential]]</f>
        <v>-0.38063578577480406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0.54003911915029645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-0.8965878665431638</v>
      </c>
      <c r="H629" t="s">
        <v>21</v>
      </c>
      <c r="I629">
        <f>VLOOKUP(Table4[[#This Row],[Visitor]],'NHL Model'!$A$6:$B$38,2,FALSE)</f>
        <v>-5.2681296301607013E-2</v>
      </c>
      <c r="J629">
        <f>($B$1+Table4[[#This Row],[Home Differential]])-Table4[[#This Row],[Away Differential]]</f>
        <v>-0.63609545766041009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0.51544966246216029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-0.41822017589574972</v>
      </c>
      <c r="H630" t="s">
        <v>34</v>
      </c>
      <c r="I630">
        <f>VLOOKUP(Table4[[#This Row],[Visitor]],'NHL Model'!$A$6:$B$38,2,FALSE)</f>
        <v>-0.62096640812916071</v>
      </c>
      <c r="J630">
        <f>($B$1+Table4[[#This Row],[Home Differential]])-Table4[[#This Row],[Away Differential]]</f>
        <v>0.41055734481455775</v>
      </c>
      <c r="K630" t="str">
        <f>IF(Table4[[#This Row],[HomeIce Differential]]&gt;0,Table4[[#This Row],[Home]],Table4[[#This Row],[Visitor]])</f>
        <v>San Jose Sharks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0.59904847441836617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-5.4617353012467046E-4</v>
      </c>
      <c r="H631" t="s">
        <v>29</v>
      </c>
      <c r="I631">
        <f>VLOOKUP(Table4[[#This Row],[Visitor]],'NHL Model'!$A$6:$B$38,2,FALSE)</f>
        <v>-1.4469605932441605</v>
      </c>
      <c r="J631">
        <f>($B$1+Table4[[#This Row],[Home Differential]])-Table4[[#This Row],[Away Differential]]</f>
        <v>1.6542255322951827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0.77791924626280995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-7.0657671368725999E-2</v>
      </c>
      <c r="H632" t="s">
        <v>15</v>
      </c>
      <c r="I632">
        <f>VLOOKUP(Table4[[#This Row],[Visitor]],'NHL Model'!$A$6:$B$38,2,FALSE)</f>
        <v>-0.39108791057695064</v>
      </c>
      <c r="J632">
        <f>($B$1+Table4[[#This Row],[Home Differential]])-Table4[[#This Row],[Away Differential]]</f>
        <v>0.52824135178937137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0.49457904631566929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0.67827132507054233</v>
      </c>
      <c r="H633" t="s">
        <v>18</v>
      </c>
      <c r="I633">
        <f>VLOOKUP(Table4[[#This Row],[Visitor]],'NHL Model'!$A$6:$B$38,2,FALSE)</f>
        <v>-0.67174708781561598</v>
      </c>
      <c r="J633">
        <f>($B$1+Table4[[#This Row],[Home Differential]])-Table4[[#This Row],[Away Differential]]</f>
        <v>1.5578295254673051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0.76950962093804665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0.27981279116457602</v>
      </c>
      <c r="H634" t="s">
        <v>39</v>
      </c>
      <c r="I634">
        <f>VLOOKUP(Table4[[#This Row],[Visitor]],'NHL Model'!$A$6:$B$38,2,FALSE)</f>
        <v>5.4297665563734943E-2</v>
      </c>
      <c r="J634">
        <f>($B$1+Table4[[#This Row],[Home Differential]])-Table4[[#This Row],[Away Differential]]</f>
        <v>0.43332623818198784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0.51686866861839553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-0.15545019701583887</v>
      </c>
      <c r="H635" t="s">
        <v>37</v>
      </c>
      <c r="I635">
        <f>VLOOKUP(Table4[[#This Row],[Visitor]],'NHL Model'!$A$6:$B$38,2,FALSE)</f>
        <v>4.5159124835038887E-2</v>
      </c>
      <c r="J635">
        <f>($B$1+Table4[[#This Row],[Home Differential]])-Table4[[#This Row],[Away Differential]]</f>
        <v>7.2017907302690046E-3</v>
      </c>
      <c r="K635" t="str">
        <f>IF(Table4[[#This Row],[HomeIce Differential]]&gt;0,Table4[[#This Row],[Home]],Table4[[#This Row],[Visitor]])</f>
        <v>Los Angeles Kings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0.49393640719897625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-6.1847876079686406E-2</v>
      </c>
      <c r="H636" t="s">
        <v>55</v>
      </c>
      <c r="I636">
        <f>VLOOKUP(Table4[[#This Row],[Visitor]],'NHL Model'!$A$6:$B$38,2,FALSE)</f>
        <v>-0.21513148032837168</v>
      </c>
      <c r="J636">
        <f>($B$1+Table4[[#This Row],[Home Differential]])-Table4[[#This Row],[Away Differential]]</f>
        <v>0.36109471682983207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0.5919345042017562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-0.47846056309234386</v>
      </c>
      <c r="H637" t="s">
        <v>22</v>
      </c>
      <c r="I637">
        <f>VLOOKUP(Table4[[#This Row],[Visitor]],'NHL Model'!$A$6:$B$38,2,FALSE)</f>
        <v>-7.0657671368725999E-2</v>
      </c>
      <c r="J637">
        <f>($B$1+Table4[[#This Row],[Home Differential]])-Table4[[#This Row],[Away Differential]]</f>
        <v>-0.1999917791424711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0.4862683697530128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0.19552804934912488</v>
      </c>
      <c r="H638" t="s">
        <v>26</v>
      </c>
      <c r="I638">
        <f>VLOOKUP(Table4[[#This Row],[Visitor]],'NHL Model'!$A$6:$B$38,2,FALSE)</f>
        <v>-0.4561706649361581</v>
      </c>
      <c r="J638">
        <f>($B$1+Table4[[#This Row],[Home Differential]])-Table4[[#This Row],[Away Differential]]</f>
        <v>0.85950982686642974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0.6530309001691168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-0.53589042422266964</v>
      </c>
      <c r="H639" t="s">
        <v>29</v>
      </c>
      <c r="I639">
        <f>VLOOKUP(Table4[[#This Row],[Visitor]],'NHL Model'!$A$6:$B$38,2,FALSE)</f>
        <v>-1.4469605932441605</v>
      </c>
      <c r="J639">
        <f>($B$1+Table4[[#This Row],[Home Differential]])-Table4[[#This Row],[Away Differential]]</f>
        <v>1.1188812816026377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0.72696101141180169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-0.72519112941434305</v>
      </c>
      <c r="H640" t="s">
        <v>40</v>
      </c>
      <c r="I640">
        <f>VLOOKUP(Table4[[#This Row],[Visitor]],'NHL Model'!$A$6:$B$38,2,FALSE)</f>
        <v>0.13227623341979275</v>
      </c>
      <c r="J640">
        <f>($B$1+Table4[[#This Row],[Home Differential]])-Table4[[#This Row],[Away Differential]]</f>
        <v>-0.64965625025298912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0.60563203389131015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0.50495447305652519</v>
      </c>
      <c r="H641" t="s">
        <v>34</v>
      </c>
      <c r="I641">
        <f>VLOOKUP(Table4[[#This Row],[Visitor]],'NHL Model'!$A$6:$B$38,2,FALSE)</f>
        <v>-0.62096640812916071</v>
      </c>
      <c r="J641">
        <f>($B$1+Table4[[#This Row],[Home Differential]])-Table4[[#This Row],[Away Differential]]</f>
        <v>1.3337319937668326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0.84258343197805141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-0.1981495100594213</v>
      </c>
      <c r="H642" t="s">
        <v>15</v>
      </c>
      <c r="I642">
        <f>VLOOKUP(Table4[[#This Row],[Visitor]],'NHL Model'!$A$6:$B$38,2,FALSE)</f>
        <v>-0.39108791057695064</v>
      </c>
      <c r="J642">
        <f>($B$1+Table4[[#This Row],[Home Differential]])-Table4[[#This Row],[Away Differential]]</f>
        <v>0.40074951309867612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0.5403964821754077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-1.7055605761743866</v>
      </c>
      <c r="H643" t="s">
        <v>20</v>
      </c>
      <c r="I643">
        <f>VLOOKUP(Table4[[#This Row],[Visitor]],'NHL Model'!$A$6:$B$38,2,FALSE)</f>
        <v>-5.4617353012467046E-4</v>
      </c>
      <c r="J643">
        <f>($B$1+Table4[[#This Row],[Home Differential]])-Table4[[#This Row],[Away Differential]]</f>
        <v>-1.4972032900631151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0.69610472845060267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-0.87485041382128448</v>
      </c>
      <c r="H644" t="s">
        <v>32</v>
      </c>
      <c r="I644">
        <f>VLOOKUP(Table4[[#This Row],[Visitor]],'NHL Model'!$A$6:$B$38,2,FALSE)</f>
        <v>-0.53589042422266964</v>
      </c>
      <c r="J644">
        <f>($B$1+Table4[[#This Row],[Home Differential]])-Table4[[#This Row],[Away Differential]]</f>
        <v>-0.13114887701746802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0.47886250777722977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0.67827132507054233</v>
      </c>
      <c r="H645" t="s">
        <v>12</v>
      </c>
      <c r="I645">
        <f>VLOOKUP(Table4[[#This Row],[Visitor]],'NHL Model'!$A$6:$B$38,2,FALSE)</f>
        <v>1.4784730509534416</v>
      </c>
      <c r="J645">
        <f>($B$1+Table4[[#This Row],[Home Differential]])-Table4[[#This Row],[Away Differential]]</f>
        <v>-0.59239061330175247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0.55888488326310126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-0.57641196648435689</v>
      </c>
      <c r="H646" t="s">
        <v>23</v>
      </c>
      <c r="I646">
        <f>VLOOKUP(Table4[[#This Row],[Visitor]],'NHL Model'!$A$6:$B$38,2,FALSE)</f>
        <v>-0.73027559042992929</v>
      </c>
      <c r="J646">
        <f>($B$1+Table4[[#This Row],[Home Differential]])-Table4[[#This Row],[Away Differential]]</f>
        <v>0.36167473652671916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0.59906387748545842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-1.5116691651852812</v>
      </c>
      <c r="H647" t="s">
        <v>29</v>
      </c>
      <c r="I647">
        <f>VLOOKUP(Table4[[#This Row],[Visitor]],'NHL Model'!$A$6:$B$38,2,FALSE)</f>
        <v>-1.4469605932441605</v>
      </c>
      <c r="J647">
        <f>($B$1+Table4[[#This Row],[Home Differential]])-Table4[[#This Row],[Away Differential]]</f>
        <v>0.14310254064002614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0.56058174531989557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-0.4561706649361581</v>
      </c>
      <c r="H648" t="s">
        <v>14</v>
      </c>
      <c r="I648">
        <f>VLOOKUP(Table4[[#This Row],[Visitor]],'NHL Model'!$A$6:$B$38,2,FALSE)</f>
        <v>0.19552804934912488</v>
      </c>
      <c r="J648">
        <f>($B$1+Table4[[#This Row],[Home Differential]])-Table4[[#This Row],[Away Differential]]</f>
        <v>-0.44388760170413621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0.48341102638950412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-0.8965878665431638</v>
      </c>
      <c r="H649" t="s">
        <v>27</v>
      </c>
      <c r="I649">
        <f>VLOOKUP(Table4[[#This Row],[Visitor]],'NHL Model'!$A$6:$B$38,2,FALSE)</f>
        <v>-0.59708196015665005</v>
      </c>
      <c r="J649">
        <f>($B$1+Table4[[#This Row],[Home Differential]])-Table4[[#This Row],[Away Differential]]</f>
        <v>-9.1694793805367047E-2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0.43715115172060759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-0.15545019701583887</v>
      </c>
      <c r="H650" t="s">
        <v>34</v>
      </c>
      <c r="I650">
        <f>VLOOKUP(Table4[[#This Row],[Visitor]],'NHL Model'!$A$6:$B$38,2,FALSE)</f>
        <v>-0.62096640812916071</v>
      </c>
      <c r="J650">
        <f>($B$1+Table4[[#This Row],[Home Differential]])-Table4[[#This Row],[Away Differential]]</f>
        <v>0.67332732369446857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0.63684140778511278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0.29030528207371809</v>
      </c>
      <c r="H651" t="s">
        <v>55</v>
      </c>
      <c r="I651">
        <f>VLOOKUP(Table4[[#This Row],[Visitor]],'NHL Model'!$A$6:$B$38,2,FALSE)</f>
        <v>-0.21513148032837168</v>
      </c>
      <c r="J651">
        <f>($B$1+Table4[[#This Row],[Home Differential]])-Table4[[#This Row],[Away Differential]]</f>
        <v>0.7132478749832365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0.75801369893695858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-6.1847876079686406E-2</v>
      </c>
      <c r="H652" t="s">
        <v>19</v>
      </c>
      <c r="I652">
        <f>VLOOKUP(Table4[[#This Row],[Visitor]],'NHL Model'!$A$6:$B$38,2,FALSE)</f>
        <v>-0.72519112941434305</v>
      </c>
      <c r="J652">
        <f>($B$1+Table4[[#This Row],[Home Differential]])-Table4[[#This Row],[Away Differential]]</f>
        <v>0.87115436591580342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0.6652939131157477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-0.47846056309234386</v>
      </c>
      <c r="H653" t="s">
        <v>40</v>
      </c>
      <c r="I653">
        <f>VLOOKUP(Table4[[#This Row],[Visitor]],'NHL Model'!$A$6:$B$38,2,FALSE)</f>
        <v>0.13227623341979275</v>
      </c>
      <c r="J653">
        <f>($B$1+Table4[[#This Row],[Home Differential]])-Table4[[#This Row],[Away Differential]]</f>
        <v>-0.40292568393098982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0.58176037340606002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-0.41822017589574972</v>
      </c>
      <c r="H654" t="s">
        <v>37</v>
      </c>
      <c r="I654">
        <f>VLOOKUP(Table4[[#This Row],[Visitor]],'NHL Model'!$A$6:$B$38,2,FALSE)</f>
        <v>4.5159124835038887E-2</v>
      </c>
      <c r="J654">
        <f>($B$1+Table4[[#This Row],[Home Differential]])-Table4[[#This Row],[Away Differential]]</f>
        <v>-0.25556818814964183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0.54385652616777047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-1.7055605761743866</v>
      </c>
      <c r="H655" t="s">
        <v>18</v>
      </c>
      <c r="I655">
        <f>VLOOKUP(Table4[[#This Row],[Visitor]],'NHL Model'!$A$6:$B$38,2,FALSE)</f>
        <v>-0.67174708781561598</v>
      </c>
      <c r="J655">
        <f>($B$1+Table4[[#This Row],[Home Differential]])-Table4[[#This Row],[Away Differential]]</f>
        <v>-0.82600237577762381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0.62589931254326825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-0.87485041382128448</v>
      </c>
      <c r="H656" t="s">
        <v>21</v>
      </c>
      <c r="I656">
        <f>VLOOKUP(Table4[[#This Row],[Visitor]],'NHL Model'!$A$6:$B$38,2,FALSE)</f>
        <v>-5.2681296301607013E-2</v>
      </c>
      <c r="J656">
        <f>($B$1+Table4[[#This Row],[Home Differential]])-Table4[[#This Row],[Away Differential]]</f>
        <v>-0.61435800493853066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0.54836013627942026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-7.0657671368725999E-2</v>
      </c>
      <c r="H657" t="s">
        <v>10</v>
      </c>
      <c r="I657">
        <f>VLOOKUP(Table4[[#This Row],[Visitor]],'NHL Model'!$A$6:$B$38,2,FALSE)</f>
        <v>0.27981279116457602</v>
      </c>
      <c r="J657">
        <f>($B$1+Table4[[#This Row],[Home Differential]])-Table4[[#This Row],[Away Differential]]</f>
        <v>-0.14265934995215526</v>
      </c>
      <c r="K657" t="str">
        <f>IF(Table4[[#This Row],[HomeIce Differential]]&gt;0,Table4[[#This Row],[Home]],Table4[[#This Row],[Visitor]])</f>
        <v>Chicago Blackhawks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0.50128723411903187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-0.57641196648435689</v>
      </c>
      <c r="H658" t="s">
        <v>14</v>
      </c>
      <c r="I658">
        <f>VLOOKUP(Table4[[#This Row],[Visitor]],'NHL Model'!$A$6:$B$38,2,FALSE)</f>
        <v>0.19552804934912488</v>
      </c>
      <c r="J658">
        <f>($B$1+Table4[[#This Row],[Home Differential]])-Table4[[#This Row],[Away Differential]]</f>
        <v>-0.564128903252335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0.53408997600269714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0.27981279116457602</v>
      </c>
      <c r="H659" t="s">
        <v>20</v>
      </c>
      <c r="I659">
        <f>VLOOKUP(Table4[[#This Row],[Visitor]],'NHL Model'!$A$6:$B$38,2,FALSE)</f>
        <v>-5.4617353012467046E-4</v>
      </c>
      <c r="J659">
        <f>($B$1+Table4[[#This Row],[Home Differential]])-Table4[[#This Row],[Away Differential]]</f>
        <v>0.48817007727584744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0.59652692729379742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5.4297665563734943E-2</v>
      </c>
      <c r="H660" t="s">
        <v>18</v>
      </c>
      <c r="I660">
        <f>VLOOKUP(Table4[[#This Row],[Visitor]],'NHL Model'!$A$6:$B$38,2,FALSE)</f>
        <v>-0.67174708781561598</v>
      </c>
      <c r="J660">
        <f>($B$1+Table4[[#This Row],[Home Differential]])-Table4[[#This Row],[Away Differential]]</f>
        <v>0.93385586596049763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0.62972481021651716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-0.1981495100594213</v>
      </c>
      <c r="H661" t="s">
        <v>12</v>
      </c>
      <c r="I661">
        <f>VLOOKUP(Table4[[#This Row],[Visitor]],'NHL Model'!$A$6:$B$38,2,FALSE)</f>
        <v>1.4784730509534416</v>
      </c>
      <c r="J661">
        <f>($B$1+Table4[[#This Row],[Home Differential]])-Table4[[#This Row],[Away Differential]]</f>
        <v>-1.4688114484317161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0.67279049815054193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0.29030528207371809</v>
      </c>
      <c r="H662" t="s">
        <v>25</v>
      </c>
      <c r="I662">
        <f>VLOOKUP(Table4[[#This Row],[Visitor]],'NHL Model'!$A$6:$B$38,2,FALSE)</f>
        <v>0.67827132507054233</v>
      </c>
      <c r="J662">
        <f>($B$1+Table4[[#This Row],[Home Differential]])-Table4[[#This Row],[Away Differential]]</f>
        <v>-0.18015493041567748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0.47035525552687096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-1.5116691651852812</v>
      </c>
      <c r="H663" t="s">
        <v>32</v>
      </c>
      <c r="I663">
        <f>VLOOKUP(Table4[[#This Row],[Visitor]],'NHL Model'!$A$6:$B$38,2,FALSE)</f>
        <v>-0.53589042422266964</v>
      </c>
      <c r="J663">
        <f>($B$1+Table4[[#This Row],[Home Differential]])-Table4[[#This Row],[Away Differential]]</f>
        <v>-0.76796762838146471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0.57045306442903576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-0.15545019701583887</v>
      </c>
      <c r="H664" t="s">
        <v>34</v>
      </c>
      <c r="I664">
        <f>VLOOKUP(Table4[[#This Row],[Visitor]],'NHL Model'!$A$6:$B$38,2,FALSE)</f>
        <v>-0.62096640812916071</v>
      </c>
      <c r="J664">
        <f>($B$1+Table4[[#This Row],[Home Differential]])-Table4[[#This Row],[Away Differential]]</f>
        <v>0.67332732369446857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0.63684140778511278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-0.39108791057695064</v>
      </c>
      <c r="H665" t="s">
        <v>55</v>
      </c>
      <c r="I665">
        <f>VLOOKUP(Table4[[#This Row],[Visitor]],'NHL Model'!$A$6:$B$38,2,FALSE)</f>
        <v>-0.21513148032837168</v>
      </c>
      <c r="J665">
        <f>($B$1+Table4[[#This Row],[Home Differential]])-Table4[[#This Row],[Away Differential]]</f>
        <v>3.1854682332567802E-2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0.54458150467547828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-0.47846056309234386</v>
      </c>
      <c r="H666" t="s">
        <v>26</v>
      </c>
      <c r="I666">
        <f>VLOOKUP(Table4[[#This Row],[Visitor]],'NHL Model'!$A$6:$B$38,2,FALSE)</f>
        <v>-0.4561706649361581</v>
      </c>
      <c r="J666">
        <f>($B$1+Table4[[#This Row],[Home Differential]])-Table4[[#This Row],[Away Differential]]</f>
        <v>0.185521214424961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0.52209546175721222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-7.0657671368725999E-2</v>
      </c>
      <c r="H667" t="s">
        <v>31</v>
      </c>
      <c r="I667">
        <f>VLOOKUP(Table4[[#This Row],[Visitor]],'NHL Model'!$A$6:$B$38,2,FALSE)</f>
        <v>0.50495447305652519</v>
      </c>
      <c r="J667">
        <f>($B$1+Table4[[#This Row],[Home Differential]])-Table4[[#This Row],[Away Differential]]</f>
        <v>-0.3678010318441044</v>
      </c>
      <c r="K667" t="str">
        <f>IF(Table4[[#This Row],[HomeIce Differential]]&gt;0,Table4[[#This Row],[Home]],Table4[[#This Row],[Visitor]])</f>
        <v>Anaheim Ducks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0.53366827177824006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-0.73027559042992929</v>
      </c>
      <c r="H668" t="s">
        <v>38</v>
      </c>
      <c r="I668">
        <f>VLOOKUP(Table4[[#This Row],[Visitor]],'NHL Model'!$A$6:$B$38,2,FALSE)</f>
        <v>-0.87485041382128448</v>
      </c>
      <c r="J668">
        <f>($B$1+Table4[[#This Row],[Home Differential]])-Table4[[#This Row],[Away Differential]]</f>
        <v>0.3523859359725019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0.5724210928657868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0.67827132507054233</v>
      </c>
      <c r="H669" t="s">
        <v>39</v>
      </c>
      <c r="I669">
        <f>VLOOKUP(Table4[[#This Row],[Visitor]],'NHL Model'!$A$6:$B$38,2,FALSE)</f>
        <v>5.4297665563734943E-2</v>
      </c>
      <c r="J669">
        <f>($B$1+Table4[[#This Row],[Home Differential]])-Table4[[#This Row],[Away Differential]]</f>
        <v>0.83178477208795421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0.619631575117495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-0.8965878665431638</v>
      </c>
      <c r="H670" t="s">
        <v>29</v>
      </c>
      <c r="I670">
        <f>VLOOKUP(Table4[[#This Row],[Visitor]],'NHL Model'!$A$6:$B$38,2,FALSE)</f>
        <v>-1.4469605932441605</v>
      </c>
      <c r="J670">
        <f>($B$1+Table4[[#This Row],[Home Differential]])-Table4[[#This Row],[Away Differential]]</f>
        <v>0.75818383928214339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0.6850827757889616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-6.1847876079686406E-2</v>
      </c>
      <c r="H671" t="s">
        <v>24</v>
      </c>
      <c r="I671">
        <f>VLOOKUP(Table4[[#This Row],[Visitor]],'NHL Model'!$A$6:$B$38,2,FALSE)</f>
        <v>0.29030528207371809</v>
      </c>
      <c r="J671">
        <f>($B$1+Table4[[#This Row],[Home Differential]])-Table4[[#This Row],[Away Differential]]</f>
        <v>-0.14434204557225772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0.52327258012497213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-0.59708196015665005</v>
      </c>
      <c r="H672" t="s">
        <v>31</v>
      </c>
      <c r="I672">
        <f>VLOOKUP(Table4[[#This Row],[Visitor]],'NHL Model'!$A$6:$B$38,2,FALSE)</f>
        <v>0.50495447305652519</v>
      </c>
      <c r="J672">
        <f>($B$1+Table4[[#This Row],[Home Differential]])-Table4[[#This Row],[Away Differential]]</f>
        <v>-0.89422532063202853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0.60687296635633847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-0.53589042422266964</v>
      </c>
      <c r="H673" t="s">
        <v>21</v>
      </c>
      <c r="I673">
        <f>VLOOKUP(Table4[[#This Row],[Visitor]],'NHL Model'!$A$6:$B$38,2,FALSE)</f>
        <v>-5.2681296301607013E-2</v>
      </c>
      <c r="J673">
        <f>($B$1+Table4[[#This Row],[Home Differential]])-Table4[[#This Row],[Away Differential]]</f>
        <v>-0.27539801533991587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0.47357142683932019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-0.41822017589574972</v>
      </c>
      <c r="H674" t="s">
        <v>28</v>
      </c>
      <c r="I674">
        <f>VLOOKUP(Table4[[#This Row],[Visitor]],'NHL Model'!$A$6:$B$38,2,FALSE)</f>
        <v>-0.57641196648435689</v>
      </c>
      <c r="J674">
        <f>($B$1+Table4[[#This Row],[Home Differential]])-Table4[[#This Row],[Away Differential]]</f>
        <v>0.36600290316975392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0.59264042487080271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4.5159124835038887E-2</v>
      </c>
      <c r="H675" t="s">
        <v>12</v>
      </c>
      <c r="I675">
        <f>VLOOKUP(Table4[[#This Row],[Visitor]],'NHL Model'!$A$6:$B$38,2,FALSE)</f>
        <v>1.4784730509534416</v>
      </c>
      <c r="J675">
        <f>($B$1+Table4[[#This Row],[Home Differential]])-Table4[[#This Row],[Away Differential]]</f>
        <v>-1.2255028135372559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0.7025739235657098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-0.72519112941434305</v>
      </c>
      <c r="H676" t="s">
        <v>11</v>
      </c>
      <c r="I676">
        <f>VLOOKUP(Table4[[#This Row],[Visitor]],'NHL Model'!$A$6:$B$38,2,FALSE)</f>
        <v>-0.1981495100594213</v>
      </c>
      <c r="J676">
        <f>($B$1+Table4[[#This Row],[Home Differential]])-Table4[[#This Row],[Away Differential]]</f>
        <v>-0.31923050677377507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0.49189675713516628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0.13227623341979275</v>
      </c>
      <c r="H677" t="s">
        <v>20</v>
      </c>
      <c r="I677">
        <f>VLOOKUP(Table4[[#This Row],[Visitor]],'NHL Model'!$A$6:$B$38,2,FALSE)</f>
        <v>-5.4617353012467046E-4</v>
      </c>
      <c r="J677">
        <f>($B$1+Table4[[#This Row],[Home Differential]])-Table4[[#This Row],[Away Differential]]</f>
        <v>0.34063351953106413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0.62042024072425339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0.27981279116457602</v>
      </c>
      <c r="H678" t="s">
        <v>35</v>
      </c>
      <c r="I678">
        <f>VLOOKUP(Table4[[#This Row],[Visitor]],'NHL Model'!$A$6:$B$38,2,FALSE)</f>
        <v>-1.7055605761743866</v>
      </c>
      <c r="J678">
        <f>($B$1+Table4[[#This Row],[Home Differential]])-Table4[[#This Row],[Away Differential]]</f>
        <v>2.1931844799201095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0.86248105317525525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-0.15545019701583887</v>
      </c>
      <c r="H679" t="s">
        <v>33</v>
      </c>
      <c r="I679">
        <f>VLOOKUP(Table4[[#This Row],[Visitor]],'NHL Model'!$A$6:$B$38,2,FALSE)</f>
        <v>-0.41822017589574972</v>
      </c>
      <c r="J679">
        <f>($B$1+Table4[[#This Row],[Home Differential]])-Table4[[#This Row],[Away Differential]]</f>
        <v>0.47058109146105764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0.60768139918056041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-0.67174708781561598</v>
      </c>
      <c r="H680" t="s">
        <v>16</v>
      </c>
      <c r="I680">
        <f>VLOOKUP(Table4[[#This Row],[Visitor]],'NHL Model'!$A$6:$B$38,2,FALSE)</f>
        <v>-1.5116691651852812</v>
      </c>
      <c r="J680">
        <f>($B$1+Table4[[#This Row],[Home Differential]])-Table4[[#This Row],[Away Differential]]</f>
        <v>1.047733189950812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0.69069039013789413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-0.21513148032837168</v>
      </c>
      <c r="H681" t="s">
        <v>36</v>
      </c>
      <c r="I681">
        <f>VLOOKUP(Table4[[#This Row],[Visitor]],'NHL Model'!$A$6:$B$38,2,FALSE)</f>
        <v>-0.47846056309234386</v>
      </c>
      <c r="J681">
        <f>($B$1+Table4[[#This Row],[Home Differential]])-Table4[[#This Row],[Away Differential]]</f>
        <v>0.47114019534511897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0.67603431846697593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-7.0657671368725999E-2</v>
      </c>
      <c r="H682" t="s">
        <v>39</v>
      </c>
      <c r="I682">
        <f>VLOOKUP(Table4[[#This Row],[Visitor]],'NHL Model'!$A$6:$B$38,2,FALSE)</f>
        <v>5.4297665563734943E-2</v>
      </c>
      <c r="J682">
        <f>($B$1+Table4[[#This Row],[Home Differential]])-Table4[[#This Row],[Away Differential]]</f>
        <v>8.285577564868582E-2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0.45943055706402225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-5.2681296301607013E-2</v>
      </c>
      <c r="H683" t="s">
        <v>16</v>
      </c>
      <c r="I683">
        <f>VLOOKUP(Table4[[#This Row],[Visitor]],'NHL Model'!$A$6:$B$38,2,FALSE)</f>
        <v>-1.5116691651852812</v>
      </c>
      <c r="J683">
        <f>($B$1+Table4[[#This Row],[Home Differential]])-Table4[[#This Row],[Away Differential]]</f>
        <v>1.666798981464821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0.83144360089021463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0.67827132507054233</v>
      </c>
      <c r="H684" t="s">
        <v>31</v>
      </c>
      <c r="I684">
        <f>VLOOKUP(Table4[[#This Row],[Visitor]],'NHL Model'!$A$6:$B$38,2,FALSE)</f>
        <v>0.50495447305652519</v>
      </c>
      <c r="J684">
        <f>($B$1+Table4[[#This Row],[Home Differential]])-Table4[[#This Row],[Away Differential]]</f>
        <v>0.38112796459516396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0.62624436062773114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1.4784730509534416</v>
      </c>
      <c r="H685" t="s">
        <v>36</v>
      </c>
      <c r="I685">
        <f>VLOOKUP(Table4[[#This Row],[Visitor]],'NHL Model'!$A$6:$B$38,2,FALSE)</f>
        <v>-0.47846056309234386</v>
      </c>
      <c r="J685">
        <f>($B$1+Table4[[#This Row],[Home Differential]])-Table4[[#This Row],[Away Differential]]</f>
        <v>2.1647447266269322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0.93971099709958317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-0.4561706649361581</v>
      </c>
      <c r="H686" t="s">
        <v>38</v>
      </c>
      <c r="I686">
        <f>VLOOKUP(Table4[[#This Row],[Visitor]],'NHL Model'!$A$6:$B$38,2,FALSE)</f>
        <v>-0.87485041382128448</v>
      </c>
      <c r="J686">
        <f>($B$1+Table4[[#This Row],[Home Differential]])-Table4[[#This Row],[Away Differential]]</f>
        <v>0.6264908614662732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0.65010514626973903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-0.67174708781561598</v>
      </c>
      <c r="H687" t="s">
        <v>11</v>
      </c>
      <c r="I687">
        <f>VLOOKUP(Table4[[#This Row],[Visitor]],'NHL Model'!$A$6:$B$38,2,FALSE)</f>
        <v>-0.1981495100594213</v>
      </c>
      <c r="J687">
        <f>($B$1+Table4[[#This Row],[Home Differential]])-Table4[[#This Row],[Away Differential]]</f>
        <v>-0.26578646517504789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0.4982267799805789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-1.4469605932441605</v>
      </c>
      <c r="H688" t="s">
        <v>30</v>
      </c>
      <c r="I688">
        <f>VLOOKUP(Table4[[#This Row],[Visitor]],'NHL Model'!$A$6:$B$38,2,FALSE)</f>
        <v>-6.1847876079686406E-2</v>
      </c>
      <c r="J688">
        <f>($B$1+Table4[[#This Row],[Home Differential]])-Table4[[#This Row],[Away Differential]]</f>
        <v>-1.1773016045833273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0.68861342149297333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-0.39108791057695064</v>
      </c>
      <c r="H689" t="s">
        <v>23</v>
      </c>
      <c r="I689">
        <f>VLOOKUP(Table4[[#This Row],[Visitor]],'NHL Model'!$A$6:$B$38,2,FALSE)</f>
        <v>-0.73027559042992929</v>
      </c>
      <c r="J689">
        <f>($B$1+Table4[[#This Row],[Home Differential]])-Table4[[#This Row],[Away Differential]]</f>
        <v>0.54699879243412541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0.6186721869913514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-0.59708196015665005</v>
      </c>
      <c r="H690" t="s">
        <v>19</v>
      </c>
      <c r="I690">
        <f>VLOOKUP(Table4[[#This Row],[Visitor]],'NHL Model'!$A$6:$B$38,2,FALSE)</f>
        <v>-0.72519112941434305</v>
      </c>
      <c r="J690">
        <f>($B$1+Table4[[#This Row],[Home Differential]])-Table4[[#This Row],[Away Differential]]</f>
        <v>0.33592028183883976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0.5908092663507627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0.19552804934912488</v>
      </c>
      <c r="H691" t="s">
        <v>24</v>
      </c>
      <c r="I691">
        <f>VLOOKUP(Table4[[#This Row],[Visitor]],'NHL Model'!$A$6:$B$38,2,FALSE)</f>
        <v>0.29030528207371809</v>
      </c>
      <c r="J691">
        <f>($B$1+Table4[[#This Row],[Home Differential]])-Table4[[#This Row],[Away Differential]]</f>
        <v>0.11303387985655355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0.55023769799770983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-0.53589042422266964</v>
      </c>
      <c r="H692" t="s">
        <v>34</v>
      </c>
      <c r="I692">
        <f>VLOOKUP(Table4[[#This Row],[Visitor]],'NHL Model'!$A$6:$B$38,2,FALSE)</f>
        <v>-0.62096640812916071</v>
      </c>
      <c r="J692">
        <f>($B$1+Table4[[#This Row],[Home Differential]])-Table4[[#This Row],[Away Differential]]</f>
        <v>0.29288709648763783</v>
      </c>
      <c r="K692" t="str">
        <f>IF(Table4[[#This Row],[HomeIce Differential]]&gt;0,Table4[[#This Row],[Home]],Table4[[#This Row],[Visitor]])</f>
        <v>Seattle Kraken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0.60816226837259835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-5.4617353012467046E-4</v>
      </c>
      <c r="H693" t="s">
        <v>28</v>
      </c>
      <c r="I693">
        <f>VLOOKUP(Table4[[#This Row],[Visitor]],'NHL Model'!$A$6:$B$38,2,FALSE)</f>
        <v>-0.57641196648435689</v>
      </c>
      <c r="J693">
        <f>($B$1+Table4[[#This Row],[Home Differential]])-Table4[[#This Row],[Away Differential]]</f>
        <v>0.78367690553537894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0.65271245367604325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0.13227623341979275</v>
      </c>
      <c r="H694" t="s">
        <v>17</v>
      </c>
      <c r="I694">
        <f>VLOOKUP(Table4[[#This Row],[Visitor]],'NHL Model'!$A$6:$B$38,2,FALSE)</f>
        <v>-0.8965878665431638</v>
      </c>
      <c r="J694">
        <f>($B$1+Table4[[#This Row],[Home Differential]])-Table4[[#This Row],[Away Differential]]</f>
        <v>1.2366752125441032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0.76958098246033813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0.27981279116457602</v>
      </c>
      <c r="H695" t="s">
        <v>22</v>
      </c>
      <c r="I695">
        <f>VLOOKUP(Table4[[#This Row],[Visitor]],'NHL Model'!$A$6:$B$38,2,FALSE)</f>
        <v>-7.0657671368725999E-2</v>
      </c>
      <c r="J695">
        <f>($B$1+Table4[[#This Row],[Home Differential]])-Table4[[#This Row],[Away Differential]]</f>
        <v>0.55828157511444876</v>
      </c>
      <c r="K695" t="str">
        <f>IF(Table4[[#This Row],[HomeIce Differential]]&gt;0,Table4[[#This Row],[Home]],Table4[[#This Row],[Visitor]])</f>
        <v>Chicago Blackhawks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0.62734088683738487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-0.21513148032837168</v>
      </c>
      <c r="H696" t="s">
        <v>35</v>
      </c>
      <c r="I696">
        <f>VLOOKUP(Table4[[#This Row],[Visitor]],'NHL Model'!$A$6:$B$38,2,FALSE)</f>
        <v>-1.7055605761743866</v>
      </c>
      <c r="J696">
        <f>($B$1+Table4[[#This Row],[Home Differential]])-Table4[[#This Row],[Away Differential]]</f>
        <v>1.6982402084271617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0.85252217003367969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0.13227623341979275</v>
      </c>
      <c r="H697" t="s">
        <v>13</v>
      </c>
      <c r="I697">
        <f>VLOOKUP(Table4[[#This Row],[Visitor]],'NHL Model'!$A$6:$B$38,2,FALSE)</f>
        <v>-0.15545019701583887</v>
      </c>
      <c r="J697">
        <f>($B$1+Table4[[#This Row],[Home Differential]])-Table4[[#This Row],[Away Differential]]</f>
        <v>0.49553754301677833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0.56183680247002477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-5.2681296301607013E-2</v>
      </c>
      <c r="H698" t="s">
        <v>15</v>
      </c>
      <c r="I698">
        <f>VLOOKUP(Table4[[#This Row],[Visitor]],'NHL Model'!$A$6:$B$38,2,FALSE)</f>
        <v>-0.39108791057695064</v>
      </c>
      <c r="J698">
        <f>($B$1+Table4[[#This Row],[Home Differential]])-Table4[[#This Row],[Away Differential]]</f>
        <v>0.54621772685649039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0.54914808540643723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-0.73027559042992929</v>
      </c>
      <c r="H699" t="s">
        <v>31</v>
      </c>
      <c r="I699">
        <f>VLOOKUP(Table4[[#This Row],[Visitor]],'NHL Model'!$A$6:$B$38,2,FALSE)</f>
        <v>0.50495447305652519</v>
      </c>
      <c r="J699">
        <f>($B$1+Table4[[#This Row],[Home Differential]])-Table4[[#This Row],[Away Differential]]</f>
        <v>-1.0274189509053078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0.62602956109082919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0.67827132507054233</v>
      </c>
      <c r="H700" t="s">
        <v>32</v>
      </c>
      <c r="I700">
        <f>VLOOKUP(Table4[[#This Row],[Visitor]],'NHL Model'!$A$6:$B$38,2,FALSE)</f>
        <v>-0.53589042422266964</v>
      </c>
      <c r="J700">
        <f>($B$1+Table4[[#This Row],[Home Differential]])-Table4[[#This Row],[Away Differential]]</f>
        <v>1.4219728618743588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0.79623144589609296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1.4784730509534416</v>
      </c>
      <c r="H701" t="s">
        <v>28</v>
      </c>
      <c r="I701">
        <f>VLOOKUP(Table4[[#This Row],[Visitor]],'NHL Model'!$A$6:$B$38,2,FALSE)</f>
        <v>-0.57641196648435689</v>
      </c>
      <c r="J701">
        <f>($B$1+Table4[[#This Row],[Home Differential]])-Table4[[#This Row],[Away Differential]]</f>
        <v>2.2626961300189454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0.95379887303333077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-0.8965878665431638</v>
      </c>
      <c r="H702" t="s">
        <v>13</v>
      </c>
      <c r="I702">
        <f>VLOOKUP(Table4[[#This Row],[Visitor]],'NHL Model'!$A$6:$B$38,2,FALSE)</f>
        <v>-0.15545019701583887</v>
      </c>
      <c r="J702">
        <f>($B$1+Table4[[#This Row],[Home Differential]])-Table4[[#This Row],[Away Differential]]</f>
        <v>-0.53332655694617825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0.60225322083646227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-0.62096640812916071</v>
      </c>
      <c r="H703" t="s">
        <v>30</v>
      </c>
      <c r="I703">
        <f>VLOOKUP(Table4[[#This Row],[Visitor]],'NHL Model'!$A$6:$B$38,2,FALSE)</f>
        <v>-6.1847876079686406E-2</v>
      </c>
      <c r="J703">
        <f>($B$1+Table4[[#This Row],[Home Differential]])-Table4[[#This Row],[Away Differential]]</f>
        <v>-0.35130741946832755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0.5698146784537701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-0.67174708781561598</v>
      </c>
      <c r="H704" t="s">
        <v>26</v>
      </c>
      <c r="I704">
        <f>VLOOKUP(Table4[[#This Row],[Visitor]],'NHL Model'!$A$6:$B$38,2,FALSE)</f>
        <v>-0.4561706649361581</v>
      </c>
      <c r="J704">
        <f>($B$1+Table4[[#This Row],[Home Differential]])-Table4[[#This Row],[Away Differential]]</f>
        <v>-7.7653102983111233E-3</v>
      </c>
      <c r="K704" t="str">
        <f>IF(Table4[[#This Row],[HomeIce Differential]]&gt;0,Table4[[#This Row],[Home]],Table4[[#This Row],[Visitor]])</f>
        <v>Detroit Red Wings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0.50821623845056729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-1.4469605932441605</v>
      </c>
      <c r="H705" t="s">
        <v>10</v>
      </c>
      <c r="I705">
        <f>VLOOKUP(Table4[[#This Row],[Visitor]],'NHL Model'!$A$6:$B$38,2,FALSE)</f>
        <v>0.27981279116457602</v>
      </c>
      <c r="J705">
        <f>($B$1+Table4[[#This Row],[Home Differential]])-Table4[[#This Row],[Away Differential]]</f>
        <v>-1.5189622718275897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0.69923421741071268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-0.47846056309234386</v>
      </c>
      <c r="H706" t="s">
        <v>11</v>
      </c>
      <c r="I706">
        <f>VLOOKUP(Table4[[#This Row],[Visitor]],'NHL Model'!$A$6:$B$38,2,FALSE)</f>
        <v>-0.1981495100594213</v>
      </c>
      <c r="J706">
        <f>($B$1+Table4[[#This Row],[Home Differential]])-Table4[[#This Row],[Away Differential]]</f>
        <v>-7.2499940451775796E-2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0.46793183608588684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-0.59708196015665005</v>
      </c>
      <c r="H707" t="s">
        <v>37</v>
      </c>
      <c r="I707">
        <f>VLOOKUP(Table4[[#This Row],[Visitor]],'NHL Model'!$A$6:$B$38,2,FALSE)</f>
        <v>4.5159124835038887E-2</v>
      </c>
      <c r="J707">
        <f>($B$1+Table4[[#This Row],[Home Differential]])-Table4[[#This Row],[Away Differential]]</f>
        <v>-0.43442997241054215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0.56706911478452959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0.19552804934912488</v>
      </c>
      <c r="H708" t="s">
        <v>16</v>
      </c>
      <c r="I708">
        <f>VLOOKUP(Table4[[#This Row],[Visitor]],'NHL Model'!$A$6:$B$38,2,FALSE)</f>
        <v>-1.5116691651852812</v>
      </c>
      <c r="J708">
        <f>($B$1+Table4[[#This Row],[Home Differential]])-Table4[[#This Row],[Away Differential]]</f>
        <v>1.9150083271155527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0.85146323893041265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-0.41822017589574972</v>
      </c>
      <c r="H709" t="s">
        <v>39</v>
      </c>
      <c r="I709">
        <f>VLOOKUP(Table4[[#This Row],[Visitor]],'NHL Model'!$A$6:$B$38,2,FALSE)</f>
        <v>5.4297665563734943E-2</v>
      </c>
      <c r="J709">
        <f>($B$1+Table4[[#This Row],[Home Differential]])-Table4[[#This Row],[Away Differential]]</f>
        <v>-0.2647067288783379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0.59055767458390307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-0.72519112941434305</v>
      </c>
      <c r="H710" t="s">
        <v>38</v>
      </c>
      <c r="I710">
        <f>VLOOKUP(Table4[[#This Row],[Visitor]],'NHL Model'!$A$6:$B$38,2,FALSE)</f>
        <v>-0.87485041382128448</v>
      </c>
      <c r="J710">
        <f>($B$1+Table4[[#This Row],[Home Differential]])-Table4[[#This Row],[Away Differential]]</f>
        <v>0.35747039698808813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0.58474656916621914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-5.4617353012467046E-4</v>
      </c>
      <c r="H711" t="s">
        <v>35</v>
      </c>
      <c r="I711">
        <f>VLOOKUP(Table4[[#This Row],[Visitor]],'NHL Model'!$A$6:$B$38,2,FALSE)</f>
        <v>-1.7055605761743866</v>
      </c>
      <c r="J711">
        <f>($B$1+Table4[[#This Row],[Home Differential]])-Table4[[#This Row],[Away Differential]]</f>
        <v>1.9128255152254088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0.81511242930899941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-5.2681296301607013E-2</v>
      </c>
      <c r="H712" t="s">
        <v>14</v>
      </c>
      <c r="I712">
        <f>VLOOKUP(Table4[[#This Row],[Visitor]],'NHL Model'!$A$6:$B$38,2,FALSE)</f>
        <v>0.19552804934912488</v>
      </c>
      <c r="J712">
        <f>($B$1+Table4[[#This Row],[Home Differential]])-Table4[[#This Row],[Away Differential]]</f>
        <v>-4.0398233069585121E-2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0.41409430586693724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-1.4469605932441605</v>
      </c>
      <c r="H713" t="s">
        <v>22</v>
      </c>
      <c r="I713">
        <f>VLOOKUP(Table4[[#This Row],[Visitor]],'NHL Model'!$A$6:$B$38,2,FALSE)</f>
        <v>-7.0657671368725999E-2</v>
      </c>
      <c r="J713">
        <f>($B$1+Table4[[#This Row],[Home Differential]])-Table4[[#This Row],[Away Differential]]</f>
        <v>-1.1684918092942878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0.62805851747786712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-0.41822017589574972</v>
      </c>
      <c r="H714" t="s">
        <v>20</v>
      </c>
      <c r="I714">
        <f>VLOOKUP(Table4[[#This Row],[Visitor]],'NHL Model'!$A$6:$B$38,2,FALSE)</f>
        <v>-5.4617353012467046E-4</v>
      </c>
      <c r="J714">
        <f>($B$1+Table4[[#This Row],[Home Differential]])-Table4[[#This Row],[Away Differential]]</f>
        <v>-0.20986288978447828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0.51095279376065761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-0.21513148032837168</v>
      </c>
      <c r="H715" t="s">
        <v>28</v>
      </c>
      <c r="I715">
        <f>VLOOKUP(Table4[[#This Row],[Visitor]],'NHL Model'!$A$6:$B$38,2,FALSE)</f>
        <v>-0.57641196648435689</v>
      </c>
      <c r="J715">
        <f>($B$1+Table4[[#This Row],[Home Differential]])-Table4[[#This Row],[Away Differential]]</f>
        <v>0.569091598737132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0.69012219440072353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0.13227623341979275</v>
      </c>
      <c r="H716" t="s">
        <v>24</v>
      </c>
      <c r="I716">
        <f>VLOOKUP(Table4[[#This Row],[Visitor]],'NHL Model'!$A$6:$B$38,2,FALSE)</f>
        <v>0.29030528207371809</v>
      </c>
      <c r="J716">
        <f>($B$1+Table4[[#This Row],[Home Differential]])-Table4[[#This Row],[Away Differential]]</f>
        <v>4.9782063927221398E-2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0.55715991314106872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-0.73027559042992929</v>
      </c>
      <c r="H717" t="s">
        <v>11</v>
      </c>
      <c r="I717">
        <f>VLOOKUP(Table4[[#This Row],[Visitor]],'NHL Model'!$A$6:$B$38,2,FALSE)</f>
        <v>-0.1981495100594213</v>
      </c>
      <c r="J717">
        <f>($B$1+Table4[[#This Row],[Home Differential]])-Table4[[#This Row],[Away Differential]]</f>
        <v>-0.32431496778936131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0.50414917183132291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0.27981279116457602</v>
      </c>
      <c r="H718" t="s">
        <v>17</v>
      </c>
      <c r="I718">
        <f>VLOOKUP(Table4[[#This Row],[Visitor]],'NHL Model'!$A$6:$B$38,2,FALSE)</f>
        <v>-0.8965878665431638</v>
      </c>
      <c r="J718">
        <f>($B$1+Table4[[#This Row],[Home Differential]])-Table4[[#This Row],[Away Differential]]</f>
        <v>1.3842117702888865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0.74613042651336492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1.4784730509534416</v>
      </c>
      <c r="H719" t="s">
        <v>19</v>
      </c>
      <c r="I719">
        <f>VLOOKUP(Table4[[#This Row],[Visitor]],'NHL Model'!$A$6:$B$38,2,FALSE)</f>
        <v>-0.72519112941434305</v>
      </c>
      <c r="J719">
        <f>($B$1+Table4[[#This Row],[Home Differential]])-Table4[[#This Row],[Away Differential]]</f>
        <v>2.4114752929489316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0.9751970594431375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-0.4561706649361581</v>
      </c>
      <c r="H720" t="s">
        <v>25</v>
      </c>
      <c r="I720">
        <f>VLOOKUP(Table4[[#This Row],[Visitor]],'NHL Model'!$A$6:$B$38,2,FALSE)</f>
        <v>0.67827132507054233</v>
      </c>
      <c r="J720">
        <f>($B$1+Table4[[#This Row],[Home Differential]])-Table4[[#This Row],[Away Differential]]</f>
        <v>-0.92663087742555361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0.6570823548817466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-0.15545019701583887</v>
      </c>
      <c r="H721" t="s">
        <v>39</v>
      </c>
      <c r="I721">
        <f>VLOOKUP(Table4[[#This Row],[Visitor]],'NHL Model'!$A$6:$B$38,2,FALSE)</f>
        <v>5.4297665563734943E-2</v>
      </c>
      <c r="J721">
        <f>($B$1+Table4[[#This Row],[Home Differential]])-Table4[[#This Row],[Away Differential]]</f>
        <v>-1.9367499984270509E-3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0.55276474121715635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-0.62096640812916071</v>
      </c>
      <c r="H722" t="s">
        <v>24</v>
      </c>
      <c r="I722">
        <f>VLOOKUP(Table4[[#This Row],[Visitor]],'NHL Model'!$A$6:$B$38,2,FALSE)</f>
        <v>0.29030528207371809</v>
      </c>
      <c r="J722">
        <f>($B$1+Table4[[#This Row],[Home Differential]])-Table4[[#This Row],[Away Differential]]</f>
        <v>-0.70346057762173198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0.60368789056466277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-0.67174708781561598</v>
      </c>
      <c r="H723" t="s">
        <v>38</v>
      </c>
      <c r="I723">
        <f>VLOOKUP(Table4[[#This Row],[Visitor]],'NHL Model'!$A$6:$B$38,2,FALSE)</f>
        <v>-0.87485041382128448</v>
      </c>
      <c r="J723">
        <f>($B$1+Table4[[#This Row],[Home Differential]])-Table4[[#This Row],[Away Differential]]</f>
        <v>0.41091443858681526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0.57833060271685743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-0.39108791057695064</v>
      </c>
      <c r="H724" t="s">
        <v>32</v>
      </c>
      <c r="I724">
        <f>VLOOKUP(Table4[[#This Row],[Visitor]],'NHL Model'!$A$6:$B$38,2,FALSE)</f>
        <v>-0.53589042422266964</v>
      </c>
      <c r="J724">
        <f>($B$1+Table4[[#This Row],[Home Differential]])-Table4[[#This Row],[Away Differential]]</f>
        <v>0.35261362622686576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0.59071471001749842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-0.59708196015665005</v>
      </c>
      <c r="H725" t="s">
        <v>37</v>
      </c>
      <c r="I725">
        <f>VLOOKUP(Table4[[#This Row],[Visitor]],'NHL Model'!$A$6:$B$38,2,FALSE)</f>
        <v>4.5159124835038887E-2</v>
      </c>
      <c r="J725">
        <f>($B$1+Table4[[#This Row],[Home Differential]])-Table4[[#This Row],[Away Differential]]</f>
        <v>-0.43442997241054215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0.56706911478452959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0.50495447305652519</v>
      </c>
      <c r="H726" t="s">
        <v>39</v>
      </c>
      <c r="I726">
        <f>VLOOKUP(Table4[[#This Row],[Visitor]],'NHL Model'!$A$6:$B$38,2,FALSE)</f>
        <v>5.4297665563734943E-2</v>
      </c>
      <c r="J726">
        <f>($B$1+Table4[[#This Row],[Home Differential]])-Table4[[#This Row],[Away Differential]]</f>
        <v>0.65846792007393706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0.65720425173214903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-5.2681296301607013E-2</v>
      </c>
      <c r="H727" t="s">
        <v>26</v>
      </c>
      <c r="I727">
        <f>VLOOKUP(Table4[[#This Row],[Visitor]],'NHL Model'!$A$6:$B$38,2,FALSE)</f>
        <v>-0.4561706649361581</v>
      </c>
      <c r="J727">
        <f>($B$1+Table4[[#This Row],[Home Differential]])-Table4[[#This Row],[Away Differential]]</f>
        <v>0.61130048121569791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0.63337493290566793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-0.57641196648435689</v>
      </c>
      <c r="H728" t="s">
        <v>16</v>
      </c>
      <c r="I728">
        <f>VLOOKUP(Table4[[#This Row],[Visitor]],'NHL Model'!$A$6:$B$38,2,FALSE)</f>
        <v>-1.5116691651852812</v>
      </c>
      <c r="J728">
        <f>($B$1+Table4[[#This Row],[Home Differential]])-Table4[[#This Row],[Away Differential]]</f>
        <v>1.143068311282071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0.71144793075445489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-1.4469605932441605</v>
      </c>
      <c r="H729" t="s">
        <v>17</v>
      </c>
      <c r="I729">
        <f>VLOOKUP(Table4[[#This Row],[Visitor]],'NHL Model'!$A$6:$B$38,2,FALSE)</f>
        <v>-0.8965878665431638</v>
      </c>
      <c r="J729">
        <f>($B$1+Table4[[#This Row],[Home Differential]])-Table4[[#This Row],[Away Differential]]</f>
        <v>-0.34256161411984987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0.50926897780188707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-0.47846056309234386</v>
      </c>
      <c r="H730" t="s">
        <v>38</v>
      </c>
      <c r="I730">
        <f>VLOOKUP(Table4[[#This Row],[Visitor]],'NHL Model'!$A$6:$B$38,2,FALSE)</f>
        <v>-0.87485041382128448</v>
      </c>
      <c r="J730">
        <f>($B$1+Table4[[#This Row],[Home Differential]])-Table4[[#This Row],[Away Differential]]</f>
        <v>0.60420096331008732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0.60863842861122286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0.19552804934912488</v>
      </c>
      <c r="H731" t="s">
        <v>37</v>
      </c>
      <c r="I731">
        <f>VLOOKUP(Table4[[#This Row],[Visitor]],'NHL Model'!$A$6:$B$38,2,FALSE)</f>
        <v>4.5159124835038887E-2</v>
      </c>
      <c r="J731">
        <f>($B$1+Table4[[#This Row],[Home Differential]])-Table4[[#This Row],[Away Differential]]</f>
        <v>0.35818003709523277</v>
      </c>
      <c r="K731" t="str">
        <f>IF(Table4[[#This Row],[HomeIce Differential]]&gt;0,Table4[[#This Row],[Home]],Table4[[#This Row],[Visitor]])</f>
        <v>Pittsburgh Penguins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0.58092706463832022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-1.7055605761743866</v>
      </c>
      <c r="H732" t="s">
        <v>25</v>
      </c>
      <c r="I732">
        <f>VLOOKUP(Table4[[#This Row],[Visitor]],'NHL Model'!$A$6:$B$38,2,FALSE)</f>
        <v>0.67827132507054233</v>
      </c>
      <c r="J732">
        <f>($B$1+Table4[[#This Row],[Home Differential]])-Table4[[#This Row],[Away Differential]]</f>
        <v>-2.1760207886637821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0.87748265976448336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-0.21513148032837168</v>
      </c>
      <c r="H733" t="s">
        <v>19</v>
      </c>
      <c r="I733">
        <f>VLOOKUP(Table4[[#This Row],[Visitor]],'NHL Model'!$A$6:$B$38,2,FALSE)</f>
        <v>-0.72519112941434305</v>
      </c>
      <c r="J733">
        <f>($B$1+Table4[[#This Row],[Home Differential]])-Table4[[#This Row],[Away Differential]]</f>
        <v>0.71787076166711816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0.71152038081053026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0.13227623341979275</v>
      </c>
      <c r="H734" t="s">
        <v>30</v>
      </c>
      <c r="I734">
        <f>VLOOKUP(Table4[[#This Row],[Visitor]],'NHL Model'!$A$6:$B$38,2,FALSE)</f>
        <v>-6.1847876079686406E-2</v>
      </c>
      <c r="J734">
        <f>($B$1+Table4[[#This Row],[Home Differential]])-Table4[[#This Row],[Away Differential]]</f>
        <v>0.40193522208062588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0.59114172959911748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-7.0657671368725999E-2</v>
      </c>
      <c r="H735" t="s">
        <v>18</v>
      </c>
      <c r="I735">
        <f>VLOOKUP(Table4[[#This Row],[Visitor]],'NHL Model'!$A$6:$B$38,2,FALSE)</f>
        <v>-0.67174708781561598</v>
      </c>
      <c r="J735">
        <f>($B$1+Table4[[#This Row],[Home Differential]])-Table4[[#This Row],[Away Differential]]</f>
        <v>0.80890052902803677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0.60924085379460213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-0.73027559042992929</v>
      </c>
      <c r="H736" t="s">
        <v>27</v>
      </c>
      <c r="I736">
        <f>VLOOKUP(Table4[[#This Row],[Visitor]],'NHL Model'!$A$6:$B$38,2,FALSE)</f>
        <v>-0.59708196015665005</v>
      </c>
      <c r="J736">
        <f>($B$1+Table4[[#This Row],[Home Differential]])-Table4[[#This Row],[Away Differential]]</f>
        <v>7.4617482307867466E-2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0.55322735028366299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-0.15545019701583887</v>
      </c>
      <c r="H737" t="s">
        <v>20</v>
      </c>
      <c r="I737">
        <f>VLOOKUP(Table4[[#This Row],[Visitor]],'NHL Model'!$A$6:$B$38,2,FALSE)</f>
        <v>-5.4617353012467046E-4</v>
      </c>
      <c r="J737">
        <f>($B$1+Table4[[#This Row],[Home Differential]])-Table4[[#This Row],[Away Differential]]</f>
        <v>5.2907089095432562E-2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0.52684013960608911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0.29030528207371809</v>
      </c>
      <c r="H738" t="s">
        <v>32</v>
      </c>
      <c r="I738">
        <f>VLOOKUP(Table4[[#This Row],[Visitor]],'NHL Model'!$A$6:$B$38,2,FALSE)</f>
        <v>-0.53589042422266964</v>
      </c>
      <c r="J738">
        <f>($B$1+Table4[[#This Row],[Home Differential]])-Table4[[#This Row],[Away Differential]]</f>
        <v>1.0340068188775344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0.80414690427897872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-0.39108791057695064</v>
      </c>
      <c r="H739" t="s">
        <v>36</v>
      </c>
      <c r="I739">
        <f>VLOOKUP(Table4[[#This Row],[Visitor]],'NHL Model'!$A$6:$B$38,2,FALSE)</f>
        <v>-0.47846056309234386</v>
      </c>
      <c r="J739">
        <f>($B$1+Table4[[#This Row],[Home Differential]])-Table4[[#This Row],[Away Differential]]</f>
        <v>0.29518376509653999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0.58245485124591534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-5.2681296301607013E-2</v>
      </c>
      <c r="H740" t="s">
        <v>32</v>
      </c>
      <c r="I740">
        <f>VLOOKUP(Table4[[#This Row],[Visitor]],'NHL Model'!$A$6:$B$38,2,FALSE)</f>
        <v>-0.53589042422266964</v>
      </c>
      <c r="J740">
        <f>($B$1+Table4[[#This Row],[Home Differential]])-Table4[[#This Row],[Away Differential]]</f>
        <v>0.69102024050220945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0.69110207064736506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-0.73027559042992929</v>
      </c>
      <c r="H741" t="s">
        <v>18</v>
      </c>
      <c r="I741">
        <f>VLOOKUP(Table4[[#This Row],[Visitor]],'NHL Model'!$A$6:$B$38,2,FALSE)</f>
        <v>-0.67174708781561598</v>
      </c>
      <c r="J741">
        <f>($B$1+Table4[[#This Row],[Home Differential]])-Table4[[#This Row],[Away Differential]]</f>
        <v>0.1492826099668334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0.51688343879542709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-0.57641196648435689</v>
      </c>
      <c r="H742" t="s">
        <v>38</v>
      </c>
      <c r="I742">
        <f>VLOOKUP(Table4[[#This Row],[Visitor]],'NHL Model'!$A$6:$B$38,2,FALSE)</f>
        <v>-0.87485041382128448</v>
      </c>
      <c r="J742">
        <f>($B$1+Table4[[#This Row],[Home Differential]])-Table4[[#This Row],[Away Differential]]</f>
        <v>0.5062495599180743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0.59912721171637684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0.27981279116457602</v>
      </c>
      <c r="H743" t="s">
        <v>16</v>
      </c>
      <c r="I743">
        <f>VLOOKUP(Table4[[#This Row],[Visitor]],'NHL Model'!$A$6:$B$38,2,FALSE)</f>
        <v>-1.5116691651852812</v>
      </c>
      <c r="J743">
        <f>($B$1+Table4[[#This Row],[Home Differential]])-Table4[[#This Row],[Away Differential]]</f>
        <v>1.999293068931004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0.83459459062298391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-0.8965878665431638</v>
      </c>
      <c r="H744" t="s">
        <v>30</v>
      </c>
      <c r="I744">
        <f>VLOOKUP(Table4[[#This Row],[Visitor]],'NHL Model'!$A$6:$B$38,2,FALSE)</f>
        <v>-6.1847876079686406E-2</v>
      </c>
      <c r="J744">
        <f>($B$1+Table4[[#This Row],[Home Differential]])-Table4[[#This Row],[Away Differential]]</f>
        <v>-0.62692887788233065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0.57292676473903448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-0.62096640812916071</v>
      </c>
      <c r="H745" t="s">
        <v>40</v>
      </c>
      <c r="I745">
        <f>VLOOKUP(Table4[[#This Row],[Visitor]],'NHL Model'!$A$6:$B$38,2,FALSE)</f>
        <v>0.13227623341979275</v>
      </c>
      <c r="J745">
        <f>($B$1+Table4[[#This Row],[Home Differential]])-Table4[[#This Row],[Away Differential]]</f>
        <v>-0.54543152896780667</v>
      </c>
      <c r="K745" t="str">
        <f>IF(Table4[[#This Row],[HomeIce Differential]]&gt;0,Table4[[#This Row],[Home]],Table4[[#This Row],[Visitor]])</f>
        <v>Winnipeg Jets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0.60476256455153155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0.19552804934912488</v>
      </c>
      <c r="H746" t="s">
        <v>27</v>
      </c>
      <c r="I746">
        <f>VLOOKUP(Table4[[#This Row],[Visitor]],'NHL Model'!$A$6:$B$38,2,FALSE)</f>
        <v>-0.59708196015665005</v>
      </c>
      <c r="J746">
        <f>($B$1+Table4[[#This Row],[Home Differential]])-Table4[[#This Row],[Away Differential]]</f>
        <v>1.0004211220869217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0.71992259092692545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-0.21513148032837168</v>
      </c>
      <c r="H747" t="s">
        <v>39</v>
      </c>
      <c r="I747">
        <f>VLOOKUP(Table4[[#This Row],[Visitor]],'NHL Model'!$A$6:$B$38,2,FALSE)</f>
        <v>5.4297665563734943E-2</v>
      </c>
      <c r="J747">
        <f>($B$1+Table4[[#This Row],[Home Differential]])-Table4[[#This Row],[Away Differential]]</f>
        <v>-6.1618033310959858E-2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0.49162084398105838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-5.4617353012467046E-4</v>
      </c>
      <c r="H748" t="s">
        <v>19</v>
      </c>
      <c r="I748">
        <f>VLOOKUP(Table4[[#This Row],[Visitor]],'NHL Model'!$A$6:$B$38,2,FALSE)</f>
        <v>-0.72519112941434305</v>
      </c>
      <c r="J748">
        <f>($B$1+Table4[[#This Row],[Home Differential]])-Table4[[#This Row],[Away Differential]]</f>
        <v>0.93245606846536511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0.67411064008584998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-7.0657671368725999E-2</v>
      </c>
      <c r="H749" t="s">
        <v>33</v>
      </c>
      <c r="I749">
        <f>VLOOKUP(Table4[[#This Row],[Visitor]],'NHL Model'!$A$6:$B$38,2,FALSE)</f>
        <v>-0.41822017589574972</v>
      </c>
      <c r="J749">
        <f>($B$1+Table4[[#This Row],[Home Differential]])-Table4[[#This Row],[Away Differential]]</f>
        <v>0.55537361710817046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0.6198766974617389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0.67827132507054233</v>
      </c>
      <c r="H750" t="s">
        <v>11</v>
      </c>
      <c r="I750">
        <f>VLOOKUP(Table4[[#This Row],[Visitor]],'NHL Model'!$A$6:$B$38,2,FALSE)</f>
        <v>-0.1981495100594213</v>
      </c>
      <c r="J750">
        <f>($B$1+Table4[[#This Row],[Home Differential]])-Table4[[#This Row],[Away Differential]]</f>
        <v>1.0842319477111104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0.74765580602046944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1.4784730509534416</v>
      </c>
      <c r="H751" t="s">
        <v>29</v>
      </c>
      <c r="I751">
        <f>VLOOKUP(Table4[[#This Row],[Visitor]],'NHL Model'!$A$6:$B$38,2,FALSE)</f>
        <v>-1.4469605932441605</v>
      </c>
      <c r="J751">
        <f>($B$1+Table4[[#This Row],[Home Differential]])-Table4[[#This Row],[Away Differential]]</f>
        <v>3.1332447567787489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-0.4561706649361581</v>
      </c>
      <c r="H752" t="s">
        <v>33</v>
      </c>
      <c r="I752">
        <f>VLOOKUP(Table4[[#This Row],[Visitor]],'NHL Model'!$A$6:$B$38,2,FALSE)</f>
        <v>-0.41822017589574972</v>
      </c>
      <c r="J752">
        <f>($B$1+Table4[[#This Row],[Home Differential]])-Table4[[#This Row],[Away Differential]]</f>
        <v>0.16986062354073839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0.60486140822997392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-0.15545019701583887</v>
      </c>
      <c r="H753" t="s">
        <v>31</v>
      </c>
      <c r="I753">
        <f>VLOOKUP(Table4[[#This Row],[Visitor]],'NHL Model'!$A$6:$B$38,2,FALSE)</f>
        <v>0.50495447305652519</v>
      </c>
      <c r="J753">
        <f>($B$1+Table4[[#This Row],[Home Differential]])-Table4[[#This Row],[Away Differential]]</f>
        <v>-0.45259355749121732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0.54586357005941855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-1.7055605761743866</v>
      </c>
      <c r="H754" t="s">
        <v>37</v>
      </c>
      <c r="I754">
        <f>VLOOKUP(Table4[[#This Row],[Visitor]],'NHL Model'!$A$6:$B$38,2,FALSE)</f>
        <v>4.5159124835038887E-2</v>
      </c>
      <c r="J754">
        <f>($B$1+Table4[[#This Row],[Home Differential]])-Table4[[#This Row],[Away Differential]]</f>
        <v>-1.5429085884282787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0.72900846085771553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0.50495447305652519</v>
      </c>
      <c r="H755" t="s">
        <v>13</v>
      </c>
      <c r="I755">
        <f>VLOOKUP(Table4[[#This Row],[Visitor]],'NHL Model'!$A$6:$B$38,2,FALSE)</f>
        <v>-0.15545019701583887</v>
      </c>
      <c r="J755">
        <f>($B$1+Table4[[#This Row],[Home Differential]])-Table4[[#This Row],[Away Differential]]</f>
        <v>0.86821578265351085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0.6780627602795174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-0.73027559042992929</v>
      </c>
      <c r="H756" t="s">
        <v>34</v>
      </c>
      <c r="I756">
        <f>VLOOKUP(Table4[[#This Row],[Visitor]],'NHL Model'!$A$6:$B$38,2,FALSE)</f>
        <v>-0.62096640812916071</v>
      </c>
      <c r="J756">
        <f>($B$1+Table4[[#This Row],[Home Differential]])-Table4[[#This Row],[Away Differential]]</f>
        <v>9.8501930280378125E-2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0.55666253475402871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-1.5116691651852812</v>
      </c>
      <c r="H757" t="s">
        <v>30</v>
      </c>
      <c r="I757">
        <f>VLOOKUP(Table4[[#This Row],[Visitor]],'NHL Model'!$A$6:$B$38,2,FALSE)</f>
        <v>-6.1847876079686406E-2</v>
      </c>
      <c r="J757">
        <f>($B$1+Table4[[#This Row],[Home Differential]])-Table4[[#This Row],[Away Differential]]</f>
        <v>-1.242010176524448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0.69792014198689145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0.27981279116457602</v>
      </c>
      <c r="H758" t="s">
        <v>21</v>
      </c>
      <c r="I758">
        <f>VLOOKUP(Table4[[#This Row],[Visitor]],'NHL Model'!$A$6:$B$38,2,FALSE)</f>
        <v>-5.2681296301607013E-2</v>
      </c>
      <c r="J758">
        <f>($B$1+Table4[[#This Row],[Home Differential]])-Table4[[#This Row],[Away Differential]]</f>
        <v>0.54030520004732985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0.62475543187794391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0.29030528207371809</v>
      </c>
      <c r="H759" t="s">
        <v>25</v>
      </c>
      <c r="I759">
        <f>VLOOKUP(Table4[[#This Row],[Visitor]],'NHL Model'!$A$6:$B$38,2,FALSE)</f>
        <v>0.67827132507054233</v>
      </c>
      <c r="J759">
        <f>($B$1+Table4[[#This Row],[Home Differential]])-Table4[[#This Row],[Away Differential]]</f>
        <v>-0.18015493041567748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0.47035525552687096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-0.47846056309234386</v>
      </c>
      <c r="H760" t="s">
        <v>18</v>
      </c>
      <c r="I760">
        <f>VLOOKUP(Table4[[#This Row],[Visitor]],'NHL Model'!$A$6:$B$38,2,FALSE)</f>
        <v>-0.67174708781561598</v>
      </c>
      <c r="J760">
        <f>($B$1+Table4[[#This Row],[Home Differential]])-Table4[[#This Row],[Away Differential]]</f>
        <v>0.40109763730441889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0.55310077454086304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-0.59708196015665005</v>
      </c>
      <c r="H761" t="s">
        <v>15</v>
      </c>
      <c r="I761">
        <f>VLOOKUP(Table4[[#This Row],[Visitor]],'NHL Model'!$A$6:$B$38,2,FALSE)</f>
        <v>-0.39108791057695064</v>
      </c>
      <c r="J761">
        <f>($B$1+Table4[[#This Row],[Home Differential]])-Table4[[#This Row],[Away Differential]]</f>
        <v>1.8170630014473499E-3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0.42131397094971412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0.19552804934912488</v>
      </c>
      <c r="H762" t="s">
        <v>28</v>
      </c>
      <c r="I762">
        <f>VLOOKUP(Table4[[#This Row],[Visitor]],'NHL Model'!$A$6:$B$38,2,FALSE)</f>
        <v>-0.57641196648435689</v>
      </c>
      <c r="J762">
        <f>($B$1+Table4[[#This Row],[Home Differential]])-Table4[[#This Row],[Away Differential]]</f>
        <v>0.97975112841462852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0.71694972584972783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-0.21513148032837168</v>
      </c>
      <c r="H763" t="s">
        <v>32</v>
      </c>
      <c r="I763">
        <f>VLOOKUP(Table4[[#This Row],[Visitor]],'NHL Model'!$A$6:$B$38,2,FALSE)</f>
        <v>-0.53589042422266964</v>
      </c>
      <c r="J763">
        <f>($B$1+Table4[[#This Row],[Home Differential]])-Table4[[#This Row],[Away Differential]]</f>
        <v>0.52857005647544475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0.6842941772385589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-0.87485041382128448</v>
      </c>
      <c r="H764" t="s">
        <v>17</v>
      </c>
      <c r="I764">
        <f>VLOOKUP(Table4[[#This Row],[Visitor]],'NHL Model'!$A$6:$B$38,2,FALSE)</f>
        <v>-0.8965878665431638</v>
      </c>
      <c r="J764">
        <f>($B$1+Table4[[#This Row],[Home Differential]])-Table4[[#This Row],[Away Differential]]</f>
        <v>0.22954856530302614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0.57301485835600074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-5.4617353012467046E-4</v>
      </c>
      <c r="H765" t="s">
        <v>29</v>
      </c>
      <c r="I765">
        <f>VLOOKUP(Table4[[#This Row],[Visitor]],'NHL Model'!$A$6:$B$38,2,FALSE)</f>
        <v>-1.4469605932441605</v>
      </c>
      <c r="J765">
        <f>($B$1+Table4[[#This Row],[Home Differential]])-Table4[[#This Row],[Away Differential]]</f>
        <v>1.6542255322951827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0.77791924626280995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0.13227623341979275</v>
      </c>
      <c r="H766" t="s">
        <v>19</v>
      </c>
      <c r="I766">
        <f>VLOOKUP(Table4[[#This Row],[Visitor]],'NHL Model'!$A$6:$B$38,2,FALSE)</f>
        <v>-0.72519112941434305</v>
      </c>
      <c r="J766">
        <f>($B$1+Table4[[#This Row],[Home Differential]])-Table4[[#This Row],[Away Differential]]</f>
        <v>1.0652784754152824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0.74492981989907892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-7.0657671368725999E-2</v>
      </c>
      <c r="H767" t="s">
        <v>11</v>
      </c>
      <c r="I767">
        <f>VLOOKUP(Table4[[#This Row],[Visitor]],'NHL Model'!$A$6:$B$38,2,FALSE)</f>
        <v>-0.1981495100594213</v>
      </c>
      <c r="J767">
        <f>($B$1+Table4[[#This Row],[Home Differential]])-Table4[[#This Row],[Away Differential]]</f>
        <v>0.33530295127184206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0.58822499948093976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5.4297665563734943E-2</v>
      </c>
      <c r="H768" t="s">
        <v>37</v>
      </c>
      <c r="I768">
        <f>VLOOKUP(Table4[[#This Row],[Visitor]],'NHL Model'!$A$6:$B$38,2,FALSE)</f>
        <v>4.5159124835038887E-2</v>
      </c>
      <c r="J768">
        <f>($B$1+Table4[[#This Row],[Home Differential]])-Table4[[#This Row],[Away Differential]]</f>
        <v>0.21694965330984281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0.52661566190206988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-0.4561706649361581</v>
      </c>
      <c r="H769" t="s">
        <v>36</v>
      </c>
      <c r="I769">
        <f>VLOOKUP(Table4[[#This Row],[Visitor]],'NHL Model'!$A$6:$B$38,2,FALSE)</f>
        <v>-0.47846056309234386</v>
      </c>
      <c r="J769">
        <f>($B$1+Table4[[#This Row],[Home Differential]])-Table4[[#This Row],[Away Differential]]</f>
        <v>0.23010101073733252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0.6135254913532151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-0.8965878665431638</v>
      </c>
      <c r="H770" t="s">
        <v>35</v>
      </c>
      <c r="I770">
        <f>VLOOKUP(Table4[[#This Row],[Visitor]],'NHL Model'!$A$6:$B$38,2,FALSE)</f>
        <v>-1.7055605761743866</v>
      </c>
      <c r="J770">
        <f>($B$1+Table4[[#This Row],[Home Differential]])-Table4[[#This Row],[Away Differential]]</f>
        <v>1.0167838222123695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0.72227595883515106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0.50495447305652519</v>
      </c>
      <c r="H771" t="s">
        <v>15</v>
      </c>
      <c r="I771">
        <f>VLOOKUP(Table4[[#This Row],[Visitor]],'NHL Model'!$A$6:$B$38,2,FALSE)</f>
        <v>-0.39108791057695064</v>
      </c>
      <c r="J771">
        <f>($B$1+Table4[[#This Row],[Home Differential]])-Table4[[#This Row],[Away Differential]]</f>
        <v>1.1038534962146227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0.69209523530903483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0.67827132507054233</v>
      </c>
      <c r="H772" t="s">
        <v>23</v>
      </c>
      <c r="I772">
        <f>VLOOKUP(Table4[[#This Row],[Visitor]],'NHL Model'!$A$6:$B$38,2,FALSE)</f>
        <v>-0.73027559042992929</v>
      </c>
      <c r="J772">
        <f>($B$1+Table4[[#This Row],[Home Differential]])-Table4[[#This Row],[Away Differential]]</f>
        <v>1.6163580280816183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0.82418892286994594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-1.5116691651852812</v>
      </c>
      <c r="H773" t="s">
        <v>24</v>
      </c>
      <c r="I773">
        <f>VLOOKUP(Table4[[#This Row],[Visitor]],'NHL Model'!$A$6:$B$38,2,FALSE)</f>
        <v>0.29030528207371809</v>
      </c>
      <c r="J773">
        <f>($B$1+Table4[[#This Row],[Home Differential]])-Table4[[#This Row],[Away Differential]]</f>
        <v>-1.5941633346778525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0.73179335409778423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0.27981279116457602</v>
      </c>
      <c r="H774" t="s">
        <v>40</v>
      </c>
      <c r="I774">
        <f>VLOOKUP(Table4[[#This Row],[Visitor]],'NHL Model'!$A$6:$B$38,2,FALSE)</f>
        <v>0.13227623341979275</v>
      </c>
      <c r="J774">
        <f>($B$1+Table4[[#This Row],[Home Differential]])-Table4[[#This Row],[Away Differential]]</f>
        <v>0.35534767032593007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0.53187716510747596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1.4784730509534416</v>
      </c>
      <c r="H775" t="s">
        <v>22</v>
      </c>
      <c r="I775">
        <f>VLOOKUP(Table4[[#This Row],[Visitor]],'NHL Model'!$A$6:$B$38,2,FALSE)</f>
        <v>-7.0657671368725999E-2</v>
      </c>
      <c r="J775">
        <f>($B$1+Table4[[#This Row],[Home Differential]])-Table4[[#This Row],[Away Differential]]</f>
        <v>1.7569418349033143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0.88105868232841666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-0.1981495100594213</v>
      </c>
      <c r="H776" t="s">
        <v>33</v>
      </c>
      <c r="I776">
        <f>VLOOKUP(Table4[[#This Row],[Visitor]],'NHL Model'!$A$6:$B$38,2,FALSE)</f>
        <v>-0.41822017589574972</v>
      </c>
      <c r="J776">
        <f>($B$1+Table4[[#This Row],[Home Differential]])-Table4[[#This Row],[Away Differential]]</f>
        <v>0.42788177841747521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0.66498843965668186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-0.53589042422266964</v>
      </c>
      <c r="H777" t="s">
        <v>14</v>
      </c>
      <c r="I777">
        <f>VLOOKUP(Table4[[#This Row],[Visitor]],'NHL Model'!$A$6:$B$38,2,FALSE)</f>
        <v>0.19552804934912488</v>
      </c>
      <c r="J777">
        <f>($B$1+Table4[[#This Row],[Home Differential]])-Table4[[#This Row],[Away Differential]]</f>
        <v>-0.52360736099064775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0.50927017485143211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-0.72519112941434305</v>
      </c>
      <c r="H778" t="s">
        <v>34</v>
      </c>
      <c r="I778">
        <f>VLOOKUP(Table4[[#This Row],[Visitor]],'NHL Model'!$A$6:$B$38,2,FALSE)</f>
        <v>-0.62096640812916071</v>
      </c>
      <c r="J778">
        <f>($B$1+Table4[[#This Row],[Home Differential]])-Table4[[#This Row],[Away Differential]]</f>
        <v>0.10358639129596436</v>
      </c>
      <c r="K778" t="str">
        <f>IF(Table4[[#This Row],[HomeIce Differential]]&gt;0,Table4[[#This Row],[Home]],Table4[[#This Row],[Visitor]])</f>
        <v>Toronto Maple Leafs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0.56891494945018539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-0.87485041382128448</v>
      </c>
      <c r="H779" t="s">
        <v>30</v>
      </c>
      <c r="I779">
        <f>VLOOKUP(Table4[[#This Row],[Visitor]],'NHL Model'!$A$6:$B$38,2,FALSE)</f>
        <v>-6.1847876079686406E-2</v>
      </c>
      <c r="J779">
        <f>($B$1+Table4[[#This Row],[Home Differential]])-Table4[[#This Row],[Away Differential]]</f>
        <v>-0.60519142516045121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0.60632958533508552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-5.4617353012467046E-4</v>
      </c>
      <c r="H780" t="s">
        <v>27</v>
      </c>
      <c r="I780">
        <f>VLOOKUP(Table4[[#This Row],[Visitor]],'NHL Model'!$A$6:$B$38,2,FALSE)</f>
        <v>-0.59708196015665005</v>
      </c>
      <c r="J780">
        <f>($B$1+Table4[[#This Row],[Home Differential]])-Table4[[#This Row],[Away Differential]]</f>
        <v>0.80434689920767211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0.65568531875324088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-0.57641196648435689</v>
      </c>
      <c r="H781" t="s">
        <v>36</v>
      </c>
      <c r="I781">
        <f>VLOOKUP(Table4[[#This Row],[Visitor]],'NHL Model'!$A$6:$B$38,2,FALSE)</f>
        <v>-0.47846056309234386</v>
      </c>
      <c r="J781">
        <f>($B$1+Table4[[#This Row],[Home Differential]])-Table4[[#This Row],[Away Differential]]</f>
        <v>0.10985970918913374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0.56284654174002235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5.4297665563734943E-2</v>
      </c>
      <c r="H782" t="s">
        <v>21</v>
      </c>
      <c r="I782">
        <f>VLOOKUP(Table4[[#This Row],[Visitor]],'NHL Model'!$A$6:$B$38,2,FALSE)</f>
        <v>-5.2681296301607013E-2</v>
      </c>
      <c r="J782">
        <f>($B$1+Table4[[#This Row],[Home Differential]])-Table4[[#This Row],[Away Differential]]</f>
        <v>0.31479007444648871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0.58777021096320037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-0.8965878665431638</v>
      </c>
      <c r="H783" t="s">
        <v>24</v>
      </c>
      <c r="I783">
        <f>VLOOKUP(Table4[[#This Row],[Visitor]],'NHL Model'!$A$6:$B$38,2,FALSE)</f>
        <v>0.29030528207371809</v>
      </c>
      <c r="J783">
        <f>($B$1+Table4[[#This Row],[Home Differential]])-Table4[[#This Row],[Away Differential]]</f>
        <v>-0.97908203603573518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0.60683604464982299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-0.15545019701583887</v>
      </c>
      <c r="H784" t="s">
        <v>15</v>
      </c>
      <c r="I784">
        <f>VLOOKUP(Table4[[#This Row],[Visitor]],'NHL Model'!$A$6:$B$38,2,FALSE)</f>
        <v>-0.39108791057695064</v>
      </c>
      <c r="J784">
        <f>($B$1+Table4[[#This Row],[Home Differential]])-Table4[[#This Row],[Away Differential]]</f>
        <v>0.44344882614225856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0.48238374803449074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-0.67174708781561598</v>
      </c>
      <c r="H785" t="s">
        <v>34</v>
      </c>
      <c r="I785">
        <f>VLOOKUP(Table4[[#This Row],[Visitor]],'NHL Model'!$A$6:$B$38,2,FALSE)</f>
        <v>-0.62096640812916071</v>
      </c>
      <c r="J785">
        <f>($B$1+Table4[[#This Row],[Home Differential]])-Table4[[#This Row],[Away Differential]]</f>
        <v>0.15703043289469149</v>
      </c>
      <c r="K785" t="str">
        <f>IF(Table4[[#This Row],[HomeIce Differential]]&gt;0,Table4[[#This Row],[Home]],Table4[[#This Row],[Visitor]])</f>
        <v>Montreal Canadiens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0.56258492660477277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-1.4469605932441605</v>
      </c>
      <c r="H786" t="s">
        <v>23</v>
      </c>
      <c r="I786">
        <f>VLOOKUP(Table4[[#This Row],[Visitor]],'NHL Model'!$A$6:$B$38,2,FALSE)</f>
        <v>-0.73027559042992929</v>
      </c>
      <c r="J786">
        <f>($B$1+Table4[[#This Row],[Home Differential]])-Table4[[#This Row],[Away Differential]]</f>
        <v>-0.50887389023308438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0.53318886696126466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4.5159124835038887E-2</v>
      </c>
      <c r="H787" t="s">
        <v>33</v>
      </c>
      <c r="I787">
        <f>VLOOKUP(Table4[[#This Row],[Visitor]],'NHL Model'!$A$6:$B$38,2,FALSE)</f>
        <v>-0.41822017589574972</v>
      </c>
      <c r="J787">
        <f>($B$1+Table4[[#This Row],[Home Differential]])-Table4[[#This Row],[Away Differential]]</f>
        <v>0.6711904133119353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0.63653406631466769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0.13227623341979275</v>
      </c>
      <c r="H788" t="s">
        <v>35</v>
      </c>
      <c r="I788">
        <f>VLOOKUP(Table4[[#This Row],[Visitor]],'NHL Model'!$A$6:$B$38,2,FALSE)</f>
        <v>-1.7055605761743866</v>
      </c>
      <c r="J788">
        <f>($B$1+Table4[[#This Row],[Home Differential]])-Table4[[#This Row],[Away Differential]]</f>
        <v>2.0456479221753261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0.88593160912222846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-1.5116691651852812</v>
      </c>
      <c r="H789" t="s">
        <v>14</v>
      </c>
      <c r="I789">
        <f>VLOOKUP(Table4[[#This Row],[Visitor]],'NHL Model'!$A$6:$B$38,2,FALSE)</f>
        <v>0.19552804934912488</v>
      </c>
      <c r="J789">
        <f>($B$1+Table4[[#This Row],[Home Differential]])-Table4[[#This Row],[Away Differential]]</f>
        <v>-1.4993861019532593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0.67564944094333823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1.4784730509534416</v>
      </c>
      <c r="H790" t="s">
        <v>31</v>
      </c>
      <c r="I790">
        <f>VLOOKUP(Table4[[#This Row],[Visitor]],'NHL Model'!$A$6:$B$38,2,FALSE)</f>
        <v>0.50495447305652519</v>
      </c>
      <c r="J790">
        <f>($B$1+Table4[[#This Row],[Home Differential]])-Table4[[#This Row],[Away Differential]]</f>
        <v>1.1813296904780632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0.77860057992367193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-0.53589042422266964</v>
      </c>
      <c r="H791" t="s">
        <v>30</v>
      </c>
      <c r="I791">
        <f>VLOOKUP(Table4[[#This Row],[Visitor]],'NHL Model'!$A$6:$B$38,2,FALSE)</f>
        <v>-6.1847876079686406E-2</v>
      </c>
      <c r="J791">
        <f>($B$1+Table4[[#This Row],[Home Differential]])-Table4[[#This Row],[Away Differential]]</f>
        <v>-0.26623143556183648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0.53124852439502213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-0.72519112941434305</v>
      </c>
      <c r="H792" t="s">
        <v>26</v>
      </c>
      <c r="I792">
        <f>VLOOKUP(Table4[[#This Row],[Visitor]],'NHL Model'!$A$6:$B$38,2,FALSE)</f>
        <v>-0.4561706649361581</v>
      </c>
      <c r="J792">
        <f>($B$1+Table4[[#This Row],[Home Differential]])-Table4[[#This Row],[Away Differential]]</f>
        <v>-6.1209351897038244E-2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0.50176119110191264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-0.21513148032837168</v>
      </c>
      <c r="H793" t="s">
        <v>27</v>
      </c>
      <c r="I793">
        <f>VLOOKUP(Table4[[#This Row],[Visitor]],'NHL Model'!$A$6:$B$38,2,FALSE)</f>
        <v>-0.59708196015665005</v>
      </c>
      <c r="J793">
        <f>($B$1+Table4[[#This Row],[Home Differential]])-Table4[[#This Row],[Away Differential]]</f>
        <v>0.58976159240942516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0.69309505947792116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-0.87485041382128448</v>
      </c>
      <c r="H794" t="s">
        <v>22</v>
      </c>
      <c r="I794">
        <f>VLOOKUP(Table4[[#This Row],[Visitor]],'NHL Model'!$A$6:$B$38,2,FALSE)</f>
        <v>-7.0657671368725999E-2</v>
      </c>
      <c r="J794">
        <f>($B$1+Table4[[#This Row],[Home Differential]])-Table4[[#This Row],[Away Differential]]</f>
        <v>-0.59638162987141163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0.5457746813199793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-5.2681296301607013E-2</v>
      </c>
      <c r="H795" t="s">
        <v>20</v>
      </c>
      <c r="I795">
        <f>VLOOKUP(Table4[[#This Row],[Visitor]],'NHL Model'!$A$6:$B$38,2,FALSE)</f>
        <v>-5.4617353012467046E-4</v>
      </c>
      <c r="J795">
        <f>($B$1+Table4[[#This Row],[Home Differential]])-Table4[[#This Row],[Away Differential]]</f>
        <v>0.15567598980966443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0.5938186950445109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0.67827132507054233</v>
      </c>
      <c r="H796" t="s">
        <v>10</v>
      </c>
      <c r="I796">
        <f>VLOOKUP(Table4[[#This Row],[Visitor]],'NHL Model'!$A$6:$B$38,2,FALSE)</f>
        <v>0.27981279116457602</v>
      </c>
      <c r="J796">
        <f>($B$1+Table4[[#This Row],[Home Differential]])-Table4[[#This Row],[Away Differential]]</f>
        <v>0.60626964648711312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0.65862539828693922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-0.57641196648435689</v>
      </c>
      <c r="H797" t="s">
        <v>39</v>
      </c>
      <c r="I797">
        <f>VLOOKUP(Table4[[#This Row],[Visitor]],'NHL Model'!$A$6:$B$38,2,FALSE)</f>
        <v>5.4297665563734943E-2</v>
      </c>
      <c r="J797">
        <f>($B$1+Table4[[#This Row],[Home Differential]])-Table4[[#This Row],[Away Differential]]</f>
        <v>-0.42289851946694507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0.60627799125013349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-0.8965878665431638</v>
      </c>
      <c r="H798" t="s">
        <v>14</v>
      </c>
      <c r="I798">
        <f>VLOOKUP(Table4[[#This Row],[Visitor]],'NHL Model'!$A$6:$B$38,2,FALSE)</f>
        <v>0.19552804934912488</v>
      </c>
      <c r="J798">
        <f>($B$1+Table4[[#This Row],[Home Differential]])-Table4[[#This Row],[Away Differential]]</f>
        <v>-0.88430480331114203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0.55114841047427221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-0.62096640812916071</v>
      </c>
      <c r="H799" t="s">
        <v>26</v>
      </c>
      <c r="I799">
        <f>VLOOKUP(Table4[[#This Row],[Visitor]],'NHL Model'!$A$6:$B$38,2,FALSE)</f>
        <v>-0.4561706649361581</v>
      </c>
      <c r="J799">
        <f>($B$1+Table4[[#This Row],[Home Differential]])-Table4[[#This Row],[Away Differential]]</f>
        <v>4.3015369388144153E-2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0.49908730075847368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-0.67174708781561598</v>
      </c>
      <c r="H800" t="s">
        <v>23</v>
      </c>
      <c r="I800">
        <f>VLOOKUP(Table4[[#This Row],[Visitor]],'NHL Model'!$A$6:$B$38,2,FALSE)</f>
        <v>-0.73027559042992929</v>
      </c>
      <c r="J800">
        <f>($B$1+Table4[[#This Row],[Home Differential]])-Table4[[#This Row],[Away Differential]]</f>
        <v>0.26633961519546007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0.57830633686889765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-1.4469605932441605</v>
      </c>
      <c r="H801" t="s">
        <v>36</v>
      </c>
      <c r="I801">
        <f>VLOOKUP(Table4[[#This Row],[Visitor]],'NHL Model'!$A$6:$B$38,2,FALSE)</f>
        <v>-0.47846056309234386</v>
      </c>
      <c r="J801">
        <f>($B$1+Table4[[#This Row],[Home Differential]])-Table4[[#This Row],[Away Differential]]</f>
        <v>-0.76068891757066981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0.56940620270670061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0.13227623341979275</v>
      </c>
      <c r="H802" t="s">
        <v>11</v>
      </c>
      <c r="I802">
        <f>VLOOKUP(Table4[[#This Row],[Visitor]],'NHL Model'!$A$6:$B$38,2,FALSE)</f>
        <v>-0.1981495100594213</v>
      </c>
      <c r="J802">
        <f>($B$1+Table4[[#This Row],[Home Differential]])-Table4[[#This Row],[Away Differential]]</f>
        <v>0.53823685606036076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0.66912797645148403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-1.5116691651852812</v>
      </c>
      <c r="H803" t="s">
        <v>22</v>
      </c>
      <c r="I803">
        <f>VLOOKUP(Table4[[#This Row],[Visitor]],'NHL Model'!$A$6:$B$38,2,FALSE)</f>
        <v>-7.0657671368725999E-2</v>
      </c>
      <c r="J803">
        <f>($B$1+Table4[[#This Row],[Home Differential]])-Table4[[#This Row],[Away Differential]]</f>
        <v>-1.2332003812354084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0.63736523797178535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0.27981279116457602</v>
      </c>
      <c r="H804" t="s">
        <v>37</v>
      </c>
      <c r="I804">
        <f>VLOOKUP(Table4[[#This Row],[Visitor]],'NHL Model'!$A$6:$B$38,2,FALSE)</f>
        <v>4.5159124835038887E-2</v>
      </c>
      <c r="J804">
        <f>($B$1+Table4[[#This Row],[Home Differential]])-Table4[[#This Row],[Away Differential]]</f>
        <v>0.44246477891068392</v>
      </c>
      <c r="K804" t="str">
        <f>IF(Table4[[#This Row],[HomeIce Differential]]&gt;0,Table4[[#This Row],[Home]],Table4[[#This Row],[Visitor]])</f>
        <v>Chicago Blackhawks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0.56363756612449989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1.4784730509534416</v>
      </c>
      <c r="H805" t="s">
        <v>27</v>
      </c>
      <c r="I805">
        <f>VLOOKUP(Table4[[#This Row],[Visitor]],'NHL Model'!$A$6:$B$38,2,FALSE)</f>
        <v>-0.59708196015665005</v>
      </c>
      <c r="J805">
        <f>($B$1+Table4[[#This Row],[Home Differential]])-Table4[[#This Row],[Away Differential]]</f>
        <v>2.2833661236912386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0.95677173811052851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5.4297665563734943E-2</v>
      </c>
      <c r="H806" t="s">
        <v>35</v>
      </c>
      <c r="I806">
        <f>VLOOKUP(Table4[[#This Row],[Visitor]],'NHL Model'!$A$6:$B$38,2,FALSE)</f>
        <v>-1.7055605761743866</v>
      </c>
      <c r="J806">
        <f>($B$1+Table4[[#This Row],[Home Differential]])-Table4[[#This Row],[Away Differential]]</f>
        <v>1.9676693543192683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0.8254958322605116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-0.53589042422266964</v>
      </c>
      <c r="H807" t="s">
        <v>31</v>
      </c>
      <c r="I807">
        <f>VLOOKUP(Table4[[#This Row],[Visitor]],'NHL Model'!$A$6:$B$38,2,FALSE)</f>
        <v>0.50495447305652519</v>
      </c>
      <c r="J807">
        <f>($B$1+Table4[[#This Row],[Home Differential]])-Table4[[#This Row],[Away Differential]]</f>
        <v>-0.83303378469804801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0.57435666909721328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-0.41822017589574972</v>
      </c>
      <c r="H808" t="s">
        <v>15</v>
      </c>
      <c r="I808">
        <f>VLOOKUP(Table4[[#This Row],[Visitor]],'NHL Model'!$A$6:$B$38,2,FALSE)</f>
        <v>-0.39108791057695064</v>
      </c>
      <c r="J808">
        <f>($B$1+Table4[[#This Row],[Home Differential]])-Table4[[#This Row],[Away Differential]]</f>
        <v>0.18067884726234767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0.44459081466774408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-0.72519112941434305</v>
      </c>
      <c r="H809" t="s">
        <v>20</v>
      </c>
      <c r="I809">
        <f>VLOOKUP(Table4[[#This Row],[Visitor]],'NHL Model'!$A$6:$B$38,2,FALSE)</f>
        <v>-5.4617353012467046E-4</v>
      </c>
      <c r="J809">
        <f>($B$1+Table4[[#This Row],[Home Differential]])-Table4[[#This Row],[Away Differential]]</f>
        <v>-0.51683384330307169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0.54100037512488919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-0.87485041382128448</v>
      </c>
      <c r="H810" t="s">
        <v>24</v>
      </c>
      <c r="I810">
        <f>VLOOKUP(Table4[[#This Row],[Visitor]],'NHL Model'!$A$6:$B$38,2,FALSE)</f>
        <v>0.29030528207371809</v>
      </c>
      <c r="J810">
        <f>($B$1+Table4[[#This Row],[Home Differential]])-Table4[[#This Row],[Away Differential]]</f>
        <v>-0.95734458331385575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0.64020279744597819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-5.2681296301607013E-2</v>
      </c>
      <c r="H811" t="s">
        <v>18</v>
      </c>
      <c r="I811">
        <f>VLOOKUP(Table4[[#This Row],[Visitor]],'NHL Model'!$A$6:$B$38,2,FALSE)</f>
        <v>-0.67174708781561598</v>
      </c>
      <c r="J811">
        <f>($B$1+Table4[[#This Row],[Home Differential]])-Table4[[#This Row],[Away Differential]]</f>
        <v>0.8268769040951558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0.66438024568931875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-0.57641196648435689</v>
      </c>
      <c r="H812" t="s">
        <v>37</v>
      </c>
      <c r="I812">
        <f>VLOOKUP(Table4[[#This Row],[Visitor]],'NHL Model'!$A$6:$B$38,2,FALSE)</f>
        <v>4.5159124835038887E-2</v>
      </c>
      <c r="J812">
        <f>($B$1+Table4[[#This Row],[Home Differential]])-Table4[[#This Row],[Away Differential]]</f>
        <v>-0.41375997873824899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0.55950909374402913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-0.8965878665431638</v>
      </c>
      <c r="H813" t="s">
        <v>22</v>
      </c>
      <c r="I813">
        <f>VLOOKUP(Table4[[#This Row],[Visitor]],'NHL Model'!$A$6:$B$38,2,FALSE)</f>
        <v>-7.0657671368725999E-2</v>
      </c>
      <c r="J813">
        <f>($B$1+Table4[[#This Row],[Home Differential]])-Table4[[#This Row],[Away Differential]]</f>
        <v>-0.61811908259329107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0.51286420750271933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-0.62096640812916071</v>
      </c>
      <c r="H814" t="s">
        <v>11</v>
      </c>
      <c r="I814">
        <f>VLOOKUP(Table4[[#This Row],[Visitor]],'NHL Model'!$A$6:$B$38,2,FALSE)</f>
        <v>-0.1981495100594213</v>
      </c>
      <c r="J814">
        <f>($B$1+Table4[[#This Row],[Home Differential]])-Table4[[#This Row],[Away Differential]]</f>
        <v>-0.21500578548859264</v>
      </c>
      <c r="K814" t="str">
        <f>IF(Table4[[#This Row],[HomeIce Differential]]&gt;0,Table4[[#This Row],[Home]],Table4[[#This Row],[Visitor]])</f>
        <v>Florida Panthers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0.49092324077153793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-1.4469605932441605</v>
      </c>
      <c r="H815" t="s">
        <v>55</v>
      </c>
      <c r="I815">
        <f>VLOOKUP(Table4[[#This Row],[Visitor]],'NHL Model'!$A$6:$B$38,2,FALSE)</f>
        <v>-0.21513148032837168</v>
      </c>
      <c r="J815">
        <f>($B$1+Table4[[#This Row],[Home Differential]])-Table4[[#This Row],[Away Differential]]</f>
        <v>-1.024018000334642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0.60727954927713779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-6.1847876079686406E-2</v>
      </c>
      <c r="H816" t="s">
        <v>23</v>
      </c>
      <c r="I816">
        <f>VLOOKUP(Table4[[#This Row],[Visitor]],'NHL Model'!$A$6:$B$38,2,FALSE)</f>
        <v>-0.73027559042992929</v>
      </c>
      <c r="J816">
        <f>($B$1+Table4[[#This Row],[Home Differential]])-Table4[[#This Row],[Away Differential]]</f>
        <v>0.87623882693138966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0.66602518651762932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-0.47846056309234386</v>
      </c>
      <c r="H817" t="s">
        <v>25</v>
      </c>
      <c r="I817">
        <f>VLOOKUP(Table4[[#This Row],[Visitor]],'NHL Model'!$A$6:$B$38,2,FALSE)</f>
        <v>0.67827132507054233</v>
      </c>
      <c r="J817">
        <f>($B$1+Table4[[#This Row],[Home Differential]])-Table4[[#This Row],[Away Differential]]</f>
        <v>-0.94892077558173948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0.69852247478595952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-1.7055605761743866</v>
      </c>
      <c r="H818" t="s">
        <v>13</v>
      </c>
      <c r="I818">
        <f>VLOOKUP(Table4[[#This Row],[Visitor]],'NHL Model'!$A$6:$B$38,2,FALSE)</f>
        <v>-0.15545019701583887</v>
      </c>
      <c r="J818">
        <f>($B$1+Table4[[#This Row],[Home Differential]])-Table4[[#This Row],[Away Differential]]</f>
        <v>-1.342299266577401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0.7548541550518667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0.13227623341979275</v>
      </c>
      <c r="H819" t="s">
        <v>26</v>
      </c>
      <c r="I819">
        <f>VLOOKUP(Table4[[#This Row],[Visitor]],'NHL Model'!$A$6:$B$38,2,FALSE)</f>
        <v>-0.4561706649361581</v>
      </c>
      <c r="J819">
        <f>($B$1+Table4[[#This Row],[Home Differential]])-Table4[[#This Row],[Away Differential]]</f>
        <v>0.79625801093709758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0.65997647858541042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-1.5116691651852812</v>
      </c>
      <c r="H820" t="s">
        <v>31</v>
      </c>
      <c r="I820">
        <f>VLOOKUP(Table4[[#This Row],[Visitor]],'NHL Model'!$A$6:$B$38,2,FALSE)</f>
        <v>0.50495447305652519</v>
      </c>
      <c r="J820">
        <f>($B$1+Table4[[#This Row],[Home Differential]])-Table4[[#This Row],[Away Differential]]</f>
        <v>-1.8088125256606595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0.74092197556383899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0.27981279116457602</v>
      </c>
      <c r="H821" t="s">
        <v>11</v>
      </c>
      <c r="I821">
        <f>VLOOKUP(Table4[[#This Row],[Visitor]],'NHL Model'!$A$6:$B$38,2,FALSE)</f>
        <v>-0.1981495100594213</v>
      </c>
      <c r="J821">
        <f>($B$1+Table4[[#This Row],[Home Differential]])-Table4[[#This Row],[Away Differential]]</f>
        <v>0.68577341380514412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0.64567742050451093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-0.47846056309234386</v>
      </c>
      <c r="H822" t="s">
        <v>20</v>
      </c>
      <c r="I822">
        <f>VLOOKUP(Table4[[#This Row],[Visitor]],'NHL Model'!$A$6:$B$38,2,FALSE)</f>
        <v>-5.4617353012467046E-4</v>
      </c>
      <c r="J822">
        <f>($B$1+Table4[[#This Row],[Home Differential]])-Table4[[#This Row],[Away Differential]]</f>
        <v>-0.27010327698107245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0.51710851567988547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-0.53589042422266964</v>
      </c>
      <c r="H823" t="s">
        <v>24</v>
      </c>
      <c r="I823">
        <f>VLOOKUP(Table4[[#This Row],[Visitor]],'NHL Model'!$A$6:$B$38,2,FALSE)</f>
        <v>0.29030528207371809</v>
      </c>
      <c r="J823">
        <f>($B$1+Table4[[#This Row],[Home Differential]])-Table4[[#This Row],[Away Differential]]</f>
        <v>-0.61838459371524102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0.56512973723134052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-0.72519112941434305</v>
      </c>
      <c r="H824" t="s">
        <v>12</v>
      </c>
      <c r="I824">
        <f>VLOOKUP(Table4[[#This Row],[Visitor]],'NHL Model'!$A$6:$B$38,2,FALSE)</f>
        <v>1.4784730509534416</v>
      </c>
      <c r="J824">
        <f>($B$1+Table4[[#This Row],[Home Differential]])-Table4[[#This Row],[Away Differential]]</f>
        <v>-1.995853067786638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0.79924900201089477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-0.87485041382128448</v>
      </c>
      <c r="H825" t="s">
        <v>14</v>
      </c>
      <c r="I825">
        <f>VLOOKUP(Table4[[#This Row],[Visitor]],'NHL Model'!$A$6:$B$38,2,FALSE)</f>
        <v>0.19552804934912488</v>
      </c>
      <c r="J825">
        <f>($B$1+Table4[[#This Row],[Home Differential]])-Table4[[#This Row],[Away Differential]]</f>
        <v>-0.86256735058926259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0.58405888429153219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-0.57641196648435689</v>
      </c>
      <c r="H826" t="s">
        <v>13</v>
      </c>
      <c r="I826">
        <f>VLOOKUP(Table4[[#This Row],[Visitor]],'NHL Model'!$A$6:$B$38,2,FALSE)</f>
        <v>-0.15545019701583887</v>
      </c>
      <c r="J826">
        <f>($B$1+Table4[[#This Row],[Home Differential]])-Table4[[#This Row],[Away Differential]]</f>
        <v>-0.21315065688737125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0.58545094715786705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-0.8965878665431638</v>
      </c>
      <c r="H827" t="s">
        <v>31</v>
      </c>
      <c r="I827">
        <f>VLOOKUP(Table4[[#This Row],[Visitor]],'NHL Model'!$A$6:$B$38,2,FALSE)</f>
        <v>0.50495447305652519</v>
      </c>
      <c r="J827">
        <f>($B$1+Table4[[#This Row],[Home Differential]])-Table4[[#This Row],[Away Differential]]</f>
        <v>-1.1937312270185423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0.61613302512943369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-0.39108791057695064</v>
      </c>
      <c r="H828" t="s">
        <v>21</v>
      </c>
      <c r="I828">
        <f>VLOOKUP(Table4[[#This Row],[Visitor]],'NHL Model'!$A$6:$B$38,2,FALSE)</f>
        <v>-5.2681296301607013E-2</v>
      </c>
      <c r="J828">
        <f>($B$1+Table4[[#This Row],[Home Differential]])-Table4[[#This Row],[Away Differential]]</f>
        <v>-0.13059550169419687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0.47878291848469212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-0.59708196015665005</v>
      </c>
      <c r="H829" t="s">
        <v>30</v>
      </c>
      <c r="I829">
        <f>VLOOKUP(Table4[[#This Row],[Visitor]],'NHL Model'!$A$6:$B$38,2,FALSE)</f>
        <v>-6.1847876079686406E-2</v>
      </c>
      <c r="J829">
        <f>($B$1+Table4[[#This Row],[Home Differential]])-Table4[[#This Row],[Away Differential]]</f>
        <v>-0.32742297149581689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0.56387018364544406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4.5159124835038887E-2</v>
      </c>
      <c r="H830" t="s">
        <v>55</v>
      </c>
      <c r="I830">
        <f>VLOOKUP(Table4[[#This Row],[Visitor]],'NHL Model'!$A$6:$B$38,2,FALSE)</f>
        <v>-0.21513148032837168</v>
      </c>
      <c r="J830">
        <f>($B$1+Table4[[#This Row],[Home Differential]])-Table4[[#This Row],[Away Differential]]</f>
        <v>0.46810171774455733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0.60732480286747181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-5.2681296301607013E-2</v>
      </c>
      <c r="H831" t="s">
        <v>29</v>
      </c>
      <c r="I831">
        <f>VLOOKUP(Table4[[#This Row],[Visitor]],'NHL Model'!$A$6:$B$38,2,FALSE)</f>
        <v>-1.4469605932441605</v>
      </c>
      <c r="J831">
        <f>($B$1+Table4[[#This Row],[Home Differential]])-Table4[[#This Row],[Away Differential]]</f>
        <v>1.6020904095237003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0.8221368803962964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-0.4561706649361581</v>
      </c>
      <c r="H832" t="s">
        <v>13</v>
      </c>
      <c r="I832">
        <f>VLOOKUP(Table4[[#This Row],[Visitor]],'NHL Model'!$A$6:$B$38,2,FALSE)</f>
        <v>-0.15545019701583887</v>
      </c>
      <c r="J832">
        <f>($B$1+Table4[[#This Row],[Home Differential]])-Table4[[#This Row],[Away Differential]]</f>
        <v>-9.2909355339172467E-2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0.53441533416182285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-0.1981495100594213</v>
      </c>
      <c r="H833" t="s">
        <v>55</v>
      </c>
      <c r="I833">
        <f>VLOOKUP(Table4[[#This Row],[Visitor]],'NHL Model'!$A$6:$B$38,2,FALSE)</f>
        <v>-0.21513148032837168</v>
      </c>
      <c r="J833">
        <f>($B$1+Table4[[#This Row],[Home Differential]])-Table4[[#This Row],[Away Differential]]</f>
        <v>0.22479308285009714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0.63577917620948599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-0.62096640812916071</v>
      </c>
      <c r="H834" t="s">
        <v>10</v>
      </c>
      <c r="I834">
        <f>VLOOKUP(Table4[[#This Row],[Visitor]],'NHL Model'!$A$6:$B$38,2,FALSE)</f>
        <v>0.27981279116457602</v>
      </c>
      <c r="J834">
        <f>($B$1+Table4[[#This Row],[Home Differential]])-Table4[[#This Row],[Away Differential]]</f>
        <v>-0.69296808671259003</v>
      </c>
      <c r="K834" t="str">
        <f>IF(Table4[[#This Row],[HomeIce Differential]]&gt;0,Table4[[#This Row],[Home]],Table4[[#This Row],[Visitor]])</f>
        <v>Chicago Blackhawks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0.58043547437150944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-0.67174708781561598</v>
      </c>
      <c r="H835" t="s">
        <v>20</v>
      </c>
      <c r="I835">
        <f>VLOOKUP(Table4[[#This Row],[Visitor]],'NHL Model'!$A$6:$B$38,2,FALSE)</f>
        <v>-5.4617353012467046E-4</v>
      </c>
      <c r="J835">
        <f>($B$1+Table4[[#This Row],[Home Differential]])-Table4[[#This Row],[Away Differential]]</f>
        <v>-0.46338980170434457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0.54741634157425101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0.29030528207371809</v>
      </c>
      <c r="H836" t="s">
        <v>40</v>
      </c>
      <c r="I836">
        <f>VLOOKUP(Table4[[#This Row],[Visitor]],'NHL Model'!$A$6:$B$38,2,FALSE)</f>
        <v>0.13227623341979275</v>
      </c>
      <c r="J836">
        <f>($B$1+Table4[[#This Row],[Home Differential]])-Table4[[#This Row],[Away Differential]]</f>
        <v>0.36584016123507213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0.64583735746960969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-0.53589042422266964</v>
      </c>
      <c r="H837" t="s">
        <v>22</v>
      </c>
      <c r="I837">
        <f>VLOOKUP(Table4[[#This Row],[Visitor]],'NHL Model'!$A$6:$B$38,2,FALSE)</f>
        <v>-7.0657671368725999E-2</v>
      </c>
      <c r="J837">
        <f>($B$1+Table4[[#This Row],[Home Differential]])-Table4[[#This Row],[Away Differential]]</f>
        <v>-0.2574216402727969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0.47098597187987917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-1.7055605761743866</v>
      </c>
      <c r="H838" t="s">
        <v>39</v>
      </c>
      <c r="I838">
        <f>VLOOKUP(Table4[[#This Row],[Visitor]],'NHL Model'!$A$6:$B$38,2,FALSE)</f>
        <v>5.4297665563734943E-2</v>
      </c>
      <c r="J838">
        <f>($B$1+Table4[[#This Row],[Home Differential]])-Table4[[#This Row],[Away Differential]]</f>
        <v>-1.5520471291569748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0.77570960927384813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-0.72519112941434305</v>
      </c>
      <c r="H839" t="s">
        <v>23</v>
      </c>
      <c r="I839">
        <f>VLOOKUP(Table4[[#This Row],[Visitor]],'NHL Model'!$A$6:$B$38,2,FALSE)</f>
        <v>-0.73027559042992929</v>
      </c>
      <c r="J839">
        <f>($B$1+Table4[[#This Row],[Home Differential]])-Table4[[#This Row],[Away Differential]]</f>
        <v>0.21289557359673295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0.58463635971431027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-0.87485041382128448</v>
      </c>
      <c r="H840" t="s">
        <v>33</v>
      </c>
      <c r="I840">
        <f>VLOOKUP(Table4[[#This Row],[Visitor]],'NHL Model'!$A$6:$B$38,2,FALSE)</f>
        <v>-0.41822017589574972</v>
      </c>
      <c r="J840">
        <f>($B$1+Table4[[#This Row],[Home Differential]])-Table4[[#This Row],[Away Differential]]</f>
        <v>-0.24881912534438794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0.4957864496720541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-0.57641196648435689</v>
      </c>
      <c r="H841" t="s">
        <v>27</v>
      </c>
      <c r="I841">
        <f>VLOOKUP(Table4[[#This Row],[Visitor]],'NHL Model'!$A$6:$B$38,2,FALSE)</f>
        <v>-0.59708196015665005</v>
      </c>
      <c r="J841">
        <f>($B$1+Table4[[#This Row],[Home Differential]])-Table4[[#This Row],[Away Differential]]</f>
        <v>0.22848110625343993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0.5799072827509677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-6.1847876079686406E-2</v>
      </c>
      <c r="H842" t="s">
        <v>15</v>
      </c>
      <c r="I842">
        <f>VLOOKUP(Table4[[#This Row],[Visitor]],'NHL Model'!$A$6:$B$38,2,FALSE)</f>
        <v>-0.39108791057695064</v>
      </c>
      <c r="J842">
        <f>($B$1+Table4[[#This Row],[Home Differential]])-Table4[[#This Row],[Away Differential]]</f>
        <v>0.53705114707841095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0.49584611650288235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-0.47846056309234386</v>
      </c>
      <c r="H843" t="s">
        <v>12</v>
      </c>
      <c r="I843">
        <f>VLOOKUP(Table4[[#This Row],[Visitor]],'NHL Model'!$A$6:$B$38,2,FALSE)</f>
        <v>1.4784730509534416</v>
      </c>
      <c r="J843">
        <f>($B$1+Table4[[#This Row],[Home Differential]])-Table4[[#This Row],[Away Differential]]</f>
        <v>-1.7491225014646388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0.77537734152564464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-5.2681296301607013E-2</v>
      </c>
      <c r="H844" t="s">
        <v>27</v>
      </c>
      <c r="I844">
        <f>VLOOKUP(Table4[[#This Row],[Visitor]],'NHL Model'!$A$6:$B$38,2,FALSE)</f>
        <v>-0.59708196015665005</v>
      </c>
      <c r="J844">
        <f>($B$1+Table4[[#This Row],[Home Differential]])-Table4[[#This Row],[Away Differential]]</f>
        <v>0.75221177643618975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0.69990295288672733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-0.73027559042992929</v>
      </c>
      <c r="H845" t="s">
        <v>13</v>
      </c>
      <c r="I845">
        <f>VLOOKUP(Table4[[#This Row],[Visitor]],'NHL Model'!$A$6:$B$38,2,FALSE)</f>
        <v>-0.15545019701583887</v>
      </c>
      <c r="J845">
        <f>($B$1+Table4[[#This Row],[Home Differential]])-Table4[[#This Row],[Away Differential]]</f>
        <v>-0.36701428083294374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0.61210792031991534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0.67827132507054233</v>
      </c>
      <c r="H846" t="s">
        <v>55</v>
      </c>
      <c r="I846">
        <f>VLOOKUP(Table4[[#This Row],[Visitor]],'NHL Model'!$A$6:$B$38,2,FALSE)</f>
        <v>-0.21513148032837168</v>
      </c>
      <c r="J846">
        <f>($B$1+Table4[[#This Row],[Home Differential]])-Table4[[#This Row],[Away Differential]]</f>
        <v>1.1012139179800609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0.75009824055407281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-0.4561706649361581</v>
      </c>
      <c r="H847" t="s">
        <v>22</v>
      </c>
      <c r="I847">
        <f>VLOOKUP(Table4[[#This Row],[Visitor]],'NHL Model'!$A$6:$B$38,2,FALSE)</f>
        <v>-7.0657671368725999E-2</v>
      </c>
      <c r="J847">
        <f>($B$1+Table4[[#This Row],[Home Differential]])-Table4[[#This Row],[Away Differential]]</f>
        <v>-0.17770188098628534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0.44512682341795123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-0.8965878665431638</v>
      </c>
      <c r="H848" t="s">
        <v>33</v>
      </c>
      <c r="I848">
        <f>VLOOKUP(Table4[[#This Row],[Visitor]],'NHL Model'!$A$6:$B$38,2,FALSE)</f>
        <v>-0.41822017589574972</v>
      </c>
      <c r="J848">
        <f>($B$1+Table4[[#This Row],[Home Differential]])-Table4[[#This Row],[Away Differential]]</f>
        <v>-0.27055657806626737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0.46287597585479412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-0.62096640812916071</v>
      </c>
      <c r="H849" t="s">
        <v>16</v>
      </c>
      <c r="I849">
        <f>VLOOKUP(Table4[[#This Row],[Visitor]],'NHL Model'!$A$6:$B$38,2,FALSE)</f>
        <v>-1.5116691651852812</v>
      </c>
      <c r="J849">
        <f>($B$1+Table4[[#This Row],[Home Differential]])-Table4[[#This Row],[Away Differential]]</f>
        <v>1.0985138696372672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0.69799392934693516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-0.67174708781561598</v>
      </c>
      <c r="H850" t="s">
        <v>12</v>
      </c>
      <c r="I850">
        <f>VLOOKUP(Table4[[#This Row],[Visitor]],'NHL Model'!$A$6:$B$38,2,FALSE)</f>
        <v>1.4784730509534416</v>
      </c>
      <c r="J850">
        <f>($B$1+Table4[[#This Row],[Home Differential]])-Table4[[#This Row],[Away Differential]]</f>
        <v>-1.9424090261879108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0.80568307188015709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0.29030528207371809</v>
      </c>
      <c r="H851" t="s">
        <v>29</v>
      </c>
      <c r="I851">
        <f>VLOOKUP(Table4[[#This Row],[Visitor]],'NHL Model'!$A$6:$B$38,2,FALSE)</f>
        <v>-1.4469605932441605</v>
      </c>
      <c r="J851">
        <f>($B$1+Table4[[#This Row],[Home Differential]])-Table4[[#This Row],[Away Differential]]</f>
        <v>1.9450769878990253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0.93518171402791017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-0.39108791057695064</v>
      </c>
      <c r="H852" t="s">
        <v>30</v>
      </c>
      <c r="I852">
        <f>VLOOKUP(Table4[[#This Row],[Visitor]],'NHL Model'!$A$6:$B$38,2,FALSE)</f>
        <v>-6.1847876079686406E-2</v>
      </c>
      <c r="J852">
        <f>($B$1+Table4[[#This Row],[Home Differential]])-Table4[[#This Row],[Away Differential]]</f>
        <v>-0.12142892191611747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0.53675236754035738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0.19552804934912488</v>
      </c>
      <c r="H853" t="s">
        <v>10</v>
      </c>
      <c r="I853">
        <f>VLOOKUP(Table4[[#This Row],[Visitor]],'NHL Model'!$A$6:$B$38,2,FALSE)</f>
        <v>0.27981279116457602</v>
      </c>
      <c r="J853">
        <f>($B$1+Table4[[#This Row],[Home Differential]])-Table4[[#This Row],[Away Differential]]</f>
        <v>0.12352637076569561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0.57332175517730732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-0.53589042422266964</v>
      </c>
      <c r="H854" t="s">
        <v>19</v>
      </c>
      <c r="I854">
        <f>VLOOKUP(Table4[[#This Row],[Visitor]],'NHL Model'!$A$6:$B$38,2,FALSE)</f>
        <v>-0.72519112941434305</v>
      </c>
      <c r="J854">
        <f>($B$1+Table4[[#This Row],[Home Differential]])-Table4[[#This Row],[Away Differential]]</f>
        <v>0.39711181777282017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0.62315240523484172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-1.7055605761743866</v>
      </c>
      <c r="H855" t="s">
        <v>11</v>
      </c>
      <c r="I855">
        <f>VLOOKUP(Table4[[#This Row],[Visitor]],'NHL Model'!$A$6:$B$38,2,FALSE)</f>
        <v>-0.1981495100594213</v>
      </c>
      <c r="J855">
        <f>($B$1+Table4[[#This Row],[Home Differential]])-Table4[[#This Row],[Away Differential]]</f>
        <v>-1.2995999535338185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0.64691516685693062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4.5159124835038887E-2</v>
      </c>
      <c r="H856" t="s">
        <v>40</v>
      </c>
      <c r="I856">
        <f>VLOOKUP(Table4[[#This Row],[Visitor]],'NHL Model'!$A$6:$B$38,2,FALSE)</f>
        <v>0.13227623341979275</v>
      </c>
      <c r="J856">
        <f>($B$1+Table4[[#This Row],[Home Differential]])-Table4[[#This Row],[Away Differential]]</f>
        <v>0.12069400399639288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0.49104304455387465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-0.87485041382128448</v>
      </c>
      <c r="H857" t="s">
        <v>31</v>
      </c>
      <c r="I857">
        <f>VLOOKUP(Table4[[#This Row],[Visitor]],'NHL Model'!$A$6:$B$38,2,FALSE)</f>
        <v>0.50495447305652519</v>
      </c>
      <c r="J857">
        <f>($B$1+Table4[[#This Row],[Home Differential]])-Table4[[#This Row],[Away Differential]]</f>
        <v>-1.1719937742966628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0.64933141891203294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-5.4617353012467046E-4</v>
      </c>
      <c r="H858" t="s">
        <v>39</v>
      </c>
      <c r="I858">
        <f>VLOOKUP(Table4[[#This Row],[Visitor]],'NHL Model'!$A$6:$B$38,2,FALSE)</f>
        <v>5.4297665563734943E-2</v>
      </c>
      <c r="J858">
        <f>($B$1+Table4[[#This Row],[Home Differential]])-Table4[[#This Row],[Away Differential]]</f>
        <v>0.15296727348728714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0.46951435422133764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0.27981279116457602</v>
      </c>
      <c r="H859" t="s">
        <v>28</v>
      </c>
      <c r="I859">
        <f>VLOOKUP(Table4[[#This Row],[Visitor]],'NHL Model'!$A$6:$B$38,2,FALSE)</f>
        <v>-0.57641196648435689</v>
      </c>
      <c r="J859">
        <f>($B$1+Table4[[#This Row],[Home Differential]])-Table4[[#This Row],[Away Differential]]</f>
        <v>1.0640358702300796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0.70008107754229898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-0.73027559042992929</v>
      </c>
      <c r="H860" t="s">
        <v>18</v>
      </c>
      <c r="I860">
        <f>VLOOKUP(Table4[[#This Row],[Visitor]],'NHL Model'!$A$6:$B$38,2,FALSE)</f>
        <v>-0.67174708781561598</v>
      </c>
      <c r="J860">
        <f>($B$1+Table4[[#This Row],[Home Differential]])-Table4[[#This Row],[Away Differential]]</f>
        <v>0.1492826099668334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0.51688343879542709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-1.5116691651852812</v>
      </c>
      <c r="H861" t="s">
        <v>33</v>
      </c>
      <c r="I861">
        <f>VLOOKUP(Table4[[#This Row],[Visitor]],'NHL Model'!$A$6:$B$38,2,FALSE)</f>
        <v>-0.41822017589574972</v>
      </c>
      <c r="J861">
        <f>($B$1+Table4[[#This Row],[Home Differential]])-Table4[[#This Row],[Away Differential]]</f>
        <v>-0.88563787670838456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0.58737700632386014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-0.4561706649361581</v>
      </c>
      <c r="H862" t="s">
        <v>12</v>
      </c>
      <c r="I862">
        <f>VLOOKUP(Table4[[#This Row],[Visitor]],'NHL Model'!$A$6:$B$38,2,FALSE)</f>
        <v>1.4784730509534416</v>
      </c>
      <c r="J862">
        <f>($B$1+Table4[[#This Row],[Home Differential]])-Table4[[#This Row],[Away Differential]]</f>
        <v>-1.7268326033084529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0.73365608726988096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-0.8965878665431638</v>
      </c>
      <c r="H863" t="s">
        <v>34</v>
      </c>
      <c r="I863">
        <f>VLOOKUP(Table4[[#This Row],[Visitor]],'NHL Model'!$A$6:$B$38,2,FALSE)</f>
        <v>-0.62096640812916071</v>
      </c>
      <c r="J863">
        <f>($B$1+Table4[[#This Row],[Home Differential]])-Table4[[#This Row],[Away Differential]]</f>
        <v>-6.7810345832856389E-2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0.43371596725024175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-0.1981495100594213</v>
      </c>
      <c r="H864" t="s">
        <v>40</v>
      </c>
      <c r="I864">
        <f>VLOOKUP(Table4[[#This Row],[Visitor]],'NHL Model'!$A$6:$B$38,2,FALSE)</f>
        <v>0.13227623341979275</v>
      </c>
      <c r="J864">
        <f>($B$1+Table4[[#This Row],[Home Differential]])-Table4[[#This Row],[Away Differential]]</f>
        <v>-0.12261463089806729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0.47917353003095731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-6.1847876079686406E-2</v>
      </c>
      <c r="H865" t="s">
        <v>29</v>
      </c>
      <c r="I865">
        <f>VLOOKUP(Table4[[#This Row],[Visitor]],'NHL Model'!$A$6:$B$38,2,FALSE)</f>
        <v>-1.4469605932441605</v>
      </c>
      <c r="J865">
        <f>($B$1+Table4[[#This Row],[Home Differential]])-Table4[[#This Row],[Away Differential]]</f>
        <v>1.592923829745621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0.76910251929270768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-0.47846056309234386</v>
      </c>
      <c r="H866" t="s">
        <v>24</v>
      </c>
      <c r="I866">
        <f>VLOOKUP(Table4[[#This Row],[Visitor]],'NHL Model'!$A$6:$B$38,2,FALSE)</f>
        <v>0.29030528207371809</v>
      </c>
      <c r="J866">
        <f>($B$1+Table4[[#This Row],[Home Differential]])-Table4[[#This Row],[Away Differential]]</f>
        <v>-0.56095473258491513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0.58067940226928139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-0.59708196015665005</v>
      </c>
      <c r="H867" t="s">
        <v>13</v>
      </c>
      <c r="I867">
        <f>VLOOKUP(Table4[[#This Row],[Visitor]],'NHL Model'!$A$6:$B$38,2,FALSE)</f>
        <v>-0.15545019701583887</v>
      </c>
      <c r="J867">
        <f>($B$1+Table4[[#This Row],[Home Differential]])-Table4[[#This Row],[Away Differential]]</f>
        <v>-0.23382065055966442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0.59295132558542463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0.19552804934912488</v>
      </c>
      <c r="H868" t="s">
        <v>15</v>
      </c>
      <c r="I868">
        <f>VLOOKUP(Table4[[#This Row],[Visitor]],'NHL Model'!$A$6:$B$38,2,FALSE)</f>
        <v>-0.39108791057695064</v>
      </c>
      <c r="J868">
        <f>($B$1+Table4[[#This Row],[Home Differential]])-Table4[[#This Row],[Away Differential]]</f>
        <v>0.79442707250722222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0.56880405266988598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-1.7055605761743866</v>
      </c>
      <c r="H869" t="s">
        <v>28</v>
      </c>
      <c r="I869">
        <f>VLOOKUP(Table4[[#This Row],[Visitor]],'NHL Model'!$A$6:$B$38,2,FALSE)</f>
        <v>-0.57641196648435689</v>
      </c>
      <c r="J869">
        <f>($B$1+Table4[[#This Row],[Home Differential]])-Table4[[#This Row],[Away Differential]]</f>
        <v>-0.92133749710888291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0.59251150981914247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-0.21513148032837168</v>
      </c>
      <c r="H870" t="s">
        <v>39</v>
      </c>
      <c r="I870">
        <f>VLOOKUP(Table4[[#This Row],[Visitor]],'NHL Model'!$A$6:$B$38,2,FALSE)</f>
        <v>5.4297665563734943E-2</v>
      </c>
      <c r="J870">
        <f>($B$1+Table4[[#This Row],[Home Differential]])-Table4[[#This Row],[Away Differential]]</f>
        <v>-6.1618033310959858E-2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0.49162084398105838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-0.87485041382128448</v>
      </c>
      <c r="H871" t="s">
        <v>19</v>
      </c>
      <c r="I871">
        <f>VLOOKUP(Table4[[#This Row],[Visitor]],'NHL Model'!$A$6:$B$38,2,FALSE)</f>
        <v>-0.72519112941434305</v>
      </c>
      <c r="J871">
        <f>($B$1+Table4[[#This Row],[Home Differential]])-Table4[[#This Row],[Away Differential]]</f>
        <v>5.8151828174205389E-2</v>
      </c>
      <c r="K871" t="str">
        <f>IF(Table4[[#This Row],[HomeIce Differential]]&gt;0,Table4[[#This Row],[Home]],Table4[[#This Row],[Visitor]])</f>
        <v>Vancouver Canucks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0.54836369579474165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-5.4617353012467046E-4</v>
      </c>
      <c r="H872" t="s">
        <v>32</v>
      </c>
      <c r="I872">
        <f>VLOOKUP(Table4[[#This Row],[Visitor]],'NHL Model'!$A$6:$B$38,2,FALSE)</f>
        <v>-0.53589042422266964</v>
      </c>
      <c r="J872">
        <f>($B$1+Table4[[#This Row],[Home Differential]])-Table4[[#This Row],[Away Differential]]</f>
        <v>0.74315536327369169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0.64688443651387861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-7.0657671368725999E-2</v>
      </c>
      <c r="H873" t="s">
        <v>25</v>
      </c>
      <c r="I873">
        <f>VLOOKUP(Table4[[#This Row],[Visitor]],'NHL Model'!$A$6:$B$38,2,FALSE)</f>
        <v>0.67827132507054233</v>
      </c>
      <c r="J873">
        <f>($B$1+Table4[[#This Row],[Home Differential]])-Table4[[#This Row],[Away Differential]]</f>
        <v>-0.54111788385812154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0.6423424934266132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0.50495447305652519</v>
      </c>
      <c r="H874" t="s">
        <v>20</v>
      </c>
      <c r="I874">
        <f>VLOOKUP(Table4[[#This Row],[Visitor]],'NHL Model'!$A$6:$B$38,2,FALSE)</f>
        <v>-5.4617353012467046E-4</v>
      </c>
      <c r="J874">
        <f>($B$1+Table4[[#This Row],[Home Differential]])-Table4[[#This Row],[Away Differential]]</f>
        <v>0.71331175916779666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0.73417112284774233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0.67827132507054233</v>
      </c>
      <c r="H875" t="s">
        <v>13</v>
      </c>
      <c r="I875">
        <f>VLOOKUP(Table4[[#This Row],[Visitor]],'NHL Model'!$A$6:$B$38,2,FALSE)</f>
        <v>-0.15545019701583887</v>
      </c>
      <c r="J875">
        <f>($B$1+Table4[[#This Row],[Home Differential]])-Table4[[#This Row],[Away Differential]]</f>
        <v>1.041532634667528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0.64036463203901017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4.5159124835038887E-2</v>
      </c>
      <c r="H876" t="s">
        <v>21</v>
      </c>
      <c r="I876">
        <f>VLOOKUP(Table4[[#This Row],[Visitor]],'NHL Model'!$A$6:$B$38,2,FALSE)</f>
        <v>-5.2681296301607013E-2</v>
      </c>
      <c r="J876">
        <f>($B$1+Table4[[#This Row],[Home Differential]])-Table4[[#This Row],[Away Differential]]</f>
        <v>0.30565153371779263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0.58396037970730141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-1.5116691651852812</v>
      </c>
      <c r="H877" t="s">
        <v>19</v>
      </c>
      <c r="I877">
        <f>VLOOKUP(Table4[[#This Row],[Visitor]],'NHL Model'!$A$6:$B$38,2,FALSE)</f>
        <v>-0.72519112941434305</v>
      </c>
      <c r="J877">
        <f>($B$1+Table4[[#This Row],[Home Differential]])-Table4[[#This Row],[Away Differential]]</f>
        <v>-0.57866692318979129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0.5432268608570644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0.27981279116457602</v>
      </c>
      <c r="H878" t="s">
        <v>33</v>
      </c>
      <c r="I878">
        <f>VLOOKUP(Table4[[#This Row],[Visitor]],'NHL Model'!$A$6:$B$38,2,FALSE)</f>
        <v>-0.41822017589574972</v>
      </c>
      <c r="J878">
        <f>($B$1+Table4[[#This Row],[Home Differential]])-Table4[[#This Row],[Away Differential]]</f>
        <v>0.90584407964147251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0.67732911848531008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1.4784730509534416</v>
      </c>
      <c r="H879" t="s">
        <v>26</v>
      </c>
      <c r="I879">
        <f>VLOOKUP(Table4[[#This Row],[Visitor]],'NHL Model'!$A$6:$B$38,2,FALSE)</f>
        <v>-0.4561706649361581</v>
      </c>
      <c r="J879">
        <f>($B$1+Table4[[#This Row],[Home Differential]])-Table4[[#This Row],[Away Differential]]</f>
        <v>2.1424548284707465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0.89147223458378289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5.4297665563734943E-2</v>
      </c>
      <c r="H880" t="s">
        <v>40</v>
      </c>
      <c r="I880">
        <f>VLOOKUP(Table4[[#This Row],[Visitor]],'NHL Model'!$A$6:$B$38,2,FALSE)</f>
        <v>0.13227623341979275</v>
      </c>
      <c r="J880">
        <f>($B$1+Table4[[#This Row],[Home Differential]])-Table4[[#This Row],[Away Differential]]</f>
        <v>0.12983254472508896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0.49486366226959394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-0.1981495100594213</v>
      </c>
      <c r="H881" t="s">
        <v>23</v>
      </c>
      <c r="I881">
        <f>VLOOKUP(Table4[[#This Row],[Visitor]],'NHL Model'!$A$6:$B$38,2,FALSE)</f>
        <v>-0.73027559042992929</v>
      </c>
      <c r="J881">
        <f>($B$1+Table4[[#This Row],[Home Differential]])-Table4[[#This Row],[Away Differential]]</f>
        <v>0.73993719295165472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0.70986985852535911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-0.62096640812916071</v>
      </c>
      <c r="H882" t="s">
        <v>18</v>
      </c>
      <c r="I882">
        <f>VLOOKUP(Table4[[#This Row],[Visitor]],'NHL Model'!$A$6:$B$38,2,FALSE)</f>
        <v>-0.67174708781561598</v>
      </c>
      <c r="J882">
        <f>($B$1+Table4[[#This Row],[Home Differential]])-Table4[[#This Row],[Away Differential]]</f>
        <v>0.25859179226760204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0.53009261354212445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-1.4469605932441605</v>
      </c>
      <c r="H883" t="s">
        <v>35</v>
      </c>
      <c r="I883">
        <f>VLOOKUP(Table4[[#This Row],[Visitor]],'NHL Model'!$A$6:$B$38,2,FALSE)</f>
        <v>-1.7055605761743866</v>
      </c>
      <c r="J883">
        <f>($B$1+Table4[[#This Row],[Home Differential]])-Table4[[#This Row],[Away Differential]]</f>
        <v>0.46641109551137294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0.60708164886000326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0.19552804934912488</v>
      </c>
      <c r="H884" t="s">
        <v>36</v>
      </c>
      <c r="I884">
        <f>VLOOKUP(Table4[[#This Row],[Visitor]],'NHL Model'!$A$6:$B$38,2,FALSE)</f>
        <v>-0.47846056309234386</v>
      </c>
      <c r="J884">
        <f>($B$1+Table4[[#This Row],[Home Differential]])-Table4[[#This Row],[Away Differential]]</f>
        <v>0.8817997250226155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0.70286184991598022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-0.21513148032837168</v>
      </c>
      <c r="H885" t="s">
        <v>38</v>
      </c>
      <c r="I885">
        <f>VLOOKUP(Table4[[#This Row],[Visitor]],'NHL Model'!$A$6:$B$38,2,FALSE)</f>
        <v>-0.87485041382128448</v>
      </c>
      <c r="J885">
        <f>($B$1+Table4[[#This Row],[Home Differential]])-Table4[[#This Row],[Away Differential]]</f>
        <v>0.86753004607405959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0.7130079388645244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-7.0657671368725999E-2</v>
      </c>
      <c r="H886" t="s">
        <v>30</v>
      </c>
      <c r="I886">
        <f>VLOOKUP(Table4[[#This Row],[Visitor]],'NHL Model'!$A$6:$B$38,2,FALSE)</f>
        <v>-6.1847876079686406E-2</v>
      </c>
      <c r="J886">
        <f>($B$1+Table4[[#This Row],[Home Differential]])-Table4[[#This Row],[Away Differential]]</f>
        <v>0.19900131729210718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0.50933356179870737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0.50495447305652519</v>
      </c>
      <c r="H887" t="s">
        <v>32</v>
      </c>
      <c r="I887">
        <f>VLOOKUP(Table4[[#This Row],[Visitor]],'NHL Model'!$A$6:$B$38,2,FALSE)</f>
        <v>-0.53589042422266964</v>
      </c>
      <c r="J887">
        <f>($B$1+Table4[[#This Row],[Home Differential]])-Table4[[#This Row],[Away Differential]]</f>
        <v>1.2486560098603416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0.83034736526832331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0.67827132507054233</v>
      </c>
      <c r="H888" t="s">
        <v>36</v>
      </c>
      <c r="I888">
        <f>VLOOKUP(Table4[[#This Row],[Visitor]],'NHL Model'!$A$6:$B$38,2,FALSE)</f>
        <v>-0.47846056309234386</v>
      </c>
      <c r="J888">
        <f>($B$1+Table4[[#This Row],[Home Differential]])-Table4[[#This Row],[Away Differential]]</f>
        <v>1.3645430007440331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0.78797158712450999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-0.8965878665431638</v>
      </c>
      <c r="H889" t="s">
        <v>19</v>
      </c>
      <c r="I889">
        <f>VLOOKUP(Table4[[#This Row],[Visitor]],'NHL Model'!$A$6:$B$38,2,FALSE)</f>
        <v>-0.72519112941434305</v>
      </c>
      <c r="J889">
        <f>($B$1+Table4[[#This Row],[Home Differential]])-Table4[[#This Row],[Away Differential]]</f>
        <v>3.6414375452325953E-2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0.58127416961200162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0.29030528207371809</v>
      </c>
      <c r="H890" t="s">
        <v>28</v>
      </c>
      <c r="I890">
        <f>VLOOKUP(Table4[[#This Row],[Visitor]],'NHL Model'!$A$6:$B$38,2,FALSE)</f>
        <v>-0.57641196648435689</v>
      </c>
      <c r="J890">
        <f>($B$1+Table4[[#This Row],[Home Differential]])-Table4[[#This Row],[Away Differential]]</f>
        <v>1.0745283611392218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0.80997492144114336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-6.1847876079686406E-2</v>
      </c>
      <c r="H891" t="s">
        <v>14</v>
      </c>
      <c r="I891">
        <f>VLOOKUP(Table4[[#This Row],[Visitor]],'NHL Model'!$A$6:$B$38,2,FALSE)</f>
        <v>0.19552804934912488</v>
      </c>
      <c r="J891">
        <f>($B$1+Table4[[#This Row],[Home Differential]])-Table4[[#This Row],[Away Differential]]</f>
        <v>-4.9564812847664508E-2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0.46712866697052607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-0.59708196015665005</v>
      </c>
      <c r="H892" t="s">
        <v>22</v>
      </c>
      <c r="I892">
        <f>VLOOKUP(Table4[[#This Row],[Visitor]],'NHL Model'!$A$6:$B$38,2,FALSE)</f>
        <v>-7.0657671368725999E-2</v>
      </c>
      <c r="J892">
        <f>($B$1+Table4[[#This Row],[Home Differential]])-Table4[[#This Row],[Away Differential]]</f>
        <v>-0.31861317620677732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0.50332911076395814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4.5159124835038887E-2</v>
      </c>
      <c r="H893" t="s">
        <v>23</v>
      </c>
      <c r="I893">
        <f>VLOOKUP(Table4[[#This Row],[Visitor]],'NHL Model'!$A$6:$B$38,2,FALSE)</f>
        <v>-0.73027559042992929</v>
      </c>
      <c r="J893">
        <f>($B$1+Table4[[#This Row],[Home Differential]])-Table4[[#This Row],[Away Differential]]</f>
        <v>0.98324582784611492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0.68141548518334494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-0.57641196648435689</v>
      </c>
      <c r="H894" t="s">
        <v>10</v>
      </c>
      <c r="I894">
        <f>VLOOKUP(Table4[[#This Row],[Visitor]],'NHL Model'!$A$6:$B$38,2,FALSE)</f>
        <v>0.27981279116457602</v>
      </c>
      <c r="J894">
        <f>($B$1+Table4[[#This Row],[Home Differential]])-Table4[[#This Row],[Away Differential]]</f>
        <v>-0.6484136450677862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0.56694240458103107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-1.5116691651852812</v>
      </c>
      <c r="H895" t="s">
        <v>17</v>
      </c>
      <c r="I895">
        <f>VLOOKUP(Table4[[#This Row],[Visitor]],'NHL Model'!$A$6:$B$38,2,FALSE)</f>
        <v>-0.8965878665431638</v>
      </c>
      <c r="J895">
        <f>($B$1+Table4[[#This Row],[Home Differential]])-Table4[[#This Row],[Away Differential]]</f>
        <v>-0.40727018606097054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0.5185756982958053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1.4784730509534416</v>
      </c>
      <c r="H896" t="s">
        <v>33</v>
      </c>
      <c r="I896">
        <f>VLOOKUP(Table4[[#This Row],[Visitor]],'NHL Model'!$A$6:$B$38,2,FALSE)</f>
        <v>-0.41822017589574972</v>
      </c>
      <c r="J896">
        <f>($B$1+Table4[[#This Row],[Home Differential]])-Table4[[#This Row],[Away Differential]]</f>
        <v>2.104504339430338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0.93104691397634176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5.4297665563734943E-2</v>
      </c>
      <c r="H897" t="s">
        <v>35</v>
      </c>
      <c r="I897">
        <f>VLOOKUP(Table4[[#This Row],[Visitor]],'NHL Model'!$A$6:$B$38,2,FALSE)</f>
        <v>-1.7055605761743866</v>
      </c>
      <c r="J897">
        <f>($B$1+Table4[[#This Row],[Home Differential]])-Table4[[#This Row],[Away Differential]]</f>
        <v>1.9676693543192683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0.8254958322605116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-0.1981495100594213</v>
      </c>
      <c r="H898" t="s">
        <v>21</v>
      </c>
      <c r="I898">
        <f>VLOOKUP(Table4[[#This Row],[Visitor]],'NHL Model'!$A$6:$B$38,2,FALSE)</f>
        <v>-5.2681296301607013E-2</v>
      </c>
      <c r="J898">
        <f>($B$1+Table4[[#This Row],[Home Differential]])-Table4[[#This Row],[Away Differential]]</f>
        <v>6.2342898823332472E-2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0.6124147530493157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-0.15545019701583887</v>
      </c>
      <c r="H899" t="s">
        <v>32</v>
      </c>
      <c r="I899">
        <f>VLOOKUP(Table4[[#This Row],[Visitor]],'NHL Model'!$A$6:$B$38,2,FALSE)</f>
        <v>-0.53589042422266964</v>
      </c>
      <c r="J899">
        <f>($B$1+Table4[[#This Row],[Home Differential]])-Table4[[#This Row],[Away Differential]]</f>
        <v>0.5882513397879775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0.62460534107538468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-1.4469605932441605</v>
      </c>
      <c r="H900" t="s">
        <v>34</v>
      </c>
      <c r="I900">
        <f>VLOOKUP(Table4[[#This Row],[Visitor]],'NHL Model'!$A$6:$B$38,2,FALSE)</f>
        <v>-0.62096640812916071</v>
      </c>
      <c r="J900">
        <f>($B$1+Table4[[#This Row],[Home Differential]])-Table4[[#This Row],[Away Differential]]</f>
        <v>-0.61818307253385296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0.54891027722538954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-0.21513148032837168</v>
      </c>
      <c r="H901" t="s">
        <v>26</v>
      </c>
      <c r="I901">
        <f>VLOOKUP(Table4[[#This Row],[Visitor]],'NHL Model'!$A$6:$B$38,2,FALSE)</f>
        <v>-0.4561706649361581</v>
      </c>
      <c r="J901">
        <f>($B$1+Table4[[#This Row],[Home Differential]])-Table4[[#This Row],[Away Differential]]</f>
        <v>0.44885029718893321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0.62705596429095223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-5.4617353012467046E-4</v>
      </c>
      <c r="H902" t="s">
        <v>38</v>
      </c>
      <c r="I902">
        <f>VLOOKUP(Table4[[#This Row],[Visitor]],'NHL Model'!$A$6:$B$38,2,FALSE)</f>
        <v>-0.87485041382128448</v>
      </c>
      <c r="J902">
        <f>($B$1+Table4[[#This Row],[Home Differential]])-Table4[[#This Row],[Away Differential]]</f>
        <v>1.0821153528723066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0.67486617933569137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0.13227623341979275</v>
      </c>
      <c r="H903" t="s">
        <v>18</v>
      </c>
      <c r="I903">
        <f>VLOOKUP(Table4[[#This Row],[Visitor]],'NHL Model'!$A$6:$B$38,2,FALSE)</f>
        <v>-0.67174708781561598</v>
      </c>
      <c r="J903">
        <f>($B$1+Table4[[#This Row],[Home Differential]])-Table4[[#This Row],[Away Differential]]</f>
        <v>1.0118344338165555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0.69098179136906124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-0.73027559042992929</v>
      </c>
      <c r="H904" t="s">
        <v>14</v>
      </c>
      <c r="I904">
        <f>VLOOKUP(Table4[[#This Row],[Visitor]],'NHL Model'!$A$6:$B$38,2,FALSE)</f>
        <v>0.19552804934912488</v>
      </c>
      <c r="J904">
        <f>($B$1+Table4[[#This Row],[Home Differential]])-Table4[[#This Row],[Away Differential]]</f>
        <v>-0.71799252719790752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0.56076990847000174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0.29030528207371809</v>
      </c>
      <c r="H905" t="s">
        <v>30</v>
      </c>
      <c r="I905">
        <f>VLOOKUP(Table4[[#This Row],[Visitor]],'NHL Model'!$A$6:$B$38,2,FALSE)</f>
        <v>-6.1847876079686406E-2</v>
      </c>
      <c r="J905">
        <f>($B$1+Table4[[#This Row],[Home Differential]])-Table4[[#This Row],[Away Differential]]</f>
        <v>0.55996427073455124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0.68053694893852923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-0.39108791057695064</v>
      </c>
      <c r="H906" t="s">
        <v>25</v>
      </c>
      <c r="I906">
        <f>VLOOKUP(Table4[[#This Row],[Visitor]],'NHL Model'!$A$6:$B$38,2,FALSE)</f>
        <v>0.67827132507054233</v>
      </c>
      <c r="J906">
        <f>($B$1+Table4[[#This Row],[Home Differential]])-Table4[[#This Row],[Away Differential]]</f>
        <v>-0.86154812306634621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0.68842842276567795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-0.59708196015665005</v>
      </c>
      <c r="H907" t="s">
        <v>36</v>
      </c>
      <c r="I907">
        <f>VLOOKUP(Table4[[#This Row],[Visitor]],'NHL Model'!$A$6:$B$38,2,FALSE)</f>
        <v>-0.47846056309234386</v>
      </c>
      <c r="J907">
        <f>($B$1+Table4[[#This Row],[Home Differential]])-Table4[[#This Row],[Away Differential]]</f>
        <v>8.9189715516840573E-2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0.55532320400720836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4.5159124835038887E-2</v>
      </c>
      <c r="H908" t="s">
        <v>11</v>
      </c>
      <c r="I908">
        <f>VLOOKUP(Table4[[#This Row],[Visitor]],'NHL Model'!$A$6:$B$38,2,FALSE)</f>
        <v>-0.1981495100594213</v>
      </c>
      <c r="J908">
        <f>($B$1+Table4[[#This Row],[Home Differential]])-Table4[[#This Row],[Away Differential]]</f>
        <v>0.4511197474756069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0.60488236833386844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-5.4617353012467046E-4</v>
      </c>
      <c r="H909" t="s">
        <v>13</v>
      </c>
      <c r="I909">
        <f>VLOOKUP(Table4[[#This Row],[Visitor]],'NHL Model'!$A$6:$B$38,2,FALSE)</f>
        <v>-0.15545019701583887</v>
      </c>
      <c r="J909">
        <f>($B$1+Table4[[#This Row],[Home Differential]])-Table4[[#This Row],[Away Differential]]</f>
        <v>0.36271513606686095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0.49036980844331884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-7.0657671368725999E-2</v>
      </c>
      <c r="H910" t="s">
        <v>29</v>
      </c>
      <c r="I910">
        <f>VLOOKUP(Table4[[#This Row],[Visitor]],'NHL Model'!$A$6:$B$38,2,FALSE)</f>
        <v>-1.4469605932441605</v>
      </c>
      <c r="J910">
        <f>($B$1+Table4[[#This Row],[Home Differential]])-Table4[[#This Row],[Away Differential]]</f>
        <v>1.5841140344565812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0.76783544910549462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0.50495447305652519</v>
      </c>
      <c r="H911" t="s">
        <v>17</v>
      </c>
      <c r="I911">
        <f>VLOOKUP(Table4[[#This Row],[Visitor]],'NHL Model'!$A$6:$B$38,2,FALSE)</f>
        <v>-0.8965878665431638</v>
      </c>
      <c r="J911">
        <f>($B$1+Table4[[#This Row],[Home Differential]])-Table4[[#This Row],[Away Differential]]</f>
        <v>1.6093534521808359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0.88222473140155389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5.4297665563734943E-2</v>
      </c>
      <c r="H912" t="s">
        <v>32</v>
      </c>
      <c r="I912">
        <f>VLOOKUP(Table4[[#This Row],[Visitor]],'NHL Model'!$A$6:$B$38,2,FALSE)</f>
        <v>-0.53589042422266964</v>
      </c>
      <c r="J912">
        <f>($B$1+Table4[[#This Row],[Home Differential]])-Table4[[#This Row],[Away Differential]]</f>
        <v>0.79799920236755129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0.6572678394653908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-0.15545019701583887</v>
      </c>
      <c r="H913" t="s">
        <v>20</v>
      </c>
      <c r="I913">
        <f>VLOOKUP(Table4[[#This Row],[Visitor]],'NHL Model'!$A$6:$B$38,2,FALSE)</f>
        <v>-5.4617353012467046E-4</v>
      </c>
      <c r="J913">
        <f>($B$1+Table4[[#This Row],[Home Differential]])-Table4[[#This Row],[Away Differential]]</f>
        <v>5.2907089095432562E-2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0.52684013960608911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0.29030528207371809</v>
      </c>
      <c r="H914" t="s">
        <v>23</v>
      </c>
      <c r="I914">
        <f>VLOOKUP(Table4[[#This Row],[Visitor]],'NHL Model'!$A$6:$B$38,2,FALSE)</f>
        <v>-0.73027559042992929</v>
      </c>
      <c r="J914">
        <f>($B$1+Table4[[#This Row],[Home Differential]])-Table4[[#This Row],[Away Differential]]</f>
        <v>1.2283919850847942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0.8321043812528317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4.5159124835038887E-2</v>
      </c>
      <c r="H915" t="s">
        <v>19</v>
      </c>
      <c r="I915">
        <f>VLOOKUP(Table4[[#This Row],[Visitor]],'NHL Model'!$A$6:$B$38,2,FALSE)</f>
        <v>-0.72519112941434305</v>
      </c>
      <c r="J915">
        <f>($B$1+Table4[[#This Row],[Home Differential]])-Table4[[#This Row],[Away Differential]]</f>
        <v>0.97816136683052868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0.68068421178146332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-0.21513148032837168</v>
      </c>
      <c r="H916" t="s">
        <v>12</v>
      </c>
      <c r="I916">
        <f>VLOOKUP(Table4[[#This Row],[Visitor]],'NHL Model'!$A$6:$B$38,2,FALSE)</f>
        <v>1.4784730509534416</v>
      </c>
      <c r="J916">
        <f>($B$1+Table4[[#This Row],[Home Differential]])-Table4[[#This Row],[Away Differential]]</f>
        <v>-1.4857934187006665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0.67021621027611844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-0.87485041382128448</v>
      </c>
      <c r="H917" t="s">
        <v>40</v>
      </c>
      <c r="I917">
        <f>VLOOKUP(Table4[[#This Row],[Visitor]],'NHL Model'!$A$6:$B$38,2,FALSE)</f>
        <v>0.13227623341979275</v>
      </c>
      <c r="J917">
        <f>($B$1+Table4[[#This Row],[Home Differential]])-Table4[[#This Row],[Away Differential]]</f>
        <v>-0.79931553465993044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0.64127747143284697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-7.0657671368725999E-2</v>
      </c>
      <c r="H918" t="s">
        <v>27</v>
      </c>
      <c r="I918">
        <f>VLOOKUP(Table4[[#This Row],[Visitor]],'NHL Model'!$A$6:$B$38,2,FALSE)</f>
        <v>-0.59708196015665005</v>
      </c>
      <c r="J918">
        <f>($B$1+Table4[[#This Row],[Home Differential]])-Table4[[#This Row],[Away Differential]]</f>
        <v>0.73423540136907084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0.64560152159592554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-5.2681296301607013E-2</v>
      </c>
      <c r="H919" t="s">
        <v>28</v>
      </c>
      <c r="I919">
        <f>VLOOKUP(Table4[[#This Row],[Visitor]],'NHL Model'!$A$6:$B$38,2,FALSE)</f>
        <v>-0.57641196648435689</v>
      </c>
      <c r="J919">
        <f>($B$1+Table4[[#This Row],[Home Differential]])-Table4[[#This Row],[Away Differential]]</f>
        <v>0.73154178276389659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0.6969300878095297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0.67827132507054233</v>
      </c>
      <c r="H920" t="s">
        <v>37</v>
      </c>
      <c r="I920">
        <f>VLOOKUP(Table4[[#This Row],[Visitor]],'NHL Model'!$A$6:$B$38,2,FALSE)</f>
        <v>4.5159124835038887E-2</v>
      </c>
      <c r="J920">
        <f>($B$1+Table4[[#This Row],[Home Differential]])-Table4[[#This Row],[Away Differential]]</f>
        <v>0.84092331281665023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0.66640047262359925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1.4784730509534416</v>
      </c>
      <c r="H921" t="s">
        <v>34</v>
      </c>
      <c r="I921">
        <f>VLOOKUP(Table4[[#This Row],[Visitor]],'NHL Model'!$A$6:$B$38,2,FALSE)</f>
        <v>-0.62096640812916071</v>
      </c>
      <c r="J921">
        <f>($B$1+Table4[[#This Row],[Home Differential]])-Table4[[#This Row],[Away Differential]]</f>
        <v>2.307250571663749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0.96020692258089424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-0.1981495100594213</v>
      </c>
      <c r="H922" t="s">
        <v>19</v>
      </c>
      <c r="I922">
        <f>VLOOKUP(Table4[[#This Row],[Visitor]],'NHL Model'!$A$6:$B$38,2,FALSE)</f>
        <v>-0.72519112941434305</v>
      </c>
      <c r="J922">
        <f>($B$1+Table4[[#This Row],[Home Differential]])-Table4[[#This Row],[Away Differential]]</f>
        <v>0.73485273193606848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0.7091385851234776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-0.15545019701583887</v>
      </c>
      <c r="H923" t="s">
        <v>17</v>
      </c>
      <c r="I923">
        <f>VLOOKUP(Table4[[#This Row],[Visitor]],'NHL Model'!$A$6:$B$38,2,FALSE)</f>
        <v>-0.8965878665431638</v>
      </c>
      <c r="J923">
        <f>($B$1+Table4[[#This Row],[Home Differential]])-Table4[[#This Row],[Away Differential]]</f>
        <v>0.94894878210847167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0.67648270720861525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-0.67174708781561598</v>
      </c>
      <c r="H924" t="s">
        <v>30</v>
      </c>
      <c r="I924">
        <f>VLOOKUP(Table4[[#This Row],[Visitor]],'NHL Model'!$A$6:$B$38,2,FALSE)</f>
        <v>-6.1847876079686406E-2</v>
      </c>
      <c r="J924">
        <f>($B$1+Table4[[#This Row],[Home Differential]])-Table4[[#This Row],[Away Differential]]</f>
        <v>-0.40208809915478283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0.57711821766281113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-1.4469605932441605</v>
      </c>
      <c r="H925" t="s">
        <v>10</v>
      </c>
      <c r="I925">
        <f>VLOOKUP(Table4[[#This Row],[Visitor]],'NHL Model'!$A$6:$B$38,2,FALSE)</f>
        <v>0.27981279116457602</v>
      </c>
      <c r="J925">
        <f>($B$1+Table4[[#This Row],[Home Differential]])-Table4[[#This Row],[Away Differential]]</f>
        <v>-1.5189622718275897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0.69923421741071268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-0.39108791057695064</v>
      </c>
      <c r="H926" t="s">
        <v>27</v>
      </c>
      <c r="I926">
        <f>VLOOKUP(Table4[[#This Row],[Visitor]],'NHL Model'!$A$6:$B$38,2,FALSE)</f>
        <v>-0.59708196015665005</v>
      </c>
      <c r="J926">
        <f>($B$1+Table4[[#This Row],[Home Differential]])-Table4[[#This Row],[Away Differential]]</f>
        <v>0.41380516216084617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0.59951559225686069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-0.47846056309234386</v>
      </c>
      <c r="H927" t="s">
        <v>26</v>
      </c>
      <c r="I927">
        <f>VLOOKUP(Table4[[#This Row],[Visitor]],'NHL Model'!$A$6:$B$38,2,FALSE)</f>
        <v>-0.4561706649361581</v>
      </c>
      <c r="J927">
        <f>($B$1+Table4[[#This Row],[Home Differential]])-Table4[[#This Row],[Away Differential]]</f>
        <v>0.185521214424961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0.52209546175721222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0.19552804934912488</v>
      </c>
      <c r="H928" t="s">
        <v>24</v>
      </c>
      <c r="I928">
        <f>VLOOKUP(Table4[[#This Row],[Visitor]],'NHL Model'!$A$6:$B$38,2,FALSE)</f>
        <v>0.29030528207371809</v>
      </c>
      <c r="J928">
        <f>($B$1+Table4[[#This Row],[Home Differential]])-Table4[[#This Row],[Away Differential]]</f>
        <v>0.11303387985655355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0.55023769799770983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-0.41822017589574972</v>
      </c>
      <c r="H929" t="s">
        <v>16</v>
      </c>
      <c r="I929">
        <f>VLOOKUP(Table4[[#This Row],[Visitor]],'NHL Model'!$A$6:$B$38,2,FALSE)</f>
        <v>-1.5116691651852812</v>
      </c>
      <c r="J929">
        <f>($B$1+Table4[[#This Row],[Home Differential]])-Table4[[#This Row],[Away Differential]]</f>
        <v>1.3012601018706782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0.72715393795148753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-1.7055605761743866</v>
      </c>
      <c r="H930" t="s">
        <v>32</v>
      </c>
      <c r="I930">
        <f>VLOOKUP(Table4[[#This Row],[Visitor]],'NHL Model'!$A$6:$B$38,2,FALSE)</f>
        <v>-0.53589042422266964</v>
      </c>
      <c r="J930">
        <f>($B$1+Table4[[#This Row],[Home Differential]])-Table4[[#This Row],[Away Differential]]</f>
        <v>-0.96185903937057016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0.5983395269813071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0.50495447305652519</v>
      </c>
      <c r="H931" t="s">
        <v>40</v>
      </c>
      <c r="I931">
        <f>VLOOKUP(Table4[[#This Row],[Visitor]],'NHL Model'!$A$6:$B$38,2,FALSE)</f>
        <v>0.13227623341979275</v>
      </c>
      <c r="J931">
        <f>($B$1+Table4[[#This Row],[Home Differential]])-Table4[[#This Row],[Away Differential]]</f>
        <v>0.58048935221787923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0.67172426611510028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-0.1981495100594213</v>
      </c>
      <c r="H932" t="s">
        <v>23</v>
      </c>
      <c r="I932">
        <f>VLOOKUP(Table4[[#This Row],[Visitor]],'NHL Model'!$A$6:$B$38,2,FALSE)</f>
        <v>-0.73027559042992929</v>
      </c>
      <c r="J932">
        <f>($B$1+Table4[[#This Row],[Home Differential]])-Table4[[#This Row],[Away Differential]]</f>
        <v>0.73993719295165472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0.70986985852535911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-0.21513148032837168</v>
      </c>
      <c r="H933" t="s">
        <v>34</v>
      </c>
      <c r="I933">
        <f>VLOOKUP(Table4[[#This Row],[Visitor]],'NHL Model'!$A$6:$B$38,2,FALSE)</f>
        <v>-0.62096640812916071</v>
      </c>
      <c r="J933">
        <f>($B$1+Table4[[#This Row],[Home Differential]])-Table4[[#This Row],[Away Differential]]</f>
        <v>0.61364604038193582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0.696530243948287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-7.0657671368725999E-2</v>
      </c>
      <c r="H934" t="s">
        <v>20</v>
      </c>
      <c r="I934">
        <f>VLOOKUP(Table4[[#This Row],[Visitor]],'NHL Model'!$A$6:$B$38,2,FALSE)</f>
        <v>-5.4617353012467046E-4</v>
      </c>
      <c r="J934">
        <f>($B$1+Table4[[#This Row],[Home Differential]])-Table4[[#This Row],[Away Differential]]</f>
        <v>0.13769961474254544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0.5390354378872676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0.67827132507054233</v>
      </c>
      <c r="H935" t="s">
        <v>26</v>
      </c>
      <c r="I935">
        <f>VLOOKUP(Table4[[#This Row],[Visitor]],'NHL Model'!$A$6:$B$38,2,FALSE)</f>
        <v>-0.4561706649361581</v>
      </c>
      <c r="J935">
        <f>($B$1+Table4[[#This Row],[Home Differential]])-Table4[[#This Row],[Away Differential]]</f>
        <v>1.3422531025878472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0.73850430815439583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-0.57641196648435689</v>
      </c>
      <c r="H936" t="s">
        <v>30</v>
      </c>
      <c r="I936">
        <f>VLOOKUP(Table4[[#This Row],[Visitor]],'NHL Model'!$A$6:$B$38,2,FALSE)</f>
        <v>-6.1847876079686406E-2</v>
      </c>
      <c r="J936">
        <f>($B$1+Table4[[#This Row],[Home Differential]])-Table4[[#This Row],[Away Differential]]</f>
        <v>-0.30675297782352373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0.55631391702953303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1.4784730509534416</v>
      </c>
      <c r="H937" t="s">
        <v>10</v>
      </c>
      <c r="I937">
        <f>VLOOKUP(Table4[[#This Row],[Visitor]],'NHL Model'!$A$6:$B$38,2,FALSE)</f>
        <v>0.27981279116457602</v>
      </c>
      <c r="J937">
        <f>($B$1+Table4[[#This Row],[Home Differential]])-Table4[[#This Row],[Away Differential]]</f>
        <v>1.4064713723700124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0.81098161758288001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5.4297665563734943E-2</v>
      </c>
      <c r="H938" t="s">
        <v>29</v>
      </c>
      <c r="I938">
        <f>VLOOKUP(Table4[[#This Row],[Visitor]],'NHL Model'!$A$6:$B$38,2,FALSE)</f>
        <v>-1.4469605932441605</v>
      </c>
      <c r="J938">
        <f>($B$1+Table4[[#This Row],[Home Differential]])-Table4[[#This Row],[Away Differential]]</f>
        <v>1.7090693713890421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0.78830264921432214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-0.15545019701583887</v>
      </c>
      <c r="H939" t="s">
        <v>16</v>
      </c>
      <c r="I939">
        <f>VLOOKUP(Table4[[#This Row],[Visitor]],'NHL Model'!$A$6:$B$38,2,FALSE)</f>
        <v>-1.5116691651852812</v>
      </c>
      <c r="J939">
        <f>($B$1+Table4[[#This Row],[Home Differential]])-Table4[[#This Row],[Away Differential]]</f>
        <v>1.5640300807505891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0.76494687131823424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-0.67174708781561598</v>
      </c>
      <c r="H940" t="s">
        <v>22</v>
      </c>
      <c r="I940">
        <f>VLOOKUP(Table4[[#This Row],[Visitor]],'NHL Model'!$A$6:$B$38,2,FALSE)</f>
        <v>-7.0657671368725999E-2</v>
      </c>
      <c r="J940">
        <f>($B$1+Table4[[#This Row],[Home Differential]])-Table4[[#This Row],[Away Differential]]</f>
        <v>-0.39327830386574325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0.51656331364770491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-0.39108791057695064</v>
      </c>
      <c r="H941" t="s">
        <v>14</v>
      </c>
      <c r="I941">
        <f>VLOOKUP(Table4[[#This Row],[Visitor]],'NHL Model'!$A$6:$B$38,2,FALSE)</f>
        <v>0.19552804934912488</v>
      </c>
      <c r="J941">
        <f>($B$1+Table4[[#This Row],[Home Differential]])-Table4[[#This Row],[Away Differential]]</f>
        <v>-0.37880484734492875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0.51448166649680405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-0.59708196015665005</v>
      </c>
      <c r="H942" t="s">
        <v>21</v>
      </c>
      <c r="I942">
        <f>VLOOKUP(Table4[[#This Row],[Visitor]],'NHL Model'!$A$6:$B$38,2,FALSE)</f>
        <v>-5.2681296301607013E-2</v>
      </c>
      <c r="J942">
        <f>($B$1+Table4[[#This Row],[Home Differential]])-Table4[[#This Row],[Away Differential]]</f>
        <v>-0.33658955127389628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0.5059145657233991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-0.53589042422266964</v>
      </c>
      <c r="H943" t="s">
        <v>38</v>
      </c>
      <c r="I943">
        <f>VLOOKUP(Table4[[#This Row],[Visitor]],'NHL Model'!$A$6:$B$38,2,FALSE)</f>
        <v>-0.87485041382128448</v>
      </c>
      <c r="J943">
        <f>($B$1+Table4[[#This Row],[Home Differential]])-Table4[[#This Row],[Away Differential]]</f>
        <v>0.54677110217976166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0.62409398485940271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-0.41822017589574972</v>
      </c>
      <c r="H944" t="s">
        <v>17</v>
      </c>
      <c r="I944">
        <f>VLOOKUP(Table4[[#This Row],[Visitor]],'NHL Model'!$A$6:$B$38,2,FALSE)</f>
        <v>-0.8965878665431638</v>
      </c>
      <c r="J944">
        <f>($B$1+Table4[[#This Row],[Home Differential]])-Table4[[#This Row],[Away Differential]]</f>
        <v>0.68617880322856084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0.63868977384186854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-1.7055605761743866</v>
      </c>
      <c r="H945" t="s">
        <v>24</v>
      </c>
      <c r="I945">
        <f>VLOOKUP(Table4[[#This Row],[Visitor]],'NHL Model'!$A$6:$B$38,2,FALSE)</f>
        <v>0.29030528207371809</v>
      </c>
      <c r="J945">
        <f>($B$1+Table4[[#This Row],[Home Differential]])-Table4[[#This Row],[Away Differential]]</f>
        <v>-1.7880547456669578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0.75967981665005546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4.5159124835038887E-2</v>
      </c>
      <c r="H946" t="s">
        <v>23</v>
      </c>
      <c r="I946">
        <f>VLOOKUP(Table4[[#This Row],[Visitor]],'NHL Model'!$A$6:$B$38,2,FALSE)</f>
        <v>-0.73027559042992929</v>
      </c>
      <c r="J946">
        <f>($B$1+Table4[[#This Row],[Home Differential]])-Table4[[#This Row],[Away Differential]]</f>
        <v>0.98324582784611492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0.68141548518334494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-0.72519112941434305</v>
      </c>
      <c r="H947" t="s">
        <v>36</v>
      </c>
      <c r="I947">
        <f>VLOOKUP(Table4[[#This Row],[Visitor]],'NHL Model'!$A$6:$B$38,2,FALSE)</f>
        <v>-0.47846056309234386</v>
      </c>
      <c r="J947">
        <f>($B$1+Table4[[#This Row],[Home Differential]])-Table4[[#This Row],[Away Differential]]</f>
        <v>-3.8919453740852483E-2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0.45158097603112579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0.50495447305652519</v>
      </c>
      <c r="H948" t="s">
        <v>16</v>
      </c>
      <c r="I948">
        <f>VLOOKUP(Table4[[#This Row],[Visitor]],'NHL Model'!$A$6:$B$38,2,FALSE)</f>
        <v>-1.5116691651852812</v>
      </c>
      <c r="J948">
        <f>($B$1+Table4[[#This Row],[Home Differential]])-Table4[[#This Row],[Away Differential]]</f>
        <v>2.2244347508229532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0.97068889551117277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-0.62096640812916071</v>
      </c>
      <c r="H949" t="s">
        <v>35</v>
      </c>
      <c r="I949">
        <f>VLOOKUP(Table4[[#This Row],[Visitor]],'NHL Model'!$A$6:$B$38,2,FALSE)</f>
        <v>-1.7055605761743866</v>
      </c>
      <c r="J949">
        <f>($B$1+Table4[[#This Row],[Home Differential]])-Table4[[#This Row],[Away Differential]]</f>
        <v>1.2924052806263726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0.7258803918992065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-6.1847876079686406E-2</v>
      </c>
      <c r="H950" t="s">
        <v>11</v>
      </c>
      <c r="I950">
        <f>VLOOKUP(Table4[[#This Row],[Visitor]],'NHL Model'!$A$6:$B$38,2,FALSE)</f>
        <v>-0.1981495100594213</v>
      </c>
      <c r="J950">
        <f>($B$1+Table4[[#This Row],[Home Differential]])-Table4[[#This Row],[Away Differential]]</f>
        <v>0.34411274656088164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0.58949206966815282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0.19552804934912488</v>
      </c>
      <c r="H951" t="s">
        <v>20</v>
      </c>
      <c r="I951">
        <f>VLOOKUP(Table4[[#This Row],[Visitor]],'NHL Model'!$A$6:$B$38,2,FALSE)</f>
        <v>-5.4617353012467046E-4</v>
      </c>
      <c r="J951">
        <f>($B$1+Table4[[#This Row],[Home Differential]])-Table4[[#This Row],[Away Differential]]</f>
        <v>0.40388533546039629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0.61364442718360679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-0.41822017589574972</v>
      </c>
      <c r="H952" t="s">
        <v>40</v>
      </c>
      <c r="I952">
        <f>VLOOKUP(Table4[[#This Row],[Visitor]],'NHL Model'!$A$6:$B$38,2,FALSE)</f>
        <v>0.13227623341979275</v>
      </c>
      <c r="J952">
        <f>($B$1+Table4[[#This Row],[Home Differential]])-Table4[[#This Row],[Away Differential]]</f>
        <v>-0.34268529673439574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0.57560255594697918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-0.21513148032837168</v>
      </c>
      <c r="H953" t="s">
        <v>10</v>
      </c>
      <c r="I953">
        <f>VLOOKUP(Table4[[#This Row],[Visitor]],'NHL Model'!$A$6:$B$38,2,FALSE)</f>
        <v>0.27981279116457602</v>
      </c>
      <c r="J953">
        <f>($B$1+Table4[[#This Row],[Home Differential]])-Table4[[#This Row],[Away Differential]]</f>
        <v>-0.28713315891180091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0.45306167743288339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-0.15545019701583887</v>
      </c>
      <c r="H954" t="s">
        <v>12</v>
      </c>
      <c r="I954">
        <f>VLOOKUP(Table4[[#This Row],[Visitor]],'NHL Model'!$A$6:$B$38,2,FALSE)</f>
        <v>1.4784730509534416</v>
      </c>
      <c r="J954">
        <f>($B$1+Table4[[#This Row],[Home Differential]])-Table4[[#This Row],[Away Differential]]</f>
        <v>-1.4261121353881336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0.73142659069981708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-1.4469605932441605</v>
      </c>
      <c r="H955" t="s">
        <v>26</v>
      </c>
      <c r="I955">
        <f>VLOOKUP(Table4[[#This Row],[Visitor]],'NHL Model'!$A$6:$B$38,2,FALSE)</f>
        <v>-0.4561706649361581</v>
      </c>
      <c r="J955">
        <f>($B$1+Table4[[#This Row],[Home Differential]])-Table4[[#This Row],[Away Differential]]</f>
        <v>-0.78297881572685557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0.61971144228072961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-0.39108791057695064</v>
      </c>
      <c r="H956" t="s">
        <v>28</v>
      </c>
      <c r="I956">
        <f>VLOOKUP(Table4[[#This Row],[Visitor]],'NHL Model'!$A$6:$B$38,2,FALSE)</f>
        <v>-0.57641196648435689</v>
      </c>
      <c r="J956">
        <f>($B$1+Table4[[#This Row],[Home Differential]])-Table4[[#This Row],[Away Differential]]</f>
        <v>0.39313516848855301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0.59654272717966306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-0.53589042422266964</v>
      </c>
      <c r="H957" t="s">
        <v>25</v>
      </c>
      <c r="I957">
        <f>VLOOKUP(Table4[[#This Row],[Visitor]],'NHL Model'!$A$6:$B$38,2,FALSE)</f>
        <v>0.67827132507054233</v>
      </c>
      <c r="J957">
        <f>($B$1+Table4[[#This Row],[Home Differential]])-Table4[[#This Row],[Away Differential]]</f>
        <v>-1.0063506367120651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0.68320007639864322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-0.72519112941434305</v>
      </c>
      <c r="H958" t="s">
        <v>27</v>
      </c>
      <c r="I958">
        <f>VLOOKUP(Table4[[#This Row],[Visitor]],'NHL Model'!$A$6:$B$38,2,FALSE)</f>
        <v>-0.59708196015665005</v>
      </c>
      <c r="J958">
        <f>($B$1+Table4[[#This Row],[Home Differential]])-Table4[[#This Row],[Away Differential]]</f>
        <v>7.9701943323453706E-2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0.56547976497981967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-0.87485041382128448</v>
      </c>
      <c r="H959" t="s">
        <v>39</v>
      </c>
      <c r="I959">
        <f>VLOOKUP(Table4[[#This Row],[Visitor]],'NHL Model'!$A$6:$B$38,2,FALSE)</f>
        <v>5.4297665563734943E-2</v>
      </c>
      <c r="J959">
        <f>($B$1+Table4[[#This Row],[Home Differential]])-Table4[[#This Row],[Away Differential]]</f>
        <v>-0.7213369668038726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0.65623259006977086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0.50495447305652519</v>
      </c>
      <c r="H960" t="s">
        <v>12</v>
      </c>
      <c r="I960">
        <f>VLOOKUP(Table4[[#This Row],[Visitor]],'NHL Model'!$A$6:$B$38,2,FALSE)</f>
        <v>1.4784730509534416</v>
      </c>
      <c r="J960">
        <f>($B$1+Table4[[#This Row],[Home Differential]])-Table4[[#This Row],[Away Differential]]</f>
        <v>-0.76570746531576961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0.52189270200448434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-5.2681296301607013E-2</v>
      </c>
      <c r="H961" t="s">
        <v>14</v>
      </c>
      <c r="I961">
        <f>VLOOKUP(Table4[[#This Row],[Visitor]],'NHL Model'!$A$6:$B$38,2,FALSE)</f>
        <v>0.19552804934912488</v>
      </c>
      <c r="J961">
        <f>($B$1+Table4[[#This Row],[Home Differential]])-Table4[[#This Row],[Away Differential]]</f>
        <v>-4.0398233069585121E-2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0.41409430586693724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-0.73027559042992929</v>
      </c>
      <c r="H962" t="s">
        <v>20</v>
      </c>
      <c r="I962">
        <f>VLOOKUP(Table4[[#This Row],[Visitor]],'NHL Model'!$A$6:$B$38,2,FALSE)</f>
        <v>-5.4617353012467046E-4</v>
      </c>
      <c r="J962">
        <f>($B$1+Table4[[#This Row],[Home Differential]])-Table4[[#This Row],[Away Differential]]</f>
        <v>-0.52191830431865793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0.55332585142532154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-0.57641196648435689</v>
      </c>
      <c r="H963" t="s">
        <v>29</v>
      </c>
      <c r="I963">
        <f>VLOOKUP(Table4[[#This Row],[Visitor]],'NHL Model'!$A$6:$B$38,2,FALSE)</f>
        <v>-1.4469605932441605</v>
      </c>
      <c r="J963">
        <f>($B$1+Table4[[#This Row],[Home Differential]])-Table4[[#This Row],[Away Differential]]</f>
        <v>1.0783597393409503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0.70214121026053677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-1.5116691651852812</v>
      </c>
      <c r="H964" t="s">
        <v>39</v>
      </c>
      <c r="I964">
        <f>VLOOKUP(Table4[[#This Row],[Visitor]],'NHL Model'!$A$6:$B$38,2,FALSE)</f>
        <v>5.4297665563734943E-2</v>
      </c>
      <c r="J964">
        <f>($B$1+Table4[[#This Row],[Home Differential]])-Table4[[#This Row],[Away Differential]]</f>
        <v>-1.3581557181678692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0.74782314672157679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-0.8965878665431638</v>
      </c>
      <c r="H965" t="s">
        <v>36</v>
      </c>
      <c r="I965">
        <f>VLOOKUP(Table4[[#This Row],[Visitor]],'NHL Model'!$A$6:$B$38,2,FALSE)</f>
        <v>-0.47846056309234386</v>
      </c>
      <c r="J965">
        <f>($B$1+Table4[[#This Row],[Home Differential]])-Table4[[#This Row],[Away Differential]]</f>
        <v>-0.21031619086967324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0.45421189273155288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-0.62096640812916071</v>
      </c>
      <c r="H966" t="s">
        <v>37</v>
      </c>
      <c r="I966">
        <f>VLOOKUP(Table4[[#This Row],[Visitor]],'NHL Model'!$A$6:$B$38,2,FALSE)</f>
        <v>4.5159124835038887E-2</v>
      </c>
      <c r="J966">
        <f>($B$1+Table4[[#This Row],[Home Differential]])-Table4[[#This Row],[Away Differential]]</f>
        <v>-0.45831442038305281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0.57301653477232284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0.29030528207371809</v>
      </c>
      <c r="H967" t="s">
        <v>11</v>
      </c>
      <c r="I967">
        <f>VLOOKUP(Table4[[#This Row],[Visitor]],'NHL Model'!$A$6:$B$38,2,FALSE)</f>
        <v>-0.1981495100594213</v>
      </c>
      <c r="J967">
        <f>($B$1+Table4[[#This Row],[Home Differential]])-Table4[[#This Row],[Away Differential]]</f>
        <v>0.69626590471428618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0.7555712644033552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-0.41822017589574972</v>
      </c>
      <c r="H968" t="s">
        <v>18</v>
      </c>
      <c r="I968">
        <f>VLOOKUP(Table4[[#This Row],[Visitor]],'NHL Model'!$A$6:$B$38,2,FALSE)</f>
        <v>-0.67174708781561598</v>
      </c>
      <c r="J968">
        <f>($B$1+Table4[[#This Row],[Home Differential]])-Table4[[#This Row],[Away Differential]]</f>
        <v>0.46133802450101302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0.55925262214667693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0.13227623341979275</v>
      </c>
      <c r="H969" t="s">
        <v>10</v>
      </c>
      <c r="I969">
        <f>VLOOKUP(Table4[[#This Row],[Visitor]],'NHL Model'!$A$6:$B$38,2,FALSE)</f>
        <v>0.27981279116457602</v>
      </c>
      <c r="J969">
        <f>($B$1+Table4[[#This Row],[Home Differential]])-Table4[[#This Row],[Away Differential]]</f>
        <v>6.0274554836363459E-2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0.58009756871795382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-7.0657671368725999E-2</v>
      </c>
      <c r="H970" t="s">
        <v>55</v>
      </c>
      <c r="I970">
        <f>VLOOKUP(Table4[[#This Row],[Visitor]],'NHL Model'!$A$6:$B$38,2,FALSE)</f>
        <v>-0.21513148032837168</v>
      </c>
      <c r="J970">
        <f>($B$1+Table4[[#This Row],[Home Differential]])-Table4[[#This Row],[Away Differential]]</f>
        <v>0.35228492154079244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0.59066743401454302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0.50495447305652519</v>
      </c>
      <c r="H971" t="s">
        <v>30</v>
      </c>
      <c r="I971">
        <f>VLOOKUP(Table4[[#This Row],[Visitor]],'NHL Model'!$A$6:$B$38,2,FALSE)</f>
        <v>-6.1847876079686406E-2</v>
      </c>
      <c r="J971">
        <f>($B$1+Table4[[#This Row],[Home Differential]])-Table4[[#This Row],[Away Differential]]</f>
        <v>0.77461346171735845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0.70645022476347319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-0.4561706649361581</v>
      </c>
      <c r="H972" t="s">
        <v>20</v>
      </c>
      <c r="I972">
        <f>VLOOKUP(Table4[[#This Row],[Visitor]],'NHL Model'!$A$6:$B$38,2,FALSE)</f>
        <v>-5.4617353012467046E-4</v>
      </c>
      <c r="J972">
        <f>($B$1+Table4[[#This Row],[Home Differential]])-Table4[[#This Row],[Away Differential]]</f>
        <v>-0.24781337882488666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0.47564179802136947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0.29030528207371809</v>
      </c>
      <c r="H973" t="s">
        <v>19</v>
      </c>
      <c r="I973">
        <f>VLOOKUP(Table4[[#This Row],[Visitor]],'NHL Model'!$A$6:$B$38,2,FALSE)</f>
        <v>-0.72519112941434305</v>
      </c>
      <c r="J973">
        <f>($B$1+Table4[[#This Row],[Home Differential]])-Table4[[#This Row],[Away Differential]]</f>
        <v>1.223307524069208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0.83137310785095009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-0.53589042422266964</v>
      </c>
      <c r="H974" t="s">
        <v>35</v>
      </c>
      <c r="I974">
        <f>VLOOKUP(Table4[[#This Row],[Visitor]],'NHL Model'!$A$6:$B$38,2,FALSE)</f>
        <v>-1.7055605761743866</v>
      </c>
      <c r="J974">
        <f>($B$1+Table4[[#This Row],[Home Differential]])-Table4[[#This Row],[Away Differential]]</f>
        <v>1.3774812645328638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0.76415419445799115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-0.87485041382128448</v>
      </c>
      <c r="H975" t="s">
        <v>25</v>
      </c>
      <c r="I975">
        <f>VLOOKUP(Table4[[#This Row],[Visitor]],'NHL Model'!$A$6:$B$38,2,FALSE)</f>
        <v>0.67827132507054233</v>
      </c>
      <c r="J975">
        <f>($B$1+Table4[[#This Row],[Home Differential]])-Table4[[#This Row],[Away Differential]]</f>
        <v>-1.34531062631068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0.75800564056040609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-0.57641196648435689</v>
      </c>
      <c r="H976" t="s">
        <v>11</v>
      </c>
      <c r="I976">
        <f>VLOOKUP(Table4[[#This Row],[Visitor]],'NHL Model'!$A$6:$B$38,2,FALSE)</f>
        <v>-0.1981495100594213</v>
      </c>
      <c r="J976">
        <f>($B$1+Table4[[#This Row],[Home Differential]])-Table4[[#This Row],[Away Differential]]</f>
        <v>-0.17045134384378882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0.47746923936401825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-1.5116691651852812</v>
      </c>
      <c r="H977" t="s">
        <v>36</v>
      </c>
      <c r="I977">
        <f>VLOOKUP(Table4[[#This Row],[Visitor]],'NHL Model'!$A$6:$B$38,2,FALSE)</f>
        <v>-0.47846056309234386</v>
      </c>
      <c r="J977">
        <f>($B$1+Table4[[#This Row],[Home Differential]])-Table4[[#This Row],[Away Differential]]</f>
        <v>-0.82539748951179048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0.57871292320061885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-0.15545019701583887</v>
      </c>
      <c r="H978" t="s">
        <v>30</v>
      </c>
      <c r="I978">
        <f>VLOOKUP(Table4[[#This Row],[Visitor]],'NHL Model'!$A$6:$B$38,2,FALSE)</f>
        <v>-6.1847876079686406E-2</v>
      </c>
      <c r="J978">
        <f>($B$1+Table4[[#This Row],[Home Differential]])-Table4[[#This Row],[Away Differential]]</f>
        <v>0.1142087916449943</v>
      </c>
      <c r="K978" t="str">
        <f>IF(Table4[[#This Row],[HomeIce Differential]]&gt;0,Table4[[#This Row],[Home]],Table4[[#This Row],[Visitor]])</f>
        <v>Los Angeles Kings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0.49713826351752888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-1.4469605932441605</v>
      </c>
      <c r="H979" t="s">
        <v>21</v>
      </c>
      <c r="I979">
        <f>VLOOKUP(Table4[[#This Row],[Visitor]],'NHL Model'!$A$6:$B$38,2,FALSE)</f>
        <v>-5.2681296301607013E-2</v>
      </c>
      <c r="J979">
        <f>($B$1+Table4[[#This Row],[Home Differential]])-Table4[[#This Row],[Away Differential]]</f>
        <v>-1.1864681843614067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0.63064397243730808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-0.39108791057695064</v>
      </c>
      <c r="H980" t="s">
        <v>19</v>
      </c>
      <c r="I980">
        <f>VLOOKUP(Table4[[#This Row],[Visitor]],'NHL Model'!$A$6:$B$38,2,FALSE)</f>
        <v>-0.72519112941434305</v>
      </c>
      <c r="J980">
        <f>($B$1+Table4[[#This Row],[Home Differential]])-Table4[[#This Row],[Away Differential]]</f>
        <v>0.54191433141853917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0.61794091358946979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-0.59708196015665005</v>
      </c>
      <c r="H981" t="s">
        <v>55</v>
      </c>
      <c r="I981">
        <f>VLOOKUP(Table4[[#This Row],[Visitor]],'NHL Model'!$A$6:$B$38,2,FALSE)</f>
        <v>-0.21513148032837168</v>
      </c>
      <c r="J981">
        <f>($B$1+Table4[[#This Row],[Home Differential]])-Table4[[#This Row],[Away Differential]]</f>
        <v>-0.17413936724713161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0.48255014256322881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0.19552804934912488</v>
      </c>
      <c r="H982" t="s">
        <v>23</v>
      </c>
      <c r="I982">
        <f>VLOOKUP(Table4[[#This Row],[Visitor]],'NHL Model'!$A$6:$B$38,2,FALSE)</f>
        <v>-0.73027559042992929</v>
      </c>
      <c r="J982">
        <f>($B$1+Table4[[#This Row],[Home Differential]])-Table4[[#This Row],[Away Differential]]</f>
        <v>1.1336147523602009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0.73907918566141617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0.13227623341979275</v>
      </c>
      <c r="H983" t="s">
        <v>37</v>
      </c>
      <c r="I983">
        <f>VLOOKUP(Table4[[#This Row],[Visitor]],'NHL Model'!$A$6:$B$38,2,FALSE)</f>
        <v>4.5159124835038887E-2</v>
      </c>
      <c r="J983">
        <f>($B$1+Table4[[#This Row],[Home Differential]])-Table4[[#This Row],[Away Differential]]</f>
        <v>0.29492822116590062</v>
      </c>
      <c r="K983" t="str">
        <f>IF(Table4[[#This Row],[HomeIce Differential]]&gt;0,Table4[[#This Row],[Home]],Table4[[#This Row],[Visitor]])</f>
        <v>Winnipeg Jets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0.58787264305461395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0.50495447305652519</v>
      </c>
      <c r="H984" t="s">
        <v>18</v>
      </c>
      <c r="I984">
        <f>VLOOKUP(Table4[[#This Row],[Visitor]],'NHL Model'!$A$6:$B$38,2,FALSE)</f>
        <v>-0.67174708781561598</v>
      </c>
      <c r="J984">
        <f>($B$1+Table4[[#This Row],[Home Differential]])-Table4[[#This Row],[Away Differential]]</f>
        <v>1.384512673453288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0.80586932513186327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0.27981279116457602</v>
      </c>
      <c r="H985" t="s">
        <v>38</v>
      </c>
      <c r="I985">
        <f>VLOOKUP(Table4[[#This Row],[Visitor]],'NHL Model'!$A$6:$B$38,2,FALSE)</f>
        <v>-0.87485041382128448</v>
      </c>
      <c r="J985">
        <f>($B$1+Table4[[#This Row],[Home Differential]])-Table4[[#This Row],[Away Differential]]</f>
        <v>1.3624743175670073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0.72227387158490575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5.4297665563734943E-2</v>
      </c>
      <c r="H986" t="s">
        <v>12</v>
      </c>
      <c r="I986">
        <f>VLOOKUP(Table4[[#This Row],[Visitor]],'NHL Model'!$A$6:$B$38,2,FALSE)</f>
        <v>1.4784730509534416</v>
      </c>
      <c r="J986">
        <f>($B$1+Table4[[#This Row],[Home Differential]])-Table4[[#This Row],[Away Differential]]</f>
        <v>-1.21636427280856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0.6987533058499904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-0.4561706649361581</v>
      </c>
      <c r="H987" t="s">
        <v>11</v>
      </c>
      <c r="I987">
        <f>VLOOKUP(Table4[[#This Row],[Visitor]],'NHL Model'!$A$6:$B$38,2,FALSE)</f>
        <v>-0.1981495100594213</v>
      </c>
      <c r="J987">
        <f>($B$1+Table4[[#This Row],[Home Differential]])-Table4[[#This Row],[Away Differential]]</f>
        <v>-5.0210042295590035E-2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0.42679028975082528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-0.8965878665431638</v>
      </c>
      <c r="H988" t="s">
        <v>25</v>
      </c>
      <c r="I988">
        <f>VLOOKUP(Table4[[#This Row],[Visitor]],'NHL Model'!$A$6:$B$38,2,FALSE)</f>
        <v>0.67827132507054233</v>
      </c>
      <c r="J988">
        <f>($B$1+Table4[[#This Row],[Home Differential]])-Table4[[#This Row],[Away Differential]]</f>
        <v>-1.3670480790325594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0.72491779086278796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-0.41822017589574972</v>
      </c>
      <c r="H989" t="s">
        <v>35</v>
      </c>
      <c r="I989">
        <f>VLOOKUP(Table4[[#This Row],[Visitor]],'NHL Model'!$A$6:$B$38,2,FALSE)</f>
        <v>-1.7055605761743866</v>
      </c>
      <c r="J989">
        <f>($B$1+Table4[[#This Row],[Home Differential]])-Table4[[#This Row],[Away Differential]]</f>
        <v>1.4951515128597836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0.75504040050375887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-5.4617353012467046E-4</v>
      </c>
      <c r="H990" t="s">
        <v>34</v>
      </c>
      <c r="I990">
        <f>VLOOKUP(Table4[[#This Row],[Visitor]],'NHL Model'!$A$6:$B$38,2,FALSE)</f>
        <v>-0.62096640812916071</v>
      </c>
      <c r="J990">
        <f>($B$1+Table4[[#This Row],[Home Differential]])-Table4[[#This Row],[Away Differential]]</f>
        <v>0.82823134718018276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0.65912050322360671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-5.2681296301607013E-2</v>
      </c>
      <c r="H991" t="s">
        <v>22</v>
      </c>
      <c r="I991">
        <f>VLOOKUP(Table4[[#This Row],[Visitor]],'NHL Model'!$A$6:$B$38,2,FALSE)</f>
        <v>-7.0657671368725999E-2</v>
      </c>
      <c r="J991">
        <f>($B$1+Table4[[#This Row],[Home Differential]])-Table4[[#This Row],[Away Differential]]</f>
        <v>0.22578748764826576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0.62418989710461559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-0.73027559042992929</v>
      </c>
      <c r="H992" t="s">
        <v>29</v>
      </c>
      <c r="I992">
        <f>VLOOKUP(Table4[[#This Row],[Visitor]],'NHL Model'!$A$6:$B$38,2,FALSE)</f>
        <v>-1.4469605932441605</v>
      </c>
      <c r="J992">
        <f>($B$1+Table4[[#This Row],[Home Differential]])-Table4[[#This Row],[Away Differential]]</f>
        <v>0.9244961153953779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0.67546127779323206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-0.57641196648435689</v>
      </c>
      <c r="H993" t="s">
        <v>55</v>
      </c>
      <c r="I993">
        <f>VLOOKUP(Table4[[#This Row],[Visitor]],'NHL Model'!$A$6:$B$38,2,FALSE)</f>
        <v>-0.21513148032837168</v>
      </c>
      <c r="J993">
        <f>($B$1+Table4[[#This Row],[Home Differential]])-Table4[[#This Row],[Away Differential]]</f>
        <v>-0.15346937357483845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0.47502680483041487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-1.5116691651852812</v>
      </c>
      <c r="H994" t="s">
        <v>25</v>
      </c>
      <c r="I994">
        <f>VLOOKUP(Table4[[#This Row],[Visitor]],'NHL Model'!$A$6:$B$38,2,FALSE)</f>
        <v>0.67827132507054233</v>
      </c>
      <c r="J994">
        <f>($B$1+Table4[[#This Row],[Home Differential]])-Table4[[#This Row],[Away Differential]]</f>
        <v>-1.9821293776746767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0.84959619721221213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-0.15545019701583887</v>
      </c>
      <c r="H995" t="s">
        <v>18</v>
      </c>
      <c r="I995">
        <f>VLOOKUP(Table4[[#This Row],[Visitor]],'NHL Model'!$A$6:$B$38,2,FALSE)</f>
        <v>-0.67174708781561598</v>
      </c>
      <c r="J995">
        <f>($B$1+Table4[[#This Row],[Home Differential]])-Table4[[#This Row],[Away Differential]]</f>
        <v>0.72410800338092385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0.59704555551342353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0.29030528207371809</v>
      </c>
      <c r="H996" t="s">
        <v>15</v>
      </c>
      <c r="I996">
        <f>VLOOKUP(Table4[[#This Row],[Visitor]],'NHL Model'!$A$6:$B$38,2,FALSE)</f>
        <v>-0.39108791057695064</v>
      </c>
      <c r="J996">
        <f>($B$1+Table4[[#This Row],[Home Differential]])-Table4[[#This Row],[Away Differential]]</f>
        <v>0.88920430523181548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0.6663514869263456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0.19552804934912488</v>
      </c>
      <c r="H997" t="s">
        <v>27</v>
      </c>
      <c r="I997">
        <f>VLOOKUP(Table4[[#This Row],[Visitor]],'NHL Model'!$A$6:$B$38,2,FALSE)</f>
        <v>-0.59708196015665005</v>
      </c>
      <c r="J997">
        <f>($B$1+Table4[[#This Row],[Home Differential]])-Table4[[#This Row],[Away Differential]]</f>
        <v>1.0004211220869217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0.71992259092692545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-0.53589042422266964</v>
      </c>
      <c r="H998" t="s">
        <v>36</v>
      </c>
      <c r="I998">
        <f>VLOOKUP(Table4[[#This Row],[Visitor]],'NHL Model'!$A$6:$B$38,2,FALSE)</f>
        <v>-0.47846056309234386</v>
      </c>
      <c r="J998">
        <f>($B$1+Table4[[#This Row],[Home Differential]])-Table4[[#This Row],[Away Differential]]</f>
        <v>0.15038125145082099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0.58766634289128727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-0.41822017589574972</v>
      </c>
      <c r="H999" t="s">
        <v>30</v>
      </c>
      <c r="I999">
        <f>VLOOKUP(Table4[[#This Row],[Visitor]],'NHL Model'!$A$6:$B$38,2,FALSE)</f>
        <v>-6.1847876079686406E-2</v>
      </c>
      <c r="J999">
        <f>($B$1+Table4[[#This Row],[Home Differential]])-Table4[[#This Row],[Away Differential]]</f>
        <v>-0.14856118723491657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0.54065466984921773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-0.72519112941434305</v>
      </c>
      <c r="H1000" t="s">
        <v>37</v>
      </c>
      <c r="I1000">
        <f>VLOOKUP(Table4[[#This Row],[Visitor]],'NHL Model'!$A$6:$B$38,2,FALSE)</f>
        <v>4.5159124835038887E-2</v>
      </c>
      <c r="J1000">
        <f>($B$1+Table4[[#This Row],[Home Differential]])-Table4[[#This Row],[Away Differential]]</f>
        <v>-0.56253914166823527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0.57386502663270911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0.13227623341979275</v>
      </c>
      <c r="H1001" t="s">
        <v>38</v>
      </c>
      <c r="I1001">
        <f>VLOOKUP(Table4[[#This Row],[Visitor]],'NHL Model'!$A$6:$B$38,2,FALSE)</f>
        <v>-0.87485041382128448</v>
      </c>
      <c r="J1001">
        <f>($B$1+Table4[[#This Row],[Home Differential]])-Table4[[#This Row],[Away Differential]]</f>
        <v>1.214937759822224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0.74616718501536172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0.50495447305652519</v>
      </c>
      <c r="H1002" t="s">
        <v>35</v>
      </c>
      <c r="I1002">
        <f>VLOOKUP(Table4[[#This Row],[Visitor]],'NHL Model'!$A$6:$B$38,2,FALSE)</f>
        <v>-1.7055605761743866</v>
      </c>
      <c r="J1002">
        <f>($B$1+Table4[[#This Row],[Home Differential]])-Table4[[#This Row],[Away Differential]]</f>
        <v>2.4183261618120584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0.998575358063444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-0.73027559042992929</v>
      </c>
      <c r="H1003" t="s">
        <v>37</v>
      </c>
      <c r="I1003">
        <f>VLOOKUP(Table4[[#This Row],[Visitor]],'NHL Model'!$A$6:$B$38,2,FALSE)</f>
        <v>4.5159124835038887E-2</v>
      </c>
      <c r="J1003">
        <f>($B$1+Table4[[#This Row],[Home Differential]])-Table4[[#This Row],[Away Differential]]</f>
        <v>-0.5676236026838215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0.58622570951902031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1.4784730509534416</v>
      </c>
      <c r="H1004" t="s">
        <v>34</v>
      </c>
      <c r="I1004">
        <f>VLOOKUP(Table4[[#This Row],[Visitor]],'NHL Model'!$A$6:$B$38,2,FALSE)</f>
        <v>-0.62096640812916071</v>
      </c>
      <c r="J1004">
        <f>($B$1+Table4[[#This Row],[Home Differential]])-Table4[[#This Row],[Away Differential]]</f>
        <v>2.307250571663749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0.96020692258089424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5.4297665563734943E-2</v>
      </c>
      <c r="H1005" t="s">
        <v>10</v>
      </c>
      <c r="I1005">
        <f>VLOOKUP(Table4[[#This Row],[Visitor]],'NHL Model'!$A$6:$B$38,2,FALSE)</f>
        <v>0.27981279116457602</v>
      </c>
      <c r="J1005">
        <f>($B$1+Table4[[#This Row],[Home Differential]])-Table4[[#This Row],[Away Differential]]</f>
        <v>-1.770401301969432E-2</v>
      </c>
      <c r="K1005" t="str">
        <f>IF(Table4[[#This Row],[HomeIce Differential]]&gt;0,Table4[[#This Row],[Home]],Table4[[#This Row],[Visitor]])</f>
        <v>Chicago Blackhawks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0.48080715201053092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0.29030528207371809</v>
      </c>
      <c r="H1006" t="s">
        <v>26</v>
      </c>
      <c r="I1006">
        <f>VLOOKUP(Table4[[#This Row],[Visitor]],'NHL Model'!$A$6:$B$38,2,FALSE)</f>
        <v>-0.4561706649361581</v>
      </c>
      <c r="J1006">
        <f>($B$1+Table4[[#This Row],[Home Differential]])-Table4[[#This Row],[Away Differential]]</f>
        <v>0.95428705959102289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0.74890097124050325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0.19552804934912488</v>
      </c>
      <c r="H1007" t="s">
        <v>21</v>
      </c>
      <c r="I1007">
        <f>VLOOKUP(Table4[[#This Row],[Visitor]],'NHL Model'!$A$6:$B$38,2,FALSE)</f>
        <v>-5.2681296301607013E-2</v>
      </c>
      <c r="J1007">
        <f>($B$1+Table4[[#This Row],[Home Differential]])-Table4[[#This Row],[Away Differential]]</f>
        <v>0.45602045823187864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0.64162408018537265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-5.4617353012467046E-4</v>
      </c>
      <c r="H1008" t="s">
        <v>17</v>
      </c>
      <c r="I1008">
        <f>VLOOKUP(Table4[[#This Row],[Visitor]],'NHL Model'!$A$6:$B$38,2,FALSE)</f>
        <v>-0.8965878665431638</v>
      </c>
      <c r="J1008">
        <f>($B$1+Table4[[#This Row],[Home Differential]])-Table4[[#This Row],[Away Differential]]</f>
        <v>1.1038528055941859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0.69876180264710908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0.27981279116457602</v>
      </c>
      <c r="H1009" t="s">
        <v>55</v>
      </c>
      <c r="I1009">
        <f>VLOOKUP(Table4[[#This Row],[Visitor]],'NHL Model'!$A$6:$B$38,2,FALSE)</f>
        <v>-0.21513148032837168</v>
      </c>
      <c r="J1009">
        <f>($B$1+Table4[[#This Row],[Home Differential]])-Table4[[#This Row],[Away Differential]]</f>
        <v>0.70275538407409444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0.6481198550381142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-0.59708196015665005</v>
      </c>
      <c r="H1010" t="s">
        <v>15</v>
      </c>
      <c r="I1010">
        <f>VLOOKUP(Table4[[#This Row],[Visitor]],'NHL Model'!$A$6:$B$38,2,FALSE)</f>
        <v>-0.39108791057695064</v>
      </c>
      <c r="J1010">
        <f>($B$1+Table4[[#This Row],[Home Differential]])-Table4[[#This Row],[Away Differential]]</f>
        <v>1.8170630014473499E-3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0.42131397094971412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-0.87485041382128448</v>
      </c>
      <c r="H1011" t="s">
        <v>36</v>
      </c>
      <c r="I1011">
        <f>VLOOKUP(Table4[[#This Row],[Visitor]],'NHL Model'!$A$6:$B$38,2,FALSE)</f>
        <v>-0.47846056309234386</v>
      </c>
      <c r="J1011">
        <f>($B$1+Table4[[#This Row],[Home Differential]])-Table4[[#This Row],[Away Differential]]</f>
        <v>-0.1885787381477938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0.4871223665488128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-7.0657671368725999E-2</v>
      </c>
      <c r="H1012" t="s">
        <v>16</v>
      </c>
      <c r="I1012">
        <f>VLOOKUP(Table4[[#This Row],[Visitor]],'NHL Model'!$A$6:$B$38,2,FALSE)</f>
        <v>-1.5116691651852812</v>
      </c>
      <c r="J1012">
        <f>($B$1+Table4[[#This Row],[Home Differential]])-Table4[[#This Row],[Away Differential]]</f>
        <v>1.6488226063977018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0.77714216959941274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-5.2681296301607013E-2</v>
      </c>
      <c r="H1013" t="s">
        <v>13</v>
      </c>
      <c r="I1013">
        <f>VLOOKUP(Table4[[#This Row],[Visitor]],'NHL Model'!$A$6:$B$38,2,FALSE)</f>
        <v>-0.15545019701583887</v>
      </c>
      <c r="J1013">
        <f>($B$1+Table4[[#This Row],[Home Differential]])-Table4[[#This Row],[Away Differential]]</f>
        <v>0.31058001329537865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0.53523525679028228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-0.73027559042992929</v>
      </c>
      <c r="H1014" t="s">
        <v>33</v>
      </c>
      <c r="I1014">
        <f>VLOOKUP(Table4[[#This Row],[Visitor]],'NHL Model'!$A$6:$B$38,2,FALSE)</f>
        <v>-0.41822017589574972</v>
      </c>
      <c r="J1014">
        <f>($B$1+Table4[[#This Row],[Home Differential]])-Table4[[#This Row],[Away Differential]]</f>
        <v>-0.10424430195303286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0.4724974738505236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0.67827132507054233</v>
      </c>
      <c r="H1015" t="s">
        <v>14</v>
      </c>
      <c r="I1015">
        <f>VLOOKUP(Table4[[#This Row],[Visitor]],'NHL Model'!$A$6:$B$38,2,FALSE)</f>
        <v>0.19552804934912488</v>
      </c>
      <c r="J1015">
        <f>($B$1+Table4[[#This Row],[Home Differential]])-Table4[[#This Row],[Away Differential]]</f>
        <v>0.69055438830256421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0.6910350693817906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1.4784730509534416</v>
      </c>
      <c r="H1016" t="s">
        <v>17</v>
      </c>
      <c r="I1016">
        <f>VLOOKUP(Table4[[#This Row],[Visitor]],'NHL Model'!$A$6:$B$38,2,FALSE)</f>
        <v>-0.8965878665431638</v>
      </c>
      <c r="J1016">
        <f>($B$1+Table4[[#This Row],[Home Differential]])-Table4[[#This Row],[Away Differential]]</f>
        <v>2.5828720300777523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0.99984822200439671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5.4297665563734943E-2</v>
      </c>
      <c r="H1017" t="s">
        <v>20</v>
      </c>
      <c r="I1017">
        <f>VLOOKUP(Table4[[#This Row],[Visitor]],'NHL Model'!$A$6:$B$38,2,FALSE)</f>
        <v>-5.4617353012467046E-4</v>
      </c>
      <c r="J1017">
        <f>($B$1+Table4[[#This Row],[Home Differential]])-Table4[[#This Row],[Away Differential]]</f>
        <v>0.26265495167500635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0.55951551999576865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-0.1981495100594213</v>
      </c>
      <c r="H1018" t="s">
        <v>26</v>
      </c>
      <c r="I1018">
        <f>VLOOKUP(Table4[[#This Row],[Visitor]],'NHL Model'!$A$6:$B$38,2,FALSE)</f>
        <v>-0.4561706649361581</v>
      </c>
      <c r="J1018">
        <f>($B$1+Table4[[#This Row],[Home Differential]])-Table4[[#This Row],[Away Differential]]</f>
        <v>0.46583226745788353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0.62452052271836078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-0.62096640812916071</v>
      </c>
      <c r="H1019" t="s">
        <v>55</v>
      </c>
      <c r="I1019">
        <f>VLOOKUP(Table4[[#This Row],[Visitor]],'NHL Model'!$A$6:$B$38,2,FALSE)</f>
        <v>-0.21513148032837168</v>
      </c>
      <c r="J1019">
        <f>($B$1+Table4[[#This Row],[Home Differential]])-Table4[[#This Row],[Away Differential]]</f>
        <v>-0.19802381521964227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0.48848080623793455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-0.67174708781561598</v>
      </c>
      <c r="H1020" t="s">
        <v>19</v>
      </c>
      <c r="I1020">
        <f>VLOOKUP(Table4[[#This Row],[Visitor]],'NHL Model'!$A$6:$B$38,2,FALSE)</f>
        <v>-0.72519112941434305</v>
      </c>
      <c r="J1020">
        <f>($B$1+Table4[[#This Row],[Home Differential]])-Table4[[#This Row],[Away Differential]]</f>
        <v>0.26125515417987383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0.57757506346701604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-0.39108791057695064</v>
      </c>
      <c r="H1021" t="s">
        <v>16</v>
      </c>
      <c r="I1021">
        <f>VLOOKUP(Table4[[#This Row],[Visitor]],'NHL Model'!$A$6:$B$38,2,FALSE)</f>
        <v>-1.5116691651852812</v>
      </c>
      <c r="J1021">
        <f>($B$1+Table4[[#This Row],[Home Differential]])-Table4[[#This Row],[Away Differential]]</f>
        <v>1.3283923671894773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0.73105624026034788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-0.53589042422266964</v>
      </c>
      <c r="H1022" t="s">
        <v>29</v>
      </c>
      <c r="I1022">
        <f>VLOOKUP(Table4[[#This Row],[Visitor]],'NHL Model'!$A$6:$B$38,2,FALSE)</f>
        <v>-1.4469605932441605</v>
      </c>
      <c r="J1022">
        <f>($B$1+Table4[[#This Row],[Home Differential]])-Table4[[#This Row],[Away Differential]]</f>
        <v>1.1188812816026377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0.72696101141180169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-1.7055605761743866</v>
      </c>
      <c r="H1023" t="s">
        <v>30</v>
      </c>
      <c r="I1023">
        <f>VLOOKUP(Table4[[#This Row],[Visitor]],'NHL Model'!$A$6:$B$38,2,FALSE)</f>
        <v>-6.1847876079686406E-2</v>
      </c>
      <c r="J1023">
        <f>($B$1+Table4[[#This Row],[Home Differential]])-Table4[[#This Row],[Away Differential]]</f>
        <v>-1.4359015875135535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0.72580660453916279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4.5159124835038887E-2</v>
      </c>
      <c r="H1024" t="s">
        <v>28</v>
      </c>
      <c r="I1024">
        <f>VLOOKUP(Table4[[#This Row],[Visitor]],'NHL Model'!$A$6:$B$38,2,FALSE)</f>
        <v>-0.57641196648435689</v>
      </c>
      <c r="J1024">
        <f>($B$1+Table4[[#This Row],[Home Differential]])-Table4[[#This Row],[Away Differential]]</f>
        <v>0.82938220390054251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0.65928602537165659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0.13227623341979275</v>
      </c>
      <c r="H1025" t="s">
        <v>31</v>
      </c>
      <c r="I1025">
        <f>VLOOKUP(Table4[[#This Row],[Visitor]],'NHL Model'!$A$6:$B$38,2,FALSE)</f>
        <v>0.50495447305652519</v>
      </c>
      <c r="J1025">
        <f>($B$1+Table4[[#This Row],[Home Differential]])-Table4[[#This Row],[Away Differential]]</f>
        <v>-0.1648671270555857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0.45228346894125437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-0.47846056309234386</v>
      </c>
      <c r="H1026" t="s">
        <v>18</v>
      </c>
      <c r="I1026">
        <f>VLOOKUP(Table4[[#This Row],[Visitor]],'NHL Model'!$A$6:$B$38,2,FALSE)</f>
        <v>-0.67174708781561598</v>
      </c>
      <c r="J1026">
        <f>($B$1+Table4[[#This Row],[Home Differential]])-Table4[[#This Row],[Away Differential]]</f>
        <v>0.40109763730441889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0.55310077454086304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-0.59708196015665005</v>
      </c>
      <c r="H1027" t="s">
        <v>22</v>
      </c>
      <c r="I1027">
        <f>VLOOKUP(Table4[[#This Row],[Visitor]],'NHL Model'!$A$6:$B$38,2,FALSE)</f>
        <v>-7.0657671368725999E-2</v>
      </c>
      <c r="J1027">
        <f>($B$1+Table4[[#This Row],[Home Differential]])-Table4[[#This Row],[Away Differential]]</f>
        <v>-0.31861317620677732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0.50332911076395814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-5.2681296301607013E-2</v>
      </c>
      <c r="H1028" t="s">
        <v>33</v>
      </c>
      <c r="I1028">
        <f>VLOOKUP(Table4[[#This Row],[Visitor]],'NHL Model'!$A$6:$B$38,2,FALSE)</f>
        <v>-0.41822017589574972</v>
      </c>
      <c r="J1028">
        <f>($B$1+Table4[[#This Row],[Home Differential]])-Table4[[#This Row],[Away Differential]]</f>
        <v>0.57334999217528948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0.6741781287525408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-0.73027559042992929</v>
      </c>
      <c r="H1029" t="s">
        <v>22</v>
      </c>
      <c r="I1029">
        <f>VLOOKUP(Table4[[#This Row],[Visitor]],'NHL Model'!$A$6:$B$38,2,FALSE)</f>
        <v>-7.0657671368725999E-2</v>
      </c>
      <c r="J1029">
        <f>($B$1+Table4[[#This Row],[Home Differential]])-Table4[[#This Row],[Away Differential]]</f>
        <v>-0.45180680648005656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0.52248570549844886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0.67827132507054233</v>
      </c>
      <c r="H1030" t="s">
        <v>35</v>
      </c>
      <c r="I1030">
        <f>VLOOKUP(Table4[[#This Row],[Visitor]],'NHL Model'!$A$6:$B$38,2,FALSE)</f>
        <v>-1.7055605761743866</v>
      </c>
      <c r="J1030">
        <f>($B$1+Table4[[#This Row],[Home Differential]])-Table4[[#This Row],[Away Differential]]</f>
        <v>2.5916430138260758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0.96445943869121376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5.4297665563734943E-2</v>
      </c>
      <c r="H1031" t="s">
        <v>17</v>
      </c>
      <c r="I1031">
        <f>VLOOKUP(Table4[[#This Row],[Visitor]],'NHL Model'!$A$6:$B$38,2,FALSE)</f>
        <v>-0.8965878665431638</v>
      </c>
      <c r="J1031">
        <f>($B$1+Table4[[#This Row],[Home Differential]])-Table4[[#This Row],[Away Differential]]</f>
        <v>1.1586966446880456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0.70914520559862138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-0.1981495100594213</v>
      </c>
      <c r="H1032" t="s">
        <v>28</v>
      </c>
      <c r="I1032">
        <f>VLOOKUP(Table4[[#This Row],[Visitor]],'NHL Model'!$A$6:$B$38,2,FALSE)</f>
        <v>-0.57641196648435689</v>
      </c>
      <c r="J1032">
        <f>($B$1+Table4[[#This Row],[Home Differential]])-Table4[[#This Row],[Away Differential]]</f>
        <v>0.58607356900608232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0.68774039871367076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-0.62096640812916071</v>
      </c>
      <c r="H1033" t="s">
        <v>27</v>
      </c>
      <c r="I1033">
        <f>VLOOKUP(Table4[[#This Row],[Visitor]],'NHL Model'!$A$6:$B$38,2,FALSE)</f>
        <v>-0.59708196015665005</v>
      </c>
      <c r="J1033">
        <f>($B$1+Table4[[#This Row],[Home Differential]])-Table4[[#This Row],[Away Differential]]</f>
        <v>0.1839266646086361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0.56645328134344797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0.29030528207371809</v>
      </c>
      <c r="H1034" t="s">
        <v>16</v>
      </c>
      <c r="I1034">
        <f>VLOOKUP(Table4[[#This Row],[Visitor]],'NHL Model'!$A$6:$B$38,2,FALSE)</f>
        <v>-1.5116691651852812</v>
      </c>
      <c r="J1034">
        <f>($B$1+Table4[[#This Row],[Home Differential]])-Table4[[#This Row],[Away Differential]]</f>
        <v>2.0097855598401462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0.94448843452182829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-0.53589042422266964</v>
      </c>
      <c r="H1035" t="s">
        <v>12</v>
      </c>
      <c r="I1035">
        <f>VLOOKUP(Table4[[#This Row],[Visitor]],'NHL Model'!$A$6:$B$38,2,FALSE)</f>
        <v>1.4784730509534416</v>
      </c>
      <c r="J1035">
        <f>($B$1+Table4[[#This Row],[Home Differential]])-Table4[[#This Row],[Away Differential]]</f>
        <v>-1.8065523625949644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0.75982767648770388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4.5159124835038887E-2</v>
      </c>
      <c r="H1036" t="s">
        <v>26</v>
      </c>
      <c r="I1036">
        <f>VLOOKUP(Table4[[#This Row],[Visitor]],'NHL Model'!$A$6:$B$38,2,FALSE)</f>
        <v>-0.4561706649361581</v>
      </c>
      <c r="J1036">
        <f>($B$1+Table4[[#This Row],[Home Differential]])-Table4[[#This Row],[Away Differential]]</f>
        <v>0.70914090235234373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0.59489290986387999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-0.72519112941434305</v>
      </c>
      <c r="H1037" t="s">
        <v>31</v>
      </c>
      <c r="I1037">
        <f>VLOOKUP(Table4[[#This Row],[Visitor]],'NHL Model'!$A$6:$B$38,2,FALSE)</f>
        <v>0.50495447305652519</v>
      </c>
      <c r="J1037">
        <f>($B$1+Table4[[#This Row],[Home Differential]])-Table4[[#This Row],[Away Differential]]</f>
        <v>-1.0223344898897215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0.61370408479039684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-0.21513148032837168</v>
      </c>
      <c r="H1038" t="s">
        <v>10</v>
      </c>
      <c r="I1038">
        <f>VLOOKUP(Table4[[#This Row],[Visitor]],'NHL Model'!$A$6:$B$38,2,FALSE)</f>
        <v>0.27981279116457602</v>
      </c>
      <c r="J1038">
        <f>($B$1+Table4[[#This Row],[Home Differential]])-Table4[[#This Row],[Away Differential]]</f>
        <v>-0.28713315891180091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0.45306167743288339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-0.87485041382128448</v>
      </c>
      <c r="H1039" t="s">
        <v>29</v>
      </c>
      <c r="I1039">
        <f>VLOOKUP(Table4[[#This Row],[Visitor]],'NHL Model'!$A$6:$B$38,2,FALSE)</f>
        <v>-1.4469605932441605</v>
      </c>
      <c r="J1039">
        <f>($B$1+Table4[[#This Row],[Home Differential]])-Table4[[#This Row],[Away Differential]]</f>
        <v>0.77992129200402283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0.65217230197170162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-5.4617353012467046E-4</v>
      </c>
      <c r="H1040" t="s">
        <v>14</v>
      </c>
      <c r="I1040">
        <f>VLOOKUP(Table4[[#This Row],[Visitor]],'NHL Model'!$A$6:$B$38,2,FALSE)</f>
        <v>0.19552804934912488</v>
      </c>
      <c r="J1040">
        <f>($B$1+Table4[[#This Row],[Home Differential]])-Table4[[#This Row],[Away Differential]]</f>
        <v>1.1736889701897207E-2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0.54168805999957625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0.13227623341979275</v>
      </c>
      <c r="H1041" t="s">
        <v>15</v>
      </c>
      <c r="I1041">
        <f>VLOOKUP(Table4[[#This Row],[Visitor]],'NHL Model'!$A$6:$B$38,2,FALSE)</f>
        <v>-0.39108791057695064</v>
      </c>
      <c r="J1041">
        <f>($B$1+Table4[[#This Row],[Home Differential]])-Table4[[#This Row],[Away Differential]]</f>
        <v>0.73117525657789018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0.57574963108617982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-6.1847876079686406E-2</v>
      </c>
      <c r="H1042" t="s">
        <v>13</v>
      </c>
      <c r="I1042">
        <f>VLOOKUP(Table4[[#This Row],[Visitor]],'NHL Model'!$A$6:$B$38,2,FALSE)</f>
        <v>-0.15545019701583887</v>
      </c>
      <c r="J1042">
        <f>($B$1+Table4[[#This Row],[Home Differential]])-Table4[[#This Row],[Away Differential]]</f>
        <v>0.30141343351729921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0.48155308147321663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-1.7055605761743866</v>
      </c>
      <c r="H1043" t="s">
        <v>17</v>
      </c>
      <c r="I1043">
        <f>VLOOKUP(Table4[[#This Row],[Visitor]],'NHL Model'!$A$6:$B$38,2,FALSE)</f>
        <v>-0.8965878665431638</v>
      </c>
      <c r="J1043">
        <f>($B$1+Table4[[#This Row],[Home Differential]])-Table4[[#This Row],[Away Differential]]</f>
        <v>-0.60116159705007599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0.54646216084807653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-0.73027559042992929</v>
      </c>
      <c r="H1044" t="s">
        <v>19</v>
      </c>
      <c r="I1044">
        <f>VLOOKUP(Table4[[#This Row],[Visitor]],'NHL Model'!$A$6:$B$38,2,FALSE)</f>
        <v>-0.72519112941434305</v>
      </c>
      <c r="J1044">
        <f>($B$1+Table4[[#This Row],[Home Differential]])-Table4[[#This Row],[Away Differential]]</f>
        <v>0.20272665156556047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0.57165267161627209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5.4297665563734943E-2</v>
      </c>
      <c r="H1045" t="s">
        <v>26</v>
      </c>
      <c r="I1045">
        <f>VLOOKUP(Table4[[#This Row],[Visitor]],'NHL Model'!$A$6:$B$38,2,FALSE)</f>
        <v>-0.4561706649361581</v>
      </c>
      <c r="J1045">
        <f>($B$1+Table4[[#This Row],[Home Differential]])-Table4[[#This Row],[Away Differential]]</f>
        <v>0.71827944308103975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0.59871949743286634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-0.62096640812916071</v>
      </c>
      <c r="H1046" t="s">
        <v>15</v>
      </c>
      <c r="I1046">
        <f>VLOOKUP(Table4[[#This Row],[Visitor]],'NHL Model'!$A$6:$B$38,2,FALSE)</f>
        <v>-0.39108791057695064</v>
      </c>
      <c r="J1046">
        <f>($B$1+Table4[[#This Row],[Home Differential]])-Table4[[#This Row],[Away Differential]]</f>
        <v>-2.2067384971063309E-2</v>
      </c>
      <c r="K1046" t="str">
        <f>IF(Table4[[#This Row],[HomeIce Differential]]&gt;0,Table4[[#This Row],[Home]],Table4[[#This Row],[Visitor]])</f>
        <v>New York Rangers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0.5845691939368084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-0.67174708781561598</v>
      </c>
      <c r="H1047" t="s">
        <v>33</v>
      </c>
      <c r="I1047">
        <f>VLOOKUP(Table4[[#This Row],[Visitor]],'NHL Model'!$A$6:$B$38,2,FALSE)</f>
        <v>-0.41822017589574972</v>
      </c>
      <c r="J1047">
        <f>($B$1+Table4[[#This Row],[Home Differential]])-Table4[[#This Row],[Away Differential]]</f>
        <v>-4.5715799338719498E-2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0.46657508199977971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0.29030528207371809</v>
      </c>
      <c r="H1048" t="s">
        <v>13</v>
      </c>
      <c r="I1048">
        <f>VLOOKUP(Table4[[#This Row],[Visitor]],'NHL Model'!$A$6:$B$38,2,FALSE)</f>
        <v>-0.15545019701583887</v>
      </c>
      <c r="J1048">
        <f>($B$1+Table4[[#This Row],[Home Differential]])-Table4[[#This Row],[Away Differential]]</f>
        <v>0.65356659167070374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0.65228152599587796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-6.1847876079686406E-2</v>
      </c>
      <c r="H1049" t="s">
        <v>16</v>
      </c>
      <c r="I1049">
        <f>VLOOKUP(Table4[[#This Row],[Visitor]],'NHL Model'!$A$6:$B$38,2,FALSE)</f>
        <v>-1.5116691651852812</v>
      </c>
      <c r="J1049">
        <f>($B$1+Table4[[#This Row],[Home Differential]])-Table4[[#This Row],[Away Differential]]</f>
        <v>1.6576324016867416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0.7784092397866258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-0.47846056309234386</v>
      </c>
      <c r="H1050" t="s">
        <v>31</v>
      </c>
      <c r="I1050">
        <f>VLOOKUP(Table4[[#This Row],[Visitor]],'NHL Model'!$A$6:$B$38,2,FALSE)</f>
        <v>0.50495447305652519</v>
      </c>
      <c r="J1050">
        <f>($B$1+Table4[[#This Row],[Home Differential]])-Table4[[#This Row],[Away Differential]]</f>
        <v>-0.77560392356772234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0.58981222534539313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-0.59708196015665005</v>
      </c>
      <c r="H1051" t="s">
        <v>28</v>
      </c>
      <c r="I1051">
        <f>VLOOKUP(Table4[[#This Row],[Visitor]],'NHL Model'!$A$6:$B$38,2,FALSE)</f>
        <v>-0.57641196648435689</v>
      </c>
      <c r="J1051">
        <f>($B$1+Table4[[#This Row],[Home Differential]])-Table4[[#This Row],[Away Differential]]</f>
        <v>0.1871411189088536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0.56941107994095597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4.5159124835038887E-2</v>
      </c>
      <c r="H1052" t="s">
        <v>25</v>
      </c>
      <c r="I1052">
        <f>VLOOKUP(Table4[[#This Row],[Visitor]],'NHL Model'!$A$6:$B$38,2,FALSE)</f>
        <v>0.67827132507054233</v>
      </c>
      <c r="J1052">
        <f>($B$1+Table4[[#This Row],[Home Differential]])-Table4[[#This Row],[Away Differential]]</f>
        <v>-0.4253010876543567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0.62568512457368441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-0.21513148032837168</v>
      </c>
      <c r="H1053" t="s">
        <v>14</v>
      </c>
      <c r="I1053">
        <f>VLOOKUP(Table4[[#This Row],[Visitor]],'NHL Model'!$A$6:$B$38,2,FALSE)</f>
        <v>0.19552804934912488</v>
      </c>
      <c r="J1053">
        <f>($B$1+Table4[[#This Row],[Home Differential]])-Table4[[#This Row],[Away Differential]]</f>
        <v>-0.20284841709634979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0.4209021992757434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-0.87485041382128448</v>
      </c>
      <c r="H1054" t="s">
        <v>32</v>
      </c>
      <c r="I1054">
        <f>VLOOKUP(Table4[[#This Row],[Visitor]],'NHL Model'!$A$6:$B$38,2,FALSE)</f>
        <v>-0.53589042422266964</v>
      </c>
      <c r="J1054">
        <f>($B$1+Table4[[#This Row],[Home Differential]])-Table4[[#This Row],[Away Differential]]</f>
        <v>-0.13114887701746802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0.47886250777722977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-5.4617353012467046E-4</v>
      </c>
      <c r="H1055" t="s">
        <v>10</v>
      </c>
      <c r="I1055">
        <f>VLOOKUP(Table4[[#This Row],[Visitor]],'NHL Model'!$A$6:$B$38,2,FALSE)</f>
        <v>0.27981279116457602</v>
      </c>
      <c r="J1055">
        <f>($B$1+Table4[[#This Row],[Home Differential]])-Table4[[#This Row],[Away Differential]]</f>
        <v>-7.254785211355394E-2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0.49120343696171653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0.13227623341979275</v>
      </c>
      <c r="H1056" t="s">
        <v>12</v>
      </c>
      <c r="I1056">
        <f>VLOOKUP(Table4[[#This Row],[Visitor]],'NHL Model'!$A$6:$B$38,2,FALSE)</f>
        <v>1.4784730509534416</v>
      </c>
      <c r="J1056">
        <f>($B$1+Table4[[#This Row],[Home Differential]])-Table4[[#This Row],[Away Differential]]</f>
        <v>-1.1383857049525021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0.63741271283208667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-7.0657671368725999E-2</v>
      </c>
      <c r="H1057" t="s">
        <v>21</v>
      </c>
      <c r="I1057">
        <f>VLOOKUP(Table4[[#This Row],[Visitor]],'NHL Model'!$A$6:$B$38,2,FALSE)</f>
        <v>-5.2681296301607013E-2</v>
      </c>
      <c r="J1057">
        <f>($B$1+Table4[[#This Row],[Home Differential]])-Table4[[#This Row],[Away Differential]]</f>
        <v>0.18983473751402777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0.56730301085437274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-0.8965878665431638</v>
      </c>
      <c r="H1058" t="s">
        <v>29</v>
      </c>
      <c r="I1058">
        <f>VLOOKUP(Table4[[#This Row],[Visitor]],'NHL Model'!$A$6:$B$38,2,FALSE)</f>
        <v>-1.4469605932441605</v>
      </c>
      <c r="J1058">
        <f>($B$1+Table4[[#This Row],[Home Differential]])-Table4[[#This Row],[Away Differential]]</f>
        <v>0.75818383928214339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0.6850827757889616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-0.62096640812916071</v>
      </c>
      <c r="H1059" t="s">
        <v>19</v>
      </c>
      <c r="I1059">
        <f>VLOOKUP(Table4[[#This Row],[Visitor]],'NHL Model'!$A$6:$B$38,2,FALSE)</f>
        <v>-0.72519112941434305</v>
      </c>
      <c r="J1059">
        <f>($B$1+Table4[[#This Row],[Home Differential]])-Table4[[#This Row],[Away Differential]]</f>
        <v>0.3120358338663291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0.58487860267605707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-0.67174708781561598</v>
      </c>
      <c r="H1060" t="s">
        <v>31</v>
      </c>
      <c r="I1060">
        <f>VLOOKUP(Table4[[#This Row],[Visitor]],'NHL Model'!$A$6:$B$38,2,FALSE)</f>
        <v>0.50495447305652519</v>
      </c>
      <c r="J1060">
        <f>($B$1+Table4[[#This Row],[Home Differential]])-Table4[[#This Row],[Away Differential]]</f>
        <v>-0.96889044829099435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0.62012005123975855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-0.47846056309234386</v>
      </c>
      <c r="H1061" t="s">
        <v>33</v>
      </c>
      <c r="I1061">
        <f>VLOOKUP(Table4[[#This Row],[Visitor]],'NHL Model'!$A$6:$B$38,2,FALSE)</f>
        <v>-0.41822017589574972</v>
      </c>
      <c r="J1061">
        <f>($B$1+Table4[[#This Row],[Home Differential]])-Table4[[#This Row],[Away Differential]]</f>
        <v>0.14757072538455263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0.56371986189491241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-0.53589042422266964</v>
      </c>
      <c r="H1062" t="s">
        <v>11</v>
      </c>
      <c r="I1062">
        <f>VLOOKUP(Table4[[#This Row],[Visitor]],'NHL Model'!$A$6:$B$38,2,FALSE)</f>
        <v>-0.1981495100594213</v>
      </c>
      <c r="J1062">
        <f>($B$1+Table4[[#This Row],[Home Differential]])-Table4[[#This Row],[Away Differential]]</f>
        <v>-0.12992980158210157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0.45264943821275322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0.13227623341979275</v>
      </c>
      <c r="H1063" t="s">
        <v>35</v>
      </c>
      <c r="I1063">
        <f>VLOOKUP(Table4[[#This Row],[Visitor]],'NHL Model'!$A$6:$B$38,2,FALSE)</f>
        <v>-1.7055605761743866</v>
      </c>
      <c r="J1063">
        <f>($B$1+Table4[[#This Row],[Home Differential]])-Table4[[#This Row],[Away Differential]]</f>
        <v>2.0456479221753261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0.88593160912222846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1.4784730509534416</v>
      </c>
      <c r="H1064" t="s">
        <v>14</v>
      </c>
      <c r="I1064">
        <f>VLOOKUP(Table4[[#This Row],[Visitor]],'NHL Model'!$A$6:$B$38,2,FALSE)</f>
        <v>0.19552804934912488</v>
      </c>
      <c r="J1064">
        <f>($B$1+Table4[[#This Row],[Home Differential]])-Table4[[#This Row],[Away Differential]]</f>
        <v>1.4907561141854635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0.84277447935686378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5.4297665563734943E-2</v>
      </c>
      <c r="H1065" t="s">
        <v>55</v>
      </c>
      <c r="I1065">
        <f>VLOOKUP(Table4[[#This Row],[Visitor]],'NHL Model'!$A$6:$B$38,2,FALSE)</f>
        <v>-0.21513148032837168</v>
      </c>
      <c r="J1065">
        <f>($B$1+Table4[[#This Row],[Home Differential]])-Table4[[#This Row],[Away Differential]]</f>
        <v>0.47724025847325335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0.61113463412337066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-0.4561706649361581</v>
      </c>
      <c r="H1066" t="s">
        <v>16</v>
      </c>
      <c r="I1066">
        <f>VLOOKUP(Table4[[#This Row],[Visitor]],'NHL Model'!$A$6:$B$38,2,FALSE)</f>
        <v>-1.5116691651852812</v>
      </c>
      <c r="J1066">
        <f>($B$1+Table4[[#This Row],[Home Differential]])-Table4[[#This Row],[Away Differential]]</f>
        <v>1.2633096128302699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0.76212688036764764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0.29030528207371809</v>
      </c>
      <c r="H1067" t="s">
        <v>21</v>
      </c>
      <c r="I1067">
        <f>VLOOKUP(Table4[[#This Row],[Visitor]],'NHL Model'!$A$6:$B$38,2,FALSE)</f>
        <v>-5.2681296301607013E-2</v>
      </c>
      <c r="J1067">
        <f>($B$1+Table4[[#This Row],[Home Differential]])-Table4[[#This Row],[Away Differential]]</f>
        <v>0.55079769095647191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0.73464927577678829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-0.39108791057695064</v>
      </c>
      <c r="H1068" t="s">
        <v>13</v>
      </c>
      <c r="I1068">
        <f>VLOOKUP(Table4[[#This Row],[Visitor]],'NHL Model'!$A$6:$B$38,2,FALSE)</f>
        <v>-0.15545019701583887</v>
      </c>
      <c r="J1068">
        <f>($B$1+Table4[[#This Row],[Home Differential]])-Table4[[#This Row],[Away Differential]]</f>
        <v>-2.7826600979965005E-2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0.56579991805306129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-0.57641196648435689</v>
      </c>
      <c r="H1069" t="s">
        <v>25</v>
      </c>
      <c r="I1069">
        <f>VLOOKUP(Table4[[#This Row],[Visitor]],'NHL Model'!$A$6:$B$38,2,FALSE)</f>
        <v>0.67827132507054233</v>
      </c>
      <c r="J1069">
        <f>($B$1+Table4[[#This Row],[Home Differential]])-Table4[[#This Row],[Away Differential]]</f>
        <v>-1.0468721789737525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0.70808867899307459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0.27981279116457602</v>
      </c>
      <c r="H1070" t="s">
        <v>34</v>
      </c>
      <c r="I1070">
        <f>VLOOKUP(Table4[[#This Row],[Visitor]],'NHL Model'!$A$6:$B$38,2,FALSE)</f>
        <v>-0.62096640812916071</v>
      </c>
      <c r="J1070">
        <f>($B$1+Table4[[#This Row],[Home Differential]])-Table4[[#This Row],[Away Differential]]</f>
        <v>1.1085903118748834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0.70648912708986256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-0.8965878665431638</v>
      </c>
      <c r="H1071" t="s">
        <v>33</v>
      </c>
      <c r="I1071">
        <f>VLOOKUP(Table4[[#This Row],[Visitor]],'NHL Model'!$A$6:$B$38,2,FALSE)</f>
        <v>-0.41822017589574972</v>
      </c>
      <c r="J1071">
        <f>($B$1+Table4[[#This Row],[Home Differential]])-Table4[[#This Row],[Away Differential]]</f>
        <v>-0.27055657806626737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0.46287597585479412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-0.67174708781561598</v>
      </c>
      <c r="H1072" t="s">
        <v>21</v>
      </c>
      <c r="I1072">
        <f>VLOOKUP(Table4[[#This Row],[Visitor]],'NHL Model'!$A$6:$B$38,2,FALSE)</f>
        <v>-5.2681296301607013E-2</v>
      </c>
      <c r="J1072">
        <f>($B$1+Table4[[#This Row],[Home Differential]])-Table4[[#This Row],[Away Differential]]</f>
        <v>-0.41125467893286222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0.51914876860714587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-0.53589042422266964</v>
      </c>
      <c r="H1073" t="s">
        <v>37</v>
      </c>
      <c r="I1073">
        <f>VLOOKUP(Table4[[#This Row],[Visitor]],'NHL Model'!$A$6:$B$38,2,FALSE)</f>
        <v>4.5159124835038887E-2</v>
      </c>
      <c r="J1073">
        <f>($B$1+Table4[[#This Row],[Home Differential]])-Table4[[#This Row],[Away Differential]]</f>
        <v>-0.37323843647656174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0.53445030735109533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-0.72519112941434305</v>
      </c>
      <c r="H1074" t="s">
        <v>30</v>
      </c>
      <c r="I1074">
        <f>VLOOKUP(Table4[[#This Row],[Visitor]],'NHL Model'!$A$6:$B$38,2,FALSE)</f>
        <v>-6.1847876079686406E-2</v>
      </c>
      <c r="J1074">
        <f>($B$1+Table4[[#This Row],[Home Differential]])-Table4[[#This Row],[Away Differential]]</f>
        <v>-0.45553214075350995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0.57067162066337807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-0.87485041382128448</v>
      </c>
      <c r="H1075" t="s">
        <v>11</v>
      </c>
      <c r="I1075">
        <f>VLOOKUP(Table4[[#This Row],[Visitor]],'NHL Model'!$A$6:$B$38,2,FALSE)</f>
        <v>-0.1981495100594213</v>
      </c>
      <c r="J1075">
        <f>($B$1+Table4[[#This Row],[Home Differential]])-Table4[[#This Row],[Away Differential]]</f>
        <v>-0.46888979118071639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0.52743814765285335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-5.4617353012467046E-4</v>
      </c>
      <c r="H1076" t="s">
        <v>23</v>
      </c>
      <c r="I1076">
        <f>VLOOKUP(Table4[[#This Row],[Visitor]],'NHL Model'!$A$6:$B$38,2,FALSE)</f>
        <v>-0.73027559042992929</v>
      </c>
      <c r="J1076">
        <f>($B$1+Table4[[#This Row],[Home Differential]])-Table4[[#This Row],[Away Differential]]</f>
        <v>0.93754052948095135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0.67484191348773159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0.13227623341979275</v>
      </c>
      <c r="H1077" t="s">
        <v>29</v>
      </c>
      <c r="I1077">
        <f>VLOOKUP(Table4[[#This Row],[Visitor]],'NHL Model'!$A$6:$B$38,2,FALSE)</f>
        <v>-1.4469605932441605</v>
      </c>
      <c r="J1077">
        <f>($B$1+Table4[[#This Row],[Home Differential]])-Table4[[#This Row],[Away Differential]]</f>
        <v>1.7870479392451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0.84873842607603889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0.50495447305652519</v>
      </c>
      <c r="H1078" t="s">
        <v>27</v>
      </c>
      <c r="I1078">
        <f>VLOOKUP(Table4[[#This Row],[Visitor]],'NHL Model'!$A$6:$B$38,2,FALSE)</f>
        <v>-0.59708196015665005</v>
      </c>
      <c r="J1078">
        <f>($B$1+Table4[[#This Row],[Home Differential]])-Table4[[#This Row],[Away Differential]]</f>
        <v>1.3098475457943222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0.83914824750768557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0.67827132507054233</v>
      </c>
      <c r="H1079" t="s">
        <v>14</v>
      </c>
      <c r="I1079">
        <f>VLOOKUP(Table4[[#This Row],[Visitor]],'NHL Model'!$A$6:$B$38,2,FALSE)</f>
        <v>0.19552804934912488</v>
      </c>
      <c r="J1079">
        <f>($B$1+Table4[[#This Row],[Home Differential]])-Table4[[#This Row],[Away Differential]]</f>
        <v>0.69055438830256421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0.6910350693817906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-1.5116691651852812</v>
      </c>
      <c r="H1080" t="s">
        <v>35</v>
      </c>
      <c r="I1080">
        <f>VLOOKUP(Table4[[#This Row],[Visitor]],'NHL Model'!$A$6:$B$38,2,FALSE)</f>
        <v>-1.7055605761743866</v>
      </c>
      <c r="J1080">
        <f>($B$1+Table4[[#This Row],[Home Differential]])-Table4[[#This Row],[Away Differential]]</f>
        <v>0.40170252357025227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0.59777492836608503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1.4784730509534416</v>
      </c>
      <c r="H1081" t="s">
        <v>39</v>
      </c>
      <c r="I1081">
        <f>VLOOKUP(Table4[[#This Row],[Visitor]],'NHL Model'!$A$6:$B$38,2,FALSE)</f>
        <v>5.4297665563734943E-2</v>
      </c>
      <c r="J1081">
        <f>($B$1+Table4[[#This Row],[Home Differential]])-Table4[[#This Row],[Away Differential]]</f>
        <v>1.6319864979708534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0.77318225212963254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-0.39108791057695064</v>
      </c>
      <c r="H1082" t="s">
        <v>24</v>
      </c>
      <c r="I1082">
        <f>VLOOKUP(Table4[[#This Row],[Visitor]],'NHL Model'!$A$6:$B$38,2,FALSE)</f>
        <v>0.29030528207371809</v>
      </c>
      <c r="J1082">
        <f>($B$1+Table4[[#This Row],[Home Differential]])-Table4[[#This Row],[Away Differential]]</f>
        <v>-0.47358208006952196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0.57062557965125005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-7.0657671368725999E-2</v>
      </c>
      <c r="H1083" t="s">
        <v>36</v>
      </c>
      <c r="I1083">
        <f>VLOOKUP(Table4[[#This Row],[Visitor]],'NHL Model'!$A$6:$B$38,2,FALSE)</f>
        <v>-0.47846056309234386</v>
      </c>
      <c r="J1083">
        <f>($B$1+Table4[[#This Row],[Home Differential]])-Table4[[#This Row],[Away Differential]]</f>
        <v>0.61561400430476465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0.6285407805849802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-5.2681296301607013E-2</v>
      </c>
      <c r="H1084" t="s">
        <v>40</v>
      </c>
      <c r="I1084">
        <f>VLOOKUP(Table4[[#This Row],[Visitor]],'NHL Model'!$A$6:$B$38,2,FALSE)</f>
        <v>0.13227623341979275</v>
      </c>
      <c r="J1084">
        <f>($B$1+Table4[[#This Row],[Home Differential]])-Table4[[#This Row],[Away Differential]]</f>
        <v>2.2853582859747007E-2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0.52960270960775535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-0.57641196648435689</v>
      </c>
      <c r="H1085" t="s">
        <v>15</v>
      </c>
      <c r="I1085">
        <f>VLOOKUP(Table4[[#This Row],[Visitor]],'NHL Model'!$A$6:$B$38,2,FALSE)</f>
        <v>-0.39108791057695064</v>
      </c>
      <c r="J1085">
        <f>($B$1+Table4[[#This Row],[Home Differential]])-Table4[[#This Row],[Away Differential]]</f>
        <v>2.2487056673740513E-2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0.42876611934158149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-0.4561706649361581</v>
      </c>
      <c r="H1086" t="s">
        <v>18</v>
      </c>
      <c r="I1086">
        <f>VLOOKUP(Table4[[#This Row],[Visitor]],'NHL Model'!$A$6:$B$38,2,FALSE)</f>
        <v>-0.67174708781561598</v>
      </c>
      <c r="J1086">
        <f>($B$1+Table4[[#This Row],[Home Differential]])-Table4[[#This Row],[Away Differential]]</f>
        <v>0.42338753546060465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0.59479208368221026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-0.8965878665431638</v>
      </c>
      <c r="H1087" t="s">
        <v>11</v>
      </c>
      <c r="I1087">
        <f>VLOOKUP(Table4[[#This Row],[Visitor]],'NHL Model'!$A$6:$B$38,2,FALSE)</f>
        <v>-0.1981495100594213</v>
      </c>
      <c r="J1087">
        <f>($B$1+Table4[[#This Row],[Home Differential]])-Table4[[#This Row],[Away Differential]]</f>
        <v>-0.49062724390259582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0.49452767383559337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-0.15545019701583887</v>
      </c>
      <c r="H1088" t="s">
        <v>27</v>
      </c>
      <c r="I1088">
        <f>VLOOKUP(Table4[[#This Row],[Visitor]],'NHL Model'!$A$6:$B$38,2,FALSE)</f>
        <v>-0.59708196015665005</v>
      </c>
      <c r="J1088">
        <f>($B$1+Table4[[#This Row],[Home Differential]])-Table4[[#This Row],[Away Differential]]</f>
        <v>0.64944287572195791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0.63340622331474694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-0.62096640812916071</v>
      </c>
      <c r="H1089" t="s">
        <v>10</v>
      </c>
      <c r="I1089">
        <f>VLOOKUP(Table4[[#This Row],[Visitor]],'NHL Model'!$A$6:$B$38,2,FALSE)</f>
        <v>0.27981279116457602</v>
      </c>
      <c r="J1089">
        <f>($B$1+Table4[[#This Row],[Home Differential]])-Table4[[#This Row],[Away Differential]]</f>
        <v>-0.69296808671259003</v>
      </c>
      <c r="K1089" t="str">
        <f>IF(Table4[[#This Row],[HomeIce Differential]]&gt;0,Table4[[#This Row],[Home]],Table4[[#This Row],[Visitor]])</f>
        <v>Chicago Blackhawks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0.58043547437150944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-1.4469605932441605</v>
      </c>
      <c r="H1090" t="s">
        <v>32</v>
      </c>
      <c r="I1090">
        <f>VLOOKUP(Table4[[#This Row],[Visitor]],'NHL Model'!$A$6:$B$38,2,FALSE)</f>
        <v>-0.53589042422266964</v>
      </c>
      <c r="J1090">
        <f>($B$1+Table4[[#This Row],[Home Differential]])-Table4[[#This Row],[Away Differential]]</f>
        <v>-0.70325905644034403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0.56114634393511764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-0.47846056309234386</v>
      </c>
      <c r="H1091" t="s">
        <v>30</v>
      </c>
      <c r="I1091">
        <f>VLOOKUP(Table4[[#This Row],[Visitor]],'NHL Model'!$A$6:$B$38,2,FALSE)</f>
        <v>-6.1847876079686406E-2</v>
      </c>
      <c r="J1091">
        <f>($B$1+Table4[[#This Row],[Home Differential]])-Table4[[#This Row],[Away Differential]]</f>
        <v>-0.20880157443151071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0.54680944263449871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-0.41822017589574972</v>
      </c>
      <c r="H1092" t="s">
        <v>23</v>
      </c>
      <c r="I1092">
        <f>VLOOKUP(Table4[[#This Row],[Visitor]],'NHL Model'!$A$6:$B$38,2,FALSE)</f>
        <v>-0.73027559042992929</v>
      </c>
      <c r="J1092">
        <f>($B$1+Table4[[#This Row],[Home Differential]])-Table4[[#This Row],[Away Differential]]</f>
        <v>0.51986652711532633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0.61476988468249105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-0.87485041382128448</v>
      </c>
      <c r="H1093" t="s">
        <v>37</v>
      </c>
      <c r="I1093">
        <f>VLOOKUP(Table4[[#This Row],[Visitor]],'NHL Model'!$A$6:$B$38,2,FALSE)</f>
        <v>4.5159124835038887E-2</v>
      </c>
      <c r="J1093">
        <f>($B$1+Table4[[#This Row],[Home Differential]])-Table4[[#This Row],[Away Differential]]</f>
        <v>-0.71219842607517658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0.60953144165363826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-5.4617353012467046E-4</v>
      </c>
      <c r="H1094" t="s">
        <v>55</v>
      </c>
      <c r="I1094">
        <f>VLOOKUP(Table4[[#This Row],[Visitor]],'NHL Model'!$A$6:$B$38,2,FALSE)</f>
        <v>-0.21513148032837168</v>
      </c>
      <c r="J1094">
        <f>($B$1+Table4[[#This Row],[Home Differential]])-Table4[[#This Row],[Away Differential]]</f>
        <v>0.42239641937939376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0.60075123117185847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-1.5116691651852812</v>
      </c>
      <c r="H1095" t="s">
        <v>11</v>
      </c>
      <c r="I1095">
        <f>VLOOKUP(Table4[[#This Row],[Visitor]],'NHL Model'!$A$6:$B$38,2,FALSE)</f>
        <v>-0.1981495100594213</v>
      </c>
      <c r="J1095">
        <f>($B$1+Table4[[#This Row],[Home Differential]])-Table4[[#This Row],[Away Differential]]</f>
        <v>-1.1057085425447131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0.61902870430465928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0.27981279116457602</v>
      </c>
      <c r="H1096" t="s">
        <v>12</v>
      </c>
      <c r="I1096">
        <f>VLOOKUP(Table4[[#This Row],[Visitor]],'NHL Model'!$A$6:$B$38,2,FALSE)</f>
        <v>1.4784730509534416</v>
      </c>
      <c r="J1096">
        <f>($B$1+Table4[[#This Row],[Home Differential]])-Table4[[#This Row],[Away Differential]]</f>
        <v>-0.99084914720771877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0.66173980301210877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-0.72519112941434305</v>
      </c>
      <c r="H1097" t="s">
        <v>25</v>
      </c>
      <c r="I1097">
        <f>VLOOKUP(Table4[[#This Row],[Visitor]],'NHL Model'!$A$6:$B$38,2,FALSE)</f>
        <v>0.67827132507054233</v>
      </c>
      <c r="J1097">
        <f>($B$1+Table4[[#This Row],[Home Differential]])-Table4[[#This Row],[Away Differential]]</f>
        <v>-1.1956513419037387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0.72252653926188504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-0.21513148032837168</v>
      </c>
      <c r="H1098" t="s">
        <v>31</v>
      </c>
      <c r="I1098">
        <f>VLOOKUP(Table4[[#This Row],[Visitor]],'NHL Model'!$A$6:$B$38,2,FALSE)</f>
        <v>0.50495447305652519</v>
      </c>
      <c r="J1098">
        <f>($B$1+Table4[[#This Row],[Home Differential]])-Table4[[#This Row],[Away Differential]]</f>
        <v>-0.51227484080375008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0.48544271509209147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-7.0657671368725999E-2</v>
      </c>
      <c r="H1099" t="s">
        <v>24</v>
      </c>
      <c r="I1099">
        <f>VLOOKUP(Table4[[#This Row],[Visitor]],'NHL Model'!$A$6:$B$38,2,FALSE)</f>
        <v>0.29030528207371809</v>
      </c>
      <c r="J1099">
        <f>($B$1+Table4[[#This Row],[Home Differential]])-Table4[[#This Row],[Away Differential]]</f>
        <v>-0.15315184086129732</v>
      </c>
      <c r="K1099" t="str">
        <f>IF(Table4[[#This Row],[HomeIce Differential]]&gt;0,Table4[[#This Row],[Home]],Table4[[#This Row],[Visitor]])</f>
        <v>New Jersey Devils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0.52453965031218519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-0.57641196648435689</v>
      </c>
      <c r="H1100" t="s">
        <v>32</v>
      </c>
      <c r="I1100">
        <f>VLOOKUP(Table4[[#This Row],[Visitor]],'NHL Model'!$A$6:$B$38,2,FALSE)</f>
        <v>-0.53589042422266964</v>
      </c>
      <c r="J1100">
        <f>($B$1+Table4[[#This Row],[Home Differential]])-Table4[[#This Row],[Away Differential]]</f>
        <v>0.16728957031945951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0.57110640051160544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-0.4561706649361581</v>
      </c>
      <c r="H1101" t="s">
        <v>21</v>
      </c>
      <c r="I1101">
        <f>VLOOKUP(Table4[[#This Row],[Visitor]],'NHL Model'!$A$6:$B$38,2,FALSE)</f>
        <v>-5.2681296301607013E-2</v>
      </c>
      <c r="J1101">
        <f>($B$1+Table4[[#This Row],[Home Differential]])-Table4[[#This Row],[Away Differential]]</f>
        <v>-0.19567825605340433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0.44771227837739225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-0.8965878665431638</v>
      </c>
      <c r="H1102" t="s">
        <v>37</v>
      </c>
      <c r="I1102">
        <f>VLOOKUP(Table4[[#This Row],[Visitor]],'NHL Model'!$A$6:$B$38,2,FALSE)</f>
        <v>4.5159124835038887E-2</v>
      </c>
      <c r="J1102">
        <f>($B$1+Table4[[#This Row],[Home Differential]])-Table4[[#This Row],[Away Differential]]</f>
        <v>-0.73393587879705602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0.5761466780092126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-0.15545019701583887</v>
      </c>
      <c r="H1103" t="s">
        <v>23</v>
      </c>
      <c r="I1103">
        <f>VLOOKUP(Table4[[#This Row],[Visitor]],'NHL Model'!$A$6:$B$38,2,FALSE)</f>
        <v>-0.73027559042992929</v>
      </c>
      <c r="J1103">
        <f>($B$1+Table4[[#This Row],[Home Differential]])-Table4[[#This Row],[Away Differential]]</f>
        <v>0.78263650599523715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0.65256281804923766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-0.62096640812916071</v>
      </c>
      <c r="H1104" t="s">
        <v>39</v>
      </c>
      <c r="I1104">
        <f>VLOOKUP(Table4[[#This Row],[Visitor]],'NHL Model'!$A$6:$B$38,2,FALSE)</f>
        <v>5.4297665563734943E-2</v>
      </c>
      <c r="J1104">
        <f>($B$1+Table4[[#This Row],[Home Differential]])-Table4[[#This Row],[Away Differential]]</f>
        <v>-0.46745296111174889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0.61971768318845544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-0.67174708781561598</v>
      </c>
      <c r="H1105" t="s">
        <v>30</v>
      </c>
      <c r="I1105">
        <f>VLOOKUP(Table4[[#This Row],[Visitor]],'NHL Model'!$A$6:$B$38,2,FALSE)</f>
        <v>-6.1847876079686406E-2</v>
      </c>
      <c r="J1105">
        <f>($B$1+Table4[[#This Row],[Home Differential]])-Table4[[#This Row],[Away Differential]]</f>
        <v>-0.40208809915478283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0.57711821766281113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-1.4469605932441605</v>
      </c>
      <c r="H1106" t="s">
        <v>20</v>
      </c>
      <c r="I1106">
        <f>VLOOKUP(Table4[[#This Row],[Visitor]],'NHL Model'!$A$6:$B$38,2,FALSE)</f>
        <v>-5.4617353012467046E-4</v>
      </c>
      <c r="J1106">
        <f>($B$1+Table4[[#This Row],[Home Differential]])-Table4[[#This Row],[Away Differential]]</f>
        <v>-1.238603307132889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0.65891154540441321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-0.47846056309234386</v>
      </c>
      <c r="H1107" t="s">
        <v>19</v>
      </c>
      <c r="I1107">
        <f>VLOOKUP(Table4[[#This Row],[Visitor]],'NHL Model'!$A$6:$B$38,2,FALSE)</f>
        <v>-0.72519112941434305</v>
      </c>
      <c r="J1107">
        <f>($B$1+Table4[[#This Row],[Home Differential]])-Table4[[#This Row],[Away Differential]]</f>
        <v>0.45454167890314595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0.60787000736170804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0.19552804934912488</v>
      </c>
      <c r="H1108" t="s">
        <v>40</v>
      </c>
      <c r="I1108">
        <f>VLOOKUP(Table4[[#This Row],[Visitor]],'NHL Model'!$A$6:$B$38,2,FALSE)</f>
        <v>0.13227623341979275</v>
      </c>
      <c r="J1108">
        <f>($B$1+Table4[[#This Row],[Home Differential]])-Table4[[#This Row],[Away Differential]]</f>
        <v>0.27106292851047886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0.54918974977883617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-0.41822017589574972</v>
      </c>
      <c r="H1109" t="s">
        <v>27</v>
      </c>
      <c r="I1109">
        <f>VLOOKUP(Table4[[#This Row],[Visitor]],'NHL Model'!$A$6:$B$38,2,FALSE)</f>
        <v>-0.59708196015665005</v>
      </c>
      <c r="J1109">
        <f>($B$1+Table4[[#This Row],[Home Differential]])-Table4[[#This Row],[Away Differential]]</f>
        <v>0.38667289684204709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0.59561328994800034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-0.87485041382128448</v>
      </c>
      <c r="H1110" t="s">
        <v>35</v>
      </c>
      <c r="I1110">
        <f>VLOOKUP(Table4[[#This Row],[Visitor]],'NHL Model'!$A$6:$B$38,2,FALSE)</f>
        <v>-1.7055605761743866</v>
      </c>
      <c r="J1110">
        <f>($B$1+Table4[[#This Row],[Home Differential]])-Table4[[#This Row],[Away Differential]]</f>
        <v>1.038521274934249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0.68936548501789108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0.50495447305652519</v>
      </c>
      <c r="H1111" t="s">
        <v>23</v>
      </c>
      <c r="I1111">
        <f>VLOOKUP(Table4[[#This Row],[Visitor]],'NHL Model'!$A$6:$B$38,2,FALSE)</f>
        <v>-0.73027559042992929</v>
      </c>
      <c r="J1111">
        <f>($B$1+Table4[[#This Row],[Home Differential]])-Table4[[#This Row],[Away Differential]]</f>
        <v>1.4430411760676014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0.85830484224217629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-1.5116691651852812</v>
      </c>
      <c r="H1112" t="s">
        <v>37</v>
      </c>
      <c r="I1112">
        <f>VLOOKUP(Table4[[#This Row],[Visitor]],'NHL Model'!$A$6:$B$38,2,FALSE)</f>
        <v>4.5159124835038887E-2</v>
      </c>
      <c r="J1112">
        <f>($B$1+Table4[[#This Row],[Home Differential]])-Table4[[#This Row],[Away Differential]]</f>
        <v>-1.3490171774391733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0.70112199830544419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0.27981279116457602</v>
      </c>
      <c r="H1113" t="s">
        <v>29</v>
      </c>
      <c r="I1113">
        <f>VLOOKUP(Table4[[#This Row],[Visitor]],'NHL Model'!$A$6:$B$38,2,FALSE)</f>
        <v>-1.4469605932441605</v>
      </c>
      <c r="J1113">
        <f>($B$1+Table4[[#This Row],[Home Differential]])-Table4[[#This Row],[Away Differential]]</f>
        <v>1.9345844969898833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0.82528787012906579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5.4297665563734943E-2</v>
      </c>
      <c r="H1114" t="s">
        <v>20</v>
      </c>
      <c r="I1114">
        <f>VLOOKUP(Table4[[#This Row],[Visitor]],'NHL Model'!$A$6:$B$38,2,FALSE)</f>
        <v>-5.4617353012467046E-4</v>
      </c>
      <c r="J1114">
        <f>($B$1+Table4[[#This Row],[Home Differential]])-Table4[[#This Row],[Away Differential]]</f>
        <v>0.26265495167500635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0.55951551999576865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-6.1847876079686406E-2</v>
      </c>
      <c r="H1115" t="s">
        <v>28</v>
      </c>
      <c r="I1115">
        <f>VLOOKUP(Table4[[#This Row],[Visitor]],'NHL Model'!$A$6:$B$38,2,FALSE)</f>
        <v>-0.57641196648435689</v>
      </c>
      <c r="J1115">
        <f>($B$1+Table4[[#This Row],[Home Differential]])-Table4[[#This Row],[Away Differential]]</f>
        <v>0.72237520298581726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0.64389572670594097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-0.39108791057695064</v>
      </c>
      <c r="H1116" t="s">
        <v>40</v>
      </c>
      <c r="I1116">
        <f>VLOOKUP(Table4[[#This Row],[Visitor]],'NHL Model'!$A$6:$B$38,2,FALSE)</f>
        <v>0.13227623341979275</v>
      </c>
      <c r="J1116">
        <f>($B$1+Table4[[#This Row],[Home Differential]])-Table4[[#This Row],[Away Differential]]</f>
        <v>-0.31555303141559665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0.57170025363811883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0.19552804934912488</v>
      </c>
      <c r="H1117" t="s">
        <v>25</v>
      </c>
      <c r="I1117">
        <f>VLOOKUP(Table4[[#This Row],[Visitor]],'NHL Model'!$A$6:$B$38,2,FALSE)</f>
        <v>0.67827132507054233</v>
      </c>
      <c r="J1117">
        <f>($B$1+Table4[[#This Row],[Home Differential]])-Table4[[#This Row],[Away Differential]]</f>
        <v>-0.27493216314027069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0.56784404821525514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-0.21513148032837168</v>
      </c>
      <c r="H1118" t="s">
        <v>13</v>
      </c>
      <c r="I1118">
        <f>VLOOKUP(Table4[[#This Row],[Visitor]],'NHL Model'!$A$6:$B$38,2,FALSE)</f>
        <v>-0.15545019701583887</v>
      </c>
      <c r="J1118">
        <f>($B$1+Table4[[#This Row],[Home Differential]])-Table4[[#This Row],[Away Differential]]</f>
        <v>0.14812982926861396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0.52911729589426293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-7.0657671368725999E-2</v>
      </c>
      <c r="H1119" t="s">
        <v>12</v>
      </c>
      <c r="I1119">
        <f>VLOOKUP(Table4[[#This Row],[Visitor]],'NHL Model'!$A$6:$B$38,2,FALSE)</f>
        <v>1.4784730509534416</v>
      </c>
      <c r="J1119">
        <f>($B$1+Table4[[#This Row],[Home Differential]])-Table4[[#This Row],[Away Differential]]</f>
        <v>-1.3413196097410209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0.71923129241863859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-0.39108791057695064</v>
      </c>
      <c r="H1120" t="s">
        <v>36</v>
      </c>
      <c r="I1120">
        <f>VLOOKUP(Table4[[#This Row],[Visitor]],'NHL Model'!$A$6:$B$38,2,FALSE)</f>
        <v>-0.47846056309234386</v>
      </c>
      <c r="J1120">
        <f>($B$1+Table4[[#This Row],[Home Differential]])-Table4[[#This Row],[Away Differential]]</f>
        <v>0.29518376509653999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0.58245485124591534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-5.2681296301607013E-2</v>
      </c>
      <c r="H1121" t="s">
        <v>19</v>
      </c>
      <c r="I1121">
        <f>VLOOKUP(Table4[[#This Row],[Visitor]],'NHL Model'!$A$6:$B$38,2,FALSE)</f>
        <v>-0.72519112941434305</v>
      </c>
      <c r="J1121">
        <f>($B$1+Table4[[#This Row],[Home Differential]])-Table4[[#This Row],[Away Differential]]</f>
        <v>0.88032094569388275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0.71832827421933643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-1.5116691651852812</v>
      </c>
      <c r="H1122" t="s">
        <v>13</v>
      </c>
      <c r="I1122">
        <f>VLOOKUP(Table4[[#This Row],[Visitor]],'NHL Model'!$A$6:$B$38,2,FALSE)</f>
        <v>-0.15545019701583887</v>
      </c>
      <c r="J1122">
        <f>($B$1+Table4[[#This Row],[Home Differential]])-Table4[[#This Row],[Away Differential]]</f>
        <v>-1.1484078555882955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0.72696769249959536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5.4297665563734943E-2</v>
      </c>
      <c r="H1123" t="s">
        <v>24</v>
      </c>
      <c r="I1123">
        <f>VLOOKUP(Table4[[#This Row],[Visitor]],'NHL Model'!$A$6:$B$38,2,FALSE)</f>
        <v>0.29030528207371809</v>
      </c>
      <c r="J1123">
        <f>($B$1+Table4[[#This Row],[Home Differential]])-Table4[[#This Row],[Away Differential]]</f>
        <v>-2.8196503928836381E-2</v>
      </c>
      <c r="K1123" t="str">
        <f>IF(Table4[[#This Row],[HomeIce Differential]]&gt;0,Table4[[#This Row],[Home]],Table4[[#This Row],[Visitor]])</f>
        <v>New Jersey Devils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0.50405536659362726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-0.4561706649361581</v>
      </c>
      <c r="H1124" t="s">
        <v>36</v>
      </c>
      <c r="I1124">
        <f>VLOOKUP(Table4[[#This Row],[Visitor]],'NHL Model'!$A$6:$B$38,2,FALSE)</f>
        <v>-0.47846056309234386</v>
      </c>
      <c r="J1124">
        <f>($B$1+Table4[[#This Row],[Home Differential]])-Table4[[#This Row],[Away Differential]]</f>
        <v>0.23010101073733252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0.6135254913532151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-0.1981495100594213</v>
      </c>
      <c r="H1125" t="s">
        <v>32</v>
      </c>
      <c r="I1125">
        <f>VLOOKUP(Table4[[#This Row],[Visitor]],'NHL Model'!$A$6:$B$38,2,FALSE)</f>
        <v>-0.53589042422266964</v>
      </c>
      <c r="J1125">
        <f>($B$1+Table4[[#This Row],[Home Differential]])-Table4[[#This Row],[Away Differential]]</f>
        <v>0.54555202674439507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0.68191238155150624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-0.67174708781561598</v>
      </c>
      <c r="H1126" t="s">
        <v>25</v>
      </c>
      <c r="I1126">
        <f>VLOOKUP(Table4[[#This Row],[Visitor]],'NHL Model'!$A$6:$B$38,2,FALSE)</f>
        <v>0.67827132507054233</v>
      </c>
      <c r="J1126">
        <f>($B$1+Table4[[#This Row],[Home Differential]])-Table4[[#This Row],[Away Differential]]</f>
        <v>-1.1422073003050115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0.72879427288813181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-1.4469605932441605</v>
      </c>
      <c r="H1127" t="s">
        <v>33</v>
      </c>
      <c r="I1127">
        <f>VLOOKUP(Table4[[#This Row],[Visitor]],'NHL Model'!$A$6:$B$38,2,FALSE)</f>
        <v>-0.41822017589574972</v>
      </c>
      <c r="J1127">
        <f>($B$1+Table4[[#This Row],[Home Differential]])-Table4[[#This Row],[Away Differential]]</f>
        <v>-0.82092930476726389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0.57807028582994191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-6.1847876079686406E-2</v>
      </c>
      <c r="H1128" t="s">
        <v>10</v>
      </c>
      <c r="I1128">
        <f>VLOOKUP(Table4[[#This Row],[Visitor]],'NHL Model'!$A$6:$B$38,2,FALSE)</f>
        <v>0.27981279116457602</v>
      </c>
      <c r="J1128">
        <f>($B$1+Table4[[#This Row],[Home Differential]])-Table4[[#This Row],[Away Differential]]</f>
        <v>-0.13384955466311566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0.50002016393181881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-0.59708196015665005</v>
      </c>
      <c r="H1129" t="s">
        <v>28</v>
      </c>
      <c r="I1129">
        <f>VLOOKUP(Table4[[#This Row],[Visitor]],'NHL Model'!$A$6:$B$38,2,FALSE)</f>
        <v>-0.57641196648435689</v>
      </c>
      <c r="J1129">
        <f>($B$1+Table4[[#This Row],[Home Differential]])-Table4[[#This Row],[Away Differential]]</f>
        <v>0.1871411189088536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0.56941107994095597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0.19552804934912488</v>
      </c>
      <c r="H1130" t="s">
        <v>12</v>
      </c>
      <c r="I1130">
        <f>VLOOKUP(Table4[[#This Row],[Visitor]],'NHL Model'!$A$6:$B$38,2,FALSE)</f>
        <v>1.4784730509534416</v>
      </c>
      <c r="J1130">
        <f>($B$1+Table4[[#This Row],[Home Differential]])-Table4[[#This Row],[Away Differential]]</f>
        <v>-1.0751338890231699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0.64442721834074834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-1.7055605761743866</v>
      </c>
      <c r="H1131" t="s">
        <v>22</v>
      </c>
      <c r="I1131">
        <f>VLOOKUP(Table4[[#This Row],[Visitor]],'NHL Model'!$A$6:$B$38,2,FALSE)</f>
        <v>-7.0657671368725999E-2</v>
      </c>
      <c r="J1131">
        <f>($B$1+Table4[[#This Row],[Home Differential]])-Table4[[#This Row],[Away Differential]]</f>
        <v>-1.4270917922245139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0.66525170052405658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4.5159124835038887E-2</v>
      </c>
      <c r="H1132" t="s">
        <v>34</v>
      </c>
      <c r="I1132">
        <f>VLOOKUP(Table4[[#This Row],[Visitor]],'NHL Model'!$A$6:$B$38,2,FALSE)</f>
        <v>-0.62096640812916071</v>
      </c>
      <c r="J1132">
        <f>($B$1+Table4[[#This Row],[Home Differential]])-Table4[[#This Row],[Away Differential]]</f>
        <v>0.87393664554534634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0.66569407491922006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-0.21513148032837168</v>
      </c>
      <c r="H1133" t="s">
        <v>17</v>
      </c>
      <c r="I1133">
        <f>VLOOKUP(Table4[[#This Row],[Visitor]],'NHL Model'!$A$6:$B$38,2,FALSE)</f>
        <v>-0.8965878665431638</v>
      </c>
      <c r="J1133">
        <f>($B$1+Table4[[#This Row],[Home Differential]])-Table4[[#This Row],[Away Differential]]</f>
        <v>0.88926749879593892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0.73617154337178947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-0.87485041382128448</v>
      </c>
      <c r="H1134" t="s">
        <v>31</v>
      </c>
      <c r="I1134">
        <f>VLOOKUP(Table4[[#This Row],[Visitor]],'NHL Model'!$A$6:$B$38,2,FALSE)</f>
        <v>0.50495447305652519</v>
      </c>
      <c r="J1134">
        <f>($B$1+Table4[[#This Row],[Home Differential]])-Table4[[#This Row],[Away Differential]]</f>
        <v>-1.1719937742966628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0.64933141891203294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0.13227623341979275</v>
      </c>
      <c r="H1135" t="s">
        <v>20</v>
      </c>
      <c r="I1135">
        <f>VLOOKUP(Table4[[#This Row],[Visitor]],'NHL Model'!$A$6:$B$38,2,FALSE)</f>
        <v>-5.4617353012467046E-4</v>
      </c>
      <c r="J1135">
        <f>($B$1+Table4[[#This Row],[Home Differential]])-Table4[[#This Row],[Away Differential]]</f>
        <v>0.34063351953106413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0.62042024072425339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-0.73027559042992929</v>
      </c>
      <c r="H1136" t="s">
        <v>21</v>
      </c>
      <c r="I1136">
        <f>VLOOKUP(Table4[[#This Row],[Visitor]],'NHL Model'!$A$6:$B$38,2,FALSE)</f>
        <v>-5.2681296301607013E-2</v>
      </c>
      <c r="J1136">
        <f>($B$1+Table4[[#This Row],[Home Differential]])-Table4[[#This Row],[Away Differential]]</f>
        <v>-0.46978318154717558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0.52507116045788982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-0.72519112941434305</v>
      </c>
      <c r="H1137" t="s">
        <v>15</v>
      </c>
      <c r="I1137">
        <f>VLOOKUP(Table4[[#This Row],[Visitor]],'NHL Model'!$A$6:$B$38,2,FALSE)</f>
        <v>-0.39108791057695064</v>
      </c>
      <c r="J1137">
        <f>($B$1+Table4[[#This Row],[Home Differential]])-Table4[[#This Row],[Away Differential]]</f>
        <v>-0.12629210625624571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0.58573154952940987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-1.5116691651852812</v>
      </c>
      <c r="H1138" t="s">
        <v>31</v>
      </c>
      <c r="I1138">
        <f>VLOOKUP(Table4[[#This Row],[Visitor]],'NHL Model'!$A$6:$B$38,2,FALSE)</f>
        <v>0.50495447305652519</v>
      </c>
      <c r="J1138">
        <f>($B$1+Table4[[#This Row],[Home Differential]])-Table4[[#This Row],[Away Differential]]</f>
        <v>-1.8088125256606595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0.74092197556383899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-0.1981495100594213</v>
      </c>
      <c r="H1139" t="s">
        <v>34</v>
      </c>
      <c r="I1139">
        <f>VLOOKUP(Table4[[#This Row],[Visitor]],'NHL Model'!$A$6:$B$38,2,FALSE)</f>
        <v>-0.62096640812916071</v>
      </c>
      <c r="J1139">
        <f>($B$1+Table4[[#This Row],[Home Differential]])-Table4[[#This Row],[Away Differential]]</f>
        <v>0.63062801065088614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0.69414844826123434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-0.67174708781561598</v>
      </c>
      <c r="H1140" t="s">
        <v>28</v>
      </c>
      <c r="I1140">
        <f>VLOOKUP(Table4[[#This Row],[Visitor]],'NHL Model'!$A$6:$B$38,2,FALSE)</f>
        <v>-0.57641196648435689</v>
      </c>
      <c r="J1140">
        <f>($B$1+Table4[[#This Row],[Home Differential]])-Table4[[#This Row],[Away Differential]]</f>
        <v>0.11247599124988766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0.55617687705720931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-1.4469605932441605</v>
      </c>
      <c r="H1141" t="s">
        <v>24</v>
      </c>
      <c r="I1141">
        <f>VLOOKUP(Table4[[#This Row],[Visitor]],'NHL Model'!$A$6:$B$38,2,FALSE)</f>
        <v>0.29030528207371809</v>
      </c>
      <c r="J1141">
        <f>($B$1+Table4[[#This Row],[Home Differential]])-Table4[[#This Row],[Away Differential]]</f>
        <v>-1.5294547627367319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0.722486633603866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-6.1847876079686406E-2</v>
      </c>
      <c r="H1142" t="s">
        <v>39</v>
      </c>
      <c r="I1142">
        <f>VLOOKUP(Table4[[#This Row],[Visitor]],'NHL Model'!$A$6:$B$38,2,FALSE)</f>
        <v>5.4297665563734943E-2</v>
      </c>
      <c r="J1142">
        <f>($B$1+Table4[[#This Row],[Home Differential]])-Table4[[#This Row],[Away Differential]]</f>
        <v>9.1665570937725427E-2</v>
      </c>
      <c r="K1142" t="str">
        <f>IF(Table4[[#This Row],[HomeIce Differential]]&gt;0,Table4[[#This Row],[Home]],Table4[[#This Row],[Visitor]])</f>
        <v>New York Islanders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0.46069762725123536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-0.47846056309234386</v>
      </c>
      <c r="H1143" t="s">
        <v>14</v>
      </c>
      <c r="I1143">
        <f>VLOOKUP(Table4[[#This Row],[Visitor]],'NHL Model'!$A$6:$B$38,2,FALSE)</f>
        <v>0.19552804934912488</v>
      </c>
      <c r="J1143">
        <f>($B$1+Table4[[#This Row],[Home Differential]])-Table4[[#This Row],[Away Differential]]</f>
        <v>-0.46617749986032198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0.52455257272456568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-0.59708196015665005</v>
      </c>
      <c r="H1144" t="s">
        <v>10</v>
      </c>
      <c r="I1144">
        <f>VLOOKUP(Table4[[#This Row],[Visitor]],'NHL Model'!$A$6:$B$38,2,FALSE)</f>
        <v>0.27981279116457602</v>
      </c>
      <c r="J1144">
        <f>($B$1+Table4[[#This Row],[Home Differential]])-Table4[[#This Row],[Away Differential]]</f>
        <v>-0.66908363874007937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0.57449192869713039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-1.7055605761743866</v>
      </c>
      <c r="H1145" t="s">
        <v>33</v>
      </c>
      <c r="I1145">
        <f>VLOOKUP(Table4[[#This Row],[Visitor]],'NHL Model'!$A$6:$B$38,2,FALSE)</f>
        <v>-0.41822017589574972</v>
      </c>
      <c r="J1145">
        <f>($B$1+Table4[[#This Row],[Home Differential]])-Table4[[#This Row],[Away Differential]]</f>
        <v>-1.07952928769749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0.61526346887613137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4.5159124835038887E-2</v>
      </c>
      <c r="H1146" t="s">
        <v>32</v>
      </c>
      <c r="I1146">
        <f>VLOOKUP(Table4[[#This Row],[Visitor]],'NHL Model'!$A$6:$B$38,2,FALSE)</f>
        <v>-0.53589042422266964</v>
      </c>
      <c r="J1146">
        <f>($B$1+Table4[[#This Row],[Home Differential]])-Table4[[#This Row],[Away Differential]]</f>
        <v>0.78886066163885527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0.65345800820949196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-0.21513148032837168</v>
      </c>
      <c r="H1147" t="s">
        <v>22</v>
      </c>
      <c r="I1147">
        <f>VLOOKUP(Table4[[#This Row],[Visitor]],'NHL Model'!$A$6:$B$38,2,FALSE)</f>
        <v>-7.0657671368725999E-2</v>
      </c>
      <c r="J1147">
        <f>($B$1+Table4[[#This Row],[Home Differential]])-Table4[[#This Row],[Away Differential]]</f>
        <v>6.3337303621501084E-2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0.61738200369580942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-0.87485041382128448</v>
      </c>
      <c r="H1148" t="s">
        <v>13</v>
      </c>
      <c r="I1148">
        <f>VLOOKUP(Table4[[#This Row],[Visitor]],'NHL Model'!$A$6:$B$38,2,FALSE)</f>
        <v>-0.15545019701583887</v>
      </c>
      <c r="J1148">
        <f>($B$1+Table4[[#This Row],[Home Differential]])-Table4[[#This Row],[Away Differential]]</f>
        <v>-0.51158910422429882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0.63537713584778943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-5.4617353012467046E-4</v>
      </c>
      <c r="H1149" t="s">
        <v>17</v>
      </c>
      <c r="I1149">
        <f>VLOOKUP(Table4[[#This Row],[Visitor]],'NHL Model'!$A$6:$B$38,2,FALSE)</f>
        <v>-0.8965878665431638</v>
      </c>
      <c r="J1149">
        <f>($B$1+Table4[[#This Row],[Home Differential]])-Table4[[#This Row],[Away Differential]]</f>
        <v>1.1038528055941859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0.69876180264710908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0.13227623341979275</v>
      </c>
      <c r="H1150" t="s">
        <v>12</v>
      </c>
      <c r="I1150">
        <f>VLOOKUP(Table4[[#This Row],[Visitor]],'NHL Model'!$A$6:$B$38,2,FALSE)</f>
        <v>1.4784730509534416</v>
      </c>
      <c r="J1150">
        <f>($B$1+Table4[[#This Row],[Home Differential]])-Table4[[#This Row],[Away Differential]]</f>
        <v>-1.1383857049525021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0.63741271283208667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-0.73027559042992929</v>
      </c>
      <c r="H1151" t="s">
        <v>26</v>
      </c>
      <c r="I1151">
        <f>VLOOKUP(Table4[[#This Row],[Visitor]],'NHL Model'!$A$6:$B$38,2,FALSE)</f>
        <v>-0.4561706649361581</v>
      </c>
      <c r="J1151">
        <f>($B$1+Table4[[#This Row],[Home Differential]])-Table4[[#This Row],[Away Differential]]</f>
        <v>-6.6293812912624484E-2</v>
      </c>
      <c r="K1151" t="str">
        <f>IF(Table4[[#This Row],[HomeIce Differential]]&gt;0,Table4[[#This Row],[Home]],Table4[[#This Row],[Visitor]])</f>
        <v>Detroit Red Wings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0.51412187398822384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-0.39108791057695064</v>
      </c>
      <c r="H1152" t="s">
        <v>10</v>
      </c>
      <c r="I1152">
        <f>VLOOKUP(Table4[[#This Row],[Visitor]],'NHL Model'!$A$6:$B$38,2,FALSE)</f>
        <v>0.27981279116457602</v>
      </c>
      <c r="J1152">
        <f>($B$1+Table4[[#This Row],[Home Differential]])-Table4[[#This Row],[Away Differential]]</f>
        <v>-0.4630895891603799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0.54737316345809672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-5.2681296301607013E-2</v>
      </c>
      <c r="H1153" t="s">
        <v>34</v>
      </c>
      <c r="I1153">
        <f>VLOOKUP(Table4[[#This Row],[Visitor]],'NHL Model'!$A$6:$B$38,2,FALSE)</f>
        <v>-0.62096640812916071</v>
      </c>
      <c r="J1153">
        <f>($B$1+Table4[[#This Row],[Home Differential]])-Table4[[#This Row],[Away Differential]]</f>
        <v>0.77609622440870041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0.70333813735709316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-0.73027559042992929</v>
      </c>
      <c r="H1154" t="s">
        <v>32</v>
      </c>
      <c r="I1154">
        <f>VLOOKUP(Table4[[#This Row],[Visitor]],'NHL Model'!$A$6:$B$38,2,FALSE)</f>
        <v>-0.53589042422266964</v>
      </c>
      <c r="J1154">
        <f>($B$1+Table4[[#This Row],[Home Differential]])-Table4[[#This Row],[Away Differential]]</f>
        <v>1.3425946373887054E-2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0.54442646804430073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0.67827132507054233</v>
      </c>
      <c r="H1155" t="s">
        <v>24</v>
      </c>
      <c r="I1155">
        <f>VLOOKUP(Table4[[#This Row],[Visitor]],'NHL Model'!$A$6:$B$38,2,FALSE)</f>
        <v>0.29030528207371809</v>
      </c>
      <c r="J1155">
        <f>($B$1+Table4[[#This Row],[Home Differential]])-Table4[[#This Row],[Away Differential]]</f>
        <v>0.59577715557797106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0.63568774271005402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-0.57641196648435689</v>
      </c>
      <c r="H1156" t="s">
        <v>33</v>
      </c>
      <c r="I1156">
        <f>VLOOKUP(Table4[[#This Row],[Visitor]],'NHL Model'!$A$6:$B$38,2,FALSE)</f>
        <v>-0.41822017589574972</v>
      </c>
      <c r="J1156">
        <f>($B$1+Table4[[#This Row],[Home Differential]])-Table4[[#This Row],[Away Differential]]</f>
        <v>4.96193219925396E-2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0.55418245861678106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-1.5116691651852812</v>
      </c>
      <c r="H1157" t="s">
        <v>38</v>
      </c>
      <c r="I1157">
        <f>VLOOKUP(Table4[[#This Row],[Visitor]],'NHL Model'!$A$6:$B$38,2,FALSE)</f>
        <v>-0.87485041382128448</v>
      </c>
      <c r="J1157">
        <f>($B$1+Table4[[#This Row],[Home Differential]])-Table4[[#This Row],[Away Differential]]</f>
        <v>-0.42900763878284986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0.542471321607223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1.4784730509534416</v>
      </c>
      <c r="H1158" t="s">
        <v>40</v>
      </c>
      <c r="I1158">
        <f>VLOOKUP(Table4[[#This Row],[Visitor]],'NHL Model'!$A$6:$B$38,2,FALSE)</f>
        <v>0.13227623341979275</v>
      </c>
      <c r="J1158">
        <f>($B$1+Table4[[#This Row],[Home Differential]])-Table4[[#This Row],[Away Differential]]</f>
        <v>1.5540079301147958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0.7880215629656564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-0.4561706649361581</v>
      </c>
      <c r="H1159" t="s">
        <v>27</v>
      </c>
      <c r="I1159">
        <f>VLOOKUP(Table4[[#This Row],[Visitor]],'NHL Model'!$A$6:$B$38,2,FALSE)</f>
        <v>-0.59708196015665005</v>
      </c>
      <c r="J1159">
        <f>($B$1+Table4[[#This Row],[Home Differential]])-Table4[[#This Row],[Away Differential]]</f>
        <v>0.34872240780163871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0.63058623236416045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-0.8965878665431638</v>
      </c>
      <c r="H1160" t="s">
        <v>31</v>
      </c>
      <c r="I1160">
        <f>VLOOKUP(Table4[[#This Row],[Visitor]],'NHL Model'!$A$6:$B$38,2,FALSE)</f>
        <v>0.50495447305652519</v>
      </c>
      <c r="J1160">
        <f>($B$1+Table4[[#This Row],[Home Differential]])-Table4[[#This Row],[Away Differential]]</f>
        <v>-1.1937312270185423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0.61613302512943369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-0.15545019701583887</v>
      </c>
      <c r="H1161" t="s">
        <v>55</v>
      </c>
      <c r="I1161">
        <f>VLOOKUP(Table4[[#This Row],[Visitor]],'NHL Model'!$A$6:$B$38,2,FALSE)</f>
        <v>-0.21513148032837168</v>
      </c>
      <c r="J1161">
        <f>($B$1+Table4[[#This Row],[Home Differential]])-Table4[[#This Row],[Away Differential]]</f>
        <v>0.26749239589367957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0.57847213573336453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-1.4469605932441605</v>
      </c>
      <c r="H1162" t="s">
        <v>18</v>
      </c>
      <c r="I1162">
        <f>VLOOKUP(Table4[[#This Row],[Visitor]],'NHL Model'!$A$6:$B$38,2,FALSE)</f>
        <v>-0.67174708781561598</v>
      </c>
      <c r="J1162">
        <f>($B$1+Table4[[#This Row],[Home Differential]])-Table4[[#This Row],[Away Differential]]</f>
        <v>-0.56740239284739769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0.58870612949707879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-6.1847876079686406E-2</v>
      </c>
      <c r="H1163" t="s">
        <v>11</v>
      </c>
      <c r="I1163">
        <f>VLOOKUP(Table4[[#This Row],[Visitor]],'NHL Model'!$A$6:$B$38,2,FALSE)</f>
        <v>-0.1981495100594213</v>
      </c>
      <c r="J1163">
        <f>($B$1+Table4[[#This Row],[Home Differential]])-Table4[[#This Row],[Away Differential]]</f>
        <v>0.34411274656088164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0.58949206966815282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0.19552804934912488</v>
      </c>
      <c r="H1164" t="s">
        <v>39</v>
      </c>
      <c r="I1164">
        <f>VLOOKUP(Table4[[#This Row],[Visitor]],'NHL Model'!$A$6:$B$38,2,FALSE)</f>
        <v>5.4297665563734943E-2</v>
      </c>
      <c r="J1164">
        <f>($B$1+Table4[[#This Row],[Home Differential]])-Table4[[#This Row],[Away Differential]]</f>
        <v>0.3490414963665367</v>
      </c>
      <c r="K1164" t="str">
        <f>IF(Table4[[#This Row],[HomeIce Differential]]&gt;0,Table4[[#This Row],[Home]],Table4[[#This Row],[Visitor]])</f>
        <v>Pittsburgh Penguins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0.53407191562281453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-1.7055605761743866</v>
      </c>
      <c r="H1165" t="s">
        <v>19</v>
      </c>
      <c r="I1165">
        <f>VLOOKUP(Table4[[#This Row],[Visitor]],'NHL Model'!$A$6:$B$38,2,FALSE)</f>
        <v>-0.72519112941434305</v>
      </c>
      <c r="J1165">
        <f>($B$1+Table4[[#This Row],[Home Differential]])-Table4[[#This Row],[Away Differential]]</f>
        <v>-0.77255833417889674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0.57111332340933574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4.5159124835038887E-2</v>
      </c>
      <c r="H1166" t="s">
        <v>36</v>
      </c>
      <c r="I1166">
        <f>VLOOKUP(Table4[[#This Row],[Visitor]],'NHL Model'!$A$6:$B$38,2,FALSE)</f>
        <v>-0.47846056309234386</v>
      </c>
      <c r="J1166">
        <f>($B$1+Table4[[#This Row],[Home Differential]])-Table4[[#This Row],[Away Differential]]</f>
        <v>0.73143080050852949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0.64519814943790899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-5.4617353012467046E-4</v>
      </c>
      <c r="H1167" t="s">
        <v>22</v>
      </c>
      <c r="I1167">
        <f>VLOOKUP(Table4[[#This Row],[Visitor]],'NHL Model'!$A$6:$B$38,2,FALSE)</f>
        <v>-7.0657671368725999E-2</v>
      </c>
      <c r="J1167">
        <f>($B$1+Table4[[#This Row],[Home Differential]])-Table4[[#This Row],[Away Differential]]</f>
        <v>0.27792261041974808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0.57997226297112914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0.67827132507054233</v>
      </c>
      <c r="H1168" t="s">
        <v>18</v>
      </c>
      <c r="I1168">
        <f>VLOOKUP(Table4[[#This Row],[Visitor]],'NHL Model'!$A$6:$B$38,2,FALSE)</f>
        <v>-0.67174708781561598</v>
      </c>
      <c r="J1168">
        <f>($B$1+Table4[[#This Row],[Home Differential]])-Table4[[#This Row],[Away Differential]]</f>
        <v>1.5578295254673051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0.76950962093804665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-0.57641196648435689</v>
      </c>
      <c r="H1169" t="s">
        <v>21</v>
      </c>
      <c r="I1169">
        <f>VLOOKUP(Table4[[#This Row],[Visitor]],'NHL Model'!$A$6:$B$38,2,FALSE)</f>
        <v>-5.2681296301607013E-2</v>
      </c>
      <c r="J1169">
        <f>($B$1+Table4[[#This Row],[Home Differential]])-Table4[[#This Row],[Away Differential]]</f>
        <v>-0.31591955760160312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0.49839122799058522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0.29030528207371809</v>
      </c>
      <c r="H1170" t="s">
        <v>10</v>
      </c>
      <c r="I1170">
        <f>VLOOKUP(Table4[[#This Row],[Visitor]],'NHL Model'!$A$6:$B$38,2,FALSE)</f>
        <v>0.27981279116457602</v>
      </c>
      <c r="J1170">
        <f>($B$1+Table4[[#This Row],[Home Differential]])-Table4[[#This Row],[Away Differential]]</f>
        <v>0.21830360349028882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0.66776118632576376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-0.39108791057695064</v>
      </c>
      <c r="H1171" t="s">
        <v>11</v>
      </c>
      <c r="I1171">
        <f>VLOOKUP(Table4[[#This Row],[Visitor]],'NHL Model'!$A$6:$B$38,2,FALSE)</f>
        <v>-0.1981495100594213</v>
      </c>
      <c r="J1171">
        <f>($B$1+Table4[[#This Row],[Home Differential]])-Table4[[#This Row],[Away Differential]]</f>
        <v>1.4872712063617427E-2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0.5421390701418749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-0.59708196015665005</v>
      </c>
      <c r="H1172" t="s">
        <v>39</v>
      </c>
      <c r="I1172">
        <f>VLOOKUP(Table4[[#This Row],[Visitor]],'NHL Model'!$A$6:$B$38,2,FALSE)</f>
        <v>5.4297665563734943E-2</v>
      </c>
      <c r="J1172">
        <f>($B$1+Table4[[#This Row],[Home Differential]])-Table4[[#This Row],[Away Differential]]</f>
        <v>-0.44356851313923823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0.61379631087278574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4.5159124835038887E-2</v>
      </c>
      <c r="H1173" t="s">
        <v>29</v>
      </c>
      <c r="I1173">
        <f>VLOOKUP(Table4[[#This Row],[Visitor]],'NHL Model'!$A$6:$B$38,2,FALSE)</f>
        <v>-1.4469605932441605</v>
      </c>
      <c r="J1173">
        <f>($B$1+Table4[[#This Row],[Home Differential]])-Table4[[#This Row],[Away Differential]]</f>
        <v>1.699930830660346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0.78449281795842329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0.50495447305652519</v>
      </c>
      <c r="H1174" t="s">
        <v>19</v>
      </c>
      <c r="I1174">
        <f>VLOOKUP(Table4[[#This Row],[Visitor]],'NHL Model'!$A$6:$B$38,2,FALSE)</f>
        <v>-0.72519112941434305</v>
      </c>
      <c r="J1174">
        <f>($B$1+Table4[[#This Row],[Home Differential]])-Table4[[#This Row],[Away Differential]]</f>
        <v>1.4379567150520152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0.85757356884029468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1.4784730509534416</v>
      </c>
      <c r="H1175" t="s">
        <v>16</v>
      </c>
      <c r="I1175">
        <f>VLOOKUP(Table4[[#This Row],[Visitor]],'NHL Model'!$A$6:$B$38,2,FALSE)</f>
        <v>-1.5116691651852812</v>
      </c>
      <c r="J1175">
        <f>($B$1+Table4[[#This Row],[Home Differential]])-Table4[[#This Row],[Away Differential]]</f>
        <v>3.1979533287198696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-6.1847876079686406E-2</v>
      </c>
      <c r="H1176" t="s">
        <v>14</v>
      </c>
      <c r="I1176">
        <f>VLOOKUP(Table4[[#This Row],[Visitor]],'NHL Model'!$A$6:$B$38,2,FALSE)</f>
        <v>0.19552804934912488</v>
      </c>
      <c r="J1176">
        <f>($B$1+Table4[[#This Row],[Home Differential]])-Table4[[#This Row],[Away Differential]]</f>
        <v>-4.9564812847664508E-2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0.46712866697052607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-0.41822017589574972</v>
      </c>
      <c r="H1177" t="s">
        <v>35</v>
      </c>
      <c r="I1177">
        <f>VLOOKUP(Table4[[#This Row],[Visitor]],'NHL Model'!$A$6:$B$38,2,FALSE)</f>
        <v>-1.7055605761743866</v>
      </c>
      <c r="J1177">
        <f>($B$1+Table4[[#This Row],[Home Differential]])-Table4[[#This Row],[Away Differential]]</f>
        <v>1.4951515128597836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0.75504040050375887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-5.4617353012467046E-4</v>
      </c>
      <c r="H1178" t="s">
        <v>38</v>
      </c>
      <c r="I1178">
        <f>VLOOKUP(Table4[[#This Row],[Visitor]],'NHL Model'!$A$6:$B$38,2,FALSE)</f>
        <v>-0.87485041382128448</v>
      </c>
      <c r="J1178">
        <f>($B$1+Table4[[#This Row],[Home Differential]])-Table4[[#This Row],[Away Differential]]</f>
        <v>1.0821153528723066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0.67486617933569137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-5.2681296301607013E-2</v>
      </c>
      <c r="H1179" t="s">
        <v>39</v>
      </c>
      <c r="I1179">
        <f>VLOOKUP(Table4[[#This Row],[Visitor]],'NHL Model'!$A$6:$B$38,2,FALSE)</f>
        <v>5.4297665563734943E-2</v>
      </c>
      <c r="J1179">
        <f>($B$1+Table4[[#This Row],[Home Differential]])-Table4[[#This Row],[Away Differential]]</f>
        <v>0.10083215071580481</v>
      </c>
      <c r="K1179" t="str">
        <f>IF(Table4[[#This Row],[HomeIce Differential]]&gt;0,Table4[[#This Row],[Home]],Table4[[#This Row],[Visitor]])</f>
        <v>Boston Bruins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0.51450219986876711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-0.73027559042992929</v>
      </c>
      <c r="H1180" t="s">
        <v>30</v>
      </c>
      <c r="I1180">
        <f>VLOOKUP(Table4[[#This Row],[Visitor]],'NHL Model'!$A$6:$B$38,2,FALSE)</f>
        <v>-6.1847876079686406E-2</v>
      </c>
      <c r="J1180">
        <f>($B$1+Table4[[#This Row],[Home Differential]])-Table4[[#This Row],[Away Differential]]</f>
        <v>-0.46061660176909619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0.58302677837993477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-0.57641196648435689</v>
      </c>
      <c r="H1181" t="s">
        <v>25</v>
      </c>
      <c r="I1181">
        <f>VLOOKUP(Table4[[#This Row],[Visitor]],'NHL Model'!$A$6:$B$38,2,FALSE)</f>
        <v>0.67827132507054233</v>
      </c>
      <c r="J1181">
        <f>($B$1+Table4[[#This Row],[Home Differential]])-Table4[[#This Row],[Away Differential]]</f>
        <v>-1.0468721789737525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0.70808867899307459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0.27981279116457602</v>
      </c>
      <c r="H1182" t="s">
        <v>40</v>
      </c>
      <c r="I1182">
        <f>VLOOKUP(Table4[[#This Row],[Visitor]],'NHL Model'!$A$6:$B$38,2,FALSE)</f>
        <v>0.13227623341979275</v>
      </c>
      <c r="J1182">
        <f>($B$1+Table4[[#This Row],[Home Differential]])-Table4[[#This Row],[Away Differential]]</f>
        <v>0.35534767032593007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0.53187716510747596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-0.8965878665431638</v>
      </c>
      <c r="H1183" t="s">
        <v>32</v>
      </c>
      <c r="I1183">
        <f>VLOOKUP(Table4[[#This Row],[Visitor]],'NHL Model'!$A$6:$B$38,2,FALSE)</f>
        <v>-0.53589042422266964</v>
      </c>
      <c r="J1183">
        <f>($B$1+Table4[[#This Row],[Home Differential]])-Table4[[#This Row],[Away Differential]]</f>
        <v>-0.15288632973934746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0.44595203395996985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-0.1981495100594213</v>
      </c>
      <c r="H1184" t="s">
        <v>36</v>
      </c>
      <c r="I1184">
        <f>VLOOKUP(Table4[[#This Row],[Visitor]],'NHL Model'!$A$6:$B$38,2,FALSE)</f>
        <v>-0.47846056309234386</v>
      </c>
      <c r="J1184">
        <f>($B$1+Table4[[#This Row],[Home Differential]])-Table4[[#This Row],[Away Differential]]</f>
        <v>0.48812216561406929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0.67365252277992316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-0.39108791057695064</v>
      </c>
      <c r="H1185" t="s">
        <v>24</v>
      </c>
      <c r="I1185">
        <f>VLOOKUP(Table4[[#This Row],[Visitor]],'NHL Model'!$A$6:$B$38,2,FALSE)</f>
        <v>0.29030528207371809</v>
      </c>
      <c r="J1185">
        <f>($B$1+Table4[[#This Row],[Home Differential]])-Table4[[#This Row],[Away Differential]]</f>
        <v>-0.47358208006952196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0.57062557965125005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0.19552804934912488</v>
      </c>
      <c r="H1186" t="s">
        <v>26</v>
      </c>
      <c r="I1186">
        <f>VLOOKUP(Table4[[#This Row],[Visitor]],'NHL Model'!$A$6:$B$38,2,FALSE)</f>
        <v>-0.4561706649361581</v>
      </c>
      <c r="J1186">
        <f>($B$1+Table4[[#This Row],[Home Differential]])-Table4[[#This Row],[Away Differential]]</f>
        <v>0.85950982686642974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0.6530309001691168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4.5159124835038887E-2</v>
      </c>
      <c r="H1187" t="s">
        <v>18</v>
      </c>
      <c r="I1187">
        <f>VLOOKUP(Table4[[#This Row],[Visitor]],'NHL Model'!$A$6:$B$38,2,FALSE)</f>
        <v>-0.67174708781561598</v>
      </c>
      <c r="J1187">
        <f>($B$1+Table4[[#This Row],[Home Differential]])-Table4[[#This Row],[Away Differential]]</f>
        <v>0.92471732523180161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0.62589822264753081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-7.0657671368725999E-2</v>
      </c>
      <c r="H1188" t="s">
        <v>27</v>
      </c>
      <c r="I1188">
        <f>VLOOKUP(Table4[[#This Row],[Visitor]],'NHL Model'!$A$6:$B$38,2,FALSE)</f>
        <v>-0.59708196015665005</v>
      </c>
      <c r="J1188">
        <f>($B$1+Table4[[#This Row],[Home Differential]])-Table4[[#This Row],[Away Differential]]</f>
        <v>0.73423540136907084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0.64560152159592554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1.4784730509534416</v>
      </c>
      <c r="H1189" t="s">
        <v>38</v>
      </c>
      <c r="I1189">
        <f>VLOOKUP(Table4[[#This Row],[Visitor]],'NHL Model'!$A$6:$B$38,2,FALSE)</f>
        <v>-0.87485041382128448</v>
      </c>
      <c r="J1189">
        <f>($B$1+Table4[[#This Row],[Home Differential]])-Table4[[#This Row],[Away Differential]]</f>
        <v>2.5611345773558729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0.97705123388028792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-0.15545019701583887</v>
      </c>
      <c r="H1190" t="s">
        <v>35</v>
      </c>
      <c r="I1190">
        <f>VLOOKUP(Table4[[#This Row],[Visitor]],'NHL Model'!$A$6:$B$38,2,FALSE)</f>
        <v>-1.7055605761743866</v>
      </c>
      <c r="J1190">
        <f>($B$1+Table4[[#This Row],[Home Differential]])-Table4[[#This Row],[Away Differential]]</f>
        <v>1.7579214917396946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0.79283333387050559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-0.41822017589574972</v>
      </c>
      <c r="H1191" t="s">
        <v>31</v>
      </c>
      <c r="I1191">
        <f>VLOOKUP(Table4[[#This Row],[Visitor]],'NHL Model'!$A$6:$B$38,2,FALSE)</f>
        <v>0.50495447305652519</v>
      </c>
      <c r="J1191">
        <f>($B$1+Table4[[#This Row],[Home Differential]])-Table4[[#This Row],[Away Differential]]</f>
        <v>-0.71536353637112815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0.58365650342616515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0.67827132507054233</v>
      </c>
      <c r="H1192" t="s">
        <v>28</v>
      </c>
      <c r="I1192">
        <f>VLOOKUP(Table4[[#This Row],[Visitor]],'NHL Model'!$A$6:$B$38,2,FALSE)</f>
        <v>-0.57641196648435689</v>
      </c>
      <c r="J1192">
        <f>($B$1+Table4[[#This Row],[Home Differential]])-Table4[[#This Row],[Away Differential]]</f>
        <v>1.4624944041360459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0.80205946305825759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5.4297665563734943E-2</v>
      </c>
      <c r="H1193" t="s">
        <v>40</v>
      </c>
      <c r="I1193">
        <f>VLOOKUP(Table4[[#This Row],[Visitor]],'NHL Model'!$A$6:$B$38,2,FALSE)</f>
        <v>0.13227623341979275</v>
      </c>
      <c r="J1193">
        <f>($B$1+Table4[[#This Row],[Home Differential]])-Table4[[#This Row],[Away Differential]]</f>
        <v>0.12983254472508896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0.49486366226959394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-0.8965878665431638</v>
      </c>
      <c r="H1194" t="s">
        <v>10</v>
      </c>
      <c r="I1194">
        <f>VLOOKUP(Table4[[#This Row],[Visitor]],'NHL Model'!$A$6:$B$38,2,FALSE)</f>
        <v>0.27981279116457602</v>
      </c>
      <c r="J1194">
        <f>($B$1+Table4[[#This Row],[Home Differential]])-Table4[[#This Row],[Away Differential]]</f>
        <v>-0.96858954512659312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0.58375198747022561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-0.1981495100594213</v>
      </c>
      <c r="H1195" t="s">
        <v>21</v>
      </c>
      <c r="I1195">
        <f>VLOOKUP(Table4[[#This Row],[Visitor]],'NHL Model'!$A$6:$B$38,2,FALSE)</f>
        <v>-5.2681296301607013E-2</v>
      </c>
      <c r="J1195">
        <f>($B$1+Table4[[#This Row],[Home Differential]])-Table4[[#This Row],[Away Differential]]</f>
        <v>6.2342898823332472E-2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0.6124147530493157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-0.15545019701583887</v>
      </c>
      <c r="H1196" t="s">
        <v>29</v>
      </c>
      <c r="I1196">
        <f>VLOOKUP(Table4[[#This Row],[Visitor]],'NHL Model'!$A$6:$B$38,2,FALSE)</f>
        <v>-1.4469605932441605</v>
      </c>
      <c r="J1196">
        <f>($B$1+Table4[[#This Row],[Home Differential]])-Table4[[#This Row],[Away Differential]]</f>
        <v>1.4993215088094685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0.75564015082431601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-0.62096640812916071</v>
      </c>
      <c r="H1197" t="s">
        <v>38</v>
      </c>
      <c r="I1197">
        <f>VLOOKUP(Table4[[#This Row],[Visitor]],'NHL Model'!$A$6:$B$38,2,FALSE)</f>
        <v>-0.87485041382128448</v>
      </c>
      <c r="J1197">
        <f>($B$1+Table4[[#This Row],[Home Differential]])-Table4[[#This Row],[Away Differential]]</f>
        <v>0.46169511827327053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0.58563414192589847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0.29030528207371809</v>
      </c>
      <c r="H1198" t="s">
        <v>22</v>
      </c>
      <c r="I1198">
        <f>VLOOKUP(Table4[[#This Row],[Visitor]],'NHL Model'!$A$6:$B$38,2,FALSE)</f>
        <v>-7.0657671368725999E-2</v>
      </c>
      <c r="J1198">
        <f>($B$1+Table4[[#This Row],[Home Differential]])-Table4[[#This Row],[Away Differential]]</f>
        <v>0.56877406602359082</v>
      </c>
      <c r="K1198" t="str">
        <f>IF(Table4[[#This Row],[HomeIce Differential]]&gt;0,Table4[[#This Row],[Home]],Table4[[#This Row],[Visitor]])</f>
        <v>New Jersey Devils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0.73723473073622925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-0.39108791057695064</v>
      </c>
      <c r="H1199" t="s">
        <v>18</v>
      </c>
      <c r="I1199">
        <f>VLOOKUP(Table4[[#This Row],[Visitor]],'NHL Model'!$A$6:$B$38,2,FALSE)</f>
        <v>-0.67174708781561598</v>
      </c>
      <c r="J1199">
        <f>($B$1+Table4[[#This Row],[Home Differential]])-Table4[[#This Row],[Away Differential]]</f>
        <v>0.48847028981981211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0.56315492445553728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-0.47846056309234386</v>
      </c>
      <c r="H1200" t="s">
        <v>23</v>
      </c>
      <c r="I1200">
        <f>VLOOKUP(Table4[[#This Row],[Visitor]],'NHL Model'!$A$6:$B$38,2,FALSE)</f>
        <v>-0.73027559042992929</v>
      </c>
      <c r="J1200">
        <f>($B$1+Table4[[#This Row],[Home Differential]])-Table4[[#This Row],[Away Differential]]</f>
        <v>0.45962613991873219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0.60860128076358966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-0.59708196015665005</v>
      </c>
      <c r="H1201" t="s">
        <v>26</v>
      </c>
      <c r="I1201">
        <f>VLOOKUP(Table4[[#This Row],[Visitor]],'NHL Model'!$A$6:$B$38,2,FALSE)</f>
        <v>-0.4561706649361581</v>
      </c>
      <c r="J1201">
        <f>($B$1+Table4[[#This Row],[Home Differential]])-Table4[[#This Row],[Away Differential]]</f>
        <v>6.6899817360654812E-2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0.50503472074626699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-0.53589042422266964</v>
      </c>
      <c r="H1202" t="s">
        <v>55</v>
      </c>
      <c r="I1202">
        <f>VLOOKUP(Table4[[#This Row],[Visitor]],'NHL Model'!$A$6:$B$38,2,FALSE)</f>
        <v>-0.21513148032837168</v>
      </c>
      <c r="J1202">
        <f>($B$1+Table4[[#This Row],[Home Differential]])-Table4[[#This Row],[Away Differential]]</f>
        <v>-0.1129478313131512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0.4502070036791499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-0.41822017589574972</v>
      </c>
      <c r="H1203" t="s">
        <v>19</v>
      </c>
      <c r="I1203">
        <f>VLOOKUP(Table4[[#This Row],[Visitor]],'NHL Model'!$A$6:$B$38,2,FALSE)</f>
        <v>-0.72519112941434305</v>
      </c>
      <c r="J1203">
        <f>($B$1+Table4[[#This Row],[Home Differential]])-Table4[[#This Row],[Away Differential]]</f>
        <v>0.51478206609974009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0.61403861128060944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4.5159124835038887E-2</v>
      </c>
      <c r="H1204" t="s">
        <v>14</v>
      </c>
      <c r="I1204">
        <f>VLOOKUP(Table4[[#This Row],[Visitor]],'NHL Model'!$A$6:$B$38,2,FALSE)</f>
        <v>0.19552804934912488</v>
      </c>
      <c r="J1204">
        <f>($B$1+Table4[[#This Row],[Home Differential]])-Table4[[#This Row],[Away Differential]]</f>
        <v>5.7442188067060751E-2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0.5482616316951896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-5.4617353012467046E-4</v>
      </c>
      <c r="H1205" t="s">
        <v>16</v>
      </c>
      <c r="I1205">
        <f>VLOOKUP(Table4[[#This Row],[Visitor]],'NHL Model'!$A$6:$B$38,2,FALSE)</f>
        <v>-1.5116691651852812</v>
      </c>
      <c r="J1205">
        <f>($B$1+Table4[[#This Row],[Home Differential]])-Table4[[#This Row],[Away Differential]]</f>
        <v>1.7189341042363033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0.78722596675672807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0.50495447305652519</v>
      </c>
      <c r="H1206" t="s">
        <v>35</v>
      </c>
      <c r="I1206">
        <f>VLOOKUP(Table4[[#This Row],[Visitor]],'NHL Model'!$A$6:$B$38,2,FALSE)</f>
        <v>-1.7055605761743866</v>
      </c>
      <c r="J1206">
        <f>($B$1+Table4[[#This Row],[Home Differential]])-Table4[[#This Row],[Away Differential]]</f>
        <v>2.4183261618120584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0.998575358063444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-6.1847876079686406E-2</v>
      </c>
      <c r="H1207" t="s">
        <v>27</v>
      </c>
      <c r="I1207">
        <f>VLOOKUP(Table4[[#This Row],[Visitor]],'NHL Model'!$A$6:$B$38,2,FALSE)</f>
        <v>-0.59708196015665005</v>
      </c>
      <c r="J1207">
        <f>($B$1+Table4[[#This Row],[Home Differential]])-Table4[[#This Row],[Away Differential]]</f>
        <v>0.74304519665811042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0.6468685917831386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0.50495447305652519</v>
      </c>
      <c r="H1208" t="s">
        <v>16</v>
      </c>
      <c r="I1208">
        <f>VLOOKUP(Table4[[#This Row],[Visitor]],'NHL Model'!$A$6:$B$38,2,FALSE)</f>
        <v>-1.5116691651852812</v>
      </c>
      <c r="J1208">
        <f>($B$1+Table4[[#This Row],[Home Differential]])-Table4[[#This Row],[Away Differential]]</f>
        <v>2.2244347508229532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0.97068889551117277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0.67827132507054233</v>
      </c>
      <c r="H1209" t="s">
        <v>30</v>
      </c>
      <c r="I1209">
        <f>VLOOKUP(Table4[[#This Row],[Visitor]],'NHL Model'!$A$6:$B$38,2,FALSE)</f>
        <v>-6.1847876079686406E-2</v>
      </c>
      <c r="J1209">
        <f>($B$1+Table4[[#This Row],[Home Differential]])-Table4[[#This Row],[Away Differential]]</f>
        <v>0.9479303137313756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0.66966955916810278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-0.57641196648435689</v>
      </c>
      <c r="H1210" t="s">
        <v>40</v>
      </c>
      <c r="I1210">
        <f>VLOOKUP(Table4[[#This Row],[Visitor]],'NHL Model'!$A$6:$B$38,2,FALSE)</f>
        <v>0.13227623341979275</v>
      </c>
      <c r="J1210">
        <f>($B$1+Table4[[#This Row],[Home Differential]])-Table4[[#This Row],[Away Differential]]</f>
        <v>-0.50087708732300285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0.59126949476105317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5.4297665563734943E-2</v>
      </c>
      <c r="H1211" t="s">
        <v>12</v>
      </c>
      <c r="I1211">
        <f>VLOOKUP(Table4[[#This Row],[Visitor]],'NHL Model'!$A$6:$B$38,2,FALSE)</f>
        <v>1.4784730509534416</v>
      </c>
      <c r="J1211">
        <f>($B$1+Table4[[#This Row],[Home Differential]])-Table4[[#This Row],[Away Differential]]</f>
        <v>-1.21636427280856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0.6987533058499904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-0.8965878665431638</v>
      </c>
      <c r="H1212" t="s">
        <v>20</v>
      </c>
      <c r="I1212">
        <f>VLOOKUP(Table4[[#This Row],[Visitor]],'NHL Model'!$A$6:$B$38,2,FALSE)</f>
        <v>-5.4617353012467046E-4</v>
      </c>
      <c r="J1212">
        <f>($B$1+Table4[[#This Row],[Home Differential]])-Table4[[#This Row],[Away Differential]]</f>
        <v>-0.68823058043189245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0.54342931546392603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-0.15545019701583887</v>
      </c>
      <c r="H1213" t="s">
        <v>19</v>
      </c>
      <c r="I1213">
        <f>VLOOKUP(Table4[[#This Row],[Visitor]],'NHL Model'!$A$6:$B$38,2,FALSE)</f>
        <v>-0.72519112941434305</v>
      </c>
      <c r="J1213">
        <f>($B$1+Table4[[#This Row],[Home Differential]])-Table4[[#This Row],[Away Differential]]</f>
        <v>0.77755204497965091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0.65183154464735604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0.29030528207371809</v>
      </c>
      <c r="H1214" t="s">
        <v>18</v>
      </c>
      <c r="I1214">
        <f>VLOOKUP(Table4[[#This Row],[Visitor]],'NHL Model'!$A$6:$B$38,2,FALSE)</f>
        <v>-0.67174708781561598</v>
      </c>
      <c r="J1214">
        <f>($B$1+Table4[[#This Row],[Home Differential]])-Table4[[#This Row],[Away Differential]]</f>
        <v>1.1698634824704808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0.77990628402415407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-0.39108791057695064</v>
      </c>
      <c r="H1215" t="s">
        <v>26</v>
      </c>
      <c r="I1215">
        <f>VLOOKUP(Table4[[#This Row],[Visitor]],'NHL Model'!$A$6:$B$38,2,FALSE)</f>
        <v>-0.4561706649361581</v>
      </c>
      <c r="J1215">
        <f>($B$1+Table4[[#This Row],[Home Differential]])-Table4[[#This Row],[Away Differential]]</f>
        <v>0.27289386694035422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0.53214961167188646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-0.47846056309234386</v>
      </c>
      <c r="H1216" t="s">
        <v>34</v>
      </c>
      <c r="I1216">
        <f>VLOOKUP(Table4[[#This Row],[Visitor]],'NHL Model'!$A$6:$B$38,2,FALSE)</f>
        <v>-0.62096640812916071</v>
      </c>
      <c r="J1216">
        <f>($B$1+Table4[[#This Row],[Home Differential]])-Table4[[#This Row],[Away Differential]]</f>
        <v>0.35031695761796361</v>
      </c>
      <c r="K1216" t="str">
        <f>IF(Table4[[#This Row],[HomeIce Differential]]&gt;0,Table4[[#This Row],[Home]],Table4[[#This Row],[Visitor]])</f>
        <v>Ottawa Senators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0.59287987049946478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0.19552804934912488</v>
      </c>
      <c r="H1217" t="s">
        <v>11</v>
      </c>
      <c r="I1217">
        <f>VLOOKUP(Table4[[#This Row],[Visitor]],'NHL Model'!$A$6:$B$38,2,FALSE)</f>
        <v>-0.1981495100594213</v>
      </c>
      <c r="J1217">
        <f>($B$1+Table4[[#This Row],[Home Differential]])-Table4[[#This Row],[Away Differential]]</f>
        <v>0.60148867198969291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0.66254606881193967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-0.53589042422266964</v>
      </c>
      <c r="H1218" t="s">
        <v>10</v>
      </c>
      <c r="I1218">
        <f>VLOOKUP(Table4[[#This Row],[Visitor]],'NHL Model'!$A$6:$B$38,2,FALSE)</f>
        <v>0.27981279116457602</v>
      </c>
      <c r="J1218">
        <f>($B$1+Table4[[#This Row],[Home Differential]])-Table4[[#This Row],[Away Differential]]</f>
        <v>-0.60789210280609884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0.5419756314380052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-0.41822017589574972</v>
      </c>
      <c r="H1219" t="s">
        <v>29</v>
      </c>
      <c r="I1219">
        <f>VLOOKUP(Table4[[#This Row],[Visitor]],'NHL Model'!$A$6:$B$38,2,FALSE)</f>
        <v>-1.4469605932441605</v>
      </c>
      <c r="J1219">
        <f>($B$1+Table4[[#This Row],[Home Differential]])-Table4[[#This Row],[Away Differential]]</f>
        <v>1.2365515299295575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0.71784721745756941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4.5159124835038887E-2</v>
      </c>
      <c r="H1220" t="s">
        <v>21</v>
      </c>
      <c r="I1220">
        <f>VLOOKUP(Table4[[#This Row],[Visitor]],'NHL Model'!$A$6:$B$38,2,FALSE)</f>
        <v>-5.2681296301607013E-2</v>
      </c>
      <c r="J1220">
        <f>($B$1+Table4[[#This Row],[Home Differential]])-Table4[[#This Row],[Away Differential]]</f>
        <v>0.30565153371779263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0.58396037970730141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-0.87485041382128448</v>
      </c>
      <c r="H1221" t="s">
        <v>55</v>
      </c>
      <c r="I1221">
        <f>VLOOKUP(Table4[[#This Row],[Visitor]],'NHL Model'!$A$6:$B$38,2,FALSE)</f>
        <v>-0.21513148032837168</v>
      </c>
      <c r="J1221">
        <f>($B$1+Table4[[#This Row],[Home Differential]])-Table4[[#This Row],[Away Differential]]</f>
        <v>-0.45190782091176596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0.52499571311924997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-7.0657671368725999E-2</v>
      </c>
      <c r="H1222" t="s">
        <v>23</v>
      </c>
      <c r="I1222">
        <f>VLOOKUP(Table4[[#This Row],[Visitor]],'NHL Model'!$A$6:$B$38,2,FALSE)</f>
        <v>-0.73027559042992929</v>
      </c>
      <c r="J1222">
        <f>($B$1+Table4[[#This Row],[Home Differential]])-Table4[[#This Row],[Away Differential]]</f>
        <v>0.86742903164235008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0.66475811633041626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1.4784730509534416</v>
      </c>
      <c r="H1223" t="s">
        <v>35</v>
      </c>
      <c r="I1223">
        <f>VLOOKUP(Table4[[#This Row],[Visitor]],'NHL Model'!$A$6:$B$38,2,FALSE)</f>
        <v>-1.7055605761743866</v>
      </c>
      <c r="J1223">
        <f>($B$1+Table4[[#This Row],[Home Differential]])-Table4[[#This Row],[Away Differential]]</f>
        <v>3.3918447397089748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-0.4561706649361581</v>
      </c>
      <c r="H1224" t="s">
        <v>34</v>
      </c>
      <c r="I1224">
        <f>VLOOKUP(Table4[[#This Row],[Visitor]],'NHL Model'!$A$6:$B$38,2,FALSE)</f>
        <v>-0.62096640812916071</v>
      </c>
      <c r="J1224">
        <f>($B$1+Table4[[#This Row],[Home Differential]])-Table4[[#This Row],[Away Differential]]</f>
        <v>0.37260685577414937</v>
      </c>
      <c r="K1224" t="str">
        <f>IF(Table4[[#This Row],[HomeIce Differential]]&gt;0,Table4[[#This Row],[Home]],Table4[[#This Row],[Visitor]])</f>
        <v>Detroit Red Wings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0.63402141683452629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-0.67174708781561598</v>
      </c>
      <c r="H1225" t="s">
        <v>24</v>
      </c>
      <c r="I1225">
        <f>VLOOKUP(Table4[[#This Row],[Visitor]],'NHL Model'!$A$6:$B$38,2,FALSE)</f>
        <v>0.29030528207371809</v>
      </c>
      <c r="J1225">
        <f>($B$1+Table4[[#This Row],[Home Differential]])-Table4[[#This Row],[Away Differential]]</f>
        <v>-0.75424125730818736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0.6109914297737038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-0.39108791057695064</v>
      </c>
      <c r="H1226" t="s">
        <v>22</v>
      </c>
      <c r="I1226">
        <f>VLOOKUP(Table4[[#This Row],[Visitor]],'NHL Model'!$A$6:$B$38,2,FALSE)</f>
        <v>-7.0657671368725999E-2</v>
      </c>
      <c r="J1226">
        <f>($B$1+Table4[[#This Row],[Home Differential]])-Table4[[#This Row],[Away Differential]]</f>
        <v>-0.11261912662707788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0.47619746352525111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-0.47846056309234386</v>
      </c>
      <c r="H1227" t="s">
        <v>25</v>
      </c>
      <c r="I1227">
        <f>VLOOKUP(Table4[[#This Row],[Visitor]],'NHL Model'!$A$6:$B$38,2,FALSE)</f>
        <v>0.67827132507054233</v>
      </c>
      <c r="J1227">
        <f>($B$1+Table4[[#This Row],[Home Differential]])-Table4[[#This Row],[Away Differential]]</f>
        <v>-0.94892077558173948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0.69852247478595952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-0.59708196015665005</v>
      </c>
      <c r="H1228" t="s">
        <v>21</v>
      </c>
      <c r="I1228">
        <f>VLOOKUP(Table4[[#This Row],[Visitor]],'NHL Model'!$A$6:$B$38,2,FALSE)</f>
        <v>-5.2681296301607013E-2</v>
      </c>
      <c r="J1228">
        <f>($B$1+Table4[[#This Row],[Home Differential]])-Table4[[#This Row],[Away Differential]]</f>
        <v>-0.33658955127389628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0.5059145657233991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0.19552804934912488</v>
      </c>
      <c r="H1229" t="s">
        <v>11</v>
      </c>
      <c r="I1229">
        <f>VLOOKUP(Table4[[#This Row],[Visitor]],'NHL Model'!$A$6:$B$38,2,FALSE)</f>
        <v>-0.1981495100594213</v>
      </c>
      <c r="J1229">
        <f>($B$1+Table4[[#This Row],[Home Differential]])-Table4[[#This Row],[Away Differential]]</f>
        <v>0.60148867198969291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0.66254606881193967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-0.73027559042992929</v>
      </c>
      <c r="H1230" t="s">
        <v>37</v>
      </c>
      <c r="I1230">
        <f>VLOOKUP(Table4[[#This Row],[Visitor]],'NHL Model'!$A$6:$B$38,2,FALSE)</f>
        <v>4.5159124835038887E-2</v>
      </c>
      <c r="J1230">
        <f>($B$1+Table4[[#This Row],[Home Differential]])-Table4[[#This Row],[Away Differential]]</f>
        <v>-0.5676236026838215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0.58622570951902031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-0.15545019701583887</v>
      </c>
      <c r="H1231" t="s">
        <v>29</v>
      </c>
      <c r="I1231">
        <f>VLOOKUP(Table4[[#This Row],[Visitor]],'NHL Model'!$A$6:$B$38,2,FALSE)</f>
        <v>-1.4469605932441605</v>
      </c>
      <c r="J1231">
        <f>($B$1+Table4[[#This Row],[Home Differential]])-Table4[[#This Row],[Away Differential]]</f>
        <v>1.4993215088094685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0.75564015082431601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-0.41822017589574972</v>
      </c>
      <c r="H1232" t="s">
        <v>10</v>
      </c>
      <c r="I1232">
        <f>VLOOKUP(Table4[[#This Row],[Visitor]],'NHL Model'!$A$6:$B$38,2,FALSE)</f>
        <v>0.27981279116457602</v>
      </c>
      <c r="J1232">
        <f>($B$1+Table4[[#This Row],[Home Differential]])-Table4[[#This Row],[Away Differential]]</f>
        <v>-0.49022185447917899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0.55127546576695707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0.13227623341979275</v>
      </c>
      <c r="H1233" t="s">
        <v>32</v>
      </c>
      <c r="I1233">
        <f>VLOOKUP(Table4[[#This Row],[Visitor]],'NHL Model'!$A$6:$B$38,2,FALSE)</f>
        <v>-0.53589042422266964</v>
      </c>
      <c r="J1233">
        <f>($B$1+Table4[[#This Row],[Home Differential]])-Table4[[#This Row],[Away Differential]]</f>
        <v>0.87597777022360912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0.71770361632710755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0.50495447305652519</v>
      </c>
      <c r="H1234" t="s">
        <v>29</v>
      </c>
      <c r="I1234">
        <f>VLOOKUP(Table4[[#This Row],[Visitor]],'NHL Model'!$A$6:$B$38,2,FALSE)</f>
        <v>-1.4469605932441605</v>
      </c>
      <c r="J1234">
        <f>($B$1+Table4[[#This Row],[Home Differential]])-Table4[[#This Row],[Away Differential]]</f>
        <v>2.1597261788818325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0.96138217501725465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0.67827132507054233</v>
      </c>
      <c r="H1235" t="s">
        <v>21</v>
      </c>
      <c r="I1235">
        <f>VLOOKUP(Table4[[#This Row],[Visitor]],'NHL Model'!$A$6:$B$38,2,FALSE)</f>
        <v>-5.2681296301607013E-2</v>
      </c>
      <c r="J1235">
        <f>($B$1+Table4[[#This Row],[Home Differential]])-Table4[[#This Row],[Away Differential]]</f>
        <v>0.93876373395329615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0.72673381739390241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5.4297665563734943E-2</v>
      </c>
      <c r="H1236" t="s">
        <v>16</v>
      </c>
      <c r="I1236">
        <f>VLOOKUP(Table4[[#This Row],[Visitor]],'NHL Model'!$A$6:$B$38,2,FALSE)</f>
        <v>-1.5116691651852812</v>
      </c>
      <c r="J1236">
        <f>($B$1+Table4[[#This Row],[Home Differential]])-Table4[[#This Row],[Away Differential]]</f>
        <v>1.7737779433301628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0.79760936970824026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-0.4561706649361581</v>
      </c>
      <c r="H1237" t="s">
        <v>28</v>
      </c>
      <c r="I1237">
        <f>VLOOKUP(Table4[[#This Row],[Visitor]],'NHL Model'!$A$6:$B$38,2,FALSE)</f>
        <v>-0.57641196648435689</v>
      </c>
      <c r="J1237">
        <f>($B$1+Table4[[#This Row],[Home Differential]])-Table4[[#This Row],[Away Differential]]</f>
        <v>0.32805241412934555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0.62761336728696282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-0.62096640812916071</v>
      </c>
      <c r="H1238" t="s">
        <v>32</v>
      </c>
      <c r="I1238">
        <f>VLOOKUP(Table4[[#This Row],[Visitor]],'NHL Model'!$A$6:$B$38,2,FALSE)</f>
        <v>-0.53589042422266964</v>
      </c>
      <c r="J1238">
        <f>($B$1+Table4[[#This Row],[Home Differential]])-Table4[[#This Row],[Away Differential]]</f>
        <v>0.12273512867465569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0.55765239910408571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-0.67174708781561598</v>
      </c>
      <c r="H1239" t="s">
        <v>11</v>
      </c>
      <c r="I1239">
        <f>VLOOKUP(Table4[[#This Row],[Visitor]],'NHL Model'!$A$6:$B$38,2,FALSE)</f>
        <v>-0.1981495100594213</v>
      </c>
      <c r="J1239">
        <f>($B$1+Table4[[#This Row],[Home Differential]])-Table4[[#This Row],[Away Differential]]</f>
        <v>-0.26578646517504789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0.4982267799805789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0.29030528207371809</v>
      </c>
      <c r="H1240" t="s">
        <v>27</v>
      </c>
      <c r="I1240">
        <f>VLOOKUP(Table4[[#This Row],[Visitor]],'NHL Model'!$A$6:$B$38,2,FALSE)</f>
        <v>-0.59708196015665005</v>
      </c>
      <c r="J1240">
        <f>($B$1+Table4[[#This Row],[Home Differential]])-Table4[[#This Row],[Away Differential]]</f>
        <v>1.095198354811515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0.81294778651834099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-0.47846056309234386</v>
      </c>
      <c r="H1241" t="s">
        <v>37</v>
      </c>
      <c r="I1241">
        <f>VLOOKUP(Table4[[#This Row],[Visitor]],'NHL Model'!$A$6:$B$38,2,FALSE)</f>
        <v>4.5159124835038887E-2</v>
      </c>
      <c r="J1241">
        <f>($B$1+Table4[[#This Row],[Home Differential]])-Table4[[#This Row],[Away Differential]]</f>
        <v>-0.31580857534623596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0.55000837377358425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-1.7055605761743866</v>
      </c>
      <c r="H1242" t="s">
        <v>12</v>
      </c>
      <c r="I1242">
        <f>VLOOKUP(Table4[[#This Row],[Visitor]],'NHL Model'!$A$6:$B$38,2,FALSE)</f>
        <v>1.4784730509534416</v>
      </c>
      <c r="J1242">
        <f>($B$1+Table4[[#This Row],[Home Differential]])-Table4[[#This Row],[Away Differential]]</f>
        <v>-2.9762225145466816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0.95437145875650886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-0.21513148032837168</v>
      </c>
      <c r="H1243" t="s">
        <v>17</v>
      </c>
      <c r="I1243">
        <f>VLOOKUP(Table4[[#This Row],[Visitor]],'NHL Model'!$A$6:$B$38,2,FALSE)</f>
        <v>-0.8965878665431638</v>
      </c>
      <c r="J1243">
        <f>($B$1+Table4[[#This Row],[Home Differential]])-Table4[[#This Row],[Away Differential]]</f>
        <v>0.88926749879593892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0.73617154337178947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-0.87485041382128448</v>
      </c>
      <c r="H1244" t="s">
        <v>20</v>
      </c>
      <c r="I1244">
        <f>VLOOKUP(Table4[[#This Row],[Visitor]],'NHL Model'!$A$6:$B$38,2,FALSE)</f>
        <v>-5.4617353012467046E-4</v>
      </c>
      <c r="J1244">
        <f>($B$1+Table4[[#This Row],[Home Differential]])-Table4[[#This Row],[Away Differential]]</f>
        <v>-0.66649312771001301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0.5766277092465254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-0.39108791057695064</v>
      </c>
      <c r="H1245" t="s">
        <v>23</v>
      </c>
      <c r="I1245">
        <f>VLOOKUP(Table4[[#This Row],[Visitor]],'NHL Model'!$A$6:$B$38,2,FALSE)</f>
        <v>-0.73027559042992929</v>
      </c>
      <c r="J1245">
        <f>($B$1+Table4[[#This Row],[Home Differential]])-Table4[[#This Row],[Away Differential]]</f>
        <v>0.54699879243412541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0.6186721869913514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-0.41822017589574972</v>
      </c>
      <c r="H1246" t="s">
        <v>17</v>
      </c>
      <c r="I1246">
        <f>VLOOKUP(Table4[[#This Row],[Visitor]],'NHL Model'!$A$6:$B$38,2,FALSE)</f>
        <v>-0.8965878665431638</v>
      </c>
      <c r="J1246">
        <f>($B$1+Table4[[#This Row],[Home Differential]])-Table4[[#This Row],[Away Differential]]</f>
        <v>0.68617880322856084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0.63868977384186854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-0.72519112941434305</v>
      </c>
      <c r="H1247" t="s">
        <v>22</v>
      </c>
      <c r="I1247">
        <f>VLOOKUP(Table4[[#This Row],[Visitor]],'NHL Model'!$A$6:$B$38,2,FALSE)</f>
        <v>-7.0657671368725999E-2</v>
      </c>
      <c r="J1247">
        <f>($B$1+Table4[[#This Row],[Home Differential]])-Table4[[#This Row],[Away Differential]]</f>
        <v>-0.44672234546447032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0.51023329080229218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0.50495447305652519</v>
      </c>
      <c r="H1248" t="s">
        <v>33</v>
      </c>
      <c r="I1248">
        <f>VLOOKUP(Table4[[#This Row],[Visitor]],'NHL Model'!$A$6:$B$38,2,FALSE)</f>
        <v>-0.41822017589574972</v>
      </c>
      <c r="J1248">
        <f>($B$1+Table4[[#This Row],[Home Differential]])-Table4[[#This Row],[Away Differential]]</f>
        <v>1.1309857615334218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0.81342342337349904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-0.73027559042992929</v>
      </c>
      <c r="H1249" t="s">
        <v>28</v>
      </c>
      <c r="I1249">
        <f>VLOOKUP(Table4[[#This Row],[Visitor]],'NHL Model'!$A$6:$B$38,2,FALSE)</f>
        <v>-0.57641196648435689</v>
      </c>
      <c r="J1249">
        <f>($B$1+Table4[[#This Row],[Home Differential]])-Table4[[#This Row],[Away Differential]]</f>
        <v>5.3947488635574303E-2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0.55025448520646525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0.27981279116457602</v>
      </c>
      <c r="H1250" t="s">
        <v>25</v>
      </c>
      <c r="I1250">
        <f>VLOOKUP(Table4[[#This Row],[Visitor]],'NHL Model'!$A$6:$B$38,2,FALSE)</f>
        <v>0.67827132507054233</v>
      </c>
      <c r="J1250">
        <f>($B$1+Table4[[#This Row],[Home Differential]])-Table4[[#This Row],[Away Differential]]</f>
        <v>-0.19064742132481954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0.58494201912454558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1.4784730509534416</v>
      </c>
      <c r="H1251" t="s">
        <v>16</v>
      </c>
      <c r="I1251">
        <f>VLOOKUP(Table4[[#This Row],[Visitor]],'NHL Model'!$A$6:$B$38,2,FALSE)</f>
        <v>-1.5116691651852812</v>
      </c>
      <c r="J1251">
        <f>($B$1+Table4[[#This Row],[Home Differential]])-Table4[[#This Row],[Away Differential]]</f>
        <v>3.1979533287198696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5.4297665563734943E-2</v>
      </c>
      <c r="H1252" t="s">
        <v>34</v>
      </c>
      <c r="I1252">
        <f>VLOOKUP(Table4[[#This Row],[Visitor]],'NHL Model'!$A$6:$B$38,2,FALSE)</f>
        <v>-0.62096640812916071</v>
      </c>
      <c r="J1252">
        <f>($B$1+Table4[[#This Row],[Home Differential]])-Table4[[#This Row],[Away Differential]]</f>
        <v>0.88307518627404247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0.6695039061751189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-0.4561706649361581</v>
      </c>
      <c r="H1253" t="s">
        <v>27</v>
      </c>
      <c r="I1253">
        <f>VLOOKUP(Table4[[#This Row],[Visitor]],'NHL Model'!$A$6:$B$38,2,FALSE)</f>
        <v>-0.59708196015665005</v>
      </c>
      <c r="J1253">
        <f>($B$1+Table4[[#This Row],[Home Differential]])-Table4[[#This Row],[Away Differential]]</f>
        <v>0.34872240780163871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0.63058623236416045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-0.15545019701583887</v>
      </c>
      <c r="H1254" t="s">
        <v>38</v>
      </c>
      <c r="I1254">
        <f>VLOOKUP(Table4[[#This Row],[Visitor]],'NHL Model'!$A$6:$B$38,2,FALSE)</f>
        <v>-0.87485041382128448</v>
      </c>
      <c r="J1254">
        <f>($B$1+Table4[[#This Row],[Home Differential]])-Table4[[#This Row],[Away Differential]]</f>
        <v>0.92721132938659234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0.65258708389719744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-0.67174708781561598</v>
      </c>
      <c r="H1255" t="s">
        <v>37</v>
      </c>
      <c r="I1255">
        <f>VLOOKUP(Table4[[#This Row],[Visitor]],'NHL Model'!$A$6:$B$38,2,FALSE)</f>
        <v>4.5159124835038887E-2</v>
      </c>
      <c r="J1255">
        <f>($B$1+Table4[[#This Row],[Home Differential]])-Table4[[#This Row],[Away Differential]]</f>
        <v>-0.50909510006950809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0.58032007398136387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0.29030528207371809</v>
      </c>
      <c r="H1256" t="s">
        <v>14</v>
      </c>
      <c r="I1256">
        <f>VLOOKUP(Table4[[#This Row],[Visitor]],'NHL Model'!$A$6:$B$38,2,FALSE)</f>
        <v>0.19552804934912488</v>
      </c>
      <c r="J1256">
        <f>($B$1+Table4[[#This Row],[Home Differential]])-Table4[[#This Row],[Away Differential]]</f>
        <v>0.30258834530573997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0.69895052776467637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-6.1847876079686406E-2</v>
      </c>
      <c r="H1257" t="s">
        <v>19</v>
      </c>
      <c r="I1257">
        <f>VLOOKUP(Table4[[#This Row],[Visitor]],'NHL Model'!$A$6:$B$38,2,FALSE)</f>
        <v>-0.72519112941434305</v>
      </c>
      <c r="J1257">
        <f>($B$1+Table4[[#This Row],[Home Differential]])-Table4[[#This Row],[Away Differential]]</f>
        <v>0.87115436591580342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0.6652939131157477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-0.47846056309234386</v>
      </c>
      <c r="H1258" t="s">
        <v>11</v>
      </c>
      <c r="I1258">
        <f>VLOOKUP(Table4[[#This Row],[Visitor]],'NHL Model'!$A$6:$B$38,2,FALSE)</f>
        <v>-0.1981495100594213</v>
      </c>
      <c r="J1258">
        <f>($B$1+Table4[[#This Row],[Home Differential]])-Table4[[#This Row],[Away Differential]]</f>
        <v>-7.2499940451775796E-2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0.46793183608588684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-0.53589042422266964</v>
      </c>
      <c r="H1259" t="s">
        <v>20</v>
      </c>
      <c r="I1259">
        <f>VLOOKUP(Table4[[#This Row],[Visitor]],'NHL Model'!$A$6:$B$38,2,FALSE)</f>
        <v>-5.4617353012467046E-4</v>
      </c>
      <c r="J1259">
        <f>($B$1+Table4[[#This Row],[Home Differential]])-Table4[[#This Row],[Away Differential]]</f>
        <v>-0.32753313811139823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0.50165295943170563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-1.7055605761743866</v>
      </c>
      <c r="H1260" t="s">
        <v>40</v>
      </c>
      <c r="I1260">
        <f>VLOOKUP(Table4[[#This Row],[Visitor]],'NHL Model'!$A$6:$B$38,2,FALSE)</f>
        <v>0.13227623341979275</v>
      </c>
      <c r="J1260">
        <f>($B$1+Table4[[#This Row],[Home Differential]])-Table4[[#This Row],[Away Differential]]</f>
        <v>-1.6300256970130325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0.76075449063692424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-0.21513148032837168</v>
      </c>
      <c r="H1261" t="s">
        <v>29</v>
      </c>
      <c r="I1261">
        <f>VLOOKUP(Table4[[#This Row],[Visitor]],'NHL Model'!$A$6:$B$38,2,FALSE)</f>
        <v>-1.4469605932441605</v>
      </c>
      <c r="J1261">
        <f>($B$1+Table4[[#This Row],[Home Differential]])-Table4[[#This Row],[Away Differential]]</f>
        <v>1.4396402254969356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0.81532898698749023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-5.2681296301607013E-2</v>
      </c>
      <c r="H1262" t="s">
        <v>37</v>
      </c>
      <c r="I1262">
        <f>VLOOKUP(Table4[[#This Row],[Visitor]],'NHL Model'!$A$6:$B$38,2,FALSE)</f>
        <v>4.5159124835038887E-2</v>
      </c>
      <c r="J1262">
        <f>($B$1+Table4[[#This Row],[Home Differential]])-Table4[[#This Row],[Away Differential]]</f>
        <v>0.10997069144450086</v>
      </c>
      <c r="K1262" t="str">
        <f>IF(Table4[[#This Row],[HomeIce Differential]]&gt;0,Table4[[#This Row],[Home]],Table4[[#This Row],[Visitor]])</f>
        <v>Boston Bruins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0.56127109737487146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0.27981279116457602</v>
      </c>
      <c r="H1263" t="s">
        <v>35</v>
      </c>
      <c r="I1263">
        <f>VLOOKUP(Table4[[#This Row],[Visitor]],'NHL Model'!$A$6:$B$38,2,FALSE)</f>
        <v>-1.7055605761743866</v>
      </c>
      <c r="J1263">
        <f>($B$1+Table4[[#This Row],[Home Differential]])-Table4[[#This Row],[Away Differential]]</f>
        <v>2.1931844799201095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0.86248105317525525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1.4784730509534416</v>
      </c>
      <c r="H1264" t="s">
        <v>20</v>
      </c>
      <c r="I1264">
        <f>VLOOKUP(Table4[[#This Row],[Visitor]],'NHL Model'!$A$6:$B$38,2,FALSE)</f>
        <v>-5.4617353012467046E-4</v>
      </c>
      <c r="J1264">
        <f>($B$1+Table4[[#This Row],[Home Differential]])-Table4[[#This Row],[Away Differential]]</f>
        <v>1.6868303370647131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0.85130428958917959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5.4297665563734943E-2</v>
      </c>
      <c r="H1265" t="s">
        <v>15</v>
      </c>
      <c r="I1265">
        <f>VLOOKUP(Table4[[#This Row],[Visitor]],'NHL Model'!$A$6:$B$38,2,FALSE)</f>
        <v>-0.39108791057695064</v>
      </c>
      <c r="J1265">
        <f>($B$1+Table4[[#This Row],[Home Differential]])-Table4[[#This Row],[Away Differential]]</f>
        <v>0.65319668872183234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0.51499874763631359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-0.4561706649361581</v>
      </c>
      <c r="H1266" t="s">
        <v>24</v>
      </c>
      <c r="I1266">
        <f>VLOOKUP(Table4[[#This Row],[Visitor]],'NHL Model'!$A$6:$B$38,2,FALSE)</f>
        <v>0.29030528207371809</v>
      </c>
      <c r="J1266">
        <f>($B$1+Table4[[#This Row],[Home Differential]])-Table4[[#This Row],[Away Differential]]</f>
        <v>-0.53866483442872948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0.53901201571444424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-0.15545019701583887</v>
      </c>
      <c r="H1267" t="s">
        <v>17</v>
      </c>
      <c r="I1267">
        <f>VLOOKUP(Table4[[#This Row],[Visitor]],'NHL Model'!$A$6:$B$38,2,FALSE)</f>
        <v>-0.8965878665431638</v>
      </c>
      <c r="J1267">
        <f>($B$1+Table4[[#This Row],[Home Differential]])-Table4[[#This Row],[Away Differential]]</f>
        <v>0.94894878210847167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0.67648270720861525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-0.67174708781561598</v>
      </c>
      <c r="H1268" t="s">
        <v>28</v>
      </c>
      <c r="I1268">
        <f>VLOOKUP(Table4[[#This Row],[Visitor]],'NHL Model'!$A$6:$B$38,2,FALSE)</f>
        <v>-0.57641196648435689</v>
      </c>
      <c r="J1268">
        <f>($B$1+Table4[[#This Row],[Home Differential]])-Table4[[#This Row],[Away Differential]]</f>
        <v>0.11247599124988766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0.55617687705720931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-1.4469605932441605</v>
      </c>
      <c r="H1269" t="s">
        <v>34</v>
      </c>
      <c r="I1269">
        <f>VLOOKUP(Table4[[#This Row],[Visitor]],'NHL Model'!$A$6:$B$38,2,FALSE)</f>
        <v>-0.62096640812916071</v>
      </c>
      <c r="J1269">
        <f>($B$1+Table4[[#This Row],[Home Differential]])-Table4[[#This Row],[Away Differential]]</f>
        <v>-0.61818307253385296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0.54891027722538954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-6.1847876079686406E-2</v>
      </c>
      <c r="H1270" t="s">
        <v>36</v>
      </c>
      <c r="I1270">
        <f>VLOOKUP(Table4[[#This Row],[Visitor]],'NHL Model'!$A$6:$B$38,2,FALSE)</f>
        <v>-0.47846056309234386</v>
      </c>
      <c r="J1270">
        <f>($B$1+Table4[[#This Row],[Home Differential]])-Table4[[#This Row],[Away Differential]]</f>
        <v>0.62442379959380423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0.62980785077219337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0.19552804934912488</v>
      </c>
      <c r="H1271" t="s">
        <v>22</v>
      </c>
      <c r="I1271">
        <f>VLOOKUP(Table4[[#This Row],[Visitor]],'NHL Model'!$A$6:$B$38,2,FALSE)</f>
        <v>-7.0657671368725999E-2</v>
      </c>
      <c r="J1271">
        <f>($B$1+Table4[[#This Row],[Home Differential]])-Table4[[#This Row],[Away Differential]]</f>
        <v>0.47399683329899767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0.64420953514481372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-0.53589042422266964</v>
      </c>
      <c r="H1272" t="s">
        <v>16</v>
      </c>
      <c r="I1272">
        <f>VLOOKUP(Table4[[#This Row],[Visitor]],'NHL Model'!$A$6:$B$38,2,FALSE)</f>
        <v>-1.5116691651852812</v>
      </c>
      <c r="J1272">
        <f>($B$1+Table4[[#This Row],[Home Differential]])-Table4[[#This Row],[Away Differential]]</f>
        <v>1.1835898535437583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0.73626773190571981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-0.41822017589574972</v>
      </c>
      <c r="H1273" t="s">
        <v>38</v>
      </c>
      <c r="I1273">
        <f>VLOOKUP(Table4[[#This Row],[Visitor]],'NHL Model'!$A$6:$B$38,2,FALSE)</f>
        <v>-0.87485041382128448</v>
      </c>
      <c r="J1273">
        <f>($B$1+Table4[[#This Row],[Home Differential]])-Table4[[#This Row],[Away Differential]]</f>
        <v>0.66444135050668152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0.61479415053045083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-0.72519112941434305</v>
      </c>
      <c r="H1274" t="s">
        <v>11</v>
      </c>
      <c r="I1274">
        <f>VLOOKUP(Table4[[#This Row],[Visitor]],'NHL Model'!$A$6:$B$38,2,FALSE)</f>
        <v>-0.1981495100594213</v>
      </c>
      <c r="J1274">
        <f>($B$1+Table4[[#This Row],[Home Differential]])-Table4[[#This Row],[Away Differential]]</f>
        <v>-0.31923050677377507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0.49189675713516628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-0.21513148032837168</v>
      </c>
      <c r="H1275" t="s">
        <v>25</v>
      </c>
      <c r="I1275">
        <f>VLOOKUP(Table4[[#This Row],[Visitor]],'NHL Model'!$A$6:$B$38,2,FALSE)</f>
        <v>0.67827132507054233</v>
      </c>
      <c r="J1275">
        <f>($B$1+Table4[[#This Row],[Home Differential]])-Table4[[#This Row],[Away Differential]]</f>
        <v>-0.68559169281776722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0.59355482754457944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0.13227623341979275</v>
      </c>
      <c r="H1276" t="s">
        <v>27</v>
      </c>
      <c r="I1276">
        <f>VLOOKUP(Table4[[#This Row],[Visitor]],'NHL Model'!$A$6:$B$38,2,FALSE)</f>
        <v>-0.59708196015665005</v>
      </c>
      <c r="J1276">
        <f>($B$1+Table4[[#This Row],[Home Differential]])-Table4[[#This Row],[Away Differential]]</f>
        <v>0.93716930615758953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0.72650449856646993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0.50495447305652519</v>
      </c>
      <c r="H1277" t="s">
        <v>38</v>
      </c>
      <c r="I1277">
        <f>VLOOKUP(Table4[[#This Row],[Visitor]],'NHL Model'!$A$6:$B$38,2,FALSE)</f>
        <v>-0.87485041382128448</v>
      </c>
      <c r="J1277">
        <f>($B$1+Table4[[#This Row],[Home Differential]])-Table4[[#This Row],[Away Differential]]</f>
        <v>1.5876159994589565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0.85991806713885077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-0.57641196648435689</v>
      </c>
      <c r="H1278" t="s">
        <v>21</v>
      </c>
      <c r="I1278">
        <f>VLOOKUP(Table4[[#This Row],[Visitor]],'NHL Model'!$A$6:$B$38,2,FALSE)</f>
        <v>-5.2681296301607013E-2</v>
      </c>
      <c r="J1278">
        <f>($B$1+Table4[[#This Row],[Home Differential]])-Table4[[#This Row],[Away Differential]]</f>
        <v>-0.31591955760160312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0.49839122799058522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-1.5116691651852812</v>
      </c>
      <c r="H1279" t="s">
        <v>55</v>
      </c>
      <c r="I1279">
        <f>VLOOKUP(Table4[[#This Row],[Visitor]],'NHL Model'!$A$6:$B$38,2,FALSE)</f>
        <v>-0.21513148032837168</v>
      </c>
      <c r="J1279">
        <f>($B$1+Table4[[#This Row],[Home Differential]])-Table4[[#This Row],[Away Differential]]</f>
        <v>-1.0887265722757626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0.61658626977105602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0.29030528207371809</v>
      </c>
      <c r="H1280" t="s">
        <v>36</v>
      </c>
      <c r="I1280">
        <f>VLOOKUP(Table4[[#This Row],[Visitor]],'NHL Model'!$A$6:$B$38,2,FALSE)</f>
        <v>-0.47846056309234386</v>
      </c>
      <c r="J1280">
        <f>($B$1+Table4[[#This Row],[Home Differential]])-Table4[[#This Row],[Away Differential]]</f>
        <v>0.97657695774720876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0.79588704550739575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-6.1847876079686406E-2</v>
      </c>
      <c r="H1281" t="s">
        <v>18</v>
      </c>
      <c r="I1281">
        <f>VLOOKUP(Table4[[#This Row],[Visitor]],'NHL Model'!$A$6:$B$38,2,FALSE)</f>
        <v>-0.67174708781561598</v>
      </c>
      <c r="J1281">
        <f>($B$1+Table4[[#This Row],[Home Differential]])-Table4[[#This Row],[Away Differential]]</f>
        <v>0.81771032431707635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0.61050792398181519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-7.0657671368725999E-2</v>
      </c>
      <c r="H1282" t="s">
        <v>14</v>
      </c>
      <c r="I1282">
        <f>VLOOKUP(Table4[[#This Row],[Visitor]],'NHL Model'!$A$6:$B$38,2,FALSE)</f>
        <v>0.19552804934912488</v>
      </c>
      <c r="J1282">
        <f>($B$1+Table4[[#This Row],[Home Differential]])-Table4[[#This Row],[Away Differential]]</f>
        <v>-5.8374608136704115E-2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0.46839573715773919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0.27981279116457602</v>
      </c>
      <c r="H1283" t="s">
        <v>23</v>
      </c>
      <c r="I1283">
        <f>VLOOKUP(Table4[[#This Row],[Visitor]],'NHL Model'!$A$6:$B$38,2,FALSE)</f>
        <v>-0.73027559042992929</v>
      </c>
      <c r="J1283">
        <f>($B$1+Table4[[#This Row],[Home Differential]])-Table4[[#This Row],[Away Differential]]</f>
        <v>1.217899494175652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0.72221053735398733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-0.8965878665431638</v>
      </c>
      <c r="H1284" t="s">
        <v>12</v>
      </c>
      <c r="I1284">
        <f>VLOOKUP(Table4[[#This Row],[Visitor]],'NHL Model'!$A$6:$B$38,2,FALSE)</f>
        <v>1.4784730509534416</v>
      </c>
      <c r="J1284">
        <f>($B$1+Table4[[#This Row],[Home Differential]])-Table4[[#This Row],[Away Differential]]</f>
        <v>-2.1672498049154587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0.80150096098828127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-0.1981495100594213</v>
      </c>
      <c r="H1285" t="s">
        <v>15</v>
      </c>
      <c r="I1285">
        <f>VLOOKUP(Table4[[#This Row],[Visitor]],'NHL Model'!$A$6:$B$38,2,FALSE)</f>
        <v>-0.39108791057695064</v>
      </c>
      <c r="J1285">
        <f>($B$1+Table4[[#This Row],[Home Differential]])-Table4[[#This Row],[Away Differential]]</f>
        <v>0.40074951309867612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0.5403964821754077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-1.4469605932441605</v>
      </c>
      <c r="H1286" t="s">
        <v>33</v>
      </c>
      <c r="I1286">
        <f>VLOOKUP(Table4[[#This Row],[Visitor]],'NHL Model'!$A$6:$B$38,2,FALSE)</f>
        <v>-0.41822017589574972</v>
      </c>
      <c r="J1286">
        <f>($B$1+Table4[[#This Row],[Home Differential]])-Table4[[#This Row],[Away Differential]]</f>
        <v>-0.82092930476726389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0.57807028582994191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-0.59708196015665005</v>
      </c>
      <c r="H1287" t="s">
        <v>25</v>
      </c>
      <c r="I1287">
        <f>VLOOKUP(Table4[[#This Row],[Visitor]],'NHL Model'!$A$6:$B$38,2,FALSE)</f>
        <v>0.67827132507054233</v>
      </c>
      <c r="J1287">
        <f>($B$1+Table4[[#This Row],[Home Differential]])-Table4[[#This Row],[Away Differential]]</f>
        <v>-1.0675421726460457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0.71558321579690487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-0.53589042422266964</v>
      </c>
      <c r="H1288" t="s">
        <v>13</v>
      </c>
      <c r="I1288">
        <f>VLOOKUP(Table4[[#This Row],[Visitor]],'NHL Model'!$A$6:$B$38,2,FALSE)</f>
        <v>-0.15545019701583887</v>
      </c>
      <c r="J1288">
        <f>($B$1+Table4[[#This Row],[Home Differential]])-Table4[[#This Row],[Away Differential]]</f>
        <v>-0.172629114625684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0.56054269516204303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-1.7055605761743866</v>
      </c>
      <c r="H1289" t="s">
        <v>34</v>
      </c>
      <c r="I1289">
        <f>VLOOKUP(Table4[[#This Row],[Visitor]],'NHL Model'!$A$6:$B$38,2,FALSE)</f>
        <v>-0.62096640812916071</v>
      </c>
      <c r="J1289">
        <f>($B$1+Table4[[#This Row],[Home Differential]])-Table4[[#This Row],[Away Differential]]</f>
        <v>-0.87678305546407909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0.586103460271579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4.5159124835038887E-2</v>
      </c>
      <c r="H1290" t="s">
        <v>26</v>
      </c>
      <c r="I1290">
        <f>VLOOKUP(Table4[[#This Row],[Visitor]],'NHL Model'!$A$6:$B$38,2,FALSE)</f>
        <v>-0.4561706649361581</v>
      </c>
      <c r="J1290">
        <f>($B$1+Table4[[#This Row],[Home Differential]])-Table4[[#This Row],[Away Differential]]</f>
        <v>0.70914090235234373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0.59489290986387999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-0.72519112941434305</v>
      </c>
      <c r="H1291" t="s">
        <v>39</v>
      </c>
      <c r="I1291">
        <f>VLOOKUP(Table4[[#This Row],[Visitor]],'NHL Model'!$A$6:$B$38,2,FALSE)</f>
        <v>5.4297665563734943E-2</v>
      </c>
      <c r="J1291">
        <f>($B$1+Table4[[#This Row],[Home Differential]])-Table4[[#This Row],[Away Differential]]</f>
        <v>-0.57167768239693129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0.62068317066693324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-5.4617353012467046E-4</v>
      </c>
      <c r="H1292" t="s">
        <v>40</v>
      </c>
      <c r="I1292">
        <f>VLOOKUP(Table4[[#This Row],[Visitor]],'NHL Model'!$A$6:$B$38,2,FALSE)</f>
        <v>0.13227623341979275</v>
      </c>
      <c r="J1292">
        <f>($B$1+Table4[[#This Row],[Home Differential]])-Table4[[#This Row],[Away Differential]]</f>
        <v>7.4988705631229335E-2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0.48446947285826131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-5.2681296301607013E-2</v>
      </c>
      <c r="H1293" t="s">
        <v>24</v>
      </c>
      <c r="I1293">
        <f>VLOOKUP(Table4[[#This Row],[Visitor]],'NHL Model'!$A$6:$B$38,2,FALSE)</f>
        <v>0.29030528207371809</v>
      </c>
      <c r="J1293">
        <f>($B$1+Table4[[#This Row],[Home Differential]])-Table4[[#This Row],[Away Differential]]</f>
        <v>-0.13517546579417833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0.46944163253867388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-0.57641196648435689</v>
      </c>
      <c r="H1294" t="s">
        <v>22</v>
      </c>
      <c r="I1294">
        <f>VLOOKUP(Table4[[#This Row],[Visitor]],'NHL Model'!$A$6:$B$38,2,FALSE)</f>
        <v>-7.0657671368725999E-2</v>
      </c>
      <c r="J1294">
        <f>($B$1+Table4[[#This Row],[Home Differential]])-Table4[[#This Row],[Away Differential]]</f>
        <v>-0.29794318253448415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0.4958057730311442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-1.5116691651852812</v>
      </c>
      <c r="H1295" t="s">
        <v>12</v>
      </c>
      <c r="I1295">
        <f>VLOOKUP(Table4[[#This Row],[Visitor]],'NHL Model'!$A$6:$B$38,2,FALSE)</f>
        <v>1.4784730509534416</v>
      </c>
      <c r="J1295">
        <f>($B$1+Table4[[#This Row],[Home Differential]])-Table4[[#This Row],[Away Differential]]</f>
        <v>-2.782331103557576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0.92648499620423752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-0.62096640812916071</v>
      </c>
      <c r="H1296" t="s">
        <v>31</v>
      </c>
      <c r="I1296">
        <f>VLOOKUP(Table4[[#This Row],[Visitor]],'NHL Model'!$A$6:$B$38,2,FALSE)</f>
        <v>0.50495447305652519</v>
      </c>
      <c r="J1296">
        <f>($B$1+Table4[[#This Row],[Home Differential]])-Table4[[#This Row],[Away Differential]]</f>
        <v>-0.91810976860453919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0.61281651203071763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-6.1847876079686406E-2</v>
      </c>
      <c r="H1297" t="s">
        <v>25</v>
      </c>
      <c r="I1297">
        <f>VLOOKUP(Table4[[#This Row],[Visitor]],'NHL Model'!$A$6:$B$38,2,FALSE)</f>
        <v>0.67827132507054233</v>
      </c>
      <c r="J1297">
        <f>($B$1+Table4[[#This Row],[Home Differential]])-Table4[[#This Row],[Away Differential]]</f>
        <v>-0.53230808856908196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0.64107542323940003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-0.59708196015665005</v>
      </c>
      <c r="H1298" t="s">
        <v>18</v>
      </c>
      <c r="I1298">
        <f>VLOOKUP(Table4[[#This Row],[Visitor]],'NHL Model'!$A$6:$B$38,2,FALSE)</f>
        <v>-0.67174708781561598</v>
      </c>
      <c r="J1298">
        <f>($B$1+Table4[[#This Row],[Home Differential]])-Table4[[#This Row],[Away Differential]]</f>
        <v>0.2824762402401127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0.5360400335299178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-1.7055605761743866</v>
      </c>
      <c r="H1299" t="s">
        <v>14</v>
      </c>
      <c r="I1299">
        <f>VLOOKUP(Table4[[#This Row],[Visitor]],'NHL Model'!$A$6:$B$38,2,FALSE)</f>
        <v>0.19552804934912488</v>
      </c>
      <c r="J1299">
        <f>($B$1+Table4[[#This Row],[Home Differential]])-Table4[[#This Row],[Away Differential]]</f>
        <v>-1.6932775129423647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0.70353590349560946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-0.21513148032837168</v>
      </c>
      <c r="H1300" t="s">
        <v>40</v>
      </c>
      <c r="I1300">
        <f>VLOOKUP(Table4[[#This Row],[Visitor]],'NHL Model'!$A$6:$B$38,2,FALSE)</f>
        <v>0.13227623341979275</v>
      </c>
      <c r="J1300">
        <f>($B$1+Table4[[#This Row],[Home Differential]])-Table4[[#This Row],[Away Differential]]</f>
        <v>-0.13959660116701766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0.47659924215653388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-0.87485041382128448</v>
      </c>
      <c r="H1301" t="s">
        <v>13</v>
      </c>
      <c r="I1301">
        <f>VLOOKUP(Table4[[#This Row],[Visitor]],'NHL Model'!$A$6:$B$38,2,FALSE)</f>
        <v>-0.15545019701583887</v>
      </c>
      <c r="J1301">
        <f>($B$1+Table4[[#This Row],[Home Differential]])-Table4[[#This Row],[Away Differential]]</f>
        <v>-0.51158910422429882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0.63537713584778943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-0.73027559042992929</v>
      </c>
      <c r="H1302" t="s">
        <v>39</v>
      </c>
      <c r="I1302">
        <f>VLOOKUP(Table4[[#This Row],[Visitor]],'NHL Model'!$A$6:$B$38,2,FALSE)</f>
        <v>5.4297665563734943E-2</v>
      </c>
      <c r="J1302">
        <f>($B$1+Table4[[#This Row],[Home Differential]])-Table4[[#This Row],[Away Differential]]</f>
        <v>-0.57676214341251753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0.63295290560727646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0.27981279116457602</v>
      </c>
      <c r="H1303" t="s">
        <v>33</v>
      </c>
      <c r="I1303">
        <f>VLOOKUP(Table4[[#This Row],[Visitor]],'NHL Model'!$A$6:$B$38,2,FALSE)</f>
        <v>-0.41822017589574972</v>
      </c>
      <c r="J1303">
        <f>($B$1+Table4[[#This Row],[Home Differential]])-Table4[[#This Row],[Away Differential]]</f>
        <v>0.90584407964147251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0.67732911848531008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-0.1981495100594213</v>
      </c>
      <c r="H1304" t="s">
        <v>26</v>
      </c>
      <c r="I1304">
        <f>VLOOKUP(Table4[[#This Row],[Visitor]],'NHL Model'!$A$6:$B$38,2,FALSE)</f>
        <v>-0.4561706649361581</v>
      </c>
      <c r="J1304">
        <f>($B$1+Table4[[#This Row],[Home Differential]])-Table4[[#This Row],[Away Differential]]</f>
        <v>0.46583226745788353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0.62452052271836078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-0.47846056309234386</v>
      </c>
      <c r="H1305" t="s">
        <v>19</v>
      </c>
      <c r="I1305">
        <f>VLOOKUP(Table4[[#This Row],[Visitor]],'NHL Model'!$A$6:$B$38,2,FALSE)</f>
        <v>-0.72519112941434305</v>
      </c>
      <c r="J1305">
        <f>($B$1+Table4[[#This Row],[Home Differential]])-Table4[[#This Row],[Away Differential]]</f>
        <v>0.45454167890314595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0.60787000736170804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4.5159124835038887E-2</v>
      </c>
      <c r="H1306" t="s">
        <v>15</v>
      </c>
      <c r="I1306">
        <f>VLOOKUP(Table4[[#This Row],[Visitor]],'NHL Model'!$A$6:$B$38,2,FALSE)</f>
        <v>-0.39108791057695064</v>
      </c>
      <c r="J1306">
        <f>($B$1+Table4[[#This Row],[Home Differential]])-Table4[[#This Row],[Away Differential]]</f>
        <v>0.64405814799313621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0.51123641516859797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-5.4617353012467046E-4</v>
      </c>
      <c r="H1307" t="s">
        <v>32</v>
      </c>
      <c r="I1307">
        <f>VLOOKUP(Table4[[#This Row],[Visitor]],'NHL Model'!$A$6:$B$38,2,FALSE)</f>
        <v>-0.53589042422266964</v>
      </c>
      <c r="J1307">
        <f>($B$1+Table4[[#This Row],[Home Differential]])-Table4[[#This Row],[Away Differential]]</f>
        <v>0.74315536327369169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0.64688443651387861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-1.5116691651852812</v>
      </c>
      <c r="H1308" t="s">
        <v>13</v>
      </c>
      <c r="I1308">
        <f>VLOOKUP(Table4[[#This Row],[Visitor]],'NHL Model'!$A$6:$B$38,2,FALSE)</f>
        <v>-0.15545019701583887</v>
      </c>
      <c r="J1308">
        <f>($B$1+Table4[[#This Row],[Home Differential]])-Table4[[#This Row],[Away Differential]]</f>
        <v>-1.1484078555882955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0.72696769249959536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1.4784730509534416</v>
      </c>
      <c r="H1309" t="s">
        <v>32</v>
      </c>
      <c r="I1309">
        <f>VLOOKUP(Table4[[#This Row],[Visitor]],'NHL Model'!$A$6:$B$38,2,FALSE)</f>
        <v>-0.53589042422266964</v>
      </c>
      <c r="J1309">
        <f>($B$1+Table4[[#This Row],[Home Differential]])-Table4[[#This Row],[Away Differential]]</f>
        <v>2.2221745877572578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0.94797085587116614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-0.8965878665431638</v>
      </c>
      <c r="H1310" t="s">
        <v>38</v>
      </c>
      <c r="I1310">
        <f>VLOOKUP(Table4[[#This Row],[Visitor]],'NHL Model'!$A$6:$B$38,2,FALSE)</f>
        <v>-0.87485041382128448</v>
      </c>
      <c r="J1310">
        <f>($B$1+Table4[[#This Row],[Home Differential]])-Table4[[#This Row],[Away Differential]]</f>
        <v>0.18607365985926738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0.5823176288271823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-1.4469605932441605</v>
      </c>
      <c r="H1311" t="s">
        <v>31</v>
      </c>
      <c r="I1311">
        <f>VLOOKUP(Table4[[#This Row],[Visitor]],'NHL Model'!$A$6:$B$38,2,FALSE)</f>
        <v>0.50495447305652519</v>
      </c>
      <c r="J1311">
        <f>($B$1+Table4[[#This Row],[Home Differential]])-Table4[[#This Row],[Away Differential]]</f>
        <v>-1.7441039537195389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0.73161525506992087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-0.21513148032837168</v>
      </c>
      <c r="H1312" t="s">
        <v>35</v>
      </c>
      <c r="I1312">
        <f>VLOOKUP(Table4[[#This Row],[Visitor]],'NHL Model'!$A$6:$B$38,2,FALSE)</f>
        <v>-1.7055605761743866</v>
      </c>
      <c r="J1312">
        <f>($B$1+Table4[[#This Row],[Home Differential]])-Table4[[#This Row],[Away Differential]]</f>
        <v>1.6982402084271617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0.85252217003367969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0.13227623341979275</v>
      </c>
      <c r="H1313" t="s">
        <v>33</v>
      </c>
      <c r="I1313">
        <f>VLOOKUP(Table4[[#This Row],[Visitor]],'NHL Model'!$A$6:$B$38,2,FALSE)</f>
        <v>-0.41822017589574972</v>
      </c>
      <c r="J1313">
        <f>($B$1+Table4[[#This Row],[Home Differential]])-Table4[[#This Row],[Away Differential]]</f>
        <v>0.75830752189668926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0.70077967443228328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9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8" priority="9" operator="containsText" text="NO">
      <formula>NOT(ISERROR(SEARCH("NO",M2)))</formula>
    </cfRule>
    <cfRule type="containsText" dxfId="17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16" priority="3" operator="containsText" text="YES">
      <formula>NOT(ISERROR(SEARCH("YES",R1)))</formula>
    </cfRule>
    <cfRule type="containsText" dxfId="15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topLeftCell="C1" workbookViewId="0">
      <selection activeCell="O2" sqref="O2:R30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19</v>
      </c>
      <c r="C2">
        <f>COUNTIF(NHL2025_26Results[Winning Team],Standings!A2)</f>
        <v>12</v>
      </c>
      <c r="D2">
        <f>COUNTIFS('NHL2025-26Results'!$H:$H,A2,'NHL2025-26Results'!$F:$F,"")</f>
        <v>6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25</v>
      </c>
      <c r="G2">
        <f>COUNTIFS('NHL2025-26Results'!$D:$D,A2,'NHL2025-26Results'!$G:$G,A2)</f>
        <v>6</v>
      </c>
      <c r="H2">
        <f>COUNTIFS('NHL2025-26Results'!$D:$D,A2,'NHL2025-26Results'!$H:$H,A2,'NHL2025-26Results'!$F:$F,"")</f>
        <v>1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0.8571428571428571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2.2857142857142856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21</v>
      </c>
      <c r="C3">
        <f>COUNTIF(NHL2025_26Results[Winning Team],Standings!A3)</f>
        <v>12</v>
      </c>
      <c r="D3">
        <f>COUNTIFS('NHL2025-26Results'!$H:$H,A3,'NHL2025-26Results'!$F:$F,"")</f>
        <v>9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24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4</v>
      </c>
      <c r="K3">
        <f>COUNTIFS('NHL2025-26Results'!$B:$B,A3,'NHL2025-26Results'!$H:$H,A3,'NHL2025-26Results'!$F:$F,"")</f>
        <v>5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0.44444444444444442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3.1111111111111112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3.7777777777777777</v>
      </c>
    </row>
    <row r="4" spans="1:18" x14ac:dyDescent="0.2">
      <c r="A4" s="4" t="s">
        <v>23</v>
      </c>
      <c r="B4">
        <f>SUM(Table1[[#This Row],[W]:[OTL]])</f>
        <v>19</v>
      </c>
      <c r="C4">
        <f>COUNTIF(NHL2025_26Results[Winning Team],Standings!A4)</f>
        <v>7</v>
      </c>
      <c r="D4">
        <f>COUNTIFS('NHL2025-26Results'!$H:$H,A4,'NHL2025-26Results'!$F:$F,"")</f>
        <v>8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18</v>
      </c>
      <c r="G4">
        <f>COUNTIFS('NHL2025-26Results'!$D:$D,A4,'NHL2025-26Results'!$G:$G,A4)</f>
        <v>6</v>
      </c>
      <c r="H4">
        <f>COUNTIFS('NHL2025-26Results'!$D:$D,A4,'NHL2025-26Results'!$H:$H,A4,'NHL2025-26Results'!$F:$F,"")</f>
        <v>3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0.54545454545454541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3.7777777777777777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2.9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21</v>
      </c>
      <c r="C5">
        <f>COUNTIF(NHL2025_26Results[Winning Team],Standings!A5)</f>
        <v>5</v>
      </c>
      <c r="D5">
        <f>COUNTIFS('NHL2025-26Results'!$H:$H,A5,'NHL2025-26Results'!$F:$F,"")</f>
        <v>13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13</v>
      </c>
      <c r="G5">
        <f>COUNTIFS('NHL2025-26Results'!$D:$D,A5,'NHL2025-26Results'!$G:$G,A5)</f>
        <v>3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2</v>
      </c>
      <c r="K5">
        <f>COUNTIFS('NHL2025-26Results'!$B:$B,A5,'NHL2025-26Results'!$H:$H,A5,'NHL2025-26Results'!$F:$F,"")</f>
        <v>9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0.33333333333333331</v>
      </c>
      <c r="N5" s="11">
        <f>Table1[[#This Row],[AwayWins]]/SUM(Table1[[#This Row],[AwayWins]:[AwayOTL]])</f>
        <v>0.16666666666666666</v>
      </c>
      <c r="O5" s="14">
        <f>SUMIFS('NHL2025-26Results'!$E:$E,'NHL2025-26Results'!$D:$D,A5,'NHL2025-26Results'!$E:$E,"&gt;0")/COUNTIFS('NHL2025-26Results'!$D:$D,A5,'NHL2025-26Results'!$E:$E,"&gt;0")</f>
        <v>2.625</v>
      </c>
      <c r="P5" s="14">
        <f>SUMIFS('NHL2025-26Results'!$C:$C,'NHL2025-26Results'!$B:$B,A5,'NHL2025-26Results'!$C:$C,"&gt;0")/COUNTIFS('NHL2025-26Results'!$B:$B,A5,'NHL2025-26Results'!$C:$C,"&gt;0")</f>
        <v>2.1818181818181817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3.75</v>
      </c>
    </row>
    <row r="6" spans="1:18" x14ac:dyDescent="0.2">
      <c r="A6" s="4" t="s">
        <v>25</v>
      </c>
      <c r="B6">
        <f>SUM(Table1[[#This Row],[W]:[OTL]])</f>
        <v>19</v>
      </c>
      <c r="C6">
        <f>COUNTIF(NHL2025_26Results[Winning Team],Standings!A6)</f>
        <v>13</v>
      </c>
      <c r="D6">
        <f>COUNTIFS('NHL2025-26Results'!$H:$H,A6,'NHL2025-26Results'!$F:$F,"")</f>
        <v>5</v>
      </c>
      <c r="E6">
        <f>COUNTIFS('NHL2025-26Results'!$F:$F,"OT",'NHL2025-26Results'!$H:$H,A6) + COUNTIFS('NHL2025-26Results'!$F:$F,"SO",'NHL2025-26Results'!$H:$H,A6)</f>
        <v>1</v>
      </c>
      <c r="F6" s="3">
        <f>(Table1[[#This Row],[W]]*2)+Table1[[#This Row],[OTL]]</f>
        <v>27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7</v>
      </c>
      <c r="K6">
        <f>COUNTIFS('NHL2025-26Results'!$B:$B,A6,'NHL2025-26Results'!$H:$H,A6,'NHL2025-26Results'!$F:$F,"")</f>
        <v>3</v>
      </c>
      <c r="L6">
        <f>COUNTIFS('NHL2025-26Results'!$B:$B,A6,'NHL2025-26Results'!$H:$H,A6,'NHL2025-26Results'!$F:$F,"OT") + COUNTIFS('NHL2025-26Results'!$B:$B,A6,'NHL2025-26Results'!$H:$H,A6,'NHL2025-26Results'!$F:$F,"SO")</f>
        <v>0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0.7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3.3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2.5555555555555554</v>
      </c>
    </row>
    <row r="7" spans="1:18" x14ac:dyDescent="0.2">
      <c r="A7" s="4" t="s">
        <v>10</v>
      </c>
      <c r="B7">
        <f>SUM(Table1[[#This Row],[W]:[OTL]])</f>
        <v>19</v>
      </c>
      <c r="C7">
        <f>COUNTIF(NHL2025_26Results[Winning Team],Standings!A7)</f>
        <v>10</v>
      </c>
      <c r="D7">
        <f>COUNTIFS('NHL2025-26Results'!$H:$H,A7,'NHL2025-26Results'!$F:$F,"")</f>
        <v>5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24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2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3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0.55555555555555558</v>
      </c>
      <c r="N7" s="11">
        <f>Table1[[#This Row],[AwayWins]]/SUM(Table1[[#This Row],[AwayWins]:[AwayOTL]])</f>
        <v>0.5</v>
      </c>
      <c r="O7" s="14">
        <f>SUMIFS('NHL2025-26Results'!$E:$E,'NHL2025-26Results'!$D:$D,A7,'NHL2025-26Results'!$E:$E,"&gt;0")/COUNTIFS('NHL2025-26Results'!$D:$D,A7,'NHL2025-26Results'!$E:$E,"&gt;0")</f>
        <v>3.1111111111111112</v>
      </c>
      <c r="P7" s="14">
        <f>SUMIFS('NHL2025-26Results'!$C:$C,'NHL2025-26Results'!$B:$B,A7,'NHL2025-26Results'!$C:$C,"&gt;0")/COUNTIFS('NHL2025-26Results'!$B:$B,A7,'NHL2025-26Results'!$C:$C,"&gt;0")</f>
        <v>3.6</v>
      </c>
      <c r="Q7" s="14">
        <f>SUMIFS('NHL2025-26Results'!$C:$C,'NHL2025-26Results'!$D:$D,A7,'NHL2025-26Results'!$C:$C,"&gt;0")/COUNTIFS('NHL2025-26Results'!$D:$D,A7,'NHL2025-26Results'!$C:$C,"&gt;0")</f>
        <v>2.4444444444444446</v>
      </c>
      <c r="R7" s="14">
        <f>SUMIFS('NHL2025-26Results'!$E:$E,'NHL2025-26Results'!$B:$B,A7,'NHL2025-26Results'!$E:$E,"&gt;0")/COUNTIFS('NHL2025-26Results'!$B:$B,A7,'NHL2025-26Results'!$E:$E,"&gt;0")</f>
        <v>3</v>
      </c>
    </row>
    <row r="8" spans="1:18" x14ac:dyDescent="0.2">
      <c r="A8" s="4" t="s">
        <v>12</v>
      </c>
      <c r="B8">
        <f>SUM(Table1[[#This Row],[W]:[OTL]])</f>
        <v>19</v>
      </c>
      <c r="C8">
        <f>COUNTIF(NHL2025_26Results[Winning Team],Standings!A8)</f>
        <v>13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31</v>
      </c>
      <c r="G8">
        <f>COUNTIFS('NHL2025-26Results'!$D:$D,A8,'NHL2025-26Results'!$G:$G,A8)</f>
        <v>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6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0.77777777777777779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4.333333333333333</v>
      </c>
      <c r="P8" s="14">
        <f>SUMIFS('NHL2025-26Results'!$C:$C,'NHL2025-26Results'!$B:$B,A8,'NHL2025-26Results'!$C:$C,"&gt;0")/COUNTIFS('NHL2025-26Results'!$B:$B,A8,'NHL2025-26Results'!$C:$C,"&gt;0")</f>
        <v>3.9</v>
      </c>
      <c r="Q8" s="14">
        <f>SUMIFS('NHL2025-26Results'!$C:$C,'NHL2025-26Results'!$D:$D,A8,'NHL2025-26Results'!$C:$C,"&gt;0")/COUNTIFS('NHL2025-26Results'!$D:$D,A8,'NHL2025-26Results'!$C:$C,"&gt;0")</f>
        <v>2.5555555555555554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20</v>
      </c>
      <c r="C9">
        <f>COUNTIF(NHL2025_26Results[Winning Team],Standings!A9)</f>
        <v>10</v>
      </c>
      <c r="D9">
        <f>COUNTIFS('NHL2025-26Results'!$H:$H,A9,'NHL2025-26Results'!$F:$F,"")</f>
        <v>8</v>
      </c>
      <c r="E9">
        <f>COUNTIFS('NHL2025-26Results'!$F:$F,"OT",'NHL2025-26Results'!$H:$H,A9) + COUNTIFS('NHL2025-26Results'!$F:$F,"SO",'NHL2025-26Results'!$H:$H,A9)</f>
        <v>2</v>
      </c>
      <c r="F9" s="3">
        <f>(Table1[[#This Row],[W]]*2)+Table1[[#This Row],[OTL]]</f>
        <v>22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5</v>
      </c>
      <c r="K9">
        <f>COUNTIFS('NHL2025-26Results'!$B:$B,A9,'NHL2025-26Results'!$H:$H,A9,'NHL2025-26Results'!$F:$F,"")</f>
        <v>5</v>
      </c>
      <c r="L9">
        <f>COUNTIFS('NHL2025-26Results'!$B:$B,A9,'NHL2025-26Results'!$H:$H,A9,'NHL2025-26Results'!$F:$F,"OT") + COUNTIFS('NHL2025-26Results'!$B:$B,A9,'NHL2025-26Results'!$H:$H,A9,'NHL2025-26Results'!$F:$F,"SO")</f>
        <v>1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0.45454545454545453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3.2727272727272729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3.3636363636363638</v>
      </c>
    </row>
    <row r="10" spans="1:18" x14ac:dyDescent="0.2">
      <c r="A10" s="4" t="s">
        <v>39</v>
      </c>
      <c r="B10">
        <f>SUM(Table1[[#This Row],[W]:[OTL]])</f>
        <v>20</v>
      </c>
      <c r="C10">
        <f>COUNTIF(NHL2025_26Results[Winning Team],Standings!A10)</f>
        <v>12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3</v>
      </c>
      <c r="F10" s="3">
        <f>(Table1[[#This Row],[W]]*2)+Table1[[#This Row],[OTL]]</f>
        <v>27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6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2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3.125</v>
      </c>
    </row>
    <row r="11" spans="1:18" x14ac:dyDescent="0.2">
      <c r="A11" s="4" t="s">
        <v>26</v>
      </c>
      <c r="B11">
        <f>SUM(Table1[[#This Row],[W]:[OTL]])</f>
        <v>20</v>
      </c>
      <c r="C11">
        <f>COUNTIF(NHL2025_26Results[Winning Team],Standings!A11)</f>
        <v>12</v>
      </c>
      <c r="D11">
        <f>COUNTIFS('NHL2025-26Results'!$H:$H,A11,'NHL2025-26Results'!$F:$F,"")</f>
        <v>7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25</v>
      </c>
      <c r="G11">
        <f>COUNTIFS('NHL2025-26Results'!$D:$D,A11,'NHL2025-26Results'!$G:$G,A11)</f>
        <v>7</v>
      </c>
      <c r="H11">
        <f>COUNTIFS('NHL2025-26Results'!$D:$D,A11,'NHL2025-26Results'!$H:$H,A11,'NHL2025-26Results'!$F:$F,"")</f>
        <v>3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3.5454545454545454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3.1818181818181817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21</v>
      </c>
      <c r="C12">
        <f>COUNTIF(NHL2025_26Results[Winning Team],Standings!A12)</f>
        <v>9</v>
      </c>
      <c r="D12">
        <f>COUNTIFS('NHL2025-26Results'!$H:$H,A12,'NHL2025-26Results'!$F:$F,"")</f>
        <v>8</v>
      </c>
      <c r="E12">
        <f>COUNTIFS('NHL2025-26Results'!$F:$F,"OT",'NHL2025-26Results'!$H:$H,A12) + COUNTIFS('NHL2025-26Results'!$F:$F,"SO",'NHL2025-26Results'!$H:$H,A12)</f>
        <v>4</v>
      </c>
      <c r="F12" s="3">
        <f>(Table1[[#This Row],[W]]*2)+Table1[[#This Row],[OTL]]</f>
        <v>22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4</v>
      </c>
      <c r="K12">
        <f>COUNTIFS('NHL2025-26Results'!$B:$B,A12,'NHL2025-26Results'!$H:$H,A12,'NHL2025-26Results'!$F:$F,"")</f>
        <v>7</v>
      </c>
      <c r="L12">
        <f>COUNTIFS('NHL2025-26Results'!$B:$B,A12,'NHL2025-26Results'!$H:$H,A12,'NHL2025-26Results'!$F:$F,"OT") + COUNTIFS('NHL2025-26Results'!$B:$B,A12,'NHL2025-26Results'!$H:$H,A12,'NHL2025-26Results'!$F:$F,"SO")</f>
        <v>2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0.30769230769230771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2.5384615384615383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3.5833333333333335</v>
      </c>
    </row>
    <row r="13" spans="1:18" x14ac:dyDescent="0.2">
      <c r="A13" s="4" t="s">
        <v>11</v>
      </c>
      <c r="B13">
        <f>SUM(Table1[[#This Row],[W]:[OTL]])</f>
        <v>19</v>
      </c>
      <c r="C13">
        <f>COUNTIF(NHL2025_26Results[Winning Team],Standings!A13)</f>
        <v>10</v>
      </c>
      <c r="D13">
        <f>COUNTIFS('NHL2025-26Results'!$H:$H,A13,'NHL2025-26Results'!$F:$F,"")</f>
        <v>8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21</v>
      </c>
      <c r="G13">
        <f>COUNTIFS('NHL2025-26Results'!$D:$D,A13,'NHL2025-26Results'!$G:$G,A13)</f>
        <v>7</v>
      </c>
      <c r="H13">
        <f>COUNTIFS('NHL2025-26Results'!$D:$D,A13,'NHL2025-26Results'!$H:$H,A13,'NHL2025-26Results'!$F:$F,"")</f>
        <v>2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0.7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3.8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3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20</v>
      </c>
      <c r="C14">
        <f>COUNTIF(NHL2025_26Results[Winning Team],Standings!A14)</f>
        <v>10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4</v>
      </c>
      <c r="F14" s="3">
        <f>(Table1[[#This Row],[W]]*2)+Table1[[#This Row],[OTL]]</f>
        <v>24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2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2</v>
      </c>
      <c r="M14" s="11">
        <f>Table1[[#This Row],[HomeWins]]/SUM(Table1[[#This Row],[HomeWins]:[HomeOTL]])</f>
        <v>0.14285714285714285</v>
      </c>
      <c r="N14" s="11">
        <f>Table1[[#This Row],[AwayWins]]/SUM(Table1[[#This Row],[AwayWins]:[AwayOTL]])</f>
        <v>0.69230769230769229</v>
      </c>
      <c r="O14" s="14">
        <f>SUMIFS('NHL2025-26Results'!$E:$E,'NHL2025-26Results'!$D:$D,A14,'NHL2025-26Results'!$E:$E,"&gt;0")/COUNTIFS('NHL2025-26Results'!$D:$D,A14,'NHL2025-26Results'!$E:$E,"&gt;0")</f>
        <v>2.1428571428571428</v>
      </c>
      <c r="P14" s="14">
        <f>SUMIFS('NHL2025-26Results'!$C:$C,'NHL2025-26Results'!$B:$B,A14,'NHL2025-26Results'!$C:$C,"&gt;0")/COUNTIFS('NHL2025-26Results'!$B:$B,A14,'NHL2025-26Results'!$C:$C,"&gt;0")</f>
        <v>3.1538461538461537</v>
      </c>
      <c r="Q14" s="14">
        <f>SUMIFS('NHL2025-26Results'!$C:$C,'NHL2025-26Results'!$D:$D,A14,'NHL2025-26Results'!$C:$C,"&gt;0")/COUNTIFS('NHL2025-26Results'!$D:$D,A14,'NHL2025-26Results'!$C:$C,"&gt;0")</f>
        <v>4.166666666666667</v>
      </c>
      <c r="R14" s="14">
        <f>SUMIFS('NHL2025-26Results'!$E:$E,'NHL2025-26Results'!$B:$B,A14,'NHL2025-26Results'!$E:$E,"&gt;0")/COUNTIFS('NHL2025-26Results'!$B:$B,A14,'NHL2025-26Results'!$E:$E,"&gt;0")</f>
        <v>2.6666666666666665</v>
      </c>
    </row>
    <row r="15" spans="1:18" x14ac:dyDescent="0.2">
      <c r="A15" s="4" t="s">
        <v>34</v>
      </c>
      <c r="B15">
        <f>SUM(Table1[[#This Row],[W]:[OTL]])</f>
        <v>20</v>
      </c>
      <c r="C15">
        <f>COUNTIF(NHL2025_26Results[Winning Team],Standings!A15)</f>
        <v>9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22</v>
      </c>
      <c r="G15">
        <f>COUNTIFS('NHL2025-26Results'!$D:$D,A15,'NHL2025-26Results'!$G:$G,A15)</f>
        <v>6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3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</v>
      </c>
      <c r="N15" s="11">
        <f>Table1[[#This Row],[AwayWins]]/SUM(Table1[[#This Row],[AwayWins]:[AwayOTL]])</f>
        <v>0.375</v>
      </c>
      <c r="O15" s="14">
        <f>SUMIFS('NHL2025-26Results'!$E:$E,'NHL2025-26Results'!$D:$D,A15,'NHL2025-26Results'!$E:$E,"&gt;0")/COUNTIFS('NHL2025-26Results'!$D:$D,A15,'NHL2025-26Results'!$E:$E,"&gt;0")</f>
        <v>2.9166666666666665</v>
      </c>
      <c r="P15" s="14">
        <f>SUMIFS('NHL2025-26Results'!$C:$C,'NHL2025-26Results'!$B:$B,A15,'NHL2025-26Results'!$C:$C,"&gt;0")/COUNTIFS('NHL2025-26Results'!$B:$B,A15,'NHL2025-26Results'!$C:$C,"&gt;0")</f>
        <v>2.625</v>
      </c>
      <c r="Q15" s="14">
        <f>SUMIFS('NHL2025-26Results'!$C:$C,'NHL2025-26Results'!$D:$D,A15,'NHL2025-26Results'!$C:$C,"&gt;0")/COUNTIFS('NHL2025-26Results'!$D:$D,A15,'NHL2025-26Results'!$C:$C,"&gt;0")</f>
        <v>3.8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19</v>
      </c>
      <c r="C16">
        <f>COUNTIF(NHL2025_26Results[Winning Team],Standings!A16)</f>
        <v>10</v>
      </c>
      <c r="D16">
        <f>COUNTIFS('NHL2025-26Results'!$H:$H,A16,'NHL2025-26Results'!$F:$F,"")</f>
        <v>6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23</v>
      </c>
      <c r="G16">
        <f>COUNTIFS('NHL2025-26Results'!$D:$D,A16,'NHL2025-26Results'!$G:$G,A16)</f>
        <v>5</v>
      </c>
      <c r="H16">
        <f>COUNTIFS('NHL2025-26Results'!$D:$D,A16,'NHL2025-26Results'!$H:$H,A16,'NHL2025-26Results'!$F:$F,"")</f>
        <v>4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3.5555555555555554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3.7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20</v>
      </c>
      <c r="C17">
        <f>COUNTIF(NHL2025_26Results[Winning Team],Standings!A17)</f>
        <v>6</v>
      </c>
      <c r="D17">
        <f>COUNTIFS('NHL2025-26Results'!$H:$H,A17,'NHL2025-26Results'!$F:$F,"")</f>
        <v>10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5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0.41666666666666669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3.1666666666666665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19</v>
      </c>
      <c r="C18">
        <f>COUNTIF(NHL2025_26Results[Winning Team],Standings!A18)</f>
        <v>13</v>
      </c>
      <c r="D18">
        <f>COUNTIFS('NHL2025-26Results'!$H:$H,A18,'NHL2025-26Results'!$F:$F,"")</f>
        <v>5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5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0.54545454545454541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3.1818181818181817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3.7272727272727271</v>
      </c>
    </row>
    <row r="19" spans="1:18" x14ac:dyDescent="0.2">
      <c r="A19" s="4" t="s">
        <v>30</v>
      </c>
      <c r="B19">
        <f>SUM(Table1[[#This Row],[W]:[OTL]])</f>
        <v>20</v>
      </c>
      <c r="C19">
        <f>COUNTIF(NHL2025_26Results[Winning Team],Standings!A19)</f>
        <v>11</v>
      </c>
      <c r="D19">
        <f>COUNTIFS('NHL2025-26Results'!$H:$H,A19,'NHL2025-26Results'!$F:$F,"")</f>
        <v>7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24</v>
      </c>
      <c r="G19">
        <f>COUNTIFS('NHL2025-26Results'!$D:$D,A19,'NHL2025-26Results'!$G:$G,A19)</f>
        <v>4</v>
      </c>
      <c r="H19">
        <f>COUNTIFS('NHL2025-26Results'!$D:$D,A19,'NHL2025-26Results'!$H:$H,A19,'NHL2025-26Results'!$F:$F,"")</f>
        <v>3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7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0.58333333333333337</v>
      </c>
      <c r="O19" s="14">
        <f>SUMIFS('NHL2025-26Results'!$E:$E,'NHL2025-26Results'!$D:$D,A19,'NHL2025-26Results'!$E:$E,"&gt;0")/COUNTIFS('NHL2025-26Results'!$D:$D,A19,'NHL2025-26Results'!$E:$E,"&gt;0")</f>
        <v>3.375</v>
      </c>
      <c r="P19" s="14">
        <f>SUMIFS('NHL2025-26Results'!$C:$C,'NHL2025-26Results'!$B:$B,A19,'NHL2025-26Results'!$C:$C,"&gt;0")/COUNTIFS('NHL2025-26Results'!$B:$B,A19,'NHL2025-26Results'!$C:$C,"&gt;0")</f>
        <v>3.0833333333333335</v>
      </c>
      <c r="Q19" s="14">
        <f>SUMIFS('NHL2025-26Results'!$C:$C,'NHL2025-26Results'!$D:$D,A19,'NHL2025-26Results'!$C:$C,"&gt;0")/COUNTIFS('NHL2025-26Results'!$D:$D,A19,'NHL2025-26Results'!$C:$C,"&gt;0")</f>
        <v>3.375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21</v>
      </c>
      <c r="C20">
        <f>COUNTIF(NHL2025_26Results[Winning Team],Standings!A20)</f>
        <v>10</v>
      </c>
      <c r="D20">
        <f>COUNTIFS('NHL2025-26Results'!$H:$H,A20,'NHL2025-26Results'!$F:$F,"")</f>
        <v>9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2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0.75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3.3333333333333335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2.4</v>
      </c>
    </row>
    <row r="21" spans="1:18" x14ac:dyDescent="0.2">
      <c r="A21" s="4" t="s">
        <v>36</v>
      </c>
      <c r="B21">
        <f>SUM(Table1[[#This Row],[W]:[OTL]])</f>
        <v>19</v>
      </c>
      <c r="C21">
        <f>COUNTIF(NHL2025_26Results[Winning Team],Standings!A21)</f>
        <v>9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3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0.375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3.625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4.375</v>
      </c>
    </row>
    <row r="22" spans="1:18" x14ac:dyDescent="0.2">
      <c r="A22" s="4" t="s">
        <v>27</v>
      </c>
      <c r="B22">
        <f>SUM(Table1[[#This Row],[W]:[OTL]])</f>
        <v>18</v>
      </c>
      <c r="C22">
        <f>COUNTIF(NHL2025_26Results[Winning Team],Standings!A22)</f>
        <v>9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21</v>
      </c>
      <c r="G22">
        <f>COUNTIFS('NHL2025-26Results'!$D:$D,A22,'NHL2025-26Results'!$G:$G,A22)</f>
        <v>6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0.54545454545454541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2.8181818181818183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2.5454545454545454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19</v>
      </c>
      <c r="C23">
        <f>COUNTIF(NHL2025_26Results[Winning Team],Standings!A23)</f>
        <v>10</v>
      </c>
      <c r="D23">
        <f>COUNTIFS('NHL2025-26Results'!$H:$H,A23,'NHL2025-26Results'!$F:$F,"")</f>
        <v>5</v>
      </c>
      <c r="E23">
        <f>COUNTIFS('NHL2025-26Results'!$F:$F,"OT",'NHL2025-26Results'!$H:$H,A23) + COUNTIFS('NHL2025-26Results'!$F:$F,"SO",'NHL2025-26Results'!$H:$H,A23)</f>
        <v>4</v>
      </c>
      <c r="F23" s="3">
        <f>(Table1[[#This Row],[W]]*2)+Table1[[#This Row],[OTL]]</f>
        <v>24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2</v>
      </c>
      <c r="I23">
        <f>COUNTIFS('NHL2025-26Results'!$D:$D,A23,'NHL2025-26Results'!$H:$H,A23,'NHL2025-26Results'!$F:$F,"OT") + COUNTIFS('NHL2025-26Results'!$D:$D,A23,'NHL2025-26Results'!$H:$H,A23,'NHL2025-26Results'!$F:$F,"SO")</f>
        <v>1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0.625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3.875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20</v>
      </c>
      <c r="C24">
        <f>COUNTIF(NHL2025_26Results[Winning Team],Standings!A24)</f>
        <v>9</v>
      </c>
      <c r="D24">
        <f>COUNTIFS('NHL2025-26Results'!$H:$H,A24,'NHL2025-26Results'!$F:$F,"")</f>
        <v>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21</v>
      </c>
      <c r="G24">
        <f>COUNTIFS('NHL2025-26Results'!$D:$D,A24,'NHL2025-26Results'!$G:$G,A24)</f>
        <v>5</v>
      </c>
      <c r="H24">
        <f>COUNTIFS('NHL2025-26Results'!$D:$D,A24,'NHL2025-26Results'!$H:$H,A24,'NHL2025-26Results'!$F:$F,"")</f>
        <v>3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0.45454545454545453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3.0909090909090908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19</v>
      </c>
      <c r="C25">
        <f>COUNTIF(NHL2025_26Results[Winning Team],Standings!A25)</f>
        <v>9</v>
      </c>
      <c r="D25">
        <f>COUNTIFS('NHL2025-26Results'!$H:$H,A25,'NHL2025-26Results'!$F:$F,"")</f>
        <v>5</v>
      </c>
      <c r="E25">
        <f>COUNTIFS('NHL2025-26Results'!$F:$F,"OT",'NHL2025-26Results'!$H:$H,A25) + COUNTIFS('NHL2025-26Results'!$F:$F,"SO",'NHL2025-26Results'!$H:$H,A25)</f>
        <v>5</v>
      </c>
      <c r="F25" s="3">
        <f>(Table1[[#This Row],[W]]*2)+Table1[[#This Row],[OTL]]</f>
        <v>23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3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2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0.33333333333333331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2.6666666666666665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3.75</v>
      </c>
    </row>
    <row r="26" spans="1:18" x14ac:dyDescent="0.2">
      <c r="A26" s="4" t="s">
        <v>35</v>
      </c>
      <c r="B26">
        <f>SUM(Table1[[#This Row],[W]:[OTL]])</f>
        <v>20</v>
      </c>
      <c r="C26">
        <f>COUNTIF(NHL2025_26Results[Winning Team],Standings!A26)</f>
        <v>6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5</v>
      </c>
      <c r="F26" s="3">
        <f>(Table1[[#This Row],[W]]*2)+Table1[[#This Row],[OTL]]</f>
        <v>17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3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1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3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4</v>
      </c>
    </row>
    <row r="27" spans="1:18" x14ac:dyDescent="0.2">
      <c r="A27" s="4" t="s">
        <v>37</v>
      </c>
      <c r="B27">
        <f>SUM(Table1[[#This Row],[W]:[OTL]])</f>
        <v>19</v>
      </c>
      <c r="C27">
        <f>COUNTIF(NHL2025_26Results[Winning Team],Standings!A27)</f>
        <v>10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22</v>
      </c>
      <c r="G27">
        <f>COUNTIFS('NHL2025-26Results'!$D:$D,A27,'NHL2025-26Results'!$G:$G,A27)</f>
        <v>5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5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</v>
      </c>
      <c r="N27" s="11">
        <f>Table1[[#This Row],[AwayWins]]/SUM(Table1[[#This Row],[AwayWins]:[AwayOTL]])</f>
        <v>0.55555555555555558</v>
      </c>
      <c r="O27" s="14">
        <f>SUMIFS('NHL2025-26Results'!$E:$E,'NHL2025-26Results'!$D:$D,A27,'NHL2025-26Results'!$E:$E,"&gt;0")/COUNTIFS('NHL2025-26Results'!$D:$D,A27,'NHL2025-26Results'!$E:$E,"&gt;0")</f>
        <v>3</v>
      </c>
      <c r="P27" s="14">
        <f>SUMIFS('NHL2025-26Results'!$C:$C,'NHL2025-26Results'!$B:$B,A27,'NHL2025-26Results'!$C:$C,"&gt;0")/COUNTIFS('NHL2025-26Results'!$B:$B,A27,'NHL2025-26Results'!$C:$C,"&gt;0")</f>
        <v>3.2222222222222223</v>
      </c>
      <c r="Q27" s="14">
        <f>SUMIFS('NHL2025-26Results'!$C:$C,'NHL2025-26Results'!$D:$D,A27,'NHL2025-26Results'!$C:$C,"&gt;0")/COUNTIFS('NHL2025-26Results'!$D:$D,A27,'NHL2025-26Results'!$C:$C,"&gt;0")</f>
        <v>3.4</v>
      </c>
      <c r="R27" s="14">
        <f>SUMIFS('NHL2025-26Results'!$E:$E,'NHL2025-26Results'!$B:$B,A27,'NHL2025-26Results'!$E:$E,"&gt;0")/COUNTIFS('NHL2025-26Results'!$B:$B,A27,'NHL2025-26Results'!$E:$E,"&gt;0")</f>
        <v>2.4444444444444446</v>
      </c>
    </row>
    <row r="28" spans="1:18" x14ac:dyDescent="0.2">
      <c r="A28" s="4" t="s">
        <v>19</v>
      </c>
      <c r="B28">
        <f>SUM(Table1[[#This Row],[W]:[OTL]])</f>
        <v>20</v>
      </c>
      <c r="C28">
        <f>COUNTIF(NHL2025_26Results[Winning Team],Standings!A28)</f>
        <v>9</v>
      </c>
      <c r="D28">
        <f>COUNTIFS('NHL2025-26Results'!$H:$H,A28,'NHL2025-26Results'!$F:$F,"")</f>
        <v>9</v>
      </c>
      <c r="E28">
        <f>COUNTIFS('NHL2025-26Results'!$F:$F,"OT",'NHL2025-26Results'!$H:$H,A28) + COUNTIFS('NHL2025-26Results'!$F:$F,"SO",'NHL2025-26Results'!$H:$H,A28)</f>
        <v>2</v>
      </c>
      <c r="F28" s="3">
        <f>(Table1[[#This Row],[W]]*2)+Table1[[#This Row],[OTL]]</f>
        <v>20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2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5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0.5714285714285714</v>
      </c>
      <c r="N28" s="11">
        <f>Table1[[#This Row],[AwayWins]]/SUM(Table1[[#This Row],[AwayWins]:[AwayOTL]])</f>
        <v>0.16666666666666666</v>
      </c>
      <c r="O28" s="14">
        <f>SUMIFS('NHL2025-26Results'!$E:$E,'NHL2025-26Results'!$D:$D,A28,'NHL2025-26Results'!$E:$E,"&gt;0")/COUNTIFS('NHL2025-26Results'!$D:$D,A28,'NHL2025-26Results'!$E:$E,"&gt;0")</f>
        <v>3.6428571428571428</v>
      </c>
      <c r="P28" s="14">
        <f>SUMIFS('NHL2025-26Results'!$C:$C,'NHL2025-26Results'!$B:$B,A28,'NHL2025-26Results'!$C:$C,"&gt;0")/COUNTIFS('NHL2025-26Results'!$B:$B,A28,'NHL2025-26Results'!$C:$C,"&gt;0")</f>
        <v>3.1666666666666665</v>
      </c>
      <c r="Q28" s="14">
        <f>SUMIFS('NHL2025-26Results'!$C:$C,'NHL2025-26Results'!$D:$D,A28,'NHL2025-26Results'!$C:$C,"&gt;0")/COUNTIFS('NHL2025-26Results'!$D:$D,A28,'NHL2025-26Results'!$C:$C,"&gt;0")</f>
        <v>3.3571428571428572</v>
      </c>
      <c r="R28" s="14">
        <f>SUMIFS('NHL2025-26Results'!$E:$E,'NHL2025-26Results'!$B:$B,A28,'NHL2025-26Results'!$E:$E,"&gt;0")/COUNTIFS('NHL2025-26Results'!$B:$B,A28,'NHL2025-26Results'!$E:$E,"&gt;0")</f>
        <v>4.5</v>
      </c>
    </row>
    <row r="29" spans="1:18" x14ac:dyDescent="0.2">
      <c r="A29" t="s">
        <v>55</v>
      </c>
      <c r="B29">
        <f>SUM(Table1[[#This Row],[W]:[OTL]])</f>
        <v>20</v>
      </c>
      <c r="C29">
        <f>COUNTIF(NHL2025_26Results[Winning Team],Standings!A29)</f>
        <v>10</v>
      </c>
      <c r="D29">
        <f>COUNTIFS('NHL2025-26Results'!$H:$H,A29,'NHL2025-26Results'!$F:$F,"")</f>
        <v>7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23</v>
      </c>
      <c r="G29">
        <f>COUNTIFS('NHL2025-26Results'!$D:$D,A29,'NHL2025-26Results'!$G:$G,A29)</f>
        <v>5</v>
      </c>
      <c r="H29">
        <f>COUNTIFS('NHL2025-26Results'!$D:$D,A29,'NHL2025-26Results'!$H:$H,A29,'NHL2025-26Results'!$F:$F,"")</f>
        <v>1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0.7142857142857143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3.5714285714285716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2.5714285714285716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21</v>
      </c>
      <c r="C30">
        <f>COUNTIF(NHL2025_26Results[Winning Team],Standings!A30)</f>
        <v>9</v>
      </c>
      <c r="D30">
        <f>COUNTIFS('NHL2025-26Results'!$H:$H,A30,'NHL2025-26Results'!$F:$F,"")</f>
        <v>10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5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0.33333333333333331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3.375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19</v>
      </c>
      <c r="C31">
        <f>COUNTIF(NHL2025_26Results[Winning Team],Standings!A31)</f>
        <v>9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6</v>
      </c>
      <c r="F31" s="3">
        <f>(Table1[[#This Row],[W]]*2)+Table1[[#This Row],[OTL]]</f>
        <v>24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4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3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3.1428571428571428</v>
      </c>
      <c r="Q31" s="14">
        <f>SUMIFS('NHL2025-26Results'!$C:$C,'NHL2025-26Results'!$D:$D,A31,'NHL2025-26Results'!$C:$C,"&gt;0")/COUNTIFS('NHL2025-26Results'!$D:$D,A31,'NHL2025-26Results'!$C:$C,"&gt;0")</f>
        <v>3.6</v>
      </c>
      <c r="R31" s="14">
        <f>SUMIFS('NHL2025-26Results'!$E:$E,'NHL2025-26Results'!$B:$B,A31,'NHL2025-26Results'!$E:$E,"&gt;0")/COUNTIFS('NHL2025-26Results'!$B:$B,A31,'NHL2025-26Results'!$E:$E,"&gt;0")</f>
        <v>2.375</v>
      </c>
    </row>
    <row r="32" spans="1:18" x14ac:dyDescent="0.2">
      <c r="A32" s="4" t="s">
        <v>22</v>
      </c>
      <c r="B32">
        <f>SUM(Table1[[#This Row],[W]:[OTL]])</f>
        <v>19</v>
      </c>
      <c r="C32">
        <f>COUNTIF(NHL2025_26Results[Winning Team],Standings!A32)</f>
        <v>9</v>
      </c>
      <c r="D32">
        <f>COUNTIFS('NHL2025-26Results'!$H:$H,A32,'NHL2025-26Results'!$F:$F,"")</f>
        <v>8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20</v>
      </c>
      <c r="G32">
        <f>COUNTIFS('NHL2025-26Results'!$D:$D,A32,'NHL2025-26Results'!$G:$G,A32)</f>
        <v>5</v>
      </c>
      <c r="H32">
        <f>COUNTIFS('NHL2025-26Results'!$D:$D,A32,'NHL2025-26Results'!$H:$H,A32,'NHL2025-26Results'!$F:$F,"")</f>
        <v>4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4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</v>
      </c>
      <c r="N32" s="11">
        <f>Table1[[#This Row],[AwayWins]]/SUM(Table1[[#This Row],[AwayWins]:[AwayOTL]])</f>
        <v>0.44444444444444442</v>
      </c>
      <c r="O32" s="14">
        <f>SUMIFS('NHL2025-26Results'!$E:$E,'NHL2025-26Results'!$D:$D,A32,'NHL2025-26Results'!$E:$E,"&gt;0")/COUNTIFS('NHL2025-26Results'!$D:$D,A32,'NHL2025-26Results'!$E:$E,"&gt;0")</f>
        <v>2.8</v>
      </c>
      <c r="P32" s="14">
        <f>SUMIFS('NHL2025-26Results'!$C:$C,'NHL2025-26Results'!$B:$B,A32,'NHL2025-26Results'!$C:$C,"&gt;0")/COUNTIFS('NHL2025-26Results'!$B:$B,A32,'NHL2025-26Results'!$C:$C,"&gt;0")</f>
        <v>3.125</v>
      </c>
      <c r="Q32" s="14">
        <f>SUMIFS('NHL2025-26Results'!$C:$C,'NHL2025-26Results'!$D:$D,A32,'NHL2025-26Results'!$C:$C,"&gt;0")/COUNTIFS('NHL2025-26Results'!$D:$D,A32,'NHL2025-26Results'!$C:$C,"&gt;0")</f>
        <v>2.6</v>
      </c>
      <c r="R32" s="14">
        <f>SUMIFS('NHL2025-26Results'!$E:$E,'NHL2025-26Results'!$B:$B,A32,'NHL2025-26Results'!$E:$E,"&gt;0")/COUNTIFS('NHL2025-26Results'!$B:$B,A32,'NHL2025-26Results'!$E:$E,"&gt;0")</f>
        <v>2.875</v>
      </c>
    </row>
    <row r="33" spans="1:18" x14ac:dyDescent="0.2">
      <c r="A33" s="4" t="s">
        <v>40</v>
      </c>
      <c r="B33">
        <f>SUM(Table1[[#This Row],[W]:[OTL]])</f>
        <v>19</v>
      </c>
      <c r="C33">
        <f>COUNTIF(NHL2025_26Results[Winning Team],Standings!A33)</f>
        <v>12</v>
      </c>
      <c r="D33">
        <f>COUNTIFS('NHL2025-26Results'!$H:$H,A33,'NHL2025-26Results'!$F:$F,"")</f>
        <v>7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3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0.66666666666666663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4.25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ADA4-A09D-E242-AADF-B22B73F1B877}">
  <dimension ref="A1:V19"/>
  <sheetViews>
    <sheetView tabSelected="1" topLeftCell="G1" workbookViewId="0">
      <selection activeCell="P25" sqref="P25"/>
    </sheetView>
  </sheetViews>
  <sheetFormatPr baseColWidth="10" defaultRowHeight="16" x14ac:dyDescent="0.2"/>
  <cols>
    <col min="1" max="1" width="8.5" bestFit="1" customWidth="1"/>
    <col min="2" max="2" width="13" bestFit="1" customWidth="1"/>
    <col min="3" max="4" width="19.83203125" bestFit="1" customWidth="1"/>
    <col min="5" max="5" width="21" bestFit="1" customWidth="1"/>
    <col min="6" max="6" width="19.6640625" bestFit="1" customWidth="1"/>
    <col min="7" max="7" width="19.1640625" bestFit="1" customWidth="1"/>
    <col min="8" max="8" width="15.83203125" bestFit="1" customWidth="1"/>
    <col min="9" max="9" width="25.83203125" bestFit="1" customWidth="1"/>
    <col min="10" max="10" width="25.33203125" bestFit="1" customWidth="1"/>
    <col min="11" max="11" width="23.1640625" bestFit="1" customWidth="1"/>
    <col min="12" max="12" width="18" bestFit="1" customWidth="1"/>
    <col min="13" max="13" width="19.83203125" bestFit="1" customWidth="1"/>
    <col min="14" max="14" width="15.1640625" bestFit="1" customWidth="1"/>
    <col min="15" max="15" width="12.6640625" bestFit="1" customWidth="1"/>
    <col min="16" max="16" width="14.83203125" bestFit="1" customWidth="1"/>
    <col min="17" max="17" width="15.6640625" bestFit="1" customWidth="1"/>
    <col min="18" max="18" width="20.1640625" bestFit="1" customWidth="1"/>
  </cols>
  <sheetData>
    <row r="1" spans="1:22" x14ac:dyDescent="0.2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</row>
    <row r="2" spans="1:22" x14ac:dyDescent="0.2">
      <c r="A2" s="1">
        <v>45978</v>
      </c>
      <c r="B2" s="2">
        <v>0.91666666666666663</v>
      </c>
      <c r="C2" s="20" t="s">
        <v>31</v>
      </c>
      <c r="D2" s="20" t="s">
        <v>55</v>
      </c>
      <c r="E2" s="20" t="s">
        <v>31</v>
      </c>
      <c r="F2" s="17">
        <v>0.96</v>
      </c>
      <c r="G2" s="17">
        <v>0.04</v>
      </c>
      <c r="H2" s="17">
        <v>0.96</v>
      </c>
      <c r="I2">
        <v>5</v>
      </c>
      <c r="J2">
        <v>4</v>
      </c>
      <c r="K2" s="20" t="s">
        <v>31</v>
      </c>
      <c r="L2" s="17">
        <v>0.7555164205687791</v>
      </c>
      <c r="M2">
        <v>0.80245089249636459</v>
      </c>
      <c r="N2" s="20" t="str">
        <f>'NHL2025-26Results'!G302</f>
        <v>Anaheim Ducks</v>
      </c>
      <c r="O2" s="21" t="str">
        <f>IF(ml_predictions_log_scores[[#This Row],[actual_winner]]=ml_predictions_log_scores[[#This Row],[ml_predicted_winner]],"YES","NO")</f>
        <v>YES</v>
      </c>
      <c r="P2" s="21" t="str">
        <f>IF(ml_predictions_log_scores[[#This Row],[actual_winner]]=ml_predictions_log_scores[[#This Row],[excel_predicted_winner]],"YES","NO")</f>
        <v>YES</v>
      </c>
      <c r="Q2" s="20" t="s">
        <v>278</v>
      </c>
      <c r="R2" s="20" t="s">
        <v>279</v>
      </c>
      <c r="T2" t="str">
        <f>'NHL2025-26Results'!G302</f>
        <v>Anaheim Ducks</v>
      </c>
      <c r="U2" t="s">
        <v>282</v>
      </c>
      <c r="V2" t="s">
        <v>283</v>
      </c>
    </row>
    <row r="3" spans="1:22" x14ac:dyDescent="0.2">
      <c r="A3" s="1">
        <v>45978</v>
      </c>
      <c r="B3" s="2">
        <v>0.79166666666666663</v>
      </c>
      <c r="C3" s="20" t="s">
        <v>21</v>
      </c>
      <c r="D3" s="20" t="s">
        <v>25</v>
      </c>
      <c r="E3" s="20" t="s">
        <v>21</v>
      </c>
      <c r="F3" s="17">
        <v>0.54633258733827395</v>
      </c>
      <c r="G3" s="17">
        <v>0.453667412661726</v>
      </c>
      <c r="H3" s="17">
        <v>0.54633258733827395</v>
      </c>
      <c r="I3">
        <v>4</v>
      </c>
      <c r="J3">
        <v>3</v>
      </c>
      <c r="K3" s="20" t="s">
        <v>25</v>
      </c>
      <c r="L3" s="17">
        <v>0.54325534193164859</v>
      </c>
      <c r="M3">
        <v>-0.46907548361279577</v>
      </c>
      <c r="N3" s="20" t="str">
        <f>'NHL2025-26Results'!G303</f>
        <v>Carolina Hurricanes</v>
      </c>
      <c r="O3" s="21" t="str">
        <f>IF(ml_predictions_log_scores[[#This Row],[actual_winner]]=ml_predictions_log_scores[[#This Row],[ml_predicted_winner]],"YES","NO")</f>
        <v>NO</v>
      </c>
      <c r="P3" s="21" t="str">
        <f>IF(ml_predictions_log_scores[[#This Row],[actual_winner]]=ml_predictions_log_scores[[#This Row],[excel_predicted_winner]],"YES","NO")</f>
        <v>YES</v>
      </c>
      <c r="Q3" s="20" t="s">
        <v>278</v>
      </c>
      <c r="R3" s="20" t="s">
        <v>279</v>
      </c>
    </row>
    <row r="4" spans="1:22" x14ac:dyDescent="0.2">
      <c r="A4" s="1">
        <v>45978</v>
      </c>
      <c r="B4" s="2">
        <v>0.79166666666666663</v>
      </c>
      <c r="C4" s="20" t="s">
        <v>23</v>
      </c>
      <c r="D4" s="20" t="s">
        <v>17</v>
      </c>
      <c r="E4" s="20" t="s">
        <v>23</v>
      </c>
      <c r="F4" s="17">
        <v>0.55495661976911981</v>
      </c>
      <c r="G4" s="17">
        <v>0.44504338023088019</v>
      </c>
      <c r="H4" s="17">
        <v>0.55495661976911981</v>
      </c>
      <c r="I4">
        <v>4</v>
      </c>
      <c r="J4">
        <v>3</v>
      </c>
      <c r="K4" s="20" t="s">
        <v>17</v>
      </c>
      <c r="L4" s="17">
        <v>0.4719106254189383</v>
      </c>
      <c r="M4">
        <v>-8.5960885212215593E-2</v>
      </c>
      <c r="N4" s="20" t="str">
        <f>'NHL2025-26Results'!G304</f>
        <v>Buffalo Sabres</v>
      </c>
      <c r="O4" s="21" t="str">
        <f>IF(ml_predictions_log_scores[[#This Row],[actual_winner]]=ml_predictions_log_scores[[#This Row],[ml_predicted_winner]],"YES","NO")</f>
        <v>YES</v>
      </c>
      <c r="P4" s="21" t="str">
        <f>IF(ml_predictions_log_scores[[#This Row],[actual_winner]]=ml_predictions_log_scores[[#This Row],[excel_predicted_winner]],"YES","NO")</f>
        <v>NO</v>
      </c>
      <c r="Q4" s="20" t="s">
        <v>278</v>
      </c>
      <c r="R4" s="20" t="s">
        <v>279</v>
      </c>
    </row>
    <row r="5" spans="1:22" x14ac:dyDescent="0.2">
      <c r="A5" s="1">
        <v>45978</v>
      </c>
      <c r="B5" s="2">
        <v>0.8125</v>
      </c>
      <c r="C5" s="20" t="s">
        <v>28</v>
      </c>
      <c r="D5" s="20" t="s">
        <v>18</v>
      </c>
      <c r="E5" s="20" t="s">
        <v>18</v>
      </c>
      <c r="F5" s="17">
        <v>0.2902847010086092</v>
      </c>
      <c r="G5" s="17">
        <v>0.70971529899139052</v>
      </c>
      <c r="H5" s="17">
        <v>0.70971529899139052</v>
      </c>
      <c r="I5">
        <v>3</v>
      </c>
      <c r="J5">
        <v>4</v>
      </c>
      <c r="K5" s="20" t="s">
        <v>28</v>
      </c>
      <c r="L5" s="17">
        <v>0.50213932370766312</v>
      </c>
      <c r="M5">
        <v>0.2787267808677179</v>
      </c>
      <c r="N5" s="20" t="str">
        <f>'NHL2025-26Results'!G305</f>
        <v>Columbus Blue Jackets</v>
      </c>
      <c r="O5" s="21" t="str">
        <f>IF(ml_predictions_log_scores[[#This Row],[actual_winner]]=ml_predictions_log_scores[[#This Row],[ml_predicted_winner]],"YES","NO")</f>
        <v>NO</v>
      </c>
      <c r="P5" s="21" t="str">
        <f>IF(ml_predictions_log_scores[[#This Row],[actual_winner]]=ml_predictions_log_scores[[#This Row],[excel_predicted_winner]],"YES","NO")</f>
        <v>YES</v>
      </c>
      <c r="Q5" s="20" t="s">
        <v>278</v>
      </c>
      <c r="R5" s="20" t="s">
        <v>279</v>
      </c>
    </row>
    <row r="6" spans="1:22" x14ac:dyDescent="0.2">
      <c r="A6" s="1">
        <v>45978</v>
      </c>
      <c r="B6" s="2">
        <v>0.79166666666666663</v>
      </c>
      <c r="C6" s="20" t="s">
        <v>11</v>
      </c>
      <c r="D6" s="20" t="s">
        <v>38</v>
      </c>
      <c r="E6" s="20" t="s">
        <v>38</v>
      </c>
      <c r="F6" s="17">
        <v>0.42337768959435612</v>
      </c>
      <c r="G6" s="17">
        <v>0.57662231040564371</v>
      </c>
      <c r="H6" s="17">
        <v>0.57662231040564371</v>
      </c>
      <c r="I6">
        <v>4</v>
      </c>
      <c r="J6">
        <v>5</v>
      </c>
      <c r="K6" s="20" t="s">
        <v>11</v>
      </c>
      <c r="L6" s="17">
        <v>0.6292170229473768</v>
      </c>
      <c r="M6">
        <v>0.57172190182435711</v>
      </c>
      <c r="N6" s="20" t="str">
        <f ca="1">'NHL2025-26Results'!G306</f>
        <v>Florida Panthers</v>
      </c>
      <c r="O6" s="21" t="str">
        <f ca="1">IF(ml_predictions_log_scores[[#This Row],[actual_winner]]=ml_predictions_log_scores[[#This Row],[ml_predicted_winner]],"YES","NO")</f>
        <v>NO</v>
      </c>
      <c r="P6" s="21" t="str">
        <f ca="1">IF(ml_predictions_log_scores[[#This Row],[actual_winner]]=ml_predictions_log_scores[[#This Row],[excel_predicted_winner]],"YES","NO")</f>
        <v>YES</v>
      </c>
      <c r="Q6" s="20" t="s">
        <v>278</v>
      </c>
      <c r="R6" s="20" t="s">
        <v>279</v>
      </c>
    </row>
    <row r="7" spans="1:22" x14ac:dyDescent="0.2">
      <c r="A7" s="1">
        <v>45978</v>
      </c>
      <c r="B7" s="2">
        <v>0.79166666666666663</v>
      </c>
      <c r="C7" s="20" t="s">
        <v>22</v>
      </c>
      <c r="D7" s="20" t="s">
        <v>13</v>
      </c>
      <c r="E7" s="20" t="s">
        <v>13</v>
      </c>
      <c r="F7" s="17">
        <v>0.15496954461946719</v>
      </c>
      <c r="G7" s="17">
        <v>0.8450304553805329</v>
      </c>
      <c r="H7" s="17">
        <v>0.8450304553805329</v>
      </c>
      <c r="I7">
        <v>1</v>
      </c>
      <c r="J7">
        <v>4</v>
      </c>
      <c r="K7" s="20" t="s">
        <v>22</v>
      </c>
      <c r="L7" s="17">
        <v>0.44309117868583608</v>
      </c>
      <c r="M7">
        <v>0.17672317847452751</v>
      </c>
      <c r="N7" s="20" t="str">
        <f ca="1">'NHL2025-26Results'!G307</f>
        <v>Washington Capitals</v>
      </c>
      <c r="O7" s="21" t="str">
        <f ca="1">IF(ml_predictions_log_scores[[#This Row],[actual_winner]]=ml_predictions_log_scores[[#This Row],[ml_predicted_winner]],"YES","NO")</f>
        <v>NO</v>
      </c>
      <c r="P7" s="21" t="str">
        <f ca="1">IF(ml_predictions_log_scores[[#This Row],[actual_winner]]=ml_predictions_log_scores[[#This Row],[excel_predicted_winner]],"YES","NO")</f>
        <v>YES</v>
      </c>
      <c r="Q7" s="20" t="s">
        <v>278</v>
      </c>
      <c r="R7" s="20" t="s">
        <v>279</v>
      </c>
    </row>
    <row r="8" spans="1:22" x14ac:dyDescent="0.2">
      <c r="A8" s="1">
        <v>45979</v>
      </c>
      <c r="B8" s="2">
        <v>0.85416666666666663</v>
      </c>
      <c r="C8" s="20" t="s">
        <v>10</v>
      </c>
      <c r="D8" s="20" t="s">
        <v>16</v>
      </c>
      <c r="E8" s="20" t="s">
        <v>10</v>
      </c>
      <c r="F8" s="17">
        <v>0.66520562770562774</v>
      </c>
      <c r="G8" s="17">
        <v>0.3347943722943722</v>
      </c>
      <c r="H8" s="17">
        <v>0.66520562770562774</v>
      </c>
      <c r="I8">
        <v>5</v>
      </c>
      <c r="J8">
        <v>4</v>
      </c>
      <c r="K8" s="20" t="s">
        <v>10</v>
      </c>
      <c r="L8" s="17">
        <v>0.80838142364741761</v>
      </c>
      <c r="M8">
        <v>1.8724689142200299</v>
      </c>
      <c r="N8" s="20" t="str">
        <f ca="1">'NHL2025-26Results'!G308</f>
        <v>Chicago Blackhawks</v>
      </c>
      <c r="O8" s="21" t="str">
        <f ca="1">IF(ml_predictions_log_scores[[#This Row],[actual_winner]]=ml_predictions_log_scores[[#This Row],[ml_predicted_winner]],"YES","NO")</f>
        <v>YES</v>
      </c>
      <c r="P8" s="21" t="str">
        <f ca="1">IF(ml_predictions_log_scores[[#This Row],[actual_winner]]=ml_predictions_log_scores[[#This Row],[excel_predicted_winner]],"YES","NO")</f>
        <v>YES</v>
      </c>
      <c r="Q8" s="20" t="s">
        <v>278</v>
      </c>
      <c r="R8" s="20" t="s">
        <v>279</v>
      </c>
    </row>
    <row r="9" spans="1:22" x14ac:dyDescent="0.2">
      <c r="A9" s="1">
        <v>45979</v>
      </c>
      <c r="B9" s="2">
        <v>0.83333333333333337</v>
      </c>
      <c r="C9" s="20" t="s">
        <v>39</v>
      </c>
      <c r="D9" s="20" t="s">
        <v>30</v>
      </c>
      <c r="E9" s="20" t="s">
        <v>39</v>
      </c>
      <c r="F9" s="17">
        <v>0.60157562977957713</v>
      </c>
      <c r="G9" s="17">
        <v>0.39842437022042282</v>
      </c>
      <c r="H9" s="17">
        <v>0.60157562977957713</v>
      </c>
      <c r="I9">
        <v>4</v>
      </c>
      <c r="J9">
        <v>3</v>
      </c>
      <c r="K9" s="20" t="s">
        <v>39</v>
      </c>
      <c r="L9" s="17">
        <v>0.58560362912245234</v>
      </c>
      <c r="M9">
        <v>0.43113096170361948</v>
      </c>
      <c r="N9" s="20" t="str">
        <f>'NHL2025-26Results'!G309</f>
        <v>New York Islanders</v>
      </c>
      <c r="O9" s="21" t="str">
        <f>IF(ml_predictions_log_scores[[#This Row],[actual_winner]]=ml_predictions_log_scores[[#This Row],[ml_predicted_winner]],"YES","NO")</f>
        <v>NO</v>
      </c>
      <c r="P9" s="21" t="str">
        <f>IF(ml_predictions_log_scores[[#This Row],[actual_winner]]=ml_predictions_log_scores[[#This Row],[excel_predicted_winner]],"YES","NO")</f>
        <v>NO</v>
      </c>
      <c r="Q9" s="20" t="s">
        <v>278</v>
      </c>
      <c r="R9" s="20" t="s">
        <v>279</v>
      </c>
    </row>
    <row r="10" spans="1:22" x14ac:dyDescent="0.2">
      <c r="A10" s="1">
        <v>45979</v>
      </c>
      <c r="B10" s="2">
        <v>0.79166666666666663</v>
      </c>
      <c r="C10" s="20" t="s">
        <v>26</v>
      </c>
      <c r="D10" s="20" t="s">
        <v>32</v>
      </c>
      <c r="E10" s="20" t="s">
        <v>26</v>
      </c>
      <c r="F10" s="17">
        <v>0.51584464840714839</v>
      </c>
      <c r="G10" s="17">
        <v>0.4841553515928515</v>
      </c>
      <c r="H10" s="17">
        <v>0.51584464840714839</v>
      </c>
      <c r="I10">
        <v>4</v>
      </c>
      <c r="J10">
        <v>3</v>
      </c>
      <c r="K10" s="20" t="s">
        <v>26</v>
      </c>
      <c r="L10" s="17">
        <v>0.57435213805833296</v>
      </c>
      <c r="M10">
        <v>5.8008708149805202E-2</v>
      </c>
      <c r="N10" s="20" t="str">
        <f>'NHL2025-26Results'!G310</f>
        <v>Detroit Red Wings</v>
      </c>
      <c r="O10" s="21" t="str">
        <f>IF(ml_predictions_log_scores[[#This Row],[actual_winner]]=ml_predictions_log_scores[[#This Row],[ml_predicted_winner]],"YES","NO")</f>
        <v>YES</v>
      </c>
      <c r="P10" s="21" t="str">
        <f>IF(ml_predictions_log_scores[[#This Row],[actual_winner]]=ml_predictions_log_scores[[#This Row],[excel_predicted_winner]],"YES","NO")</f>
        <v>YES</v>
      </c>
      <c r="Q10" s="20" t="s">
        <v>278</v>
      </c>
      <c r="R10" s="20" t="s">
        <v>279</v>
      </c>
    </row>
    <row r="11" spans="1:22" x14ac:dyDescent="0.2">
      <c r="A11" s="1">
        <v>45979</v>
      </c>
      <c r="B11" s="2">
        <v>0.91666666666666663</v>
      </c>
      <c r="C11" s="20" t="s">
        <v>33</v>
      </c>
      <c r="D11" s="20" t="s">
        <v>55</v>
      </c>
      <c r="E11" s="20" t="s">
        <v>33</v>
      </c>
      <c r="F11" s="17">
        <v>0.51422643535024792</v>
      </c>
      <c r="G11" s="17">
        <v>0.48577356464975191</v>
      </c>
      <c r="H11" s="17">
        <v>0.51422643535024792</v>
      </c>
      <c r="I11">
        <v>4</v>
      </c>
      <c r="J11">
        <v>3</v>
      </c>
      <c r="K11" s="20" t="s">
        <v>55</v>
      </c>
      <c r="L11" s="17">
        <v>0.47207673823452112</v>
      </c>
      <c r="M11">
        <v>-8.4258130171562098E-2</v>
      </c>
      <c r="N11" s="20" t="str">
        <f>'NHL2025-26Results'!G311</f>
        <v>San Jose Sharks</v>
      </c>
      <c r="O11" s="21" t="str">
        <f>IF(ml_predictions_log_scores[[#This Row],[actual_winner]]=ml_predictions_log_scores[[#This Row],[ml_predicted_winner]],"YES","NO")</f>
        <v>YES</v>
      </c>
      <c r="P11" s="21" t="str">
        <f>IF(ml_predictions_log_scores[[#This Row],[actual_winner]]=ml_predictions_log_scores[[#This Row],[excel_predicted_winner]],"YES","NO")</f>
        <v>NO</v>
      </c>
      <c r="Q11" s="20" t="s">
        <v>278</v>
      </c>
      <c r="R11" s="20" t="s">
        <v>279</v>
      </c>
    </row>
    <row r="12" spans="1:22" x14ac:dyDescent="0.2">
      <c r="A12" s="1">
        <v>45979</v>
      </c>
      <c r="B12" s="2">
        <v>0.79166666666666663</v>
      </c>
      <c r="C12" s="20" t="s">
        <v>37</v>
      </c>
      <c r="D12" s="20" t="s">
        <v>24</v>
      </c>
      <c r="E12" s="20" t="s">
        <v>24</v>
      </c>
      <c r="F12" s="17">
        <v>0.33995158638964801</v>
      </c>
      <c r="G12" s="17">
        <v>0.66004841361035194</v>
      </c>
      <c r="H12" s="17">
        <v>0.66004841361035194</v>
      </c>
      <c r="I12">
        <v>3</v>
      </c>
      <c r="J12">
        <v>4</v>
      </c>
      <c r="K12" s="20" t="s">
        <v>24</v>
      </c>
      <c r="L12" s="17">
        <v>0.59697883323181122</v>
      </c>
      <c r="M12">
        <v>-0.49300861074158658</v>
      </c>
      <c r="N12" s="20" t="str">
        <f>'NHL2025-26Results'!G312</f>
        <v>Tampa Bay Lightning</v>
      </c>
      <c r="O12" s="21" t="str">
        <f>IF(ml_predictions_log_scores[[#This Row],[actual_winner]]=ml_predictions_log_scores[[#This Row],[ml_predicted_winner]],"YES","NO")</f>
        <v>NO</v>
      </c>
      <c r="P12" s="21" t="str">
        <f>IF(ml_predictions_log_scores[[#This Row],[actual_winner]]=ml_predictions_log_scores[[#This Row],[excel_predicted_winner]],"YES","NO")</f>
        <v>NO</v>
      </c>
      <c r="Q12" s="20" t="s">
        <v>278</v>
      </c>
      <c r="R12" s="20" t="s">
        <v>279</v>
      </c>
    </row>
    <row r="13" spans="1:22" x14ac:dyDescent="0.2">
      <c r="A13" s="1">
        <v>45979</v>
      </c>
      <c r="B13" s="2">
        <v>0.79166666666666663</v>
      </c>
      <c r="C13" s="20" t="s">
        <v>19</v>
      </c>
      <c r="D13" s="20" t="s">
        <v>35</v>
      </c>
      <c r="E13" s="20" t="s">
        <v>19</v>
      </c>
      <c r="F13" s="17">
        <v>0.59172835131345569</v>
      </c>
      <c r="G13" s="17">
        <v>0.40827164868654431</v>
      </c>
      <c r="H13" s="17">
        <v>0.59172835131345569</v>
      </c>
      <c r="I13">
        <v>4</v>
      </c>
      <c r="J13">
        <v>3</v>
      </c>
      <c r="K13" s="20" t="s">
        <v>19</v>
      </c>
      <c r="L13" s="17">
        <v>0.71074017418949764</v>
      </c>
      <c r="M13">
        <v>1.1912362049258531</v>
      </c>
      <c r="N13" s="20" t="str">
        <f>'NHL2025-26Results'!G313</f>
        <v>Toronto Maple Leafs</v>
      </c>
      <c r="O13" s="21" t="str">
        <f>IF(ml_predictions_log_scores[[#This Row],[actual_winner]]=ml_predictions_log_scores[[#This Row],[ml_predicted_winner]],"YES","NO")</f>
        <v>YES</v>
      </c>
      <c r="P13" s="21" t="str">
        <f>IF(ml_predictions_log_scores[[#This Row],[actual_winner]]=ml_predictions_log_scores[[#This Row],[excel_predicted_winner]],"YES","NO")</f>
        <v>YES</v>
      </c>
      <c r="Q13" s="20" t="s">
        <v>278</v>
      </c>
      <c r="R13" s="20" t="s">
        <v>279</v>
      </c>
    </row>
    <row r="14" spans="1:22" x14ac:dyDescent="0.2">
      <c r="A14" s="1">
        <v>45979</v>
      </c>
      <c r="B14" s="2">
        <v>0.91666666666666663</v>
      </c>
      <c r="C14" s="20" t="s">
        <v>20</v>
      </c>
      <c r="D14" s="20" t="s">
        <v>15</v>
      </c>
      <c r="E14" s="20" t="s">
        <v>15</v>
      </c>
      <c r="F14" s="17">
        <v>0.44074950592885381</v>
      </c>
      <c r="G14" s="17">
        <v>0.55925049407114624</v>
      </c>
      <c r="H14" s="17">
        <v>0.55925049407114624</v>
      </c>
      <c r="I14">
        <v>4</v>
      </c>
      <c r="J14">
        <v>5</v>
      </c>
      <c r="K14" s="20" t="s">
        <v>20</v>
      </c>
      <c r="L14" s="17">
        <v>0.47093187454199859</v>
      </c>
      <c r="M14">
        <v>0.51169600909092638</v>
      </c>
      <c r="N14" s="20" t="str">
        <f>'NHL2025-26Results'!G314</f>
        <v>Vegas Golden Knights</v>
      </c>
      <c r="O14" s="21" t="str">
        <f>IF(ml_predictions_log_scores[[#This Row],[actual_winner]]=ml_predictions_log_scores[[#This Row],[ml_predicted_winner]],"YES","NO")</f>
        <v>NO</v>
      </c>
      <c r="P14" s="21" t="str">
        <f>IF(ml_predictions_log_scores[[#This Row],[actual_winner]]=ml_predictions_log_scores[[#This Row],[excel_predicted_winner]],"YES","NO")</f>
        <v>YES</v>
      </c>
      <c r="Q14" s="20" t="s">
        <v>278</v>
      </c>
      <c r="R14" s="20" t="s">
        <v>279</v>
      </c>
    </row>
    <row r="15" spans="1:22" x14ac:dyDescent="0.2">
      <c r="A15" s="1">
        <v>45979</v>
      </c>
      <c r="B15" s="2">
        <v>0.83333333333333337</v>
      </c>
      <c r="C15" s="20" t="s">
        <v>40</v>
      </c>
      <c r="D15" s="20" t="s">
        <v>28</v>
      </c>
      <c r="E15" s="20" t="s">
        <v>40</v>
      </c>
      <c r="F15" s="17">
        <v>0.6755580750420016</v>
      </c>
      <c r="G15" s="17">
        <v>0.3244419249579984</v>
      </c>
      <c r="H15" s="17">
        <v>0.6755580750420016</v>
      </c>
      <c r="I15">
        <v>4</v>
      </c>
      <c r="J15">
        <v>3</v>
      </c>
      <c r="K15" s="20" t="s">
        <v>40</v>
      </c>
      <c r="L15" s="17">
        <v>0.64974885182158759</v>
      </c>
      <c r="M15">
        <v>0.65717670317514765</v>
      </c>
      <c r="N15" s="20" t="str">
        <f>'NHL2025-26Results'!G315</f>
        <v>Winnipeg Jets</v>
      </c>
      <c r="O15" s="21" t="str">
        <f>IF(ml_predictions_log_scores[[#This Row],[actual_winner]]=ml_predictions_log_scores[[#This Row],[ml_predicted_winner]],"YES","NO")</f>
        <v>YES</v>
      </c>
      <c r="P15" s="21" t="str">
        <f>IF(ml_predictions_log_scores[[#This Row],[actual_winner]]=ml_predictions_log_scores[[#This Row],[excel_predicted_winner]],"YES","NO")</f>
        <v>YES</v>
      </c>
      <c r="Q15" s="20" t="s">
        <v>278</v>
      </c>
      <c r="R15" s="20" t="s">
        <v>279</v>
      </c>
    </row>
    <row r="16" spans="1:22" x14ac:dyDescent="0.2">
      <c r="A16" s="1">
        <v>45980</v>
      </c>
      <c r="B16" s="2">
        <v>0.91666666666666663</v>
      </c>
      <c r="C16" s="20" t="s">
        <v>31</v>
      </c>
      <c r="D16" s="20" t="s">
        <v>21</v>
      </c>
      <c r="E16" s="20" t="s">
        <v>31</v>
      </c>
      <c r="F16" s="17">
        <v>0.84833333333333338</v>
      </c>
      <c r="G16" s="17">
        <v>0.15166666666666667</v>
      </c>
      <c r="H16" s="17">
        <v>0.84833333333333338</v>
      </c>
      <c r="I16">
        <v>5</v>
      </c>
      <c r="J16">
        <v>4</v>
      </c>
      <c r="K16" s="20" t="s">
        <v>31</v>
      </c>
      <c r="L16" s="17">
        <v>0.76084973676613277</v>
      </c>
      <c r="M16">
        <v>0.76544688193927901</v>
      </c>
      <c r="N16" s="20" t="s">
        <v>60</v>
      </c>
      <c r="O16" s="20" t="s">
        <v>60</v>
      </c>
      <c r="P16" s="20" t="s">
        <v>60</v>
      </c>
      <c r="Q16" s="20" t="s">
        <v>278</v>
      </c>
      <c r="R16" s="20" t="s">
        <v>279</v>
      </c>
    </row>
    <row r="17" spans="1:18" x14ac:dyDescent="0.2">
      <c r="A17" s="1">
        <v>45980</v>
      </c>
      <c r="B17" s="2">
        <v>0.8125</v>
      </c>
      <c r="C17" s="20" t="s">
        <v>23</v>
      </c>
      <c r="D17" s="20" t="s">
        <v>16</v>
      </c>
      <c r="E17" s="20" t="s">
        <v>23</v>
      </c>
      <c r="F17" s="17">
        <v>0.82416832579185528</v>
      </c>
      <c r="G17" s="17">
        <v>0.1758316742081448</v>
      </c>
      <c r="H17" s="17">
        <v>0.82416832579185528</v>
      </c>
      <c r="I17">
        <v>4</v>
      </c>
      <c r="J17">
        <v>3</v>
      </c>
      <c r="K17" s="20" t="s">
        <v>23</v>
      </c>
      <c r="L17" s="17">
        <v>0.68476799828715018</v>
      </c>
      <c r="M17">
        <v>0.98920468733649858</v>
      </c>
      <c r="N17" s="20" t="s">
        <v>60</v>
      </c>
      <c r="O17" s="20" t="s">
        <v>60</v>
      </c>
      <c r="P17" s="20" t="s">
        <v>60</v>
      </c>
      <c r="Q17" s="20" t="s">
        <v>278</v>
      </c>
      <c r="R17" s="20" t="s">
        <v>279</v>
      </c>
    </row>
    <row r="18" spans="1:18" x14ac:dyDescent="0.2">
      <c r="A18" s="1">
        <v>45980</v>
      </c>
      <c r="B18" s="2">
        <v>0.89583333333333337</v>
      </c>
      <c r="C18" s="20" t="s">
        <v>34</v>
      </c>
      <c r="D18" s="20" t="s">
        <v>25</v>
      </c>
      <c r="E18" s="20" t="s">
        <v>25</v>
      </c>
      <c r="F18" s="17">
        <v>0.37666966643196625</v>
      </c>
      <c r="G18" s="17">
        <v>0.6233303335680338</v>
      </c>
      <c r="H18" s="17">
        <v>0.6233303335680338</v>
      </c>
      <c r="I18">
        <v>4</v>
      </c>
      <c r="J18">
        <v>5</v>
      </c>
      <c r="K18" s="20" t="s">
        <v>25</v>
      </c>
      <c r="L18" s="17">
        <v>0.72149073367909078</v>
      </c>
      <c r="M18">
        <v>-1.0914266206185563</v>
      </c>
      <c r="N18" s="20" t="s">
        <v>60</v>
      </c>
      <c r="O18" s="20" t="s">
        <v>60</v>
      </c>
      <c r="P18" s="20" t="s">
        <v>60</v>
      </c>
      <c r="Q18" s="20" t="s">
        <v>278</v>
      </c>
      <c r="R18" s="20" t="s">
        <v>279</v>
      </c>
    </row>
    <row r="19" spans="1:18" x14ac:dyDescent="0.2">
      <c r="A19" s="1">
        <v>45980</v>
      </c>
      <c r="B19" s="2">
        <v>0.79166666666666663</v>
      </c>
      <c r="C19" s="20" t="s">
        <v>22</v>
      </c>
      <c r="D19" s="20" t="s">
        <v>17</v>
      </c>
      <c r="E19" s="20" t="s">
        <v>22</v>
      </c>
      <c r="F19" s="17">
        <v>0.54659213735476675</v>
      </c>
      <c r="G19" s="17">
        <v>0.45340786264523336</v>
      </c>
      <c r="H19" s="17">
        <v>0.54659213735476675</v>
      </c>
      <c r="I19">
        <v>4</v>
      </c>
      <c r="J19">
        <v>3</v>
      </c>
      <c r="K19" s="20" t="s">
        <v>22</v>
      </c>
      <c r="L19" s="17">
        <v>0.68867800548979374</v>
      </c>
      <c r="M19">
        <v>1.0337413077555846</v>
      </c>
      <c r="N19" s="20" t="s">
        <v>60</v>
      </c>
      <c r="O19" s="20" t="s">
        <v>60</v>
      </c>
      <c r="P19" s="20" t="s">
        <v>60</v>
      </c>
      <c r="Q19" s="20" t="s">
        <v>278</v>
      </c>
      <c r="R19" s="20" t="s">
        <v>279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280</v>
      </c>
      <c r="C3" s="19"/>
      <c r="D3" t="s">
        <v>281</v>
      </c>
    </row>
    <row r="4" spans="2:4" x14ac:dyDescent="0.2">
      <c r="B4" s="18">
        <v>0.5</v>
      </c>
      <c r="C4" s="18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8">
        <v>0.55000000000000004</v>
      </c>
      <c r="C5" s="18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8">
        <v>0.65</v>
      </c>
      <c r="C6" s="18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8">
        <v>0.75</v>
      </c>
      <c r="C7" s="18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8">
        <v>0.85</v>
      </c>
      <c r="C8" s="18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NHL2025-26Results</vt:lpstr>
      <vt:lpstr>NHL Model</vt:lpstr>
      <vt:lpstr>NHL HomeIce Model</vt:lpstr>
      <vt:lpstr>Standings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2025-11-19T14:41:28Z</dcterms:modified>
</cp:coreProperties>
</file>