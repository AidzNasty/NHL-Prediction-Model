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987" documentId="14_{BC0C37BD-5950-BD49-823D-87212FE79B51}" xr6:coauthVersionLast="47" xr6:coauthVersionMax="47" xr10:uidLastSave="{5427E289-3A15-1445-B694-45C8A956194F}"/>
  <bookViews>
    <workbookView xWindow="-2500" yWindow="-209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Model'!$A$1:$AA$60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7"/>
    <pivotCache cacheId="1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9" i="1" l="1"/>
  <c r="I359" i="1"/>
  <c r="G360" i="1"/>
  <c r="H360" i="1" s="1"/>
  <c r="I360" i="1"/>
  <c r="G361" i="1"/>
  <c r="H361" i="1" s="1"/>
  <c r="I361" i="1"/>
  <c r="G362" i="1"/>
  <c r="H362" i="1" s="1"/>
  <c r="I362" i="1"/>
  <c r="G363" i="1"/>
  <c r="I363" i="1"/>
  <c r="G364" i="1"/>
  <c r="I364" i="1"/>
  <c r="G365" i="1"/>
  <c r="H365" i="1" s="1"/>
  <c r="I365" i="1"/>
  <c r="E359" i="1"/>
  <c r="E360" i="1"/>
  <c r="E361" i="1"/>
  <c r="E362" i="1"/>
  <c r="E363" i="1"/>
  <c r="E364" i="1"/>
  <c r="E365" i="1"/>
  <c r="H364" i="1" l="1"/>
  <c r="H363" i="1"/>
  <c r="J361" i="1"/>
  <c r="J364" i="1"/>
  <c r="J363" i="1"/>
  <c r="J360" i="1"/>
  <c r="J362" i="1"/>
  <c r="J365" i="1"/>
  <c r="H359" i="1"/>
  <c r="J359" i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H346" i="1" s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58" i="1" l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V3" i="4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V4" i="4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34" i="1" l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V5" i="4"/>
  <c r="V6" i="4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F4" i="5" l="1"/>
  <c r="H223" i="1"/>
  <c r="H85" i="1"/>
  <c r="H92" i="1"/>
  <c r="H127" i="1"/>
  <c r="J127" i="1" s="1"/>
  <c r="H119" i="1"/>
  <c r="J332" i="4"/>
  <c r="H89" i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N32" i="5"/>
  <c r="M32" i="5"/>
  <c r="M16" i="5"/>
  <c r="N24" i="5"/>
  <c r="N16" i="5"/>
  <c r="N8" i="5"/>
  <c r="H67" i="1"/>
  <c r="H79" i="1"/>
  <c r="J79" i="1" s="1"/>
  <c r="H71" i="1"/>
  <c r="J71" i="1" s="1"/>
  <c r="H90" i="1"/>
  <c r="J90" i="1" s="1"/>
  <c r="H88" i="1"/>
  <c r="H84" i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J75" i="1"/>
  <c r="J67" i="1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84" i="1"/>
  <c r="J125" i="1"/>
  <c r="J126" i="1"/>
  <c r="J109" i="1"/>
  <c r="J166" i="1"/>
  <c r="J87" i="1"/>
  <c r="J119" i="1"/>
  <c r="J96" i="1"/>
  <c r="J89" i="1"/>
  <c r="J111" i="1"/>
  <c r="J95" i="1"/>
  <c r="J78" i="1"/>
  <c r="J92" i="1"/>
  <c r="J91" i="1"/>
  <c r="J88" i="1"/>
  <c r="J121" i="1"/>
  <c r="J122" i="1"/>
  <c r="J130" i="1"/>
  <c r="J105" i="1"/>
  <c r="J93" i="1"/>
  <c r="J15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N1089" i="4" s="1"/>
  <c r="K867" i="4"/>
  <c r="M867" i="4" s="1"/>
  <c r="N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N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N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N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N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N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N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N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N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N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N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007" i="4" l="1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372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375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370" i="4"/>
  <c r="N738" i="4"/>
  <c r="N640" i="4"/>
  <c r="N933" i="4"/>
  <c r="N882" i="4"/>
  <c r="N591" i="4"/>
  <c r="N1023" i="4"/>
  <c r="N1159" i="4"/>
  <c r="N484" i="4"/>
  <c r="N945" i="4"/>
  <c r="N680" i="4"/>
  <c r="N365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376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367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<sst xmlns="http://schemas.openxmlformats.org/spreadsheetml/2006/main" count="13164" uniqueCount="421">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</sst>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60" tableType="queryTable" totalsRowShown="0">
  <autoFilter ref="A1:AA60" xr:uid="{F2332789-251B-774B-AB2B-8BB4F3AFC4B8}"/>
  <tableColumns count="27">
    <tableColumn id="1" xr3:uid="{A82D8364-7061-A147-9648-1020427F222D}" uniqueName="1" name="game_date" queryTableFieldId="1" dataDxfId="26"/>
    <tableColumn id="2" xr3:uid="{2F0B0F85-AE68-C84D-ABF4-9C9BD4BCDE1A}" uniqueName="2" name="game_time" queryTableFieldId="2" dataDxfId="25"/>
    <tableColumn id="3" xr3:uid="{E190D701-E48A-4849-B026-83F6843A3F7C}" uniqueName="3" name="away_team" queryTableFieldId="3" dataDxfId="24"/>
    <tableColumn id="4" xr3:uid="{D8A87A5E-45E9-434D-B896-A1AC29AE2193}" uniqueName="4" name="home_team" queryTableFieldId="4" dataDxfId="23"/>
    <tableColumn id="5" xr3:uid="{F866A432-CB2E-1344-BB8E-B02DE09CEE39}" uniqueName="5" name="matchup" queryTableFieldId="5" dataDxfId="22"/>
    <tableColumn id="6" xr3:uid="{321205EB-FCDC-FF42-A5BC-028328229DA9}" uniqueName="6" name="ml_winner" queryTableFieldId="6" dataDxfId="21"/>
    <tableColumn id="7" xr3:uid="{1146F8DC-3374-2845-B506-3428513D1030}" uniqueName="7" name="ml_away_score" queryTableFieldId="7" dataDxfId="20"/>
    <tableColumn id="8" xr3:uid="{04F6AA09-904F-E441-9223-5D3EABA2C9DE}" uniqueName="8" name="ml_home_score" queryTableFieldId="8" dataDxfId="19"/>
    <tableColumn id="9" xr3:uid="{A52E9546-F206-504B-B50C-DE483A5979F1}" uniqueName="9" name="ml_confidence" queryTableFieldId="9" dataDxfId="18" dataCellStyle="Percent"/>
    <tableColumn id="10" xr3:uid="{B0863A61-8896-F94A-9BD1-877DA74E944C}" uniqueName="10" name="ml_ot" queryTableFieldId="10" dataDxfId="17"/>
    <tableColumn id="11" xr3:uid="{0CEF2C0B-AEAC-D24C-B808-9E65DA36D85B}" uniqueName="11" name="ml_ot_prob" queryTableFieldId="11" dataDxfId="16"/>
    <tableColumn id="12" xr3:uid="{953F4783-1A2A-2049-B662-B96EC4C98B47}" uniqueName="12" name="ml_correct" queryTableFieldId="12" dataDxfId="15"/>
    <tableColumn id="13" xr3:uid="{01F9271B-BF28-974D-9DD2-7B2DE98B6F67}" uniqueName="13" name="ml_result" queryTableFieldId="13" dataDxfId="14"/>
    <tableColumn id="14" xr3:uid="{53D10B71-CBA8-8D4A-96BA-CDF21FB393EA}" uniqueName="14" name="excel_winner" queryTableFieldId="14" dataDxfId="13"/>
    <tableColumn id="15" xr3:uid="{BFE057F3-C344-6344-BBC6-D1E83F6B5653}" uniqueName="15" name="excel_away_score" queryTableFieldId="15" dataDxfId="12"/>
    <tableColumn id="16" xr3:uid="{95A37C51-0AFC-4B48-BDBD-9F547D067C1A}" uniqueName="16" name="excel_home_score" queryTableFieldId="16" dataDxfId="11"/>
    <tableColumn id="17" xr3:uid="{21361EAA-D669-0647-AB36-316C9A355B06}" uniqueName="17" name="excel_confidence" queryTableFieldId="17" dataDxfId="10" dataCellStyle="Percent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44" workbookViewId="0">
      <selection activeCell="H363" sqref="H36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10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10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10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10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10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10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0.15941966152482714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1879.7866900741749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0.35254565315374792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8.0011884600290628E-2</v>
      </c>
      <c r="J7">
        <f>(Table3[[#This Row],[HomeMargin]]-Table3[[#This Row],[HomeForecast]])^2</f>
        <v>0.84637813247670901</v>
      </c>
    </row>
    <row r="8" spans="1:10" x14ac:dyDescent="0.2">
      <c r="A8" s="4" t="s">
        <v>21</v>
      </c>
      <c r="B8">
        <v>-0.12487089668223171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-1.618801989512394</v>
      </c>
      <c r="J8">
        <f>(Table3[[#This Row],[HomeMargin]]-Table3[[#This Row],[HomeForecast]])^2</f>
        <v>1.9077079441749212</v>
      </c>
    </row>
    <row r="9" spans="1:10" x14ac:dyDescent="0.2">
      <c r="A9" s="4" t="s">
        <v>23</v>
      </c>
      <c r="B9">
        <v>-0.49794713300108584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-0.12649089043999531</v>
      </c>
      <c r="J9">
        <f>(Table3[[#This Row],[HomeMargin]]-Table3[[#This Row],[HomeForecast]])^2</f>
        <v>8.2570546027243292</v>
      </c>
    </row>
    <row r="10" spans="1:10" x14ac:dyDescent="0.2">
      <c r="A10" s="4" t="s">
        <v>16</v>
      </c>
      <c r="B10">
        <v>-1.1167763879247272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0.42000921768972244</v>
      </c>
      <c r="J10">
        <f>(Table3[[#This Row],[HomeMargin]]-Table3[[#This Row],[HomeForecast]])^2</f>
        <v>2.016426178323778</v>
      </c>
    </row>
    <row r="11" spans="1:10" x14ac:dyDescent="0.2">
      <c r="A11" s="4" t="s">
        <v>25</v>
      </c>
      <c r="B11">
        <v>0.42254821659882374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-4.241973141794908E-2</v>
      </c>
      <c r="J11">
        <f>(Table3[[#This Row],[HomeMargin]]-Table3[[#This Row],[HomeForecast]])^2</f>
        <v>9.2563178221212663</v>
      </c>
    </row>
    <row r="12" spans="1:10" x14ac:dyDescent="0.2">
      <c r="A12" s="4" t="s">
        <v>10</v>
      </c>
      <c r="B12">
        <v>-0.13160108676160023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0.44696097390503653</v>
      </c>
      <c r="J12">
        <f>(Table3[[#This Row],[HomeMargin]]-Table3[[#This Row],[HomeForecast]])^2</f>
        <v>2.0936960600042114</v>
      </c>
    </row>
    <row r="13" spans="1:10" x14ac:dyDescent="0.2">
      <c r="A13" s="4" t="s">
        <v>12</v>
      </c>
      <c r="B13">
        <v>1.4583704516548168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0.49859201729748615</v>
      </c>
      <c r="J13">
        <f>(Table3[[#This Row],[HomeMargin]]-Table3[[#This Row],[HomeForecast]])^2</f>
        <v>6.2429620689027203</v>
      </c>
    </row>
    <row r="14" spans="1:10" x14ac:dyDescent="0.2">
      <c r="A14" s="4" t="s">
        <v>28</v>
      </c>
      <c r="B14">
        <v>-0.72083617366747277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0.16614985160419565</v>
      </c>
      <c r="J14">
        <f>(Table3[[#This Row],[HomeMargin]]-Table3[[#This Row],[HomeForecast]])^2</f>
        <v>0.69530606997970479</v>
      </c>
    </row>
    <row r="15" spans="1:10" x14ac:dyDescent="0.2">
      <c r="A15" s="4" t="s">
        <v>39</v>
      </c>
      <c r="B15">
        <v>1.9153995907683643E-3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0.16746331192445341</v>
      </c>
      <c r="J15">
        <f>(Table3[[#This Row],[HomeMargin]]-Table3[[#This Row],[HomeForecast]])^2</f>
        <v>17.36775045623633</v>
      </c>
    </row>
    <row r="16" spans="1:10" x14ac:dyDescent="0.2">
      <c r="A16" s="4" t="s">
        <v>26</v>
      </c>
      <c r="B16">
        <v>-0.67114180037169746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0.56123595043787766</v>
      </c>
      <c r="J16">
        <f>(Table3[[#This Row],[HomeMargin]]-Table3[[#This Row],[HomeForecast]])^2</f>
        <v>5.9475700894366419</v>
      </c>
    </row>
    <row r="17" spans="1:10" x14ac:dyDescent="0.2">
      <c r="A17" s="4" t="s">
        <v>17</v>
      </c>
      <c r="B17">
        <v>-0.8561868317598319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1.7527641036566866</v>
      </c>
      <c r="J17">
        <f>(Table3[[#This Row],[HomeMargin]]-Table3[[#This Row],[HomeForecast]])^2</f>
        <v>0.56665379575405472</v>
      </c>
    </row>
    <row r="18" spans="1:10" x14ac:dyDescent="0.2">
      <c r="A18" s="4" t="s">
        <v>11</v>
      </c>
      <c r="B18">
        <v>-0.21100886368613675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0.24308208674025999</v>
      </c>
      <c r="J18">
        <f>(Table3[[#This Row],[HomeMargin]]-Table3[[#This Row],[HomeForecast]])^2</f>
        <v>18.003745594816078</v>
      </c>
    </row>
    <row r="19" spans="1:10" x14ac:dyDescent="0.2">
      <c r="A19" s="4" t="s">
        <v>13</v>
      </c>
      <c r="B19">
        <v>-0.31985119938240425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0.49001614782787051</v>
      </c>
      <c r="J19">
        <f>(Table3[[#This Row],[HomeMargin]]-Table3[[#This Row],[HomeForecast]])^2</f>
        <v>0.2600835294763244</v>
      </c>
    </row>
    <row r="20" spans="1:10" x14ac:dyDescent="0.2">
      <c r="A20" s="4" t="s">
        <v>34</v>
      </c>
      <c r="B20">
        <v>-0.17681265190927384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-0.80375639946219934</v>
      </c>
      <c r="J20">
        <f>(Table3[[#This Row],[HomeMargin]]-Table3[[#This Row],[HomeForecast]])^2</f>
        <v>3.2535371486008366</v>
      </c>
    </row>
    <row r="21" spans="1:10" x14ac:dyDescent="0.2">
      <c r="A21" s="4" t="s">
        <v>18</v>
      </c>
      <c r="B21">
        <v>-0.75480422558713034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-6.3948909010538013E-2</v>
      </c>
      <c r="J21">
        <f>(Table3[[#This Row],[HomeMargin]]-Table3[[#This Row],[HomeForecast]])^2</f>
        <v>1.1319872809847142</v>
      </c>
    </row>
    <row r="22" spans="1:10" x14ac:dyDescent="0.2">
      <c r="A22" s="4" t="s">
        <v>29</v>
      </c>
      <c r="B22">
        <v>-1.6840122346544992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-0.65368488003831082</v>
      </c>
      <c r="J22">
        <f>(Table3[[#This Row],[HomeMargin]]-Table3[[#This Row],[HomeForecast]])^2</f>
        <v>7.0420434425439442</v>
      </c>
    </row>
    <row r="23" spans="1:10" x14ac:dyDescent="0.2">
      <c r="A23" s="4" t="s">
        <v>24</v>
      </c>
      <c r="B23">
        <v>2.0731927685773251E-2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-0.15618026106051822</v>
      </c>
      <c r="J23">
        <f>(Table3[[#This Row],[HomeMargin]]-Table3[[#This Row],[HomeForecast]])^2</f>
        <v>0.71203175182389522</v>
      </c>
    </row>
    <row r="24" spans="1:10" x14ac:dyDescent="0.2">
      <c r="A24" s="4" t="s">
        <v>30</v>
      </c>
      <c r="B24">
        <v>3.2883390994754517E-3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-1.2231752661256976</v>
      </c>
      <c r="J24">
        <f>(Table3[[#This Row],[HomeMargin]]-Table3[[#This Row],[HomeForecast]])^2</f>
        <v>14.264405070404694</v>
      </c>
    </row>
    <row r="25" spans="1:10" x14ac:dyDescent="0.2">
      <c r="A25" s="4" t="s">
        <v>15</v>
      </c>
      <c r="B25">
        <v>-0.50599078340071213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0.68664841983972713</v>
      </c>
      <c r="J25">
        <f>(Table3[[#This Row],[HomeMargin]]-Table3[[#This Row],[HomeForecast]])^2</f>
        <v>2.8447828921478484</v>
      </c>
    </row>
    <row r="26" spans="1:10" x14ac:dyDescent="0.2">
      <c r="A26" s="4" t="s">
        <v>36</v>
      </c>
      <c r="B26">
        <v>-0.34257283900844787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0.14940084417271193</v>
      </c>
      <c r="J26">
        <f>(Table3[[#This Row],[HomeMargin]]-Table3[[#This Row],[HomeForecast]])^2</f>
        <v>14.827113858857821</v>
      </c>
    </row>
    <row r="27" spans="1:10" x14ac:dyDescent="0.2">
      <c r="A27" s="4" t="s">
        <v>27</v>
      </c>
      <c r="B27">
        <v>-0.54160534998918008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8.3613542780284156E-2</v>
      </c>
      <c r="J27">
        <f>(Table3[[#This Row],[HomeMargin]]-Table3[[#This Row],[HomeForecast]])^2</f>
        <v>1.1742183100968389</v>
      </c>
    </row>
    <row r="28" spans="1:10" x14ac:dyDescent="0.2">
      <c r="A28" s="4" t="s">
        <v>14</v>
      </c>
      <c r="B28">
        <v>-0.2200802314358897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0.53249589784368123</v>
      </c>
      <c r="J28">
        <f>(Table3[[#This Row],[HomeMargin]]-Table3[[#This Row],[HomeForecast]])^2</f>
        <v>2.1535682898456234</v>
      </c>
    </row>
    <row r="29" spans="1:10" x14ac:dyDescent="0.2">
      <c r="A29" s="4" t="s">
        <v>33</v>
      </c>
      <c r="B29">
        <v>-0.3479098095875402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1.123573228112831</v>
      </c>
      <c r="J29">
        <f>(Table3[[#This Row],[HomeMargin]]-Table3[[#This Row],[HomeForecast]])^2</f>
        <v>1.5270342706225766E-2</v>
      </c>
    </row>
    <row r="30" spans="1:10" x14ac:dyDescent="0.2">
      <c r="A30" s="4" t="s">
        <v>32</v>
      </c>
      <c r="B30">
        <v>-0.46055888840939002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0.60205085315989848</v>
      </c>
      <c r="J30">
        <f>(Table3[[#This Row],[HomeMargin]]-Table3[[#This Row],[HomeForecast]])^2</f>
        <v>6.7706686424301559</v>
      </c>
    </row>
    <row r="31" spans="1:10" x14ac:dyDescent="0.2">
      <c r="A31" s="4" t="s">
        <v>35</v>
      </c>
      <c r="B31">
        <v>-1.5594075795597986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0.78262280035035725</v>
      </c>
      <c r="J31">
        <f>(Table3[[#This Row],[HomeMargin]]-Table3[[#This Row],[HomeForecast]])^2</f>
        <v>3.1777440483289499</v>
      </c>
    </row>
    <row r="32" spans="1:10" x14ac:dyDescent="0.2">
      <c r="A32" s="4" t="s">
        <v>37</v>
      </c>
      <c r="B32">
        <v>0.1846559193064522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1.6158747135888756</v>
      </c>
      <c r="J32">
        <f>(Table3[[#This Row],[HomeMargin]]-Table3[[#This Row],[HomeForecast]])^2</f>
        <v>6.842800517193683</v>
      </c>
    </row>
    <row r="33" spans="1:10" x14ac:dyDescent="0.2">
      <c r="A33" s="4" t="s">
        <v>19</v>
      </c>
      <c r="B33">
        <v>-0.95664361852990654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0.44492147968303619</v>
      </c>
      <c r="J33">
        <f>(Table3[[#This Row],[HomeMargin]]-Table3[[#This Row],[HomeForecast]])^2</f>
        <v>6.5284262449851242</v>
      </c>
    </row>
    <row r="34" spans="1:10" x14ac:dyDescent="0.2">
      <c r="A34" t="s">
        <v>55</v>
      </c>
      <c r="B34">
        <v>-0.1349739904770427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0.43002803504183762</v>
      </c>
      <c r="J34">
        <f>(Table3[[#This Row],[HomeMargin]]-Table3[[#This Row],[HomeForecast]])^2</f>
        <v>2.4648119707545937</v>
      </c>
    </row>
    <row r="35" spans="1:10" x14ac:dyDescent="0.2">
      <c r="A35" s="4" t="s">
        <v>38</v>
      </c>
      <c r="B35">
        <v>-1.1267952052768424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0.29098363684713824</v>
      </c>
      <c r="J35">
        <f>(Table3[[#This Row],[HomeMargin]]-Table3[[#This Row],[HomeForecast]])^2</f>
        <v>13.75680238213568</v>
      </c>
    </row>
    <row r="36" spans="1:10" x14ac:dyDescent="0.2">
      <c r="A36" s="4" t="s">
        <v>20</v>
      </c>
      <c r="B36">
        <v>-3.2309887002194844E-2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0.70344318328302613</v>
      </c>
      <c r="J36">
        <f>(Table3[[#This Row],[HomeMargin]]-Table3[[#This Row],[HomeForecast]])^2</f>
        <v>13.715491411805514</v>
      </c>
    </row>
    <row r="37" spans="1:10" x14ac:dyDescent="0.2">
      <c r="A37" s="4" t="s">
        <v>22</v>
      </c>
      <c r="B37">
        <v>0.21430145909042725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-1.3896185826526295</v>
      </c>
      <c r="J37">
        <f>(Table3[[#This Row],[HomeMargin]]-Table3[[#This Row],[HomeForecast]])^2</f>
        <v>0.15180263994824389</v>
      </c>
    </row>
    <row r="38" spans="1:10" x14ac:dyDescent="0.2">
      <c r="A38" s="4" t="s">
        <v>40</v>
      </c>
      <c r="B38">
        <v>-7.3890719153774626E-2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-5.1593458466124648E-2</v>
      </c>
      <c r="J38">
        <f>(Table3[[#This Row],[HomeMargin]]-Table3[[#This Row],[HomeForecast]])^2</f>
        <v>3.7962880510919974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0.44533021348964957</v>
      </c>
      <c r="J39">
        <f>(Table3[[#This Row],[HomeMargin]]-Table3[[#This Row],[HomeForecast]])^2</f>
        <v>29.65162113394323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-0.26882933988236801</v>
      </c>
      <c r="J40">
        <f>(Table3[[#This Row],[HomeMargin]]-Table3[[#This Row],[HomeForecast]])^2</f>
        <v>1.6099278937463257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-0.541035801216461</v>
      </c>
      <c r="J41">
        <f>(Table3[[#This Row],[HomeMargin]]-Table3[[#This Row],[HomeForecast]])^2</f>
        <v>0.2106481357650159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0.32334365314550606</v>
      </c>
      <c r="J42">
        <f>(Table3[[#This Row],[HomeMargin]]-Table3[[#This Row],[HomeForecast]])^2</f>
        <v>5.3979257306115054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0.40538014175345677</v>
      </c>
      <c r="J43">
        <f>(Table3[[#This Row],[HomeMargin]]-Table3[[#This Row],[HomeForecast]])^2</f>
        <v>0.35357277582113911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-0.56087258096631221</v>
      </c>
      <c r="J44">
        <f>(Table3[[#This Row],[HomeMargin]]-Table3[[#This Row],[HomeForecast]])^2</f>
        <v>0.19283289014718802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-0.15010715446385675</v>
      </c>
      <c r="J45">
        <f>(Table3[[#This Row],[HomeMargin]]-Table3[[#This Row],[HomeForecast]])^2</f>
        <v>0.72231784889352257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-1.7968979231310755</v>
      </c>
      <c r="J46">
        <f>(Table3[[#This Row],[HomeMargin]]-Table3[[#This Row],[HomeForecast]])^2</f>
        <v>4.1250453628470497E-2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-0.58214843982841891</v>
      </c>
      <c r="J47">
        <f>(Table3[[#This Row],[HomeMargin]]-Table3[[#This Row],[HomeForecast]])^2</f>
        <v>0.17459992633782445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0.16279256524026961</v>
      </c>
      <c r="J48">
        <f>(Table3[[#This Row],[HomeMargin]]-Table3[[#This Row],[HomeForecast]])^2</f>
        <v>3.3753311583364294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0.30245820899795756</v>
      </c>
      <c r="J49">
        <f>(Table3[[#This Row],[HomeMargin]]-Table3[[#This Row],[HomeForecast]])^2</f>
        <v>0.48656455019433714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0.23659871977807723</v>
      </c>
      <c r="J50">
        <f>(Table3[[#This Row],[HomeMargin]]-Table3[[#This Row],[HomeForecast]])^2</f>
        <v>10.475571272869088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1.5008590571708784</v>
      </c>
      <c r="J51">
        <f>(Table3[[#This Row],[HomeMargin]]-Table3[[#This Row],[HomeForecast]])^2</f>
        <v>20.257732252517126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-0.17117682477821622</v>
      </c>
      <c r="J52">
        <f>(Table3[[#This Row],[HomeMargin]]-Table3[[#This Row],[HomeForecast]])^2</f>
        <v>10.056362454010451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-0.12608215663338196</v>
      </c>
      <c r="J53">
        <f>(Table3[[#This Row],[HomeMargin]]-Table3[[#This Row],[HomeForecast]])^2</f>
        <v>0.76373239695456074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0.5920320358077833</v>
      </c>
      <c r="J54">
        <f>(Table3[[#This Row],[HomeMargin]]-Table3[[#This Row],[HomeForecast]])^2</f>
        <v>12.902694146269406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0.73204554611446482</v>
      </c>
      <c r="J55">
        <f>(Table3[[#This Row],[HomeMargin]]-Table3[[#This Row],[HomeForecast]])^2</f>
        <v>7.1799589357095406E-2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-0.92504683939770527</v>
      </c>
      <c r="J56">
        <f>(Table3[[#This Row],[HomeMargin]]-Table3[[#This Row],[HomeForecast]])^2</f>
        <v>1.1555242974888631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0.33814771302486935</v>
      </c>
      <c r="J57">
        <f>(Table3[[#This Row],[HomeMargin]]-Table3[[#This Row],[HomeForecast]])^2</f>
        <v>7.0854575976747318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-0.1348256756529132</v>
      </c>
      <c r="J58">
        <f>(Table3[[#This Row],[HomeMargin]]-Table3[[#This Row],[HomeForecast]])^2</f>
        <v>1.2878293141210908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0.50961570988394689</v>
      </c>
      <c r="J59">
        <f>(Table3[[#This Row],[HomeMargin]]-Table3[[#This Row],[HomeForecast]])^2</f>
        <v>6.298171011296307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-0.61103836466153683</v>
      </c>
      <c r="J60">
        <f>(Table3[[#This Row],[HomeMargin]]-Table3[[#This Row],[HomeForecast]])^2</f>
        <v>11.485060965795951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0.88678827764941981</v>
      </c>
      <c r="J61">
        <f>(Table3[[#This Row],[HomeMargin]]-Table3[[#This Row],[HomeForecast]])^2</f>
        <v>4.4656637834799051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0.18906520130880222</v>
      </c>
      <c r="J62">
        <f>(Table3[[#This Row],[HomeMargin]]-Table3[[#This Row],[HomeForecast]])^2</f>
        <v>0.65761524772833346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4.045367532189148E-3</v>
      </c>
      <c r="J63">
        <f>(Table3[[#This Row],[HomeMargin]]-Table3[[#This Row],[HomeForecast]])^2</f>
        <v>15.967653424740957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-0.3007132751607336</v>
      </c>
      <c r="J64">
        <f>(Table3[[#This Row],[HomeMargin]]-Table3[[#This Row],[HomeForecast]])^2</f>
        <v>10.894708124822298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-1.2683868312733713</v>
      </c>
      <c r="J65">
        <f>(Table3[[#This Row],[HomeMargin]]-Table3[[#This Row],[HomeForecast]])^2</f>
        <v>13.92493684101399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1.1412220589725117</v>
      </c>
      <c r="J66">
        <f>(Table3[[#This Row],[HomeMargin]]-Table3[[#This Row],[HomeForecast]])^2</f>
        <v>0.73749955199541217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8.9417098079751345E-2</v>
      </c>
      <c r="J67">
        <f>(Table3[[#This Row],[HomeMargin]]-Table3[[#This Row],[HomeForecast]])^2</f>
        <v>9.5444980059075135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-2.0197869637974626</v>
      </c>
      <c r="J68">
        <f>(Table3[[#This Row],[HomeMargin]]-Table3[[#This Row],[HomeForecast]])^2</f>
        <v>0.96081759634139696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1.2881302663924379</v>
      </c>
      <c r="J69">
        <f>(Table3[[#This Row],[HomeMargin]]-Table3[[#This Row],[HomeForecast]])^2</f>
        <v>10.811800648766003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5.9648693578312595E-2</v>
      </c>
      <c r="J70">
        <f>(Table3[[#This Row],[HomeMargin]]-Table3[[#This Row],[HomeForecast]])^2</f>
        <v>4.2421527409588506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1.088627670592196</v>
      </c>
      <c r="J71">
        <f>(Table3[[#This Row],[HomeMargin]]-Table3[[#This Row],[HomeForecast]])^2</f>
        <v>7.8548639945988045E-3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0.39116045289673718</v>
      </c>
      <c r="J72">
        <f>(Table3[[#This Row],[HomeMargin]]-Table3[[#This Row],[HomeForecast]])^2</f>
        <v>2.5883646883234319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1.0188948323841345</v>
      </c>
      <c r="J73">
        <f>(Table3[[#This Row],[HomeMargin]]-Table3[[#This Row],[HomeForecast]])^2</f>
        <v>0.96256734992255555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0.27740571092576927</v>
      </c>
      <c r="J74">
        <f>(Table3[[#This Row],[HomeMargin]]-Table3[[#This Row],[HomeForecast]])^2</f>
        <v>0.5221425066026929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-0.30829496931057832</v>
      </c>
      <c r="J75">
        <f>(Table3[[#This Row],[HomeMargin]]-Table3[[#This Row],[HomeForecast]])^2</f>
        <v>7.2452759722387396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-0.29123317360436729</v>
      </c>
      <c r="J76">
        <f>(Table3[[#This Row],[HomeMargin]]-Table3[[#This Row],[HomeForecast]])^2</f>
        <v>1.6672831086164064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0.251980671204864</v>
      </c>
      <c r="J77">
        <f>(Table3[[#This Row],[HomeMargin]]-Table3[[#This Row],[HomeForecast]])^2</f>
        <v>0.55953291625112578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1.1546137800400693</v>
      </c>
      <c r="J78">
        <f>(Table3[[#This Row],[HomeMargin]]-Table3[[#This Row],[HomeForecast]])^2</f>
        <v>4.6423605411385562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-0.69637805815332254</v>
      </c>
      <c r="J79">
        <f>(Table3[[#This Row],[HomeMargin]]-Table3[[#This Row],[HomeForecast]])^2</f>
        <v>2.8776985161840374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0.37235548063532464</v>
      </c>
      <c r="J80">
        <f>(Table3[[#This Row],[HomeMargin]]-Table3[[#This Row],[HomeForecast]])^2</f>
        <v>6.9045157201472156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0.55053377252452829</v>
      </c>
      <c r="J81">
        <f>(Table3[[#This Row],[HomeMargin]]-Table3[[#This Row],[HomeForecast]])^2</f>
        <v>11.898817254493862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-0.12751860779012197</v>
      </c>
      <c r="J82">
        <f>(Table3[[#This Row],[HomeMargin]]-Table3[[#This Row],[HomeForecast]])^2</f>
        <v>9.7813726420734639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-0.74607243144909785</v>
      </c>
      <c r="J83">
        <f>(Table3[[#This Row],[HomeMargin]]-Table3[[#This Row],[HomeForecast]])^2</f>
        <v>3.0487689358665646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1.7426610098618756</v>
      </c>
      <c r="J84">
        <f>(Table3[[#This Row],[HomeMargin]]-Table3[[#This Row],[HomeForecast]])^2</f>
        <v>1.5809013361215587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-0.58297975445640082</v>
      </c>
      <c r="J85">
        <f>(Table3[[#This Row],[HomeMargin]]-Table3[[#This Row],[HomeForecast]])^2</f>
        <v>0.17390588519324374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-8.9393780661591093E-2</v>
      </c>
      <c r="J86">
        <f>(Table3[[#This Row],[HomeMargin]]-Table3[[#This Row],[HomeForecast]])^2</f>
        <v>0.82920368669779043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1.0363384209704323</v>
      </c>
      <c r="J87">
        <f>(Table3[[#This Row],[HomeMargin]]-Table3[[#This Row],[HomeForecast]])^2</f>
        <v>0.9286436388977598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-0.18644151658309618</v>
      </c>
      <c r="J88">
        <f>(Table3[[#This Row],[HomeMargin]]-Table3[[#This Row],[HomeForecast]])^2</f>
        <v>0.66187740593961264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-0.20537303655507913</v>
      </c>
      <c r="J89">
        <f>(Table3[[#This Row],[HomeMargin]]-Table3[[#This Row],[HomeForecast]])^2</f>
        <v>1.4529241572540124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3.1590083373176647E-2</v>
      </c>
      <c r="J90">
        <f>(Table3[[#This Row],[HomeMargin]]-Table3[[#This Row],[HomeForecast]])^2</f>
        <v>9.1905384336065854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-1.4019033176257398</v>
      </c>
      <c r="J91">
        <f>(Table3[[#This Row],[HomeMargin]]-Table3[[#This Row],[HomeForecast]])^2</f>
        <v>11.572946182473014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-0.3366650685956894</v>
      </c>
      <c r="J92">
        <f>(Table3[[#This Row],[HomeMargin]]-Table3[[#This Row],[HomeForecast]])^2</f>
        <v>0.44001323122116154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1.2438861624473596</v>
      </c>
      <c r="J93">
        <f>(Table3[[#This Row],[HomeMargin]]-Table3[[#This Row],[HomeForecast]])^2</f>
        <v>14.108391160654424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1.7695411770255518</v>
      </c>
      <c r="J94">
        <f>(Table3[[#This Row],[HomeMargin]]-Table3[[#This Row],[HomeForecast]])^2</f>
        <v>1.5140289150356645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-0.32472707839052101</v>
      </c>
      <c r="J95">
        <f>(Table3[[#This Row],[HomeMargin]]-Table3[[#This Row],[HomeForecast]])^2</f>
        <v>1.7549018322210854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0.34446469291296156</v>
      </c>
      <c r="J96">
        <f>(Table3[[#This Row],[HomeMargin]]-Table3[[#This Row],[HomeForecast]])^2</f>
        <v>2.7407971530117745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0.14931656773001617</v>
      </c>
      <c r="J97">
        <f>(Table3[[#This Row],[HomeMargin]]-Table3[[#This Row],[HomeForecast]])^2</f>
        <v>0.72366230193864023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1.5005163258920968</v>
      </c>
      <c r="J98">
        <f>(Table3[[#This Row],[HomeMargin]]-Table3[[#This Row],[HomeForecast]])^2</f>
        <v>6.2525818960529103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-0.88346600724612545</v>
      </c>
      <c r="J99">
        <f>(Table3[[#This Row],[HomeMargin]]-Table3[[#This Row],[HomeForecast]])^2</f>
        <v>1.3580171467160085E-2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-9.7437431061217383E-2</v>
      </c>
      <c r="J100">
        <f>(Table3[[#This Row],[HomeMargin]]-Table3[[#This Row],[HomeForecast]])^2</f>
        <v>4.3992437772166779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-0.16975846996661118</v>
      </c>
      <c r="J101">
        <f>(Table3[[#This Row],[HomeMargin]]-Table3[[#This Row],[HomeForecast]])^2</f>
        <v>3.34978405825896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7.8373199945037053E-2</v>
      </c>
      <c r="J102">
        <f>(Table3[[#This Row],[HomeMargin]]-Table3[[#This Row],[HomeForecast]])^2</f>
        <v>8.5359031587994032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-0.29543844207619141</v>
      </c>
      <c r="J103">
        <f>(Table3[[#This Row],[HomeMargin]]-Table3[[#This Row],[HomeForecast]])^2</f>
        <v>10.859914525513556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0.2455576285287322</v>
      </c>
      <c r="J104">
        <f>(Table3[[#This Row],[HomeMargin]]-Table3[[#This Row],[HomeForecast]])^2</f>
        <v>1.5514138059861193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0.88217123478306825</v>
      </c>
      <c r="J105">
        <f>(Table3[[#This Row],[HomeMargin]]-Table3[[#This Row],[HomeForecast]])^2</f>
        <v>23.835595965743227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-1.87713822628342</v>
      </c>
      <c r="J106">
        <f>(Table3[[#This Row],[HomeMargin]]-Table3[[#This Row],[HomeForecast]])^2</f>
        <v>1.2608185628739441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0.51061781021184283</v>
      </c>
      <c r="J107">
        <f>(Table3[[#This Row],[HomeMargin]]-Table3[[#This Row],[HomeForecast]])^2</f>
        <v>0.23949492768185188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0.6730336542762112</v>
      </c>
      <c r="J108">
        <f>(Table3[[#This Row],[HomeMargin]]-Table3[[#This Row],[HomeForecast]])^2</f>
        <v>2.7990416083408132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1.0661346353657799</v>
      </c>
      <c r="J109">
        <f>(Table3[[#This Row],[HomeMargin]]-Table3[[#This Row],[HomeForecast]])^2</f>
        <v>8.6075659778002844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-1.0801367186525672</v>
      </c>
      <c r="J110">
        <f>(Table3[[#This Row],[HomeMargin]]-Table3[[#This Row],[HomeForecast]])^2</f>
        <v>6.4218936764007147E-3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-0.81795588469085267</v>
      </c>
      <c r="J111">
        <f>(Table3[[#This Row],[HomeMargin]]-Table3[[#This Row],[HomeForecast]])^2</f>
        <v>4.7613165211552797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-1.4339247806070323</v>
      </c>
      <c r="J112">
        <f>(Table3[[#This Row],[HomeMargin]]-Table3[[#This Row],[HomeForecast]])^2</f>
        <v>5.9239898376529911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0.8342800090246445</v>
      </c>
      <c r="J113">
        <f>(Table3[[#This Row],[HomeMargin]]-Table3[[#This Row],[HomeForecast]])^2</f>
        <v>4.6903430793102929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0.33261432889543874</v>
      </c>
      <c r="J114">
        <f>(Table3[[#This Row],[HomeMargin]]-Table3[[#This Row],[HomeForecast]])^2</f>
        <v>2.7801749762048078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-0.20255250081276976</v>
      </c>
      <c r="J115">
        <f>(Table3[[#This Row],[HomeMargin]]-Table3[[#This Row],[HomeForecast]])^2</f>
        <v>0.63592251395996757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0.35696424111987424</v>
      </c>
      <c r="J116">
        <f>(Table3[[#This Row],[HomeMargin]]-Table3[[#This Row],[HomeForecast]])^2</f>
        <v>6.9856380227190416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-0.31799688831115247</v>
      </c>
      <c r="J117">
        <f>(Table3[[#This Row],[HomeMargin]]-Table3[[#This Row],[HomeForecast]])^2</f>
        <v>2.8291344677309653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1.1952418965808203</v>
      </c>
      <c r="J118">
        <f>(Table3[[#This Row],[HomeMargin]]-Table3[[#This Row],[HomeForecast]])^2</f>
        <v>4.8190869845037581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0.48118626049799973</v>
      </c>
      <c r="J119">
        <f>(Table3[[#This Row],[HomeMargin]]-Table3[[#This Row],[HomeForecast]])^2</f>
        <v>2.1939127382880481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5.8037055352125555E-2</v>
      </c>
      <c r="J120">
        <f>(Table3[[#This Row],[HomeMargin]]-Table3[[#This Row],[HomeForecast]])^2</f>
        <v>0.8872941890896946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0.1684910292745801</v>
      </c>
      <c r="J121">
        <f>(Table3[[#This Row],[HomeMargin]]-Table3[[#This Row],[HomeForecast]])^2</f>
        <v>4.7023533440443277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-0.39779736785282971</v>
      </c>
      <c r="J122">
        <f>(Table3[[#This Row],[HomeMargin]]-Table3[[#This Row],[HomeForecast]])^2</f>
        <v>1.9538374815762989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0.83384980099600003</v>
      </c>
      <c r="J123">
        <f>(Table3[[#This Row],[HomeMargin]]-Table3[[#This Row],[HomeForecast]])^2</f>
        <v>17.356807480661068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1.3386877116551843E-3</v>
      </c>
      <c r="J124">
        <f>(Table3[[#This Row],[HomeMargin]]-Table3[[#This Row],[HomeForecast]])^2</f>
        <v>1.0026791675080997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0.35845217250555939</v>
      </c>
      <c r="J125">
        <f>(Table3[[#This Row],[HomeMargin]]-Table3[[#This Row],[HomeForecast]])^2</f>
        <v>0.41158361496283652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-1.2650139275579289</v>
      </c>
      <c r="J126">
        <f>(Table3[[#This Row],[HomeMargin]]-Table3[[#This Row],[HomeForecast]])^2</f>
        <v>3.0101766715679639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0.47567666759287952</v>
      </c>
      <c r="J127">
        <f>(Table3[[#This Row],[HomeMargin]]-Table3[[#This Row],[HomeForecast]])^2</f>
        <v>2.1776216272780262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0.54608783078044254</v>
      </c>
      <c r="J128">
        <f>(Table3[[#This Row],[HomeMargin]]-Table3[[#This Row],[HomeForecast]])^2</f>
        <v>12.574738903609145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0.61811614705364781</v>
      </c>
      <c r="J129">
        <f>(Table3[[#This Row],[HomeMargin]]-Table3[[#This Row],[HomeForecast]])^2</f>
        <v>1.9096029830338555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-0.77571797123307284</v>
      </c>
      <c r="J130">
        <f>(Table3[[#This Row],[HomeMargin]]-Table3[[#This Row],[HomeForecast]])^2</f>
        <v>10.395994601029372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0.52806139879814062</v>
      </c>
      <c r="J131">
        <f>(Table3[[#This Row],[HomeMargin]]-Table3[[#This Row],[HomeForecast]])^2</f>
        <v>2.1666032457080866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1.2023053302957798</v>
      </c>
      <c r="J132">
        <f>(Table3[[#This Row],[HomeMargin]]-Table3[[#This Row],[HomeForecast]])^2</f>
        <v>0.63631678607452502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-1.4238216868122213</v>
      </c>
      <c r="J133">
        <f>(Table3[[#This Row],[HomeMargin]]-Table3[[#This Row],[HomeForecast]])^2</f>
        <v>5.8749115694612426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-0.26121315548322821</v>
      </c>
      <c r="J134">
        <f>(Table3[[#This Row],[HomeMargin]]-Table3[[#This Row],[HomeForecast]])^2</f>
        <v>1.5906586235639615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1.0476854407129284</v>
      </c>
      <c r="J135">
        <f>(Table3[[#This Row],[HomeMargin]]-Table3[[#This Row],[HomeForecast]])^2</f>
        <v>0.90690301983012955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-1.9279315159114761E-2</v>
      </c>
      <c r="J136">
        <f>(Table3[[#This Row],[HomeMargin]]-Table3[[#This Row],[HomeForecast]])^2</f>
        <v>9.1160475829476937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0.11758100009259601</v>
      </c>
      <c r="J137">
        <f>(Table3[[#This Row],[HomeMargin]]-Table3[[#This Row],[HomeForecast]])^2</f>
        <v>16.954473292323542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-1.2047413737472679</v>
      </c>
      <c r="J138">
        <f>(Table3[[#This Row],[HomeMargin]]-Table3[[#This Row],[HomeForecast]])^2</f>
        <v>4.8608845251129909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-0.38547402756382843</v>
      </c>
      <c r="J139">
        <f>(Table3[[#This Row],[HomeMargin]]-Table3[[#This Row],[HomeForecast]])^2</f>
        <v>1.9195382810539361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0.66017560375641016</v>
      </c>
      <c r="J140">
        <f>(Table3[[#This Row],[HomeMargin]]-Table3[[#This Row],[HomeForecast]])^2</f>
        <v>2.756183035307961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0.55504760487526905</v>
      </c>
      <c r="J141">
        <f>(Table3[[#This Row],[HomeMargin]]-Table3[[#This Row],[HomeForecast]])^2</f>
        <v>0.1979826339272347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-8.4700723224686025E-3</v>
      </c>
      <c r="J142">
        <f>(Table3[[#This Row],[HomeMargin]]-Table3[[#This Row],[HomeForecast]])^2</f>
        <v>1.0170118867700852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-0.29927682400399358</v>
      </c>
      <c r="J143">
        <f>(Table3[[#This Row],[HomeMargin]]-Table3[[#This Row],[HomeForecast]])^2</f>
        <v>1.6881202653939045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-0.21257131816488495</v>
      </c>
      <c r="J144">
        <f>(Table3[[#This Row],[HomeMargin]]-Table3[[#This Row],[HomeForecast]])^2</f>
        <v>0.62004392897658689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0.71629395962370235</v>
      </c>
      <c r="J145">
        <f>(Table3[[#This Row],[HomeMargin]]-Table3[[#This Row],[HomeForecast]])^2</f>
        <v>45.108604552077836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-0.45136594299918797</v>
      </c>
      <c r="J146">
        <f>(Table3[[#This Row],[HomeMargin]]-Table3[[#This Row],[HomeForecast]])^2</f>
        <v>19.814658758493049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0.34766977414563116</v>
      </c>
      <c r="J147">
        <f>(Table3[[#This Row],[HomeMargin]]-Table3[[#This Row],[HomeForecast]])^2</f>
        <v>5.5115533684369975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0.3305168192030935</v>
      </c>
      <c r="J148">
        <f>(Table3[[#This Row],[HomeMargin]]-Table3[[#This Row],[HomeForecast]])^2</f>
        <v>1.7702750061823178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-1.2782188624442163</v>
      </c>
      <c r="J149">
        <f>(Table3[[#This Row],[HomeMargin]]-Table3[[#This Row],[HomeForecast]])^2</f>
        <v>5.1902811851966195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-1.5265079727204405</v>
      </c>
      <c r="J150">
        <f>(Table3[[#This Row],[HomeMargin]]-Table3[[#This Row],[HomeForecast]])^2</f>
        <v>0.27721064533818807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0.37638546783347415</v>
      </c>
      <c r="J151">
        <f>(Table3[[#This Row],[HomeMargin]]-Table3[[#This Row],[HomeForecast]])^2</f>
        <v>0.38889508472927492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-0.11118871199218339</v>
      </c>
      <c r="J152">
        <f>(Table3[[#This Row],[HomeMargin]]-Table3[[#This Row],[HomeForecast]])^2</f>
        <v>1.2347403536588473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0.22050293284809522</v>
      </c>
      <c r="J153">
        <f>(Table3[[#This Row],[HomeMargin]]-Table3[[#This Row],[HomeForecast]])^2</f>
        <v>1.4896274090908019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-5.8282280801389016E-2</v>
      </c>
      <c r="J154">
        <f>(Table3[[#This Row],[HomeMargin]]-Table3[[#This Row],[HomeForecast]])^2</f>
        <v>25.586219632269305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1.4987470096487361</v>
      </c>
      <c r="J155">
        <f>(Table3[[#This Row],[HomeMargin]]-Table3[[#This Row],[HomeForecast]])^2</f>
        <v>2.2537605410386119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3.1260425743119984E-2</v>
      </c>
      <c r="J156">
        <f>(Table3[[#This Row],[HomeMargin]]-Table3[[#This Row],[HomeForecast]])^2</f>
        <v>8.8134146597589211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0.38230870219121404</v>
      </c>
      <c r="J157">
        <f>(Table3[[#This Row],[HomeMargin]]-Table3[[#This Row],[HomeForecast]])^2</f>
        <v>1.9107773481535588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0.61427776512584575</v>
      </c>
      <c r="J158">
        <f>(Table3[[#This Row],[HomeMargin]]-Table3[[#This Row],[HomeForecast]])^2</f>
        <v>13.063003763483078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0.37039141377167478</v>
      </c>
      <c r="J159">
        <f>(Table3[[#This Row],[HomeMargin]]-Table3[[#This Row],[HomeForecast]])^2</f>
        <v>13.174058489222382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1.5970581854938708</v>
      </c>
      <c r="J160">
        <f>(Table3[[#This Row],[HomeMargin]]-Table3[[#This Row],[HomeForecast]])^2</f>
        <v>5.7741293639020101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-5.2966397974831742E-2</v>
      </c>
      <c r="J161">
        <f>(Table3[[#This Row],[HomeMargin]]-Table3[[#This Row],[HomeForecast]])^2</f>
        <v>1.108738235264092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-0.56179317975796206</v>
      </c>
      <c r="J162">
        <f>(Table3[[#This Row],[HomeMargin]]-Table3[[#This Row],[HomeForecast]])^2</f>
        <v>12.686370655370334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-0.40413485531505755</v>
      </c>
      <c r="J163">
        <f>(Table3[[#This Row],[HomeMargin]]-Table3[[#This Row],[HomeForecast]])^2</f>
        <v>0.35505527065040737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5.6497728769327932E-2</v>
      </c>
      <c r="J164">
        <f>(Table3[[#This Row],[HomeMargin]]-Table3[[#This Row],[HomeForecast]])^2</f>
        <v>1.1161874508947487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-1.7092484924361244</v>
      </c>
      <c r="J165">
        <f>(Table3[[#This Row],[HomeMargin]]-Table3[[#This Row],[HomeForecast]])^2</f>
        <v>1.6660394542784176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-0.16210545702846327</v>
      </c>
      <c r="J166">
        <f>(Table3[[#This Row],[HomeMargin]]-Table3[[#This Row],[HomeForecast]])^2</f>
        <v>1.3504890932553335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0.45366499870256749</v>
      </c>
      <c r="J167">
        <f>(Table3[[#This Row],[HomeMargin]]-Table3[[#This Row],[HomeForecast]])^2</f>
        <v>2.113141928452936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0.1313610513196912</v>
      </c>
      <c r="J168">
        <f>(Table3[[#This Row],[HomeMargin]]-Table3[[#This Row],[HomeForecast]])^2</f>
        <v>1.2799778284431971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-0.72884611766327401</v>
      </c>
      <c r="J169">
        <f>(Table3[[#This Row],[HomeMargin]]-Table3[[#This Row],[HomeForecast]])^2</f>
        <v>5.1581399572531828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0.3195524309196478</v>
      </c>
      <c r="J170">
        <f>(Table3[[#This Row],[HomeMargin]]-Table3[[#This Row],[HomeForecast]])^2</f>
        <v>0.46300889426736069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-0.46138476035130316</v>
      </c>
      <c r="J171">
        <f>(Table3[[#This Row],[HomeMargin]]-Table3[[#This Row],[HomeForecast]])^2</f>
        <v>2.3673368556792171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0.39522710638726088</v>
      </c>
      <c r="J172">
        <f>(Table3[[#This Row],[HomeMargin]]-Table3[[#This Row],[HomeForecast]])^2</f>
        <v>6.7848418272996813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0.53249589784368123</v>
      </c>
      <c r="J173">
        <f>(Table3[[#This Row],[HomeMargin]]-Table3[[#This Row],[HomeForecast]])^2</f>
        <v>0.21856008553298573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0.57867953902417546</v>
      </c>
      <c r="J174">
        <f>(Table3[[#This Row],[HomeMargin]]-Table3[[#This Row],[HomeForecast]])^2</f>
        <v>11.705433696691827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-0.19077638683429265</v>
      </c>
      <c r="J175">
        <f>(Table3[[#This Row],[HomeMargin]]-Table3[[#This Row],[HomeForecast]])^2</f>
        <v>0.6548428561049624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0.51071026251412033</v>
      </c>
      <c r="J176">
        <f>(Table3[[#This Row],[HomeMargin]]-Table3[[#This Row],[HomeForecast]])^2</f>
        <v>2.2822454972654822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0.20268724105144301</v>
      </c>
      <c r="J177">
        <f>(Table3[[#This Row],[HomeMargin]]-Table3[[#This Row],[HomeForecast]])^2</f>
        <v>10.257205563993702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0.93362321044110652</v>
      </c>
      <c r="J178">
        <f>(Table3[[#This Row],[HomeMargin]]-Table3[[#This Row],[HomeForecast]])^2</f>
        <v>4.4058781921456304E-3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1.3018265461901461</v>
      </c>
      <c r="J179">
        <f>(Table3[[#This Row],[HomeMargin]]-Table3[[#This Row],[HomeForecast]])^2</f>
        <v>2.8837930792244877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-0.20922207574848631</v>
      </c>
      <c r="J180">
        <f>(Table3[[#This Row],[HomeMargin]]-Table3[[#This Row],[HomeForecast]])^2</f>
        <v>10.299106331471423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-0.27319271275812906</v>
      </c>
      <c r="J181">
        <f>(Table3[[#This Row],[HomeMargin]]-Table3[[#This Row],[HomeForecast]])^2</f>
        <v>0.52824883278788748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0.34216018124051095</v>
      </c>
      <c r="J182">
        <f>(Table3[[#This Row],[HomeMargin]]-Table3[[#This Row],[HomeForecast]])^2</f>
        <v>0.43275322714551739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0.21713002913265275</v>
      </c>
      <c r="J183">
        <f>(Table3[[#This Row],[HomeMargin]]-Table3[[#This Row],[HomeForecast]])^2</f>
        <v>7.7443652747552303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1.1831071150502726</v>
      </c>
      <c r="J184">
        <f>(Table3[[#This Row],[HomeMargin]]-Table3[[#This Row],[HomeForecast]])^2</f>
        <v>3.3010997553809434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-1.3312606771321844</v>
      </c>
      <c r="J185">
        <f>(Table3[[#This Row],[HomeMargin]]-Table3[[#This Row],[HomeForecast]])^2</f>
        <v>0.44721228194970447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0.37043278151577896</v>
      </c>
      <c r="J186">
        <f>(Table3[[#This Row],[HomeMargin]]-Table3[[#This Row],[HomeForecast]])^2</f>
        <v>5.6189515716846321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-0.3879994517562283</v>
      </c>
      <c r="J187">
        <f>(Table3[[#This Row],[HomeMargin]]-Table3[[#This Row],[HomeForecast]])^2</f>
        <v>1.92654247807559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-0.55282893056668603</v>
      </c>
      <c r="J188">
        <f>(Table3[[#This Row],[HomeMargin]]-Table3[[#This Row],[HomeForecast]])^2</f>
        <v>2.4112776876048776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0.99799106741715293</v>
      </c>
      <c r="J189">
        <f>(Table3[[#This Row],[HomeMargin]]-Table3[[#This Row],[HomeForecast]])^2</f>
        <v>4.0358101224245884E-6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-0.56516608347340458</v>
      </c>
      <c r="J190">
        <f>(Table3[[#This Row],[HomeMargin]]-Table3[[#This Row],[HomeForecast]])^2</f>
        <v>2.4497448688554768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-5.3504601752077968E-2</v>
      </c>
      <c r="J191">
        <f>(Table3[[#This Row],[HomeMargin]]-Table3[[#This Row],[HomeForecast]])^2</f>
        <v>1.1098719459128044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-0.18116346554335036</v>
      </c>
      <c r="J192">
        <f>(Table3[[#This Row],[HomeMargin]]-Table3[[#This Row],[HomeForecast]])^2</f>
        <v>7.9458394079875747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1.1094022148923957</v>
      </c>
      <c r="J193">
        <f>(Table3[[#This Row],[HomeMargin]]-Table3[[#This Row],[HomeForecast]])^2</f>
        <v>3.5743599850537793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-0.25281172505385535</v>
      </c>
      <c r="J194">
        <f>(Table3[[#This Row],[HomeMargin]]-Table3[[#This Row],[HomeForecast]])^2</f>
        <v>1.5695372184324168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-0.40781618520494489</v>
      </c>
      <c r="J195">
        <f>(Table3[[#This Row],[HomeMargin]]-Table3[[#This Row],[HomeForecast]])^2</f>
        <v>5.7975787817348943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0.57445793006555357</v>
      </c>
      <c r="J196">
        <f>(Table3[[#This Row],[HomeMargin]]-Table3[[#This Row],[HomeForecast]])^2</f>
        <v>12.776749493808522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0.20485155651614928</v>
      </c>
      <c r="J197">
        <f>(Table3[[#This Row],[HomeMargin]]-Table3[[#This Row],[HomeForecast]])^2</f>
        <v>1.4516672732393876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-1.6468605997175298</v>
      </c>
      <c r="J198">
        <f>(Table3[[#This Row],[HomeMargin]]-Table3[[#This Row],[HomeForecast]])^2</f>
        <v>7.0058710343370434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0.30560917380694219</v>
      </c>
      <c r="J199">
        <f>(Table3[[#This Row],[HomeMargin]]-Table3[[#This Row],[HomeForecast]])^2</f>
        <v>7.2597419242733086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0.49123338699280183</v>
      </c>
      <c r="J200">
        <f>(Table3[[#This Row],[HomeMargin]]-Table3[[#This Row],[HomeForecast]])^2</f>
        <v>6.2939099185396099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0.88354417429177534</v>
      </c>
      <c r="J201">
        <f>(Table3[[#This Row],[HomeMargin]]-Table3[[#This Row],[HomeForecast]])^2</f>
        <v>1.35619593413844E-2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0.73459069946037425</v>
      </c>
      <c r="J202">
        <f>(Table3[[#This Row],[HomeMargin]]-Table3[[#This Row],[HomeForecast]])^2</f>
        <v>3.0088048946544306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0.48265165230898444</v>
      </c>
      <c r="J203">
        <f>(Table3[[#This Row],[HomeMargin]]-Table3[[#This Row],[HomeForecast]])^2</f>
        <v>2.1982559220945612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-0.16021024825866775</v>
      </c>
      <c r="J204">
        <f>(Table3[[#This Row],[HomeMargin]]-Table3[[#This Row],[HomeForecast]])^2</f>
        <v>3.3848263306124329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-0.39779736785282971</v>
      </c>
      <c r="J205">
        <f>(Table3[[#This Row],[HomeMargin]]-Table3[[#This Row],[HomeForecast]])^2</f>
        <v>0.36264801016498011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-0.16953814012296262</v>
      </c>
      <c r="J206">
        <f>(Table3[[#This Row],[HomeMargin]]-Table3[[#This Row],[HomeForecast]])^2</f>
        <v>4.7068957414482044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-0.54380108627513957</v>
      </c>
      <c r="J207">
        <f>(Table3[[#This Row],[HomeMargin]]-Table3[[#This Row],[HomeForecast]])^2</f>
        <v>2.3833217939843014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-0.57714372556918969</v>
      </c>
      <c r="J208">
        <f>(Table3[[#This Row],[HomeMargin]]-Table3[[#This Row],[HomeForecast]])^2</f>
        <v>2.4873823311022631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0.72297417836471189</v>
      </c>
      <c r="J209">
        <f>(Table3[[#This Row],[HomeMargin]]-Table3[[#This Row],[HomeForecast]])^2</f>
        <v>10.738898235664434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-0.20355348099921602</v>
      </c>
      <c r="J210">
        <f>(Table3[[#This Row],[HomeMargin]]-Table3[[#This Row],[HomeForecast]])^2</f>
        <v>0.6343270576284662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1.4331341938731916</v>
      </c>
      <c r="J211">
        <f>(Table3[[#This Row],[HomeMargin]]-Table3[[#This Row],[HomeForecast]])^2</f>
        <v>0.18760522990217957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1.0175218928754275</v>
      </c>
      <c r="J212">
        <f>(Table3[[#This Row],[HomeMargin]]-Table3[[#This Row],[HomeForecast]])^2</f>
        <v>3.0701672993795667E-4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-8.654081870380248E-2</v>
      </c>
      <c r="J213">
        <f>(Table3[[#This Row],[HomeMargin]]-Table3[[#This Row],[HomeForecast]])^2</f>
        <v>9.5267342255247378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1.6666192442700525</v>
      </c>
      <c r="J214">
        <f>(Table3[[#This Row],[HomeMargin]]-Table3[[#This Row],[HomeForecast]])^2</f>
        <v>0.44438121683117587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-5.3779214073123138E-2</v>
      </c>
      <c r="J215">
        <f>(Table3[[#This Row],[HomeMargin]]-Table3[[#This Row],[HomeForecast]])^2</f>
        <v>0.89533377572007655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0.2875788973065343</v>
      </c>
      <c r="J216">
        <f>(Table3[[#This Row],[HomeMargin]]-Table3[[#This Row],[HomeForecast]])^2</f>
        <v>1.6578594167891108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-0.76911933847470881</v>
      </c>
      <c r="J217">
        <f>(Table3[[#This Row],[HomeMargin]]-Table3[[#This Row],[HomeForecast]])^2</f>
        <v>4.9768285259675222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0.79825157489432974</v>
      </c>
      <c r="J218">
        <f>(Table3[[#This Row],[HomeMargin]]-Table3[[#This Row],[HomeForecast]])^2</f>
        <v>4.0702427032618241E-2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-0.23652055273242734</v>
      </c>
      <c r="J219">
        <f>(Table3[[#This Row],[HomeMargin]]-Table3[[#This Row],[HomeForecast]])^2</f>
        <v>17.948106393724274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4.6770582702977348E-2</v>
      </c>
      <c r="J220">
        <f>(Table3[[#This Row],[HomeMargin]]-Table3[[#This Row],[HomeForecast]])^2</f>
        <v>25.469893314436145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-0.66224996652803669</v>
      </c>
      <c r="J221">
        <f>(Table3[[#This Row],[HomeMargin]]-Table3[[#This Row],[HomeForecast]])^2</f>
        <v>7.0875748842785331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-0.83577445699041508</v>
      </c>
      <c r="J222">
        <f>(Table3[[#This Row],[HomeMargin]]-Table3[[#This Row],[HomeForecast]])^2</f>
        <v>4.6838722010151326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1.933128700175053</v>
      </c>
      <c r="J223">
        <f>(Table3[[#This Row],[HomeMargin]]-Table3[[#This Row],[HomeForecast]])^2</f>
        <v>9.4056995696899595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0.37712160385104332</v>
      </c>
      <c r="J224">
        <f>(Table3[[#This Row],[HomeMargin]]-Table3[[#This Row],[HomeForecast]])^2</f>
        <v>0.38797749638909662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1.2208801080835399</v>
      </c>
      <c r="J225">
        <f>(Table3[[#This Row],[HomeMargin]]-Table3[[#This Row],[HomeForecast]])^2</f>
        <v>17.815828886815314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0.75878053003292478</v>
      </c>
      <c r="J226">
        <f>(Table3[[#This Row],[HomeMargin]]-Table3[[#This Row],[HomeForecast]])^2</f>
        <v>5.8186832691196705E-2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-0.19121059203815241</v>
      </c>
      <c r="J227">
        <f>(Table3[[#This Row],[HomeMargin]]-Table3[[#This Row],[HomeForecast]])^2</f>
        <v>3.2717191223549711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5.0577325828559644E-2</v>
      </c>
      <c r="J228">
        <f>(Table3[[#This Row],[HomeMargin]]-Table3[[#This Row],[HomeForecast]])^2</f>
        <v>9.3060220208593272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0.93495581479773071</v>
      </c>
      <c r="J229">
        <f>(Table3[[#This Row],[HomeMargin]]-Table3[[#This Row],[HomeForecast]])^2</f>
        <v>4.2307460286271073E-3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-0.98298722314049203</v>
      </c>
      <c r="J230">
        <f>(Table3[[#This Row],[HomeMargin]]-Table3[[#This Row],[HomeForecast]])^2</f>
        <v>1.0343149882954876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-0.2749620290014898</v>
      </c>
      <c r="J231">
        <f>(Table3[[#This Row],[HomeMargin]]-Table3[[#This Row],[HomeForecast]])^2</f>
        <v>5.1754522333985742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-5.7546144783819891E-2</v>
      </c>
      <c r="J232">
        <f>(Table3[[#This Row],[HomeMargin]]-Table3[[#This Row],[HomeForecast]])^2</f>
        <v>8.6580346900765601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-0.8257556396382999</v>
      </c>
      <c r="J233">
        <f>(Table3[[#This Row],[HomeMargin]]-Table3[[#This Row],[HomeForecast]])^2</f>
        <v>10.07582725928806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-5.731355446158215E-3</v>
      </c>
      <c r="J234">
        <f>(Table3[[#This Row],[HomeMargin]]-Table3[[#This Row],[HomeForecast]])^2</f>
        <v>8.9656447157583017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0.33952065253357644</v>
      </c>
      <c r="J235">
        <f>(Table3[[#This Row],[HomeMargin]]-Table3[[#This Row],[HomeForecast]])^2</f>
        <v>11.152398188698283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-0.11459942890893843</v>
      </c>
      <c r="J236">
        <f>(Table3[[#This Row],[HomeMargin]]-Table3[[#This Row],[HomeForecast]])^2</f>
        <v>1.2423318869241318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1.0799150111247369</v>
      </c>
      <c r="J237">
        <f>(Table3[[#This Row],[HomeMargin]]-Table3[[#This Row],[HomeForecast]])^2</f>
        <v>3.6867263645041195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-2.1551376218898217</v>
      </c>
      <c r="J238">
        <f>(Table3[[#This Row],[HomeMargin]]-Table3[[#This Row],[HomeForecast]])^2</f>
        <v>34.16241621904777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-0.4604105735852605</v>
      </c>
      <c r="J239">
        <f>(Table3[[#This Row],[HomeMargin]]-Table3[[#This Row],[HomeForecast]])^2</f>
        <v>19.895262484951193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0.4002318206464901</v>
      </c>
      <c r="J240">
        <f>(Table3[[#This Row],[HomeMargin]]-Table3[[#This Row],[HomeForecast]])^2</f>
        <v>0.35972186896502401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-1.5265079727204405</v>
      </c>
      <c r="J241">
        <f>(Table3[[#This Row],[HomeMargin]]-Table3[[#This Row],[HomeForecast]])^2</f>
        <v>0.27721064533818807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-0.34985946097536047</v>
      </c>
      <c r="J242">
        <f>(Table3[[#This Row],[HomeMargin]]-Table3[[#This Row],[HomeForecast]])^2</f>
        <v>21.623807032680364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-3.9612849455905097E-2</v>
      </c>
      <c r="J243">
        <f>(Table3[[#This Row],[HomeMargin]]-Table3[[#This Row],[HomeForecast]])^2</f>
        <v>0.92234347893020585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2.2518715623423696E-2</v>
      </c>
      <c r="J244">
        <f>(Table3[[#This Row],[HomeMargin]]-Table3[[#This Row],[HomeForecast]])^2</f>
        <v>3.9104322300596341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-0.93942902962558139</v>
      </c>
      <c r="J245">
        <f>(Table3[[#This Row],[HomeMargin]]-Table3[[#This Row],[HomeForecast]])^2</f>
        <v>3.6688424520986969E-3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0.12977412174085207</v>
      </c>
      <c r="J246">
        <f>(Table3[[#This Row],[HomeMargin]]-Table3[[#This Row],[HomeForecast]])^2</f>
        <v>0.75729307919190525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-0.6723530603228477</v>
      </c>
      <c r="J247">
        <f>(Table3[[#This Row],[HomeMargin]]-Table3[[#This Row],[HomeForecast]])^2</f>
        <v>1.7626463964341077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-0.24653937008454252</v>
      </c>
      <c r="J248">
        <f>(Table3[[#This Row],[HomeMargin]]-Table3[[#This Row],[HomeForecast]])^2</f>
        <v>1.5538604011707677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-0.22543587863111561</v>
      </c>
      <c r="J249">
        <f>(Table3[[#This Row],[HomeMargin]]-Table3[[#This Row],[HomeForecast]])^2</f>
        <v>0.59994957811195193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0.58585603383234974</v>
      </c>
      <c r="J250">
        <f>(Table3[[#This Row],[HomeMargin]]-Table3[[#This Row],[HomeForecast]])^2</f>
        <v>5.8280910893836717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0.62189394952498556</v>
      </c>
      <c r="J251">
        <f>(Table3[[#This Row],[HomeMargin]]-Table3[[#This Row],[HomeForecast]])^2</f>
        <v>0.14296418540581418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-0.38012105208527014</v>
      </c>
      <c r="J252">
        <f>(Table3[[#This Row],[HomeMargin]]-Table3[[#This Row],[HomeForecast]])^2</f>
        <v>13.103523597556251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1.0993833975402805</v>
      </c>
      <c r="J253">
        <f>(Table3[[#This Row],[HomeMargin]]-Table3[[#This Row],[HomeForecast]])^2</f>
        <v>0.81111026462608848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-4.8179187006578028E-2</v>
      </c>
      <c r="J254">
        <f>(Table3[[#This Row],[HomeMargin]]-Table3[[#This Row],[HomeForecast]])^2</f>
        <v>4.1950379820869266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0.25919062947134169</v>
      </c>
      <c r="J255">
        <f>(Table3[[#This Row],[HomeMargin]]-Table3[[#This Row],[HomeForecast]])^2</f>
        <v>1.5855610413484338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-1.2197721736039031</v>
      </c>
      <c r="J256">
        <f>(Table3[[#This Row],[HomeMargin]]-Table3[[#This Row],[HomeForecast]])^2</f>
        <v>4.8299808290584126E-2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-2.4257459954068321</v>
      </c>
      <c r="J257">
        <f>(Table3[[#This Row],[HomeMargin]]-Table3[[#This Row],[HomeForecast]])^2</f>
        <v>2.0327516434186186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2.4069003432467984E-2</v>
      </c>
      <c r="J258">
        <f>(Table3[[#This Row],[HomeMargin]]-Table3[[#This Row],[HomeForecast]])^2</f>
        <v>0.95244131006129618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0.17686325011112494</v>
      </c>
      <c r="J259">
        <f>(Table3[[#This Row],[HomeMargin]]-Table3[[#This Row],[HomeForecast]])^2</f>
        <v>1.3850071094621201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1.3374411127786141</v>
      </c>
      <c r="J260">
        <f>(Table3[[#This Row],[HomeMargin]]-Table3[[#This Row],[HomeForecast]])^2</f>
        <v>2.7641020534788128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0.33811863820876908</v>
      </c>
      <c r="J261">
        <f>(Table3[[#This Row],[HomeMargin]]-Table3[[#This Row],[HomeForecast]])^2</f>
        <v>1.7905614899216906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0.99119238337250193</v>
      </c>
      <c r="J262">
        <f>(Table3[[#This Row],[HomeMargin]]-Table3[[#This Row],[HomeForecast]])^2</f>
        <v>1.0176928073656528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0.36766641903322367</v>
      </c>
      <c r="J263">
        <f>(Table3[[#This Row],[HomeMargin]]-Table3[[#This Row],[HomeForecast]])^2</f>
        <v>11.341177109884056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1.2652444600258961</v>
      </c>
      <c r="J264">
        <f>(Table3[[#This Row],[HomeMargin]]-Table3[[#This Row],[HomeForecast]])^2</f>
        <v>3.0093767834708447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0.3305168192030935</v>
      </c>
      <c r="J265">
        <f>(Table3[[#This Row],[HomeMargin]]-Table3[[#This Row],[HomeForecast]])^2</f>
        <v>1.7702750061823178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-0.27553336467989897</v>
      </c>
      <c r="J266">
        <f>(Table3[[#This Row],[HomeMargin]]-Table3[[#This Row],[HomeForecast]])^2</f>
        <v>13.871651717612634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-0.18506857707438909</v>
      </c>
      <c r="J267">
        <f>(Table3[[#This Row],[HomeMargin]]-Table3[[#This Row],[HomeForecast]])^2</f>
        <v>0.66411322407156093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0.41969694678290992</v>
      </c>
      <c r="J268">
        <f>(Table3[[#This Row],[HomeMargin]]-Table3[[#This Row],[HomeForecast]])^2</f>
        <v>2.0155394207047164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-0.28321153011024425</v>
      </c>
      <c r="J269">
        <f>(Table3[[#This Row],[HomeMargin]]-Table3[[#This Row],[HomeForecast]])^2</f>
        <v>1.6466318310078742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-0.89348482459824063</v>
      </c>
      <c r="J270">
        <f>(Table3[[#This Row],[HomeMargin]]-Table3[[#This Row],[HomeForecast]])^2</f>
        <v>1.2243758333943862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7.0866470774536595E-3</v>
      </c>
      <c r="J271">
        <f>(Table3[[#This Row],[HomeMargin]]-Table3[[#This Row],[HomeForecast]])^2</f>
        <v>1.014223514721708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0.47400114329547893</v>
      </c>
      <c r="J272">
        <f>(Table3[[#This Row],[HomeMargin]]-Table3[[#This Row],[HomeForecast]])^2</f>
        <v>2.1726793704363789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0.85006636423199144</v>
      </c>
      <c r="J273">
        <f>(Table3[[#This Row],[HomeMargin]]-Table3[[#This Row],[HomeForecast]])^2</f>
        <v>23.523143737454525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0.52239280404887034</v>
      </c>
      <c r="J274">
        <f>(Table3[[#This Row],[HomeMargin]]-Table3[[#This Row],[HomeForecast]])^2</f>
        <v>6.1385374174288208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0.29477031961718625</v>
      </c>
      <c r="J275">
        <f>(Table3[[#This Row],[HomeMargin]]-Table3[[#This Row],[HomeForecast]])^2</f>
        <v>0.49734890209284566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-0.60944691681235996</v>
      </c>
      <c r="J276">
        <f>(Table3[[#This Row],[HomeMargin]]-Table3[[#This Row],[HomeForecast]])^2</f>
        <v>6.8092132116615316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2.1157372461807298</v>
      </c>
      <c r="J277">
        <f>(Table3[[#This Row],[HomeMargin]]-Table3[[#This Row],[HomeForecast]])^2</f>
        <v>0.78192061779203925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-0.86426779200061832</v>
      </c>
      <c r="J278">
        <f>(Table3[[#This Row],[HomeMargin]]-Table3[[#This Row],[HomeForecast]])^2</f>
        <v>14.932565568293334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-0.26589066125173688</v>
      </c>
      <c r="J279">
        <f>(Table3[[#This Row],[HomeMargin]]-Table3[[#This Row],[HomeForecast]])^2</f>
        <v>10.666041811251306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-0.59729996365307159</v>
      </c>
      <c r="J280">
        <f>(Table3[[#This Row],[HomeMargin]]-Table3[[#This Row],[HomeForecast]])^2</f>
        <v>40.994567755436961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-5.8282280801389016E-2</v>
      </c>
      <c r="J281">
        <f>(Table3[[#This Row],[HomeMargin]]-Table3[[#This Row],[HomeForecast]])^2</f>
        <v>4.2365259474609678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-0.22724850773078822</v>
      </c>
      <c r="J282">
        <f>(Table3[[#This Row],[HomeMargin]]-Table3[[#This Row],[HomeForecast]])^2</f>
        <v>4.960635915189024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-0.47737275762267517</v>
      </c>
      <c r="J283">
        <f>(Table3[[#This Row],[HomeMargin]]-Table3[[#This Row],[HomeForecast]])^2</f>
        <v>0.27313923447492705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0.12382143542315685</v>
      </c>
      <c r="J284">
        <f>(Table3[[#This Row],[HomeMargin]]-Table3[[#This Row],[HomeForecast]])^2</f>
        <v>1.2629746187165647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1.7087630834004934</v>
      </c>
      <c r="J285">
        <f>(Table3[[#This Row],[HomeMargin]]-Table3[[#This Row],[HomeForecast]])^2</f>
        <v>0.50234510839137481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-1.3045123416937825</v>
      </c>
      <c r="J286">
        <f>(Table3[[#This Row],[HomeMargin]]-Table3[[#This Row],[HomeForecast]])^2</f>
        <v>5.310777133018961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-0.85838256804579138</v>
      </c>
      <c r="J287">
        <f>(Table3[[#This Row],[HomeMargin]]-Table3[[#This Row],[HomeForecast]])^2</f>
        <v>2.0055497033304909E-2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2.1157331948308995E-2</v>
      </c>
      <c r="J288">
        <f>(Table3[[#This Row],[HomeMargin]]-Table3[[#This Row],[HomeForecast]])^2</f>
        <v>1.0427622965917889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1.4381547098834828</v>
      </c>
      <c r="J289">
        <f>(Table3[[#This Row],[HomeMargin]]-Table3[[#This Row],[HomeForecast]])^2</f>
        <v>5.9445983893270089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-5.5425728741933522E-2</v>
      </c>
      <c r="J290">
        <f>(Table3[[#This Row],[HomeMargin]]-Table3[[#This Row],[HomeForecast]])^2</f>
        <v>0.89222055392270738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-0.88346600724612545</v>
      </c>
      <c r="J291">
        <f>(Table3[[#This Row],[HomeMargin]]-Table3[[#This Row],[HomeForecast]])^2</f>
        <v>1.3580171467160085E-2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0.98446219329313345</v>
      </c>
      <c r="J292">
        <f>(Table3[[#This Row],[HomeMargin]]-Table3[[#This Row],[HomeForecast]])^2</f>
        <v>2.4142343725994721E-4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0.70294041110477556</v>
      </c>
      <c r="J293">
        <f>(Table3[[#This Row],[HomeMargin]]-Table3[[#This Row],[HomeForecast]])^2</f>
        <v>10.870601932725947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-1.3775005845784505E-2</v>
      </c>
      <c r="J294">
        <f>(Table3[[#This Row],[HomeMargin]]-Table3[[#This Row],[HomeForecast]])^2</f>
        <v>0.97263973909448243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-0.2362451214677618</v>
      </c>
      <c r="J295">
        <f>(Table3[[#This Row],[HomeMargin]]-Table3[[#This Row],[HomeForecast]])^2</f>
        <v>3.11083127154627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-0.36993864353819461</v>
      </c>
      <c r="J296">
        <f>(Table3[[#This Row],[HomeMargin]]-Table3[[#This Row],[HomeForecast]])^2</f>
        <v>5.6166091741356583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-0.4705136673800715</v>
      </c>
      <c r="J297">
        <f>(Table3[[#This Row],[HomeMargin]]-Table3[[#This Row],[HomeForecast]])^2</f>
        <v>0.28035577643130155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0.13669802189878352</v>
      </c>
      <c r="J298">
        <f>(Table3[[#This Row],[HomeMargin]]-Table3[[#This Row],[HomeForecast]])^2</f>
        <v>1.2920823929886072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4.6770582702977348E-2</v>
      </c>
      <c r="J299">
        <f>(Table3[[#This Row],[HomeMargin]]-Table3[[#This Row],[HomeForecast]])^2</f>
        <v>8.7215639911885123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-1.3676780310327765</v>
      </c>
      <c r="J300">
        <f>(Table3[[#This Row],[HomeMargin]]-Table3[[#This Row],[HomeForecast]])^2</f>
        <v>2.6644750103730335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0.35298919292948117</v>
      </c>
      <c r="J301">
        <f>(Table3[[#This Row],[HomeMargin]]-Table3[[#This Row],[HomeForecast]])^2</f>
        <v>1.8305797561839692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1.6145017740801686</v>
      </c>
      <c r="J302">
        <f>(Table3[[#This Row],[HomeMargin]]-Table3[[#This Row],[HomeForecast]])^2</f>
        <v>1.9196053340270003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1.491689661774815E-2</v>
      </c>
      <c r="J303">
        <f>(Table3[[#This Row],[HomeMargin]]-Table3[[#This Row],[HomeForecast]])^2</f>
        <v>0.97038872056920822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0.32457067849581245</v>
      </c>
      <c r="J304">
        <f>(Table3[[#This Row],[HomeMargin]]-Table3[[#This Row],[HomeForecast]])^2</f>
        <v>1.7544874823308569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1.6233516647434367</v>
      </c>
      <c r="J305">
        <f>(Table3[[#This Row],[HomeMargin]]-Table3[[#This Row],[HomeForecast]])^2</f>
        <v>5.6484573094777932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1.4708707861081218</v>
      </c>
      <c r="J306">
        <f>(Table3[[#This Row],[HomeMargin]]-Table3[[#This Row],[HomeForecast]])^2</f>
        <v>29.930427158291305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0.64693930515561782</v>
      </c>
      <c r="J307">
        <f>(Table3[[#This Row],[HomeMargin]]-Table3[[#This Row],[HomeForecast]])^2</f>
        <v>0.12465185424399795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-0.3879994517562283</v>
      </c>
      <c r="J308">
        <f>(Table3[[#This Row],[HomeMargin]]-Table3[[#This Row],[HomeForecast]])^2</f>
        <v>2.5985457675382211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0.51765936028357318</v>
      </c>
      <c r="J309">
        <f>(Table3[[#This Row],[HomeMargin]]-Table3[[#This Row],[HomeForecast]])^2</f>
        <v>12.126696331020613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0.19338771344448469</v>
      </c>
      <c r="J310">
        <f>(Table3[[#This Row],[HomeMargin]]-Table3[[#This Row],[HomeForecast]])^2</f>
        <v>0.65062338082231674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1.0752060031155328</v>
      </c>
      <c r="J311">
        <f>(Table3[[#This Row],[HomeMargin]]-Table3[[#This Row],[HomeForecast]])^2</f>
        <v>3.7048319304424822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0.69357231999765867</v>
      </c>
      <c r="J312">
        <f>(Table3[[#This Row],[HomeMargin]]-Table3[[#This Row],[HomeForecast]])^2</f>
        <v>9.389792307161729E-2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1.1445949626879541</v>
      </c>
      <c r="J313">
        <f>(Table3[[#This Row],[HomeMargin]]-Table3[[#This Row],[HomeForecast]])^2</f>
        <v>3.4425278524829142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0.15804672201612005</v>
      </c>
      <c r="J314">
        <f>(Table3[[#This Row],[HomeMargin]]-Table3[[#This Row],[HomeForecast]])^2</f>
        <v>1.341072210372281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-5.1163250437480323E-2</v>
      </c>
      <c r="J315">
        <f>(Table3[[#This Row],[HomeMargin]]-Table3[[#This Row],[HomeForecast]])^2</f>
        <v>4.2072706799452497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-5.3516157585670354E-2</v>
      </c>
      <c r="J316">
        <f>(Table3[[#This Row],[HomeMargin]]-Table3[[#This Row],[HomeForecast]])^2</f>
        <v>1.1098962942940751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0.32334365314550606</v>
      </c>
      <c r="J317">
        <f>(Table3[[#This Row],[HomeMargin]]-Table3[[#This Row],[HomeForecast]])^2</f>
        <v>13.517801892865434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0.76218362255471916</v>
      </c>
      <c r="J318">
        <f>(Table3[[#This Row],[HomeMargin]]-Table3[[#This Row],[HomeForecast]])^2</f>
        <v>5.655662938119628E-2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0.63310055792334441</v>
      </c>
      <c r="J319">
        <f>(Table3[[#This Row],[HomeMargin]]-Table3[[#This Row],[HomeForecast]])^2</f>
        <v>0.13461520059616114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0.80636511603852523</v>
      </c>
      <c r="J320">
        <f>(Table3[[#This Row],[HomeMargin]]-Table3[[#This Row],[HomeForecast]])^2</f>
        <v>4.8120340041326735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0.63683621136080681</v>
      </c>
      <c r="J321">
        <f>(Table3[[#This Row],[HomeMargin]]-Table3[[#This Row],[HomeForecast]])^2</f>
        <v>0.13188793737877258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0.7782489164484685</v>
      </c>
      <c r="J322">
        <f>(Table3[[#This Row],[HomeMargin]]-Table3[[#This Row],[HomeForecast]])^2</f>
        <v>22.831662707540964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-0.43994120698327044</v>
      </c>
      <c r="J323">
        <f>(Table3[[#This Row],[HomeMargin]]-Table3[[#This Row],[HomeForecast]])^2</f>
        <v>2.0734306795684376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1.2299079523750862</v>
      </c>
      <c r="J324">
        <f>(Table3[[#This Row],[HomeMargin]]-Table3[[#This Row],[HomeForecast]])^2</f>
        <v>3.1332258570649603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0.85453815368702291</v>
      </c>
      <c r="J325">
        <f>(Table3[[#This Row],[HomeMargin]]-Table3[[#This Row],[HomeForecast]])^2</f>
        <v>3.4393117634808719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0.48837746317261693</v>
      </c>
      <c r="J326">
        <f>(Table3[[#This Row],[HomeMargin]]-Table3[[#This Row],[HomeForecast]])^2</f>
        <v>2.2152674728801549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2.1237808965803562</v>
      </c>
      <c r="J327">
        <f>(Table3[[#This Row],[HomeMargin]]-Table3[[#This Row],[HomeForecast]])^2</f>
        <v>0.76775991719752446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-0.5150104779463458</v>
      </c>
      <c r="J328">
        <f>(Table3[[#This Row],[HomeMargin]]-Table3[[#This Row],[HomeForecast]])^2</f>
        <v>20.115131012931066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-7.232112984708286E-2</v>
      </c>
      <c r="J329">
        <f>(Table3[[#This Row],[HomeMargin]]-Table3[[#This Row],[HomeForecast]])^2</f>
        <v>1.1498726055165245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-0.80968602315273053</v>
      </c>
      <c r="J330">
        <f>(Table3[[#This Row],[HomeMargin]]-Table3[[#This Row],[HomeForecast]])^2</f>
        <v>10.178103270867039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1.1772218910954457</v>
      </c>
      <c r="J331">
        <f>(Table3[[#This Row],[HomeMargin]]-Table3[[#This Row],[HomeForecast]])^2</f>
        <v>3.1407598683446024E-2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0.1313610513196912</v>
      </c>
      <c r="J332">
        <f>(Table3[[#This Row],[HomeMargin]]-Table3[[#This Row],[HomeForecast]])^2</f>
        <v>0.75453362316443207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1.2002624125911112</v>
      </c>
      <c r="J333">
        <f>(Table3[[#This Row],[HomeMargin]]-Table3[[#This Row],[HomeForecast]])^2</f>
        <v>4.0105033896812463E-2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-7.6387783337606652E-2</v>
      </c>
      <c r="J334">
        <f>(Table3[[#This Row],[HomeMargin]]-Table3[[#This Row],[HomeForecast]])^2</f>
        <v>0.85305952676801988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5.6755558049979289E-2</v>
      </c>
      <c r="J335">
        <f>(Table3[[#This Row],[HomeMargin]]-Table3[[#This Row],[HomeForecast]])^2</f>
        <v>9.3437545416694405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-0.96929094334278365</v>
      </c>
      <c r="J336">
        <f>(Table3[[#This Row],[HomeMargin]]-Table3[[#This Row],[HomeForecast]])^2</f>
        <v>1.0623611594752089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-0.20692638471465849</v>
      </c>
      <c r="J337">
        <f>(Table3[[#This Row],[HomeMargin]]-Table3[[#This Row],[HomeForecast]])^2</f>
        <v>38.525935145266978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-3.5560641175345395E-2</v>
      </c>
      <c r="J338">
        <f>(Table3[[#This Row],[HomeMargin]]-Table3[[#This Row],[HomeForecast]])^2</f>
        <v>0.93014327685011089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0.11615208199821128</v>
      </c>
      <c r="J339">
        <f>(Table3[[#This Row],[HomeMargin]]-Table3[[#This Row],[HomeForecast]])^2</f>
        <v>26.175012126134632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-0.33701927422777123</v>
      </c>
      <c r="J340">
        <f>(Table3[[#This Row],[HomeMargin]]-Table3[[#This Row],[HomeForecast]])^2</f>
        <v>0.43954344274547119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0.54427520168076993</v>
      </c>
      <c r="J341">
        <f>(Table3[[#This Row],[HomeMargin]]-Table3[[#This Row],[HomeForecast]])^2</f>
        <v>0.20768509180310293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-0.95927212599066847</v>
      </c>
      <c r="J342">
        <f>(Table3[[#This Row],[HomeMargin]]-Table3[[#This Row],[HomeForecast]])^2</f>
        <v>3.8387472636839939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0.20911403482060242</v>
      </c>
      <c r="J343">
        <f>(Table3[[#This Row],[HomeMargin]]-Table3[[#This Row],[HomeForecast]])^2</f>
        <v>0.62550060991774725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0.80459762959852232</v>
      </c>
      <c r="J344">
        <f>(Table3[[#This Row],[HomeMargin]]-Table3[[#This Row],[HomeForecast]])^2</f>
        <v>14.474963123146695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0.36125905446760331</v>
      </c>
      <c r="J345">
        <f>(Table3[[#This Row],[HomeMargin]]-Table3[[#This Row],[HomeForecast]])^2</f>
        <v>6.962953777629207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-2.9829630247844889</v>
      </c>
      <c r="J346">
        <f>(Table3[[#This Row],[HomeMargin]]-Table3[[#This Row],[HomeForecast]])^2</f>
        <v>2.9025852449393824E-4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1.7221155801841013</v>
      </c>
      <c r="J347">
        <f>(Table3[[#This Row],[HomeMargin]]-Table3[[#This Row],[HomeForecast]])^2</f>
        <v>7.4099132318810259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-0.40291761615012622</v>
      </c>
      <c r="J348">
        <f>(Table3[[#This Row],[HomeMargin]]-Table3[[#This Row],[HomeForecast]])^2</f>
        <v>11.579848302304857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0.39989831849832747</v>
      </c>
      <c r="J349">
        <f>(Table3[[#This Row],[HomeMargin]]-Table3[[#This Row],[HomeForecast]])^2</f>
        <v>1.9597153021344449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0.15408269094573482</v>
      </c>
      <c r="J350">
        <f>(Table3[[#This Row],[HomeMargin]]-Table3[[#This Row],[HomeForecast]])^2</f>
        <v>1.3319068575405486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0.53043645444849652</v>
      </c>
      <c r="J351">
        <f>(Table3[[#This Row],[HomeMargin]]-Table3[[#This Row],[HomeForecast]])^2</f>
        <v>0.22048992331089889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0.18906520130880222</v>
      </c>
      <c r="J352">
        <f>(Table3[[#This Row],[HomeMargin]]-Table3[[#This Row],[HomeForecast]])^2</f>
        <v>4.7920064555811477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-0.76107568807508241</v>
      </c>
      <c r="J353">
        <f>(Table3[[#This Row],[HomeMargin]]-Table3[[#This Row],[HomeForecast]])^2</f>
        <v>14.145690331429453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-1.4305518768915899</v>
      </c>
      <c r="J354">
        <f>(Table3[[#This Row],[HomeMargin]]-Table3[[#This Row],[HomeForecast]])^2</f>
        <v>0.1853749186948708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0.62326688903369265</v>
      </c>
      <c r="J355">
        <f>(Table3[[#This Row],[HomeMargin]]-Table3[[#This Row],[HomeForecast]])^2</f>
        <v>0.14192783689835203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-6.3619251380481343E-2</v>
      </c>
      <c r="J356">
        <f>(Table3[[#This Row],[HomeMargin]]-Table3[[#This Row],[HomeForecast]])^2</f>
        <v>4.2585244146681385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0.14940084417271193</v>
      </c>
      <c r="J357">
        <f>(Table3[[#This Row],[HomeMargin]]-Table3[[#This Row],[HomeForecast]])^2</f>
        <v>9.9187256772757912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0.26234159428032633</v>
      </c>
      <c r="J358">
        <f>(Table3[[#This Row],[HomeMargin]]-Table3[[#This Row],[HomeForecast]])^2</f>
        <v>10.642872677771502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0.18214130115087077</v>
      </c>
      <c r="J359">
        <f>(Table3[[#This Row],[HomeMargin]]-Table3[[#This Row],[HomeForecast]])^2</f>
        <v>0.66889285128319065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0.85129338958229783</v>
      </c>
      <c r="J360">
        <f>(Table3[[#This Row],[HomeMargin]]-Table3[[#This Row],[HomeForecast]])^2</f>
        <v>2.2113655981922248E-2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-1.3135837094435354</v>
      </c>
      <c r="J361">
        <f>(Table3[[#This Row],[HomeMargin]]-Table3[[#This Row],[HomeForecast]])^2</f>
        <v>13.589665067280084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1.2128364576839137</v>
      </c>
      <c r="J362">
        <f>(Table3[[#This Row],[HomeMargin]]-Table3[[#This Row],[HomeForecast]])^2</f>
        <v>4.5299357719436377E-2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0.8856809308204594</v>
      </c>
      <c r="J363">
        <f>(Table3[[#This Row],[HomeMargin]]-Table3[[#This Row],[HomeForecast]])^2</f>
        <v>4.4703451262962384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5.6755558049979289E-2</v>
      </c>
      <c r="J364">
        <f>(Table3[[#This Row],[HomeMargin]]-Table3[[#This Row],[HomeForecast]])^2</f>
        <v>15.549176728969728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1.0945572942827271</v>
      </c>
      <c r="J365">
        <f>(Table3[[#This Row],[HomeMargin]]-Table3[[#This Row],[HomeForecast]])^2</f>
        <v>8.4415973162057085</v>
      </c>
    </row>
    <row r="366" spans="4:10" x14ac:dyDescent="0.2">
      <c r="D366" t="s">
        <v>39</v>
      </c>
      <c r="F366" t="s">
        <v>17</v>
      </c>
    </row>
    <row r="367" spans="4:10" x14ac:dyDescent="0.2">
      <c r="D367" t="s">
        <v>38</v>
      </c>
      <c r="F367" t="s">
        <v>31</v>
      </c>
    </row>
    <row r="368" spans="4:10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E1" zoomScale="85" zoomScaleNormal="70" workbookViewId="0">
      <pane ySplit="1" topLeftCell="A343" activePane="bottomLeft" state="frozen"/>
      <selection activeCell="I1" sqref="I1"/>
      <selection pane="bottomLeft" activeCell="O362" sqref="O362:O376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0.15941966152482714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-0.21100886368613675</v>
      </c>
      <c r="H2" t="s">
        <v>10</v>
      </c>
      <c r="I2">
        <f>VLOOKUP(Table4[[#This Row],[Visitor]],'NHL Model'!$A$6:$B$38,2,FALSE)</f>
        <v>-0.13160108676160023</v>
      </c>
      <c r="J2">
        <f>($B$1+Table4[[#This Row],[Home Differential]])-Table4[[#This Row],[Away Differential]]</f>
        <v>8.0011884600290628E-2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0.60283181069134439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0.1577425705987161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-0.31985119938240425</v>
      </c>
      <c r="H3" t="s">
        <v>12</v>
      </c>
      <c r="I3">
        <f>VLOOKUP(Table4[[#This Row],[Visitor]],'NHL Model'!$A$6:$B$38,2,FALSE)</f>
        <v>1.4583704516548168</v>
      </c>
      <c r="J3">
        <f>($B$1+Table4[[#This Row],[Home Differential]])-Table4[[#This Row],[Away Differential]]</f>
        <v>-1.618801989512394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0.77738196260332393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4.9558790574347866E-2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207</v>
      </c>
      <c r="V3">
        <f>COUNTIF(Table4[Locked Correct],"YES")</f>
        <v>221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-0.50599078340071213</v>
      </c>
      <c r="H4" t="s">
        <v>14</v>
      </c>
      <c r="I4">
        <f>VLOOKUP(Table4[[#This Row],[Visitor]],'NHL Model'!$A$6:$B$38,2,FALSE)</f>
        <v>-0.2200802314358897</v>
      </c>
      <c r="J4">
        <f>($B$1+Table4[[#This Row],[Home Differential]])-Table4[[#This Row],[Away Differential]]</f>
        <v>-0.12649089043999531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0.47757303672075624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0.27292993196117232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153</v>
      </c>
      <c r="V4">
        <f>COUNTIF(Table4[Locked Correct],"NO")</f>
        <v>139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-0.8561868317598319</v>
      </c>
      <c r="H5" t="s">
        <v>16</v>
      </c>
      <c r="I5">
        <f>VLOOKUP(Table4[[#This Row],[Visitor]],'NHL Model'!$A$6:$B$38,2,FALSE)</f>
        <v>-1.1167763879247272</v>
      </c>
      <c r="J5">
        <f>($B$1+Table4[[#This Row],[Home Differential]])-Table4[[#This Row],[Away Differential]]</f>
        <v>0.42000921768972244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0.60539669458809697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0.36650515781819354</v>
      </c>
      <c r="O5">
        <v>-4.1674767740132361E-3</v>
      </c>
      <c r="P5" s="11"/>
      <c r="Q5" t="s">
        <v>16</v>
      </c>
      <c r="R5" t="s">
        <v>248</v>
      </c>
      <c r="T5">
        <f>SUM(T3:T4)</f>
        <v>360</v>
      </c>
      <c r="V5">
        <f>SUM(V3:V4)</f>
        <v>360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-0.95664361852990654</v>
      </c>
      <c r="H6" t="s">
        <v>18</v>
      </c>
      <c r="I6">
        <f>VLOOKUP(Table4[[#This Row],[Visitor]],'NHL Model'!$A$6:$B$38,2,FALSE)</f>
        <v>-0.75480422558713034</v>
      </c>
      <c r="J6">
        <f>($B$1+Table4[[#This Row],[Home Differential]])-Table4[[#This Row],[Away Differential]]</f>
        <v>-4.241973141794908E-2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0.51299264984344106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0.26316145879339531</v>
      </c>
      <c r="O6">
        <v>-4.4363714293103977E-3</v>
      </c>
      <c r="P6" s="11"/>
      <c r="Q6" t="s">
        <v>18</v>
      </c>
      <c r="R6" t="s">
        <v>249</v>
      </c>
      <c r="T6" s="13">
        <f>T3/T5</f>
        <v>0.57499999999999996</v>
      </c>
      <c r="V6" s="13">
        <f>V3/V5</f>
        <v>0.61388888888888893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-3.2309887002194844E-2</v>
      </c>
      <c r="H7" t="s">
        <v>13</v>
      </c>
      <c r="I7">
        <f>VLOOKUP(Table4[[#This Row],[Visitor]],'NHL Model'!$A$6:$B$38,2,FALSE)</f>
        <v>-0.31985119938240425</v>
      </c>
      <c r="J7">
        <f>($B$1+Table4[[#This Row],[Home Differential]])-Table4[[#This Row],[Away Differential]]</f>
        <v>0.44696097390503653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0.51861681633209444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0.26896340218243736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0.21430145909042725</v>
      </c>
      <c r="H8" t="s">
        <v>21</v>
      </c>
      <c r="I8">
        <f>VLOOKUP(Table4[[#This Row],[Visitor]],'NHL Model'!$A$6:$B$38,2,FALSE)</f>
        <v>-0.12487089668223171</v>
      </c>
      <c r="J8">
        <f>($B$1+Table4[[#This Row],[Home Differential]])-Table4[[#This Row],[Away Differential]]</f>
        <v>0.49859201729748615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0.60926803818177777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0.37120754234987224</v>
      </c>
      <c r="O8">
        <v>-4.9858230986448791E-3</v>
      </c>
      <c r="P8" s="11"/>
      <c r="Q8" t="s">
        <v>21</v>
      </c>
      <c r="R8" t="s">
        <v>248</v>
      </c>
      <c r="T8">
        <f>SUM(Table4[Error])</f>
        <v>80.556788855037738</v>
      </c>
      <c r="V8">
        <f>COUNTIF(Table4[Locked Correct],"")</f>
        <v>952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-0.12487089668223171</v>
      </c>
      <c r="H9" t="s">
        <v>10</v>
      </c>
      <c r="I9">
        <f>VLOOKUP(Table4[[#This Row],[Visitor]],'NHL Model'!$A$6:$B$38,2,FALSE)</f>
        <v>-0.13160108676160023</v>
      </c>
      <c r="J9">
        <f>($B$1+Table4[[#This Row],[Home Differential]])-Table4[[#This Row],[Away Differential]]</f>
        <v>0.16614985160419565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0.61479872508293043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0.1483800221977358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-0.49794713300108584</v>
      </c>
      <c r="H10" t="s">
        <v>15</v>
      </c>
      <c r="I10">
        <f>VLOOKUP(Table4[[#This Row],[Visitor]],'NHL Model'!$A$6:$B$38,2,FALSE)</f>
        <v>-0.50599078340071213</v>
      </c>
      <c r="J10">
        <f>($B$1+Table4[[#This Row],[Home Differential]])-Table4[[#This Row],[Away Differential]]</f>
        <v>0.16746331192445341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0.49385345952956478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0.24389123948931948</v>
      </c>
      <c r="O10">
        <v>2.893763878885032E-2</v>
      </c>
      <c r="P10" s="11"/>
      <c r="Q10" t="s">
        <v>23</v>
      </c>
      <c r="R10" t="s">
        <v>249</v>
      </c>
      <c r="T10">
        <v>0.13892729080828581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0.42254821659882374</v>
      </c>
      <c r="H11" t="s">
        <v>24</v>
      </c>
      <c r="I11">
        <f>VLOOKUP(Table4[[#This Row],[Visitor]],'NHL Model'!$A$6:$B$38,2,FALSE)</f>
        <v>2.0731927685773251E-2</v>
      </c>
      <c r="J11">
        <f>($B$1+Table4[[#This Row],[Home Differential]])-Table4[[#This Row],[Away Differential]]</f>
        <v>0.56123595043787766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0.66888008100763852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0.10964040075350803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1.4583704516548168</v>
      </c>
      <c r="H12" t="s">
        <v>55</v>
      </c>
      <c r="I12">
        <f>VLOOKUP(Table4[[#This Row],[Visitor]],'NHL Model'!$A$6:$B$38,2,FALSE)</f>
        <v>-0.1349739904770427</v>
      </c>
      <c r="J12">
        <f>($B$1+Table4[[#This Row],[Home Differential]])-Table4[[#This Row],[Away Differential]]</f>
        <v>1.7527641036566866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0.87842740326767188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1.4779896276241277E-2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-0.67114180037169746</v>
      </c>
      <c r="H13" t="s">
        <v>18</v>
      </c>
      <c r="I13">
        <f>VLOOKUP(Table4[[#This Row],[Visitor]],'NHL Model'!$A$6:$B$38,2,FALSE)</f>
        <v>-0.75480422558713034</v>
      </c>
      <c r="J13">
        <f>($B$1+Table4[[#This Row],[Home Differential]])-Table4[[#This Row],[Away Differential]]</f>
        <v>0.24308208674025999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0.55931818101032349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0.31283682760869697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-0.21100886368613675</v>
      </c>
      <c r="H14" t="s">
        <v>27</v>
      </c>
      <c r="I14">
        <f>VLOOKUP(Table4[[#This Row],[Visitor]],'NHL Model'!$A$6:$B$38,2,FALSE)</f>
        <v>-0.54160534998918008</v>
      </c>
      <c r="J14">
        <f>($B$1+Table4[[#This Row],[Home Differential]])-Table4[[#This Row],[Away Differential]]</f>
        <v>0.49001614782787051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0.65979259220139941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0.11574108032104333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-1.6840122346544992</v>
      </c>
      <c r="H15" t="s">
        <v>28</v>
      </c>
      <c r="I15">
        <f>VLOOKUP(Table4[[#This Row],[Visitor]],'NHL Model'!$A$6:$B$38,2,FALSE)</f>
        <v>-0.72083617366747277</v>
      </c>
      <c r="J15">
        <f>($B$1+Table4[[#This Row],[Home Differential]])-Table4[[#This Row],[Away Differential]]</f>
        <v>-0.80375639946219934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0.57166369904710568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0.32679938480821979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-0.2200802314358897</v>
      </c>
      <c r="H16" t="s">
        <v>30</v>
      </c>
      <c r="I16">
        <f>VLOOKUP(Table4[[#This Row],[Visitor]],'NHL Model'!$A$6:$B$38,2,FALSE)</f>
        <v>3.2883390994754517E-3</v>
      </c>
      <c r="J16">
        <f>($B$1+Table4[[#This Row],[Home Differential]])-Table4[[#This Row],[Away Differential]]</f>
        <v>-6.3948909010538013E-2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0.54150741778683587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0.29323028351816682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-0.46055888840939002</v>
      </c>
      <c r="H17" t="s">
        <v>31</v>
      </c>
      <c r="I17">
        <f>VLOOKUP(Table4[[#This Row],[Visitor]],'NHL Model'!$A$6:$B$38,2,FALSE)</f>
        <v>0.35254565315374792</v>
      </c>
      <c r="J17">
        <f>($B$1+Table4[[#This Row],[Home Differential]])-Table4[[#This Row],[Away Differential]]</f>
        <v>-0.65368488003831082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0.54536012397151634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0.29741766481822768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-0.3479098095875402</v>
      </c>
      <c r="H18" t="s">
        <v>20</v>
      </c>
      <c r="I18">
        <f>VLOOKUP(Table4[[#This Row],[Visitor]],'NHL Model'!$A$6:$B$38,2,FALSE)</f>
        <v>-3.2309887002194844E-2</v>
      </c>
      <c r="J18">
        <f>($B$1+Table4[[#This Row],[Home Differential]])-Table4[[#This Row],[Away Differential]]</f>
        <v>-0.15618026106051822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0.48169770054686861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0.26863727361840356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-1.5594075795597986</v>
      </c>
      <c r="H19" t="s">
        <v>34</v>
      </c>
      <c r="I19">
        <f>VLOOKUP(Table4[[#This Row],[Visitor]],'NHL Model'!$A$6:$B$38,2,FALSE)</f>
        <v>-0.17681265190927384</v>
      </c>
      <c r="J19">
        <f>($B$1+Table4[[#This Row],[Home Differential]])-Table4[[#This Row],[Away Differential]]</f>
        <v>-1.2231752661256976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0.65070165667577795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0.12200933264904609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0.1846559193064522</v>
      </c>
      <c r="H20" t="s">
        <v>36</v>
      </c>
      <c r="I20">
        <f>VLOOKUP(Table4[[#This Row],[Visitor]],'NHL Model'!$A$6:$B$38,2,FALSE)</f>
        <v>-0.34257283900844787</v>
      </c>
      <c r="J20">
        <f>($B$1+Table4[[#This Row],[Home Differential]])-Table4[[#This Row],[Away Differential]]</f>
        <v>0.68664841983972713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0.65449963601602779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0.42836977354511285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-1.1267952052768424</v>
      </c>
      <c r="H21" t="s">
        <v>16</v>
      </c>
      <c r="I21">
        <f>VLOOKUP(Table4[[#This Row],[Visitor]],'NHL Model'!$A$6:$B$38,2,FALSE)</f>
        <v>-1.1167763879247272</v>
      </c>
      <c r="J21">
        <f>($B$1+Table4[[#This Row],[Home Differential]])-Table4[[#This Row],[Away Differential]]</f>
        <v>0.14940084417271193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0.56075585452538579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0.19293541933372405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-7.3890719153774626E-2</v>
      </c>
      <c r="H22" t="s">
        <v>39</v>
      </c>
      <c r="I22">
        <f>VLOOKUP(Table4[[#This Row],[Visitor]],'NHL Model'!$A$6:$B$38,2,FALSE)</f>
        <v>1.9153995907683643E-3</v>
      </c>
      <c r="J22">
        <f>($B$1+Table4[[#This Row],[Home Differential]])-Table4[[#This Row],[Away Differential]]</f>
        <v>8.3613542780284156E-2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0.4616162029733476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0.21308951884753086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-0.12487089668223171</v>
      </c>
      <c r="H23" t="s">
        <v>23</v>
      </c>
      <c r="I23">
        <f>VLOOKUP(Table4[[#This Row],[Visitor]],'NHL Model'!$A$6:$B$38,2,FALSE)</f>
        <v>-0.49794713300108584</v>
      </c>
      <c r="J23">
        <f>($B$1+Table4[[#This Row],[Home Differential]])-Table4[[#This Row],[Away Differential]]</f>
        <v>0.53249589784368123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0.66569418878530917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0.1117603754119125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0.42254821659882374</v>
      </c>
      <c r="H24" t="s">
        <v>27</v>
      </c>
      <c r="I24">
        <f>VLOOKUP(Table4[[#This Row],[Visitor]],'NHL Model'!$A$6:$B$38,2,FALSE)</f>
        <v>-0.54160534998918008</v>
      </c>
      <c r="J24">
        <f>($B$1+Table4[[#This Row],[Home Differential]])-Table4[[#This Row],[Away Differential]]</f>
        <v>1.123573228112831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0.74781096093779653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6.3599311423117588E-2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-1.1167763879247272</v>
      </c>
      <c r="H25" t="s">
        <v>35</v>
      </c>
      <c r="I25">
        <f>VLOOKUP(Table4[[#This Row],[Visitor]],'NHL Model'!$A$6:$B$38,2,FALSE)</f>
        <v>-1.5594075795597986</v>
      </c>
      <c r="J25">
        <f>($B$1+Table4[[#This Row],[Home Differential]])-Table4[[#This Row],[Away Differential]]</f>
        <v>0.60205085315989848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0.6236412939583218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0.38892846353000993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-0.13160108676160023</v>
      </c>
      <c r="H26" t="s">
        <v>18</v>
      </c>
      <c r="I26">
        <f>VLOOKUP(Table4[[#This Row],[Visitor]],'NHL Model'!$A$6:$B$38,2,FALSE)</f>
        <v>-0.75480422558713034</v>
      </c>
      <c r="J26">
        <f>($B$1+Table4[[#This Row],[Home Differential]])-Table4[[#This Row],[Away Differential]]</f>
        <v>0.78262280035035725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0.6016282738967389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0.3619565799519695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1.4583704516548168</v>
      </c>
      <c r="H27" t="s">
        <v>39</v>
      </c>
      <c r="I27">
        <f>VLOOKUP(Table4[[#This Row],[Visitor]],'NHL Model'!$A$6:$B$38,2,FALSE)</f>
        <v>1.9153995907683643E-3</v>
      </c>
      <c r="J27">
        <f>($B$1+Table4[[#This Row],[Home Differential]])-Table4[[#This Row],[Away Differential]]</f>
        <v>1.6158747135888756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0.76994364169906271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0.59281321139281462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-0.67114180037169746</v>
      </c>
      <c r="H28" t="s">
        <v>19</v>
      </c>
      <c r="I28">
        <f>VLOOKUP(Table4[[#This Row],[Visitor]],'NHL Model'!$A$6:$B$38,2,FALSE)</f>
        <v>-0.95664361852990654</v>
      </c>
      <c r="J28">
        <f>($B$1+Table4[[#This Row],[Home Differential]])-Table4[[#This Row],[Away Differential]]</f>
        <v>0.44492147968303619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0.63405780160307557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0.13391369256757402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-0.8561868317598319</v>
      </c>
      <c r="H29" t="s">
        <v>38</v>
      </c>
      <c r="I29">
        <f>VLOOKUP(Table4[[#This Row],[Visitor]],'NHL Model'!$A$6:$B$38,2,FALSE)</f>
        <v>-1.1267952052768424</v>
      </c>
      <c r="J29">
        <f>($B$1+Table4[[#This Row],[Home Differential]])-Table4[[#This Row],[Away Differential]]</f>
        <v>0.43002803504183762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0.58605841935365732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0.17134763218799262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-0.21100886368613675</v>
      </c>
      <c r="H30" t="s">
        <v>36</v>
      </c>
      <c r="I30">
        <f>VLOOKUP(Table4[[#This Row],[Visitor]],'NHL Model'!$A$6:$B$38,2,FALSE)</f>
        <v>-0.34257283900844787</v>
      </c>
      <c r="J30">
        <f>($B$1+Table4[[#This Row],[Home Differential]])-Table4[[#This Row],[Away Differential]]</f>
        <v>0.29098363684713824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0.63214154466807582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0.13531984315918927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-0.17681265190927384</v>
      </c>
      <c r="H31" t="s">
        <v>28</v>
      </c>
      <c r="I31">
        <f>VLOOKUP(Table4[[#This Row],[Visitor]],'NHL Model'!$A$6:$B$38,2,FALSE)</f>
        <v>-0.72083617366747277</v>
      </c>
      <c r="J31">
        <f>($B$1+Table4[[#This Row],[Home Differential]])-Table4[[#This Row],[Away Differential]]</f>
        <v>0.70344318328302613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0.63772745569106726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0.40669630774220217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-1.6840122346544992</v>
      </c>
      <c r="H32" t="s">
        <v>55</v>
      </c>
      <c r="I32">
        <f>VLOOKUP(Table4[[#This Row],[Visitor]],'NHL Model'!$A$6:$B$38,2,FALSE)</f>
        <v>-0.1349739904770427</v>
      </c>
      <c r="J32">
        <f>($B$1+Table4[[#This Row],[Home Differential]])-Table4[[#This Row],[Away Differential]]</f>
        <v>-1.3896185826526295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0.65305594494477981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0.12037017733815966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3.2883390994754517E-3</v>
      </c>
      <c r="H33" t="s">
        <v>22</v>
      </c>
      <c r="I33">
        <f>VLOOKUP(Table4[[#This Row],[Visitor]],'NHL Model'!$A$6:$B$38,2,FALSE)</f>
        <v>0.21430145909042725</v>
      </c>
      <c r="J33">
        <f>($B$1+Table4[[#This Row],[Home Differential]])-Table4[[#This Row],[Away Differential]]</f>
        <v>-5.1593458466124648E-2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0.48793697017735926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0.26220854651114267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-0.2200802314358897</v>
      </c>
      <c r="H34" t="s">
        <v>15</v>
      </c>
      <c r="I34">
        <f>VLOOKUP(Table4[[#This Row],[Visitor]],'NHL Model'!$A$6:$B$38,2,FALSE)</f>
        <v>-0.50599078340071213</v>
      </c>
      <c r="J34">
        <f>($B$1+Table4[[#This Row],[Home Differential]])-Table4[[#This Row],[Away Differential]]</f>
        <v>0.44533021348964957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0.51839025920562731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0.26872846083927748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-0.46055888840939002</v>
      </c>
      <c r="H35" t="s">
        <v>20</v>
      </c>
      <c r="I35">
        <f>VLOOKUP(Table4[[#This Row],[Visitor]],'NHL Model'!$A$6:$B$38,2,FALSE)</f>
        <v>-3.2309887002194844E-2</v>
      </c>
      <c r="J35">
        <f>($B$1+Table4[[#This Row],[Home Differential]])-Table4[[#This Row],[Away Differential]]</f>
        <v>-0.26882933988236801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0.47130999603058066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0.22213311235834596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-0.3479098095875402</v>
      </c>
      <c r="H36" t="s">
        <v>31</v>
      </c>
      <c r="I36">
        <f>VLOOKUP(Table4[[#This Row],[Visitor]],'NHL Model'!$A$6:$B$38,2,FALSE)</f>
        <v>0.35254565315374792</v>
      </c>
      <c r="J36">
        <f>($B$1+Table4[[#This Row],[Home Differential]])-Table4[[#This Row],[Away Differential]]</f>
        <v>-0.541035801216461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0.55593386886252394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0.19719472882340608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0.1846559193064522</v>
      </c>
      <c r="H37" t="s">
        <v>24</v>
      </c>
      <c r="I37">
        <f>VLOOKUP(Table4[[#This Row],[Visitor]],'NHL Model'!$A$6:$B$38,2,FALSE)</f>
        <v>2.0731927685773251E-2</v>
      </c>
      <c r="J37">
        <f>($B$1+Table4[[#This Row],[Home Differential]])-Table4[[#This Row],[Away Differential]]</f>
        <v>0.32334365314550606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0.60320346632051625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0.36385442178108618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-7.3890719153774626E-2</v>
      </c>
      <c r="H38" t="s">
        <v>13</v>
      </c>
      <c r="I38">
        <f>VLOOKUP(Table4[[#This Row],[Visitor]],'NHL Model'!$A$6:$B$38,2,FALSE)</f>
        <v>-0.31985119938240425</v>
      </c>
      <c r="J38">
        <f>($B$1+Table4[[#This Row],[Home Differential]])-Table4[[#This Row],[Away Differential]]</f>
        <v>0.40538014175345677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0.51533475828390962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0.23490039652771633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-0.50599078340071213</v>
      </c>
      <c r="H39" t="s">
        <v>22</v>
      </c>
      <c r="I39">
        <f>VLOOKUP(Table4[[#This Row],[Visitor]],'NHL Model'!$A$6:$B$38,2,FALSE)</f>
        <v>0.21430145909042725</v>
      </c>
      <c r="J39">
        <f>($B$1+Table4[[#This Row],[Home Differential]])-Table4[[#This Row],[Away Differential]]</f>
        <v>-0.56087258096631221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0.5586897389315314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0.19475474652431993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-0.12487089668223171</v>
      </c>
      <c r="H40" t="s">
        <v>37</v>
      </c>
      <c r="I40">
        <f>VLOOKUP(Table4[[#This Row],[Visitor]],'NHL Model'!$A$6:$B$38,2,FALSE)</f>
        <v>0.1846559193064522</v>
      </c>
      <c r="J40">
        <f>($B$1+Table4[[#This Row],[Home Differential]])-Table4[[#This Row],[Away Differential]]</f>
        <v>-0.15010715446385675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0.4945381908269203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0.25549164053252282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-0.49794713300108584</v>
      </c>
      <c r="H41" t="s">
        <v>12</v>
      </c>
      <c r="I41">
        <f>VLOOKUP(Table4[[#This Row],[Visitor]],'NHL Model'!$A$6:$B$38,2,FALSE)</f>
        <v>1.4583704516548168</v>
      </c>
      <c r="J41">
        <f>($B$1+Table4[[#This Row],[Home Differential]])-Table4[[#This Row],[Away Differential]]</f>
        <v>-1.7968979231310755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0.78809969878117414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4.490173765662913E-2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-0.72083617366747277</v>
      </c>
      <c r="H42" t="s">
        <v>24</v>
      </c>
      <c r="I42">
        <f>VLOOKUP(Table4[[#This Row],[Visitor]],'NHL Model'!$A$6:$B$38,2,FALSE)</f>
        <v>2.0731927685773251E-2</v>
      </c>
      <c r="J42">
        <f>($B$1+Table4[[#This Row],[Home Differential]])-Table4[[#This Row],[Away Differential]]</f>
        <v>-0.58214843982841891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0.53465781819867475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0.21654334616361764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-0.13160108676160023</v>
      </c>
      <c r="H43" t="s">
        <v>55</v>
      </c>
      <c r="I43">
        <f>VLOOKUP(Table4[[#This Row],[Visitor]],'NHL Model'!$A$6:$B$38,2,FALSE)</f>
        <v>-0.1349739904770427</v>
      </c>
      <c r="J43">
        <f>($B$1+Table4[[#This Row],[Home Differential]])-Table4[[#This Row],[Away Differential]]</f>
        <v>0.16279256524026961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0.56261633005256184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0.19130447473668952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-0.17681265190927384</v>
      </c>
      <c r="H44" t="s">
        <v>13</v>
      </c>
      <c r="I44">
        <f>VLOOKUP(Table4[[#This Row],[Visitor]],'NHL Model'!$A$6:$B$38,2,FALSE)</f>
        <v>-0.31985119938240425</v>
      </c>
      <c r="J44">
        <f>($B$1+Table4[[#This Row],[Home Differential]])-Table4[[#This Row],[Away Differential]]</f>
        <v>0.30245820899795756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0.49854143868924733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0.25146068871184996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3.2883390994754517E-3</v>
      </c>
      <c r="H45" t="s">
        <v>40</v>
      </c>
      <c r="I45">
        <f>VLOOKUP(Table4[[#This Row],[Visitor]],'NHL Model'!$A$6:$B$38,2,FALSE)</f>
        <v>-7.3890719153774626E-2</v>
      </c>
      <c r="J45">
        <f>($B$1+Table4[[#This Row],[Home Differential]])-Table4[[#This Row],[Away Differential]]</f>
        <v>0.23659871977807723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0.50655422967379282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0.25659718760040967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-0.34257283900844787</v>
      </c>
      <c r="H46" t="s">
        <v>29</v>
      </c>
      <c r="I46">
        <f>VLOOKUP(Table4[[#This Row],[Visitor]],'NHL Model'!$A$6:$B$38,2,FALSE)</f>
        <v>-1.6840122346544992</v>
      </c>
      <c r="J46">
        <f>($B$1+Table4[[#This Row],[Home Differential]])-Table4[[#This Row],[Away Differential]]</f>
        <v>1.5008590571708784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0.75100576190216817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0.56400965441025608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-0.54160534998918008</v>
      </c>
      <c r="H47" t="s">
        <v>11</v>
      </c>
      <c r="I47">
        <f>VLOOKUP(Table4[[#This Row],[Visitor]],'NHL Model'!$A$6:$B$38,2,FALSE)</f>
        <v>-0.21100886368613675</v>
      </c>
      <c r="J47">
        <f>($B$1+Table4[[#This Row],[Home Differential]])-Table4[[#This Row],[Away Differential]]</f>
        <v>-0.17117682477821622</v>
      </c>
      <c r="K47" t="str">
        <f>IF(Table4[[#This Row],[HomeIce Differential]]&gt;0,Table4[[#This Row],[Home]],Table4[[#This Row],[Visitor]])</f>
        <v>Florida Panthers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0.45153506670730464</v>
      </c>
      <c r="M47" t="str">
        <f>IF(OR((NHL2025_26Results[[#This Row],[Winning Team]]="")),"-",IF(Table4[[#This Row],[Predicted Winner]]=NHL2025_26Results[[#This Row],[Winning Team]],"YES","NO"))</f>
        <v>NO</v>
      </c>
      <c r="N47">
        <f>IF(Table4[[#This Row],[Adjusted Correct]]="-", "",IF(Table4[[#This Row],[Adjusted Correct]]="YES",(Table4[[#This Row],[Strength of Win]]-1)^2,(Table4[[#This Row],[Strength of Win]]-0)^2))</f>
        <v>0.20388391646637005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-0.95664361852990654</v>
      </c>
      <c r="H48" t="s">
        <v>26</v>
      </c>
      <c r="I48">
        <f>VLOOKUP(Table4[[#This Row],[Visitor]],'NHL Model'!$A$6:$B$38,2,FALSE)</f>
        <v>-0.67114180037169746</v>
      </c>
      <c r="J48">
        <f>($B$1+Table4[[#This Row],[Home Differential]])-Table4[[#This Row],[Away Differential]]</f>
        <v>-0.12608215663338196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0.49828548320957244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0.25171745635825221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-1.1267952052768424</v>
      </c>
      <c r="H49" t="s">
        <v>35</v>
      </c>
      <c r="I49">
        <f>VLOOKUP(Table4[[#This Row],[Visitor]],'NHL Model'!$A$6:$B$38,2,FALSE)</f>
        <v>-1.5594075795597986</v>
      </c>
      <c r="J49">
        <f>($B$1+Table4[[#This Row],[Home Differential]])-Table4[[#This Row],[Away Differential]]</f>
        <v>0.5920320358077833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0.62224940680648944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0.38719432427102796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0.35254565315374792</v>
      </c>
      <c r="H50" t="s">
        <v>14</v>
      </c>
      <c r="I50">
        <f>VLOOKUP(Table4[[#This Row],[Visitor]],'NHL Model'!$A$6:$B$38,2,FALSE)</f>
        <v>-0.2200802314358897</v>
      </c>
      <c r="J50">
        <f>($B$1+Table4[[#This Row],[Home Differential]])-Table4[[#This Row],[Away Differential]]</f>
        <v>0.73204554611446482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0.73662173939058961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6.9368108161638492E-2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-1.1167763879247272</v>
      </c>
      <c r="H51" t="s">
        <v>20</v>
      </c>
      <c r="I51">
        <f>VLOOKUP(Table4[[#This Row],[Visitor]],'NHL Model'!$A$6:$B$38,2,FALSE)</f>
        <v>-3.2309887002194844E-2</v>
      </c>
      <c r="J51">
        <f>($B$1+Table4[[#This Row],[Home Differential]])-Table4[[#This Row],[Away Differential]]</f>
        <v>-0.92504683939770527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0.58851425126829071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0.1693205214092954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1.9153995907683643E-3</v>
      </c>
      <c r="H52" t="s">
        <v>34</v>
      </c>
      <c r="I52">
        <f>VLOOKUP(Table4[[#This Row],[Visitor]],'NHL Model'!$A$6:$B$38,2,FALSE)</f>
        <v>-0.17681265190927384</v>
      </c>
      <c r="J52">
        <f>($B$1+Table4[[#This Row],[Home Differential]])-Table4[[#This Row],[Away Differential]]</f>
        <v>0.33814771302486935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0.56871707609834543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0.18600496044916037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-0.75480422558713034</v>
      </c>
      <c r="H53" t="s">
        <v>32</v>
      </c>
      <c r="I53">
        <f>VLOOKUP(Table4[[#This Row],[Visitor]],'NHL Model'!$A$6:$B$38,2,FALSE)</f>
        <v>-0.46055888840939002</v>
      </c>
      <c r="J53">
        <f>($B$1+Table4[[#This Row],[Home Differential]])-Table4[[#This Row],[Away Differential]]</f>
        <v>-0.1348256756529132</v>
      </c>
      <c r="K53" t="str">
        <f>IF(Table4[[#This Row],[HomeIce Differential]]&gt;0,Table4[[#This Row],[Home]],Table4[[#This Row],[Visitor]])</f>
        <v>Seattle Kraken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0.47873096584985592</v>
      </c>
      <c r="M53" t="str">
        <f>IF(OR((NHL2025_26Results[[#This Row],[Winning Team]]="")),"-",IF(Table4[[#This Row],[Predicted Winner]]=NHL2025_26Results[[#This Row],[Winning Team]],"YES","NO"))</f>
        <v>NO</v>
      </c>
      <c r="N53">
        <f>IF(Table4[[#This Row],[Adjusted Correct]]="-", "",IF(Table4[[#This Row],[Adjusted Correct]]="YES",(Table4[[#This Row],[Strength of Win]]-1)^2,(Table4[[#This Row],[Strength of Win]]-0)^2))</f>
        <v>0.22918333766353591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-0.50599078340071213</v>
      </c>
      <c r="H54" t="s">
        <v>17</v>
      </c>
      <c r="I54">
        <f>VLOOKUP(Table4[[#This Row],[Visitor]],'NHL Model'!$A$6:$B$38,2,FALSE)</f>
        <v>-0.8561868317598319</v>
      </c>
      <c r="J54">
        <f>($B$1+Table4[[#This Row],[Home Differential]])-Table4[[#This Row],[Away Differential]]</f>
        <v>0.50961570988394689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0.61079952992751818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0.37307606575967717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-0.3479098095875402</v>
      </c>
      <c r="H55" t="s">
        <v>25</v>
      </c>
      <c r="I55">
        <f>VLOOKUP(Table4[[#This Row],[Visitor]],'NHL Model'!$A$6:$B$38,2,FALSE)</f>
        <v>0.42254821659882374</v>
      </c>
      <c r="J55">
        <f>($B$1+Table4[[#This Row],[Home Differential]])-Table4[[#This Row],[Away Differential]]</f>
        <v>-0.61103836466153683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0.61751307369020891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0.14629624879791156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-0.95664361852990654</v>
      </c>
      <c r="H56" t="s">
        <v>29</v>
      </c>
      <c r="I56">
        <f>VLOOKUP(Table4[[#This Row],[Visitor]],'NHL Model'!$A$6:$B$38,2,FALSE)</f>
        <v>-1.6840122346544992</v>
      </c>
      <c r="J56">
        <f>($B$1+Table4[[#This Row],[Home Differential]])-Table4[[#This Row],[Away Differential]]</f>
        <v>0.88678827764941981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0.66319909293437984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0.1134348510002245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0.21430145909042725</v>
      </c>
      <c r="H57" t="s">
        <v>37</v>
      </c>
      <c r="I57">
        <f>VLOOKUP(Table4[[#This Row],[Visitor]],'NHL Model'!$A$6:$B$38,2,FALSE)</f>
        <v>0.1846559193064522</v>
      </c>
      <c r="J57">
        <f>($B$1+Table4[[#This Row],[Home Differential]])-Table4[[#This Row],[Away Differential]]</f>
        <v>0.18906520130880222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0.49995052673027085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0.25004947571733355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-0.49794713300108584</v>
      </c>
      <c r="H58" t="s">
        <v>36</v>
      </c>
      <c r="I58">
        <f>VLOOKUP(Table4[[#This Row],[Visitor]],'NHL Model'!$A$6:$B$38,2,FALSE)</f>
        <v>-0.34257283900844787</v>
      </c>
      <c r="J58">
        <f>($B$1+Table4[[#This Row],[Home Differential]])-Table4[[#This Row],[Away Differential]]</f>
        <v>4.045367532189148E-3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0.55457863245018579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0.19840019466994668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-0.67114180037169746</v>
      </c>
      <c r="H59" t="s">
        <v>11</v>
      </c>
      <c r="I59">
        <f>VLOOKUP(Table4[[#This Row],[Visitor]],'NHL Model'!$A$6:$B$38,2,FALSE)</f>
        <v>-0.21100886368613675</v>
      </c>
      <c r="J59">
        <f>($B$1+Table4[[#This Row],[Home Differential]])-Table4[[#This Row],[Away Differential]]</f>
        <v>-0.3007132751607336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0.46953121481986976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0.22045956169022268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-1.5594075795597986</v>
      </c>
      <c r="H60" t="s">
        <v>10</v>
      </c>
      <c r="I60">
        <f>VLOOKUP(Table4[[#This Row],[Visitor]],'NHL Model'!$A$6:$B$38,2,FALSE)</f>
        <v>-0.13160108676160023</v>
      </c>
      <c r="J60">
        <f>($B$1+Table4[[#This Row],[Home Differential]])-Table4[[#This Row],[Away Differential]]</f>
        <v>-1.2683868312733713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0.63621354616571579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0.1323405839933238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-0.1349739904770427</v>
      </c>
      <c r="H61" t="s">
        <v>16</v>
      </c>
      <c r="I61">
        <f>VLOOKUP(Table4[[#This Row],[Visitor]],'NHL Model'!$A$6:$B$38,2,FALSE)</f>
        <v>-1.1167763879247272</v>
      </c>
      <c r="J61">
        <f>($B$1+Table4[[#This Row],[Home Differential]])-Table4[[#This Row],[Away Differential]]</f>
        <v>1.1412220589725117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0.76199516472577378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5.6646301613911557E-2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0.35254565315374792</v>
      </c>
      <c r="H62" t="s">
        <v>25</v>
      </c>
      <c r="I62">
        <f>VLOOKUP(Table4[[#This Row],[Visitor]],'NHL Model'!$A$6:$B$38,2,FALSE)</f>
        <v>0.42254821659882374</v>
      </c>
      <c r="J62">
        <f>($B$1+Table4[[#This Row],[Home Differential]])-Table4[[#This Row],[Away Differential]]</f>
        <v>8.9417098079751345E-2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0.57763986649250643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0.33366781536148066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-0.72083617366747277</v>
      </c>
      <c r="H63" t="s">
        <v>12</v>
      </c>
      <c r="I63">
        <f>VLOOKUP(Table4[[#This Row],[Visitor]],'NHL Model'!$A$6:$B$38,2,FALSE)</f>
        <v>1.4583704516548168</v>
      </c>
      <c r="J63">
        <f>($B$1+Table4[[#This Row],[Home Differential]])-Table4[[#This Row],[Away Differential]]</f>
        <v>-2.0197869637974626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0.8260580763448202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3.0255792804864397E-2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1.9153995907683643E-3</v>
      </c>
      <c r="H64" t="s">
        <v>38</v>
      </c>
      <c r="I64">
        <f>VLOOKUP(Table4[[#This Row],[Visitor]],'NHL Model'!$A$6:$B$38,2,FALSE)</f>
        <v>-1.1267952052768424</v>
      </c>
      <c r="J64">
        <f>($B$1+Table4[[#This Row],[Home Differential]])-Table4[[#This Row],[Away Differential]]</f>
        <v>1.2881302663924379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0.70069557855283948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0.49097429380349844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-0.31985119938240425</v>
      </c>
      <c r="H65" t="s">
        <v>14</v>
      </c>
      <c r="I65">
        <f>VLOOKUP(Table4[[#This Row],[Visitor]],'NHL Model'!$A$6:$B$38,2,FALSE)</f>
        <v>-0.2200802314358897</v>
      </c>
      <c r="J65">
        <f>($B$1+Table4[[#This Row],[Home Differential]])-Table4[[#This Row],[Away Differential]]</f>
        <v>5.9648693578312595E-2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0.54828683139908863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0.30061844948565264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-0.75480422558713034</v>
      </c>
      <c r="H66" t="s">
        <v>29</v>
      </c>
      <c r="I66">
        <f>VLOOKUP(Table4[[#This Row],[Visitor]],'NHL Model'!$A$6:$B$38,2,FALSE)</f>
        <v>-1.6840122346544992</v>
      </c>
      <c r="J66">
        <f>($B$1+Table4[[#This Row],[Home Differential]])-Table4[[#This Row],[Away Differential]]</f>
        <v>1.088627670592196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0.69124009297430877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9.5332680186513488E-2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2.0731927685773251E-2</v>
      </c>
      <c r="H67" t="s">
        <v>11</v>
      </c>
      <c r="I67">
        <f>VLOOKUP(Table4[[#This Row],[Visitor]],'NHL Model'!$A$6:$B$38,2,FALSE)</f>
        <v>-0.21100886368613675</v>
      </c>
      <c r="J67">
        <f>($B$1+Table4[[#This Row],[Home Differential]])-Table4[[#This Row],[Away Differential]]</f>
        <v>0.39116045289673718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0.71332144518833196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8.2184593788906551E-2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3.2883390994754517E-3</v>
      </c>
      <c r="H68" t="s">
        <v>17</v>
      </c>
      <c r="I68">
        <f>VLOOKUP(Table4[[#This Row],[Visitor]],'NHL Model'!$A$6:$B$38,2,FALSE)</f>
        <v>-0.8561868317598319</v>
      </c>
      <c r="J68">
        <f>($B$1+Table4[[#This Row],[Home Differential]])-Table4[[#This Row],[Away Differential]]</f>
        <v>1.0188948323841345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0.68155229868169032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0.10140893847491537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-0.34257283900844787</v>
      </c>
      <c r="H69" t="s">
        <v>32</v>
      </c>
      <c r="I69">
        <f>VLOOKUP(Table4[[#This Row],[Visitor]],'NHL Model'!$A$6:$B$38,2,FALSE)</f>
        <v>-0.46055888840939002</v>
      </c>
      <c r="J69">
        <f>($B$1+Table4[[#This Row],[Home Differential]])-Table4[[#This Row],[Away Differential]]</f>
        <v>0.27740571092576927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0.58103470307800353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0.17553192002493667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-0.54160534998918008</v>
      </c>
      <c r="H70" t="s">
        <v>40</v>
      </c>
      <c r="I70">
        <f>VLOOKUP(Table4[[#This Row],[Visitor]],'NHL Model'!$A$6:$B$38,2,FALSE)</f>
        <v>-7.3890719153774626E-2</v>
      </c>
      <c r="J70">
        <f>($B$1+Table4[[#This Row],[Home Differential]])-Table4[[#This Row],[Away Differential]]</f>
        <v>-0.30829496931057832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0.53650147093209155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0.21483088644811477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-0.95664361852990654</v>
      </c>
      <c r="H71" t="s">
        <v>15</v>
      </c>
      <c r="I71">
        <f>VLOOKUP(Table4[[#This Row],[Visitor]],'NHL Model'!$A$6:$B$38,2,FALSE)</f>
        <v>-0.50599078340071213</v>
      </c>
      <c r="J71">
        <f>($B$1+Table4[[#This Row],[Home Differential]])-Table4[[#This Row],[Away Differential]]</f>
        <v>-0.29123317360436729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0.58393849667191922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0.34098416789546099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-3.2309887002194844E-2</v>
      </c>
      <c r="H72" t="s">
        <v>21</v>
      </c>
      <c r="I72">
        <f>VLOOKUP(Table4[[#This Row],[Visitor]],'NHL Model'!$A$6:$B$38,2,FALSE)</f>
        <v>-0.12487089668223171</v>
      </c>
      <c r="J72">
        <f>($B$1+Table4[[#This Row],[Home Differential]])-Table4[[#This Row],[Away Differential]]</f>
        <v>0.251980671204864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0.57500699198654526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0.1806190568603244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-0.13160108676160023</v>
      </c>
      <c r="H73" t="s">
        <v>38</v>
      </c>
      <c r="I73">
        <f>VLOOKUP(Table4[[#This Row],[Visitor]],'NHL Model'!$A$6:$B$38,2,FALSE)</f>
        <v>-1.1267952052768424</v>
      </c>
      <c r="J73">
        <f>($B$1+Table4[[#This Row],[Home Differential]])-Table4[[#This Row],[Away Differential]]</f>
        <v>1.1546137800400693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0.67963813362165015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0.46190799267271998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-0.67114180037169746</v>
      </c>
      <c r="H74" t="s">
        <v>37</v>
      </c>
      <c r="I74">
        <f>VLOOKUP(Table4[[#This Row],[Visitor]],'NHL Model'!$A$6:$B$38,2,FALSE)</f>
        <v>0.1846559193064522</v>
      </c>
      <c r="J74">
        <f>($B$1+Table4[[#This Row],[Home Differential]])-Table4[[#This Row],[Away Differential]]</f>
        <v>-0.69637805815332254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0.59041680307352529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0.34859200135156193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-0.1349739904770427</v>
      </c>
      <c r="H75" t="s">
        <v>33</v>
      </c>
      <c r="I75">
        <f>VLOOKUP(Table4[[#This Row],[Visitor]],'NHL Model'!$A$6:$B$38,2,FALSE)</f>
        <v>-0.3479098095875402</v>
      </c>
      <c r="J75">
        <f>($B$1+Table4[[#This Row],[Home Differential]])-Table4[[#This Row],[Away Differential]]</f>
        <v>0.37235548063532464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0.65517861400435173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0.11890178823995985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0.21430145909042725</v>
      </c>
      <c r="H76" t="s">
        <v>34</v>
      </c>
      <c r="I76">
        <f>VLOOKUP(Table4[[#This Row],[Visitor]],'NHL Model'!$A$6:$B$38,2,FALSE)</f>
        <v>-0.17681265190927384</v>
      </c>
      <c r="J76">
        <f>($B$1+Table4[[#This Row],[Home Differential]])-Table4[[#This Row],[Away Differential]]</f>
        <v>0.55053377252452829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0.59571493474606707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0.1634464139873768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-0.49794713300108584</v>
      </c>
      <c r="H77" t="s">
        <v>11</v>
      </c>
      <c r="I77">
        <f>VLOOKUP(Table4[[#This Row],[Visitor]],'NHL Model'!$A$6:$B$38,2,FALSE)</f>
        <v>-0.21100886368613675</v>
      </c>
      <c r="J77">
        <f>($B$1+Table4[[#This Row],[Home Differential]])-Table4[[#This Row],[Away Differential]]</f>
        <v>-0.12751860779012197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0.46369919420931111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0.21501694271036442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-0.72083617366747277</v>
      </c>
      <c r="H78" t="s">
        <v>37</v>
      </c>
      <c r="I78">
        <f>VLOOKUP(Table4[[#This Row],[Visitor]],'NHL Model'!$A$6:$B$38,2,FALSE)</f>
        <v>0.1846559193064522</v>
      </c>
      <c r="J78">
        <f>($B$1+Table4[[#This Row],[Home Differential]])-Table4[[#This Row],[Away Differential]]</f>
        <v>-0.74607243144909785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0.62288059087874292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0.38798023049345193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1.4583704516548168</v>
      </c>
      <c r="H79" t="s">
        <v>21</v>
      </c>
      <c r="I79">
        <f>VLOOKUP(Table4[[#This Row],[Visitor]],'NHL Model'!$A$6:$B$38,2,FALSE)</f>
        <v>-0.12487089668223171</v>
      </c>
      <c r="J79">
        <f>($B$1+Table4[[#This Row],[Home Differential]])-Table4[[#This Row],[Away Differential]]</f>
        <v>1.7426610098618756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0.87702380781797684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1.5123143843589894E-2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-0.31985119938240425</v>
      </c>
      <c r="H80" t="s">
        <v>25</v>
      </c>
      <c r="I80">
        <f>VLOOKUP(Table4[[#This Row],[Visitor]],'NHL Model'!$A$6:$B$38,2,FALSE)</f>
        <v>0.42254821659882374</v>
      </c>
      <c r="J80">
        <f>($B$1+Table4[[#This Row],[Home Differential]])-Table4[[#This Row],[Away Differential]]</f>
        <v>-0.58297975445640082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0.61361496699056373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0.14929339373370315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-0.75480422558713034</v>
      </c>
      <c r="H81" t="s">
        <v>15</v>
      </c>
      <c r="I81">
        <f>VLOOKUP(Table4[[#This Row],[Visitor]],'NHL Model'!$A$6:$B$38,2,FALSE)</f>
        <v>-0.50599078340071213</v>
      </c>
      <c r="J81">
        <f>($B$1+Table4[[#This Row],[Home Differential]])-Table4[[#This Row],[Away Differential]]</f>
        <v>-8.9393780661591093E-2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0.55589749663199028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0.19722703349773307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2.0731927685773251E-2</v>
      </c>
      <c r="H82" t="s">
        <v>17</v>
      </c>
      <c r="I82">
        <f>VLOOKUP(Table4[[#This Row],[Visitor]],'NHL Model'!$A$6:$B$38,2,FALSE)</f>
        <v>-0.8561868317598319</v>
      </c>
      <c r="J82">
        <f>($B$1+Table4[[#This Row],[Home Differential]])-Table4[[#This Row],[Away Differential]]</f>
        <v>1.0363384209704323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0.80295427238200512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3.882701877250503E-2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-0.34257283900844787</v>
      </c>
      <c r="H83" t="s">
        <v>30</v>
      </c>
      <c r="I83">
        <f>VLOOKUP(Table4[[#This Row],[Visitor]],'NHL Model'!$A$6:$B$38,2,FALSE)</f>
        <v>3.2883390994754517E-3</v>
      </c>
      <c r="J83">
        <f>($B$1+Table4[[#This Row],[Home Differential]])-Table4[[#This Row],[Away Differential]]</f>
        <v>-0.18644151658309618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0.55602229672078851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0.19711620100908356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-0.54160534998918008</v>
      </c>
      <c r="H84" t="s">
        <v>34</v>
      </c>
      <c r="I84">
        <f>VLOOKUP(Table4[[#This Row],[Visitor]],'NHL Model'!$A$6:$B$38,2,FALSE)</f>
        <v>-0.17681265190927384</v>
      </c>
      <c r="J84">
        <f>($B$1+Table4[[#This Row],[Home Differential]])-Table4[[#This Row],[Away Differential]]</f>
        <v>-0.20537303655507913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0.47680778164263371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0.22734566063496947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-0.3479098095875402</v>
      </c>
      <c r="H85" t="s">
        <v>14</v>
      </c>
      <c r="I85">
        <f>VLOOKUP(Table4[[#This Row],[Visitor]],'NHL Model'!$A$6:$B$38,2,FALSE)</f>
        <v>-0.2200802314358897</v>
      </c>
      <c r="J85">
        <f>($B$1+Table4[[#This Row],[Home Differential]])-Table4[[#This Row],[Away Differential]]</f>
        <v>3.1590083373176647E-2</v>
      </c>
      <c r="K85" t="str">
        <f>IF(Table4[[#This Row],[HomeIce Differential]]&gt;0,Table4[[#This Row],[Home]],Table4[[#This Row],[Visitor]])</f>
        <v>San Jose Sharks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0.54438872469944333</v>
      </c>
      <c r="M85" t="str">
        <f>IF(OR((NHL2025_26Results[[#This Row],[Winning Team]]="")),"-",IF(Table4[[#This Row],[Predicted Winner]]=NHL2025_26Results[[#This Row],[Winning Team]],"YES","NO"))</f>
        <v>NO</v>
      </c>
      <c r="N85">
        <f>IF(Table4[[#This Row],[Adjusted Correct]]="-", "",IF(Table4[[#This Row],[Adjusted Correct]]="YES",(Table4[[#This Row],[Strength of Win]]-1)^2,(Table4[[#This Row],[Strength of Win]]-0)^2))</f>
        <v>0.29635908357988627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-1.5594075795597986</v>
      </c>
      <c r="H86" t="s">
        <v>39</v>
      </c>
      <c r="I86">
        <f>VLOOKUP(Table4[[#This Row],[Visitor]],'NHL Model'!$A$6:$B$38,2,FALSE)</f>
        <v>1.9153995907683643E-3</v>
      </c>
      <c r="J86">
        <f>($B$1+Table4[[#This Row],[Home Differential]])-Table4[[#This Row],[Away Differential]]</f>
        <v>-1.4019033176257398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0.74724881773819574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0.5583807956111313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-0.95664361852990654</v>
      </c>
      <c r="H87" t="s">
        <v>32</v>
      </c>
      <c r="I87">
        <f>VLOOKUP(Table4[[#This Row],[Visitor]],'NHL Model'!$A$6:$B$38,2,FALSE)</f>
        <v>-0.46055888840939002</v>
      </c>
      <c r="J87">
        <f>($B$1+Table4[[#This Row],[Home Differential]])-Table4[[#This Row],[Away Differential]]</f>
        <v>-0.3366650685956894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0.5067719658897849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0.24327389363222751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-3.2309887002194844E-2</v>
      </c>
      <c r="H88" t="s">
        <v>16</v>
      </c>
      <c r="I88">
        <f>VLOOKUP(Table4[[#This Row],[Visitor]],'NHL Model'!$A$6:$B$38,2,FALSE)</f>
        <v>-1.1167763879247272</v>
      </c>
      <c r="J88">
        <f>($B$1+Table4[[#This Row],[Home Differential]])-Table4[[#This Row],[Away Differential]]</f>
        <v>1.2438861624473596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0.71280973462272701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8.247824852746849E-2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-7.3890719153774626E-2</v>
      </c>
      <c r="H89" t="s">
        <v>29</v>
      </c>
      <c r="I89">
        <f>VLOOKUP(Table4[[#This Row],[Visitor]],'NHL Model'!$A$6:$B$38,2,FALSE)</f>
        <v>-1.6840122346544992</v>
      </c>
      <c r="J89">
        <f>($B$1+Table4[[#This Row],[Home Differential]])-Table4[[#This Row],[Away Differential]]</f>
        <v>1.7695411770255518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0.78833304090220513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4.4802901573707567E-2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-0.13160108676160023</v>
      </c>
      <c r="H90" t="s">
        <v>31</v>
      </c>
      <c r="I90">
        <f>VLOOKUP(Table4[[#This Row],[Visitor]],'NHL Model'!$A$6:$B$38,2,FALSE)</f>
        <v>0.35254565315374792</v>
      </c>
      <c r="J90">
        <f>($B$1+Table4[[#This Row],[Home Differential]])-Table4[[#This Row],[Away Differential]]</f>
        <v>-0.32472707839052101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0.52588268402211569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0.27655259735430437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-0.67114180037169746</v>
      </c>
      <c r="H91" t="s">
        <v>17</v>
      </c>
      <c r="I91">
        <f>VLOOKUP(Table4[[#This Row],[Visitor]],'NHL Model'!$A$6:$B$38,2,FALSE)</f>
        <v>-0.8561868317598319</v>
      </c>
      <c r="J91">
        <f>($B$1+Table4[[#This Row],[Home Differential]])-Table4[[#This Row],[Away Differential]]</f>
        <v>0.34446469291296156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0.62010161237380346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0.14432278492098388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-0.1349739904770427</v>
      </c>
      <c r="H92" t="s">
        <v>21</v>
      </c>
      <c r="I92">
        <f>VLOOKUP(Table4[[#This Row],[Visitor]],'NHL Model'!$A$6:$B$38,2,FALSE)</f>
        <v>-0.12487089668223171</v>
      </c>
      <c r="J92">
        <f>($B$1+Table4[[#This Row],[Home Differential]])-Table4[[#This Row],[Away Differential]]</f>
        <v>0.14931656773001617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0.62419242208959203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0.14123133561488735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0.21430145909042725</v>
      </c>
      <c r="H93" t="s">
        <v>38</v>
      </c>
      <c r="I93">
        <f>VLOOKUP(Table4[[#This Row],[Visitor]],'NHL Model'!$A$6:$B$38,2,FALSE)</f>
        <v>-1.1267952052768424</v>
      </c>
      <c r="J93">
        <f>($B$1+Table4[[#This Row],[Home Differential]])-Table4[[#This Row],[Away Differential]]</f>
        <v>1.5005163258920968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0.72769343720056123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0.52953773854476716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-1.1167763879247272</v>
      </c>
      <c r="H94" t="s">
        <v>40</v>
      </c>
      <c r="I94">
        <f>VLOOKUP(Table4[[#This Row],[Visitor]],'NHL Model'!$A$6:$B$38,2,FALSE)</f>
        <v>-7.3890719153774626E-2</v>
      </c>
      <c r="J94">
        <f>($B$1+Table4[[#This Row],[Home Differential]])-Table4[[#This Row],[Away Differential]]</f>
        <v>-0.88346600724612545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0.64905332838160179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0.12316356632003182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-0.75480422558713034</v>
      </c>
      <c r="H95" t="s">
        <v>23</v>
      </c>
      <c r="I95">
        <f>VLOOKUP(Table4[[#This Row],[Visitor]],'NHL Model'!$A$6:$B$38,2,FALSE)</f>
        <v>-0.49794713300108584</v>
      </c>
      <c r="J95">
        <f>($B$1+Table4[[#This Row],[Home Differential]])-Table4[[#This Row],[Away Differential]]</f>
        <v>-9.7437431061217383E-2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0.47353671832065408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0.22423702359789449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-0.50599078340071213</v>
      </c>
      <c r="H96" t="s">
        <v>34</v>
      </c>
      <c r="I96">
        <f>VLOOKUP(Table4[[#This Row],[Visitor]],'NHL Model'!$A$6:$B$38,2,FALSE)</f>
        <v>-0.17681265190927384</v>
      </c>
      <c r="J96">
        <f>($B$1+Table4[[#This Row],[Home Differential]])-Table4[[#This Row],[Away Differential]]</f>
        <v>-0.16975846996661118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0.50435331509345183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0.24566563625885104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-0.54160534998918008</v>
      </c>
      <c r="H97" t="s">
        <v>32</v>
      </c>
      <c r="I97">
        <f>VLOOKUP(Table4[[#This Row],[Visitor]],'NHL Model'!$A$6:$B$38,2,FALSE)</f>
        <v>-0.46055888840939002</v>
      </c>
      <c r="J97">
        <f>($B$1+Table4[[#This Row],[Home Differential]])-Table4[[#This Row],[Away Differential]]</f>
        <v>7.8373199945037053E-2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0.58313424214863774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0.1737770600689906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-3.2309887002194844E-2</v>
      </c>
      <c r="H98" t="s">
        <v>25</v>
      </c>
      <c r="I98">
        <f>VLOOKUP(Table4[[#This Row],[Visitor]],'NHL Model'!$A$6:$B$38,2,FALSE)</f>
        <v>0.42254821659882374</v>
      </c>
      <c r="J98">
        <f>($B$1+Table4[[#This Row],[Home Differential]])-Table4[[#This Row],[Away Differential]]</f>
        <v>-0.29543844207619141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0.57366763146612221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0.3290945513919506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-0.12487089668223171</v>
      </c>
      <c r="H99" t="s">
        <v>11</v>
      </c>
      <c r="I99">
        <f>VLOOKUP(Table4[[#This Row],[Visitor]],'NHL Model'!$A$6:$B$38,2,FALSE)</f>
        <v>-0.21100886368613675</v>
      </c>
      <c r="J99">
        <f>($B$1+Table4[[#This Row],[Home Differential]])-Table4[[#This Row],[Away Differential]]</f>
        <v>0.2455576285287322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0.62583063240016501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0.39166398045039047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1.9153995907683643E-3</v>
      </c>
      <c r="H100" t="s">
        <v>28</v>
      </c>
      <c r="I100">
        <f>VLOOKUP(Table4[[#This Row],[Visitor]],'NHL Model'!$A$6:$B$38,2,FALSE)</f>
        <v>-0.72083617366747277</v>
      </c>
      <c r="J100">
        <f>($B$1+Table4[[#This Row],[Home Differential]])-Table4[[#This Row],[Away Differential]]</f>
        <v>0.88217123478306825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0.66505313888175188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0.44229567753647075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-1.6840122346544992</v>
      </c>
      <c r="H101" t="s">
        <v>31</v>
      </c>
      <c r="I101">
        <f>VLOOKUP(Table4[[#This Row],[Visitor]],'NHL Model'!$A$6:$B$38,2,FALSE)</f>
        <v>0.35254565315374792</v>
      </c>
      <c r="J101">
        <f>($B$1+Table4[[#This Row],[Home Differential]])-Table4[[#This Row],[Away Differential]]</f>
        <v>-1.87713822628342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0.74155495901945723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6.6793839207434438E-2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3.2883390994754517E-3</v>
      </c>
      <c r="H102" t="s">
        <v>33</v>
      </c>
      <c r="I102">
        <f>VLOOKUP(Table4[[#This Row],[Visitor]],'NHL Model'!$A$6:$B$38,2,FALSE)</f>
        <v>-0.3479098095875402</v>
      </c>
      <c r="J102">
        <f>($B$1+Table4[[#This Row],[Home Differential]])-Table4[[#This Row],[Away Differential]]</f>
        <v>0.51061781021184283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0.61093874901119083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0.15136865702097715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-0.34257283900844787</v>
      </c>
      <c r="H103" t="s">
        <v>17</v>
      </c>
      <c r="I103">
        <f>VLOOKUP(Table4[[#This Row],[Visitor]],'NHL Model'!$A$6:$B$38,2,FALSE)</f>
        <v>-0.8561868317598319</v>
      </c>
      <c r="J103">
        <f>($B$1+Table4[[#This Row],[Home Differential]])-Table4[[#This Row],[Away Differential]]</f>
        <v>0.6730336542762112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0.63599822141573448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0.40449373764397761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-0.2200802314358897</v>
      </c>
      <c r="H104" t="s">
        <v>38</v>
      </c>
      <c r="I104">
        <f>VLOOKUP(Table4[[#This Row],[Visitor]],'NHL Model'!$A$6:$B$38,2,FALSE)</f>
        <v>-1.1267952052768424</v>
      </c>
      <c r="J104">
        <f>($B$1+Table4[[#This Row],[Home Differential]])-Table4[[#This Row],[Away Differential]]</f>
        <v>1.0661346353657799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0.66734596575901672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0.11065870649680128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-1.5594075795597986</v>
      </c>
      <c r="H105" t="s">
        <v>13</v>
      </c>
      <c r="I105">
        <f>VLOOKUP(Table4[[#This Row],[Visitor]],'NHL Model'!$A$6:$B$38,2,FALSE)</f>
        <v>-0.31985119938240425</v>
      </c>
      <c r="J105">
        <f>($B$1+Table4[[#This Row],[Home Differential]])-Table4[[#This Row],[Away Differential]]</f>
        <v>-1.0801367186525672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0.69353872889451806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9.3918510687587692E-2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-0.95664361852990654</v>
      </c>
      <c r="H106" t="s">
        <v>24</v>
      </c>
      <c r="I106">
        <f>VLOOKUP(Table4[[#This Row],[Visitor]],'NHL Model'!$A$6:$B$38,2,FALSE)</f>
        <v>2.0731927685773251E-2</v>
      </c>
      <c r="J106">
        <f>($B$1+Table4[[#This Row],[Home Differential]])-Table4[[#This Row],[Away Differential]]</f>
        <v>-0.81795588469085267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0.57446588814835231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0.1810792803493706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-0.1349739904770427</v>
      </c>
      <c r="H107" t="s">
        <v>12</v>
      </c>
      <c r="I107">
        <f>VLOOKUP(Table4[[#This Row],[Visitor]],'NHL Model'!$A$6:$B$38,2,FALSE)</f>
        <v>1.4583704516548168</v>
      </c>
      <c r="J107">
        <f>($B$1+Table4[[#This Row],[Home Differential]])-Table4[[#This Row],[Away Differential]]</f>
        <v>-1.4339247806070323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0.68701616304138113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0.4719912082801016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0.21430145909042725</v>
      </c>
      <c r="H108" t="s">
        <v>32</v>
      </c>
      <c r="I108">
        <f>VLOOKUP(Table4[[#This Row],[Visitor]],'NHL Model'!$A$6:$B$38,2,FALSE)</f>
        <v>-0.46055888840939002</v>
      </c>
      <c r="J108">
        <f>($B$1+Table4[[#This Row],[Home Differential]])-Table4[[#This Row],[Away Differential]]</f>
        <v>0.8342800090246445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0.65590426142930613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0.1184018773025113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-0.49794713300108584</v>
      </c>
      <c r="H109" t="s">
        <v>26</v>
      </c>
      <c r="I109">
        <f>VLOOKUP(Table4[[#This Row],[Visitor]],'NHL Model'!$A$6:$B$38,2,FALSE)</f>
        <v>-0.67114180037169746</v>
      </c>
      <c r="J109">
        <f>($B$1+Table4[[#This Row],[Home Differential]])-Table4[[#This Row],[Away Differential]]</f>
        <v>0.33261432889543874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0.57954254093079272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0.17678447488693411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-1.1167763879247272</v>
      </c>
      <c r="H110" t="s">
        <v>18</v>
      </c>
      <c r="I110">
        <f>VLOOKUP(Table4[[#This Row],[Visitor]],'NHL Model'!$A$6:$B$38,2,FALSE)</f>
        <v>-0.75480422558713034</v>
      </c>
      <c r="J110">
        <f>($B$1+Table4[[#This Row],[Home Differential]])-Table4[[#This Row],[Away Differential]]</f>
        <v>-0.20255250081276976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0.53523946166509151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0.21600235799335393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2.0731927685773251E-2</v>
      </c>
      <c r="H111" t="s">
        <v>34</v>
      </c>
      <c r="I111">
        <f>VLOOKUP(Table4[[#This Row],[Visitor]],'NHL Model'!$A$6:$B$38,2,FALSE)</f>
        <v>-0.17681265190927384</v>
      </c>
      <c r="J111">
        <f>($B$1+Table4[[#This Row],[Home Differential]])-Table4[[#This Row],[Away Differential]]</f>
        <v>0.35696424111987424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0.68959207493421981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9.6353079943643005E-2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-0.12487089668223171</v>
      </c>
      <c r="H112" t="s">
        <v>31</v>
      </c>
      <c r="I112">
        <f>VLOOKUP(Table4[[#This Row],[Visitor]],'NHL Model'!$A$6:$B$38,2,FALSE)</f>
        <v>0.35254565315374792</v>
      </c>
      <c r="J112">
        <f>($B$1+Table4[[#This Row],[Home Differential]])-Table4[[#This Row],[Away Differential]]</f>
        <v>-0.31799688831115247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0.47274987474996205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0.27799269457618064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1.4583704516548168</v>
      </c>
      <c r="H113" t="s">
        <v>25</v>
      </c>
      <c r="I113">
        <f>VLOOKUP(Table4[[#This Row],[Visitor]],'NHL Model'!$A$6:$B$38,2,FALSE)</f>
        <v>0.42254821659882374</v>
      </c>
      <c r="J113">
        <f>($B$1+Table4[[#This Row],[Home Differential]])-Table4[[#This Row],[Away Differential]]</f>
        <v>1.1952418965808203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0.73126910985687843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0.53475451103087135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1.9153995907683643E-3</v>
      </c>
      <c r="H114" t="s">
        <v>13</v>
      </c>
      <c r="I114">
        <f>VLOOKUP(Table4[[#This Row],[Visitor]],'NHL Model'!$A$6:$B$38,2,FALSE)</f>
        <v>-0.31985119938240425</v>
      </c>
      <c r="J114">
        <f>($B$1+Table4[[#This Row],[Home Differential]])-Table4[[#This Row],[Away Differential]]</f>
        <v>0.48118626049799973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0.52586629698778009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0.27653536230764014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-0.8561868317598319</v>
      </c>
      <c r="H115" t="s">
        <v>18</v>
      </c>
      <c r="I115">
        <f>VLOOKUP(Table4[[#This Row],[Visitor]],'NHL Model'!$A$6:$B$38,2,FALSE)</f>
        <v>-0.75480422558713034</v>
      </c>
      <c r="J115">
        <f>($B$1+Table4[[#This Row],[Home Differential]])-Table4[[#This Row],[Away Differential]]</f>
        <v>5.8037055352125555E-2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0.50806293086656129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0.24200207998759765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-0.21100886368613675</v>
      </c>
      <c r="H116" t="s">
        <v>14</v>
      </c>
      <c r="I116">
        <f>VLOOKUP(Table4[[#This Row],[Visitor]],'NHL Model'!$A$6:$B$38,2,FALSE)</f>
        <v>-0.2200802314358897</v>
      </c>
      <c r="J116">
        <f>($B$1+Table4[[#This Row],[Home Differential]])-Table4[[#This Row],[Away Differential]]</f>
        <v>0.1684910292745801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0.61512397855397782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0.37837750899207456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-1.6840122346544992</v>
      </c>
      <c r="H117" t="s">
        <v>38</v>
      </c>
      <c r="I117">
        <f>VLOOKUP(Table4[[#This Row],[Visitor]],'NHL Model'!$A$6:$B$38,2,FALSE)</f>
        <v>-1.1267952052768424</v>
      </c>
      <c r="J117">
        <f>($B$1+Table4[[#This Row],[Home Differential]])-Table4[[#This Row],[Away Differential]]</f>
        <v>-0.39779736785282971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0.5360341413756915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0.28733260072037481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3.2883390994754517E-3</v>
      </c>
      <c r="H118" t="s">
        <v>26</v>
      </c>
      <c r="I118">
        <f>VLOOKUP(Table4[[#This Row],[Visitor]],'NHL Model'!$A$6:$B$38,2,FALSE)</f>
        <v>-0.67114180037169746</v>
      </c>
      <c r="J118">
        <f>($B$1+Table4[[#This Row],[Home Differential]])-Table4[[#This Row],[Away Differential]]</f>
        <v>0.83384980099600003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0.63507526302417183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0.13317006365687736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-0.50599078340071213</v>
      </c>
      <c r="H119" t="s">
        <v>33</v>
      </c>
      <c r="I119">
        <f>VLOOKUP(Table4[[#This Row],[Visitor]],'NHL Model'!$A$6:$B$38,2,FALSE)</f>
        <v>-0.3479098095875402</v>
      </c>
      <c r="J119">
        <f>($B$1+Table4[[#This Row],[Home Differential]])-Table4[[#This Row],[Away Differential]]</f>
        <v>1.3386877116551843E-3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0.54018598025701858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0.29180089326623609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-0.34257283900844787</v>
      </c>
      <c r="H120" t="s">
        <v>27</v>
      </c>
      <c r="I120">
        <f>VLOOKUP(Table4[[#This Row],[Visitor]],'NHL Model'!$A$6:$B$38,2,FALSE)</f>
        <v>-0.54160534998918008</v>
      </c>
      <c r="J120">
        <f>($B$1+Table4[[#This Row],[Home Differential]])-Table4[[#This Row],[Away Differential]]</f>
        <v>0.35845217250555939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0.59229426841488164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0.16622396356735658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-1.5594075795597986</v>
      </c>
      <c r="H121" t="s">
        <v>55</v>
      </c>
      <c r="I121">
        <f>VLOOKUP(Table4[[#This Row],[Visitor]],'NHL Model'!$A$6:$B$38,2,FALSE)</f>
        <v>-0.1349739904770427</v>
      </c>
      <c r="J121">
        <f>($B$1+Table4[[#This Row],[Home Differential]])-Table4[[#This Row],[Away Differential]]</f>
        <v>-1.2650139275579289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0.63574495779037221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0.13268173577513773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0.1846559193064522</v>
      </c>
      <c r="H122" t="s">
        <v>10</v>
      </c>
      <c r="I122">
        <f>VLOOKUP(Table4[[#This Row],[Visitor]],'NHL Model'!$A$6:$B$38,2,FALSE)</f>
        <v>-0.13160108676160023</v>
      </c>
      <c r="J122">
        <f>($B$1+Table4[[#This Row],[Home Differential]])-Table4[[#This Row],[Away Differential]]</f>
        <v>0.47567666759287952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0.62518990203929636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0.39086241361190499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-7.3890719153774626E-2</v>
      </c>
      <c r="H123" t="s">
        <v>32</v>
      </c>
      <c r="I123">
        <f>VLOOKUP(Table4[[#This Row],[Visitor]],'NHL Model'!$A$6:$B$38,2,FALSE)</f>
        <v>-0.46055888840939002</v>
      </c>
      <c r="J123">
        <f>($B$1+Table4[[#This Row],[Home Differential]])-Table4[[#This Row],[Away Differential]]</f>
        <v>0.54608783078044254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0.6183619820780405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0.38237154087948289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-0.49794713300108584</v>
      </c>
      <c r="H124" t="s">
        <v>19</v>
      </c>
      <c r="I124">
        <f>VLOOKUP(Table4[[#This Row],[Visitor]],'NHL Model'!$A$6:$B$38,2,FALSE)</f>
        <v>-0.95664361852990654</v>
      </c>
      <c r="J124">
        <f>($B$1+Table4[[#This Row],[Home Differential]])-Table4[[#This Row],[Away Differential]]</f>
        <v>0.61811614705364781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0.63988982221363433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0.12967934014532789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-0.72083617366747277</v>
      </c>
      <c r="H125" t="s">
        <v>22</v>
      </c>
      <c r="I125">
        <f>VLOOKUP(Table4[[#This Row],[Visitor]],'NHL Model'!$A$6:$B$38,2,FALSE)</f>
        <v>0.21430145909042725</v>
      </c>
      <c r="J125">
        <f>($B$1+Table4[[#This Row],[Home Differential]])-Table4[[#This Row],[Away Differential]]</f>
        <v>-0.77571797123307284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0.58145260670102639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0.17518192043736569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2.0731927685773251E-2</v>
      </c>
      <c r="H126" t="s">
        <v>33</v>
      </c>
      <c r="I126">
        <f>VLOOKUP(Table4[[#This Row],[Visitor]],'NHL Model'!$A$6:$B$38,2,FALSE)</f>
        <v>-0.3479098095875402</v>
      </c>
      <c r="J126">
        <f>($B$1+Table4[[#This Row],[Home Differential]])-Table4[[#This Row],[Away Differential]]</f>
        <v>0.52806139879814062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0.73234072271150563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7.1641488718599114E-2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-7.3890719153774626E-2</v>
      </c>
      <c r="H127" t="s">
        <v>16</v>
      </c>
      <c r="I127">
        <f>VLOOKUP(Table4[[#This Row],[Visitor]],'NHL Model'!$A$6:$B$38,2,FALSE)</f>
        <v>-1.1167763879247272</v>
      </c>
      <c r="J127">
        <f>($B$1+Table4[[#This Row],[Home Differential]])-Table4[[#This Row],[Away Differential]]</f>
        <v>1.2023053302957798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0.70952850146669388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8.4373691460184461E-2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-0.12487089668223171</v>
      </c>
      <c r="H128" t="s">
        <v>12</v>
      </c>
      <c r="I128">
        <f>VLOOKUP(Table4[[#This Row],[Visitor]],'NHL Model'!$A$6:$B$38,2,FALSE)</f>
        <v>1.4583704516548168</v>
      </c>
      <c r="J128">
        <f>($B$1+Table4[[#This Row],[Home Differential]])-Table4[[#This Row],[Away Differential]]</f>
        <v>-1.4238216868122213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0.69780768954290551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0.486935571585208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1.9153995907683643E-3</v>
      </c>
      <c r="H129" t="s">
        <v>25</v>
      </c>
      <c r="I129">
        <f>VLOOKUP(Table4[[#This Row],[Visitor]],'NHL Model'!$A$6:$B$38,2,FALSE)</f>
        <v>0.42254821659882374</v>
      </c>
      <c r="J129">
        <f>($B$1+Table4[[#This Row],[Home Differential]])-Table4[[#This Row],[Away Differential]]</f>
        <v>-0.26121315548322821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0.56641011794247931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0.32082042170761332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-0.67114180037169746</v>
      </c>
      <c r="H130" t="s">
        <v>35</v>
      </c>
      <c r="I130">
        <f>VLOOKUP(Table4[[#This Row],[Visitor]],'NHL Model'!$A$6:$B$38,2,FALSE)</f>
        <v>-1.5594075795597986</v>
      </c>
      <c r="J130">
        <f>($B$1+Table4[[#This Row],[Home Differential]])-Table4[[#This Row],[Away Differential]]</f>
        <v>1.0476854407129284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0.71779816570582966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7.963787527899438E-2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-0.21100886368613675</v>
      </c>
      <c r="H131" t="s">
        <v>20</v>
      </c>
      <c r="I131">
        <f>VLOOKUP(Table4[[#This Row],[Visitor]],'NHL Model'!$A$6:$B$38,2,FALSE)</f>
        <v>-3.2309887002194844E-2</v>
      </c>
      <c r="J131">
        <f>($B$1+Table4[[#This Row],[Home Differential]])-Table4[[#This Row],[Away Differential]]</f>
        <v>-1.9279315159114761E-2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0.410962446692334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0.16889013259134947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-0.17681265190927384</v>
      </c>
      <c r="H132" t="s">
        <v>55</v>
      </c>
      <c r="I132">
        <f>VLOOKUP(Table4[[#This Row],[Visitor]],'NHL Model'!$A$6:$B$38,2,FALSE)</f>
        <v>-0.1349739904770427</v>
      </c>
      <c r="J132">
        <f>($B$1+Table4[[#This Row],[Home Differential]])-Table4[[#This Row],[Away Differential]]</f>
        <v>0.11758100009259601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0.55633520979339324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0.30950886565585889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-1.6840122346544992</v>
      </c>
      <c r="H133" t="s">
        <v>13</v>
      </c>
      <c r="I133">
        <f>VLOOKUP(Table4[[#This Row],[Visitor]],'NHL Model'!$A$6:$B$38,2,FALSE)</f>
        <v>-0.31985119938240425</v>
      </c>
      <c r="J133">
        <f>($B$1+Table4[[#This Row],[Home Differential]])-Table4[[#This Row],[Away Differential]]</f>
        <v>-1.2047413737472679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0.71084971604892577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0.50530731880683843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-0.54160534998918008</v>
      </c>
      <c r="H134" t="s">
        <v>30</v>
      </c>
      <c r="I134">
        <f>VLOOKUP(Table4[[#This Row],[Visitor]],'NHL Model'!$A$6:$B$38,2,FALSE)</f>
        <v>3.2883390994754517E-3</v>
      </c>
      <c r="J134">
        <f>($B$1+Table4[[#This Row],[Home Differential]])-Table4[[#This Row],[Away Differential]]</f>
        <v>-0.38547402756382843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0.55355286232640122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0.30642077138975171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-0.2200802314358897</v>
      </c>
      <c r="H135" t="s">
        <v>28</v>
      </c>
      <c r="I135">
        <f>VLOOKUP(Table4[[#This Row],[Visitor]],'NHL Model'!$A$6:$B$38,2,FALSE)</f>
        <v>-0.72083617366747277</v>
      </c>
      <c r="J135">
        <f>($B$1+Table4[[#This Row],[Home Differential]])-Table4[[#This Row],[Away Differential]]</f>
        <v>0.66017560375641016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0.63171640808760254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0.3990656202471024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-0.46055888840939002</v>
      </c>
      <c r="H136" t="s">
        <v>17</v>
      </c>
      <c r="I136">
        <f>VLOOKUP(Table4[[#This Row],[Visitor]],'NHL Model'!$A$6:$B$38,2,FALSE)</f>
        <v>-0.8561868317598319</v>
      </c>
      <c r="J136">
        <f>($B$1+Table4[[#This Row],[Home Differential]])-Table4[[#This Row],[Away Differential]]</f>
        <v>0.55504760487526905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0.64314899586400565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0.12734263915286745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0.1846559193064522</v>
      </c>
      <c r="H137" t="s">
        <v>31</v>
      </c>
      <c r="I137">
        <f>VLOOKUP(Table4[[#This Row],[Visitor]],'NHL Model'!$A$6:$B$38,2,FALSE)</f>
        <v>0.35254565315374792</v>
      </c>
      <c r="J137">
        <f>($B$1+Table4[[#This Row],[Home Differential]])-Table4[[#This Row],[Away Differential]]</f>
        <v>-8.4700723224686025E-3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0.46271518573917225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0.21410534311363669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-0.95664361852990654</v>
      </c>
      <c r="H138" t="s">
        <v>23</v>
      </c>
      <c r="I138">
        <f>VLOOKUP(Table4[[#This Row],[Visitor]],'NHL Model'!$A$6:$B$38,2,FALSE)</f>
        <v>-0.49794713300108584</v>
      </c>
      <c r="J138">
        <f>($B$1+Table4[[#This Row],[Home Differential]])-Table4[[#This Row],[Away Differential]]</f>
        <v>-0.29927682400399358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0.50157771836058296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0.25158020755580829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-1.1267952052768424</v>
      </c>
      <c r="H139" t="s">
        <v>18</v>
      </c>
      <c r="I139">
        <f>VLOOKUP(Table4[[#This Row],[Visitor]],'NHL Model'!$A$6:$B$38,2,FALSE)</f>
        <v>-0.75480422558713034</v>
      </c>
      <c r="J139">
        <f>($B$1+Table4[[#This Row],[Home Differential]])-Table4[[#This Row],[Away Differential]]</f>
        <v>-0.21257131816488495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0.53663134881692387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0.21471050689922327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0.21430145909042725</v>
      </c>
      <c r="H140" t="s">
        <v>36</v>
      </c>
      <c r="I140">
        <f>VLOOKUP(Table4[[#This Row],[Visitor]],'NHL Model'!$A$6:$B$38,2,FALSE)</f>
        <v>-0.34257283900844787</v>
      </c>
      <c r="J140">
        <f>($B$1+Table4[[#This Row],[Home Differential]])-Table4[[#This Row],[Away Differential]]</f>
        <v>0.71629395962370235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0.63951277923286065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0.40897659480213755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-1.1167763879247272</v>
      </c>
      <c r="H141" t="s">
        <v>15</v>
      </c>
      <c r="I141">
        <f>VLOOKUP(Table4[[#This Row],[Visitor]],'NHL Model'!$A$6:$B$38,2,FALSE)</f>
        <v>-0.50599078340071213</v>
      </c>
      <c r="J141">
        <f>($B$1+Table4[[#This Row],[Home Differential]])-Table4[[#This Row],[Away Differential]]</f>
        <v>-0.45136594299918797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0.60618530849356966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0.36746062823344422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-0.13160108676160023</v>
      </c>
      <c r="H142" t="s">
        <v>13</v>
      </c>
      <c r="I142">
        <f>VLOOKUP(Table4[[#This Row],[Visitor]],'NHL Model'!$A$6:$B$38,2,FALSE)</f>
        <v>-0.31985119938240425</v>
      </c>
      <c r="J142">
        <f>($B$1+Table4[[#This Row],[Home Differential]])-Table4[[#This Row],[Away Differential]]</f>
        <v>0.34766977414563116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0.50482255894841599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0.25484581602322692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-0.17681265190927384</v>
      </c>
      <c r="H143" t="s">
        <v>33</v>
      </c>
      <c r="I143">
        <f>VLOOKUP(Table4[[#This Row],[Visitor]],'NHL Model'!$A$6:$B$38,2,FALSE)</f>
        <v>-0.3479098095875402</v>
      </c>
      <c r="J143">
        <f>($B$1+Table4[[#This Row],[Home Differential]])-Table4[[#This Row],[Away Differential]]</f>
        <v>0.3305168192030935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0.5859178062584578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0.34329967569072367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2.0731927685773251E-2</v>
      </c>
      <c r="H144" t="s">
        <v>12</v>
      </c>
      <c r="I144">
        <f>VLOOKUP(Table4[[#This Row],[Visitor]],'NHL Model'!$A$6:$B$38,2,FALSE)</f>
        <v>1.4583704516548168</v>
      </c>
      <c r="J144">
        <f>($B$1+Table4[[#This Row],[Home Differential]])-Table4[[#This Row],[Away Differential]]</f>
        <v>-1.2782188624442163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0.60615091219085249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0.36741892834980255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-1.6840122346544992</v>
      </c>
      <c r="H145" t="s">
        <v>39</v>
      </c>
      <c r="I145">
        <f>VLOOKUP(Table4[[#This Row],[Visitor]],'NHL Model'!$A$6:$B$38,2,FALSE)</f>
        <v>1.9153995907683643E-3</v>
      </c>
      <c r="J145">
        <f>($B$1+Table4[[#This Row],[Home Differential]])-Table4[[#This Row],[Away Differential]]</f>
        <v>-1.5265079727204405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0.76455980489260333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5.5432085472209007E-2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0.1846559193064522</v>
      </c>
      <c r="H146" t="s">
        <v>20</v>
      </c>
      <c r="I146">
        <f>VLOOKUP(Table4[[#This Row],[Visitor]],'NHL Model'!$A$6:$B$38,2,FALSE)</f>
        <v>-3.2309887002194844E-2</v>
      </c>
      <c r="J146">
        <f>($B$1+Table4[[#This Row],[Home Differential]])-Table4[[#This Row],[Away Differential]]</f>
        <v>0.37638546783347415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0.61139564465561791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0.15101334499262278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-1.1267952052768424</v>
      </c>
      <c r="H147" t="s">
        <v>17</v>
      </c>
      <c r="I147">
        <f>VLOOKUP(Table4[[#This Row],[Visitor]],'NHL Model'!$A$6:$B$38,2,FALSE)</f>
        <v>-0.8561868317598319</v>
      </c>
      <c r="J147">
        <f>($B$1+Table4[[#This Row],[Home Differential]])-Table4[[#This Row],[Away Differential]]</f>
        <v>-0.11118871199218339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0.47544714652553682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0.22604998913927529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-7.3890719153774626E-2</v>
      </c>
      <c r="H148" t="s">
        <v>55</v>
      </c>
      <c r="I148">
        <f>VLOOKUP(Table4[[#This Row],[Visitor]],'NHL Model'!$A$6:$B$38,2,FALSE)</f>
        <v>-0.1349739904770427</v>
      </c>
      <c r="J148">
        <f>($B$1+Table4[[#This Row],[Home Differential]])-Table4[[#This Row],[Away Differential]]</f>
        <v>0.22050293284809522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0.57312935428020717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0.32847725673764722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-0.34257283900844787</v>
      </c>
      <c r="H149" t="s">
        <v>21</v>
      </c>
      <c r="I149">
        <f>VLOOKUP(Table4[[#This Row],[Visitor]],'NHL Model'!$A$6:$B$38,2,FALSE)</f>
        <v>-0.12487089668223171</v>
      </c>
      <c r="J149">
        <f>($B$1+Table4[[#This Row],[Home Differential]])-Table4[[#This Row],[Away Differential]]</f>
        <v>-5.8282280801389016E-2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0.46560152016952483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0.21678477558417245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-0.2200802314358897</v>
      </c>
      <c r="H150" t="s">
        <v>35</v>
      </c>
      <c r="I150">
        <f>VLOOKUP(Table4[[#This Row],[Visitor]],'NHL Model'!$A$6:$B$38,2,FALSE)</f>
        <v>-1.5594075795597986</v>
      </c>
      <c r="J150">
        <f>($B$1+Table4[[#This Row],[Home Differential]])-Table4[[#This Row],[Away Differential]]</f>
        <v>1.4987470096487361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0.74821686165751866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6.3394748753589095E-2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-0.12487089668223171</v>
      </c>
      <c r="H151" t="s">
        <v>30</v>
      </c>
      <c r="I151">
        <f>VLOOKUP(Table4[[#This Row],[Visitor]],'NHL Model'!$A$6:$B$38,2,FALSE)</f>
        <v>3.2883390994754517E-3</v>
      </c>
      <c r="J151">
        <f>($B$1+Table4[[#This Row],[Home Differential]])-Table4[[#This Row],[Away Differential]]</f>
        <v>3.1260425743119984E-2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0.52434292625800527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0.22624965180079742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-0.49794713300108584</v>
      </c>
      <c r="H152" t="s">
        <v>28</v>
      </c>
      <c r="I152">
        <f>VLOOKUP(Table4[[#This Row],[Visitor]],'NHL Model'!$A$6:$B$38,2,FALSE)</f>
        <v>-0.72083617366747277</v>
      </c>
      <c r="J152">
        <f>($B$1+Table4[[#This Row],[Home Differential]])-Table4[[#This Row],[Away Differential]]</f>
        <v>0.38230870219121404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0.60712973274647208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0.36860651238480263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0.42254821659882374</v>
      </c>
      <c r="H153" t="s">
        <v>20</v>
      </c>
      <c r="I153">
        <f>VLOOKUP(Table4[[#This Row],[Visitor]],'NHL Model'!$A$6:$B$38,2,FALSE)</f>
        <v>-3.2309887002194844E-2</v>
      </c>
      <c r="J153">
        <f>($B$1+Table4[[#This Row],[Home Differential]])-Table4[[#This Row],[Away Differential]]</f>
        <v>0.61427776512584575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0.67705592204406306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0.45840472157493639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-0.13160108676160023</v>
      </c>
      <c r="H154" t="s">
        <v>36</v>
      </c>
      <c r="I154">
        <f>VLOOKUP(Table4[[#This Row],[Visitor]],'NHL Model'!$A$6:$B$38,2,FALSE)</f>
        <v>-0.34257283900844787</v>
      </c>
      <c r="J154">
        <f>($B$1+Table4[[#This Row],[Home Differential]])-Table4[[#This Row],[Away Differential]]</f>
        <v>0.37039141377167478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0.59145747565394957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0.1669069941990432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1.4583704516548168</v>
      </c>
      <c r="H155" t="s">
        <v>24</v>
      </c>
      <c r="I155">
        <f>VLOOKUP(Table4[[#This Row],[Visitor]],'NHL Model'!$A$6:$B$38,2,FALSE)</f>
        <v>2.0731927685773251E-2</v>
      </c>
      <c r="J155">
        <f>($B$1+Table4[[#This Row],[Home Differential]])-Table4[[#This Row],[Away Differential]]</f>
        <v>1.5970581854938708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0.85602130843727486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2.0729863624114338E-2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1.9153995907683643E-3</v>
      </c>
      <c r="H156" t="s">
        <v>22</v>
      </c>
      <c r="I156">
        <f>VLOOKUP(Table4[[#This Row],[Visitor]],'NHL Model'!$A$6:$B$38,2,FALSE)</f>
        <v>0.21430145909042725</v>
      </c>
      <c r="J156">
        <f>($B$1+Table4[[#This Row],[Home Differential]])-Table4[[#This Row],[Away Differential]]</f>
        <v>-5.2966397974831742E-2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0.48561934773973425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0.23582615089916495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-0.8561868317598319</v>
      </c>
      <c r="H157" t="s">
        <v>55</v>
      </c>
      <c r="I157">
        <f>VLOOKUP(Table4[[#This Row],[Visitor]],'NHL Model'!$A$6:$B$38,2,FALSE)</f>
        <v>-0.1349739904770427</v>
      </c>
      <c r="J157">
        <f>($B$1+Table4[[#This Row],[Home Differential]])-Table4[[#This Row],[Away Differential]]</f>
        <v>-0.56179317975796206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0.53100245259838974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0.28196360466550513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-0.21100886368613675</v>
      </c>
      <c r="H158" t="s">
        <v>31</v>
      </c>
      <c r="I158">
        <f>VLOOKUP(Table4[[#This Row],[Visitor]],'NHL Model'!$A$6:$B$38,2,FALSE)</f>
        <v>0.35254565315374792</v>
      </c>
      <c r="J158">
        <f>($B$1+Table4[[#This Row],[Home Differential]])-Table4[[#This Row],[Away Differential]]</f>
        <v>-0.40413485531505755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0.48471678914154814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0.26551678739259577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-0.17681265190927384</v>
      </c>
      <c r="H159" t="s">
        <v>40</v>
      </c>
      <c r="I159">
        <f>VLOOKUP(Table4[[#This Row],[Visitor]],'NHL Model'!$A$6:$B$38,2,FALSE)</f>
        <v>-7.3890719153774626E-2</v>
      </c>
      <c r="J159">
        <f>($B$1+Table4[[#This Row],[Home Differential]])-Table4[[#This Row],[Away Differential]]</f>
        <v>5.6497728769327932E-2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0.48153328692105984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0.23187430641299975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-1.6840122346544992</v>
      </c>
      <c r="H160" t="s">
        <v>37</v>
      </c>
      <c r="I160">
        <f>VLOOKUP(Table4[[#This Row],[Visitor]],'NHL Model'!$A$6:$B$38,2,FALSE)</f>
        <v>0.1846559193064522</v>
      </c>
      <c r="J160">
        <f>($B$1+Table4[[#This Row],[Home Differential]])-Table4[[#This Row],[Away Differential]]</f>
        <v>-1.7092484924361244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0.76377705184598177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5.5801281234575985E-2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-0.54160534998918008</v>
      </c>
      <c r="H161" t="s">
        <v>14</v>
      </c>
      <c r="I161">
        <f>VLOOKUP(Table4[[#This Row],[Visitor]],'NHL Model'!$A$6:$B$38,2,FALSE)</f>
        <v>-0.2200802314358897</v>
      </c>
      <c r="J161">
        <f>($B$1+Table4[[#This Row],[Home Differential]])-Table4[[#This Row],[Away Differential]]</f>
        <v>-0.16210545702846327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0.45027480616190585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0.20274740106414188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-0.46055888840939002</v>
      </c>
      <c r="H162" t="s">
        <v>18</v>
      </c>
      <c r="I162">
        <f>VLOOKUP(Table4[[#This Row],[Visitor]],'NHL Model'!$A$6:$B$38,2,FALSE)</f>
        <v>-0.75480422558713034</v>
      </c>
      <c r="J162">
        <f>($B$1+Table4[[#This Row],[Home Differential]])-Table4[[#This Row],[Away Differential]]</f>
        <v>0.45366499870256749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0.58225721843506151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0.33902346841973491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-0.3479098095875402</v>
      </c>
      <c r="H163" t="s">
        <v>13</v>
      </c>
      <c r="I163">
        <f>VLOOKUP(Table4[[#This Row],[Visitor]],'NHL Model'!$A$6:$B$38,2,FALSE)</f>
        <v>-0.31985119938240425</v>
      </c>
      <c r="J163">
        <f>($B$1+Table4[[#This Row],[Home Differential]])-Table4[[#This Row],[Away Differential]]</f>
        <v>0.1313610513196912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0.47477137410800768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0.22540785767240579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-1.5594075795597986</v>
      </c>
      <c r="H164" t="s">
        <v>26</v>
      </c>
      <c r="I164">
        <f>VLOOKUP(Table4[[#This Row],[Visitor]],'NHL Model'!$A$6:$B$38,2,FALSE)</f>
        <v>-0.67114180037169746</v>
      </c>
      <c r="J164">
        <f>($B$1+Table4[[#This Row],[Home Differential]])-Table4[[#This Row],[Away Differential]]</f>
        <v>-0.72884611766327401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0.58202584731232654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0.17470239231497856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-0.95664361852990654</v>
      </c>
      <c r="H165" t="s">
        <v>16</v>
      </c>
      <c r="I165">
        <f>VLOOKUP(Table4[[#This Row],[Visitor]],'NHL Model'!$A$6:$B$38,2,FALSE)</f>
        <v>-1.1167763879247272</v>
      </c>
      <c r="J165">
        <f>($B$1+Table4[[#This Row],[Home Differential]])-Table4[[#This Row],[Away Differential]]</f>
        <v>0.3195524309196478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0.5843945534988686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0.1727278871614048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-1.1267952052768424</v>
      </c>
      <c r="H166" t="s">
        <v>15</v>
      </c>
      <c r="I166">
        <f>VLOOKUP(Table4[[#This Row],[Visitor]],'NHL Model'!$A$6:$B$38,2,FALSE)</f>
        <v>-0.50599078340071213</v>
      </c>
      <c r="J166">
        <f>($B$1+Table4[[#This Row],[Home Differential]])-Table4[[#This Row],[Away Differential]]</f>
        <v>-0.46138476035130316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0.60757719564540202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0.15399565737752707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-0.72083617366747277</v>
      </c>
      <c r="H167" t="s">
        <v>19</v>
      </c>
      <c r="I167">
        <f>VLOOKUP(Table4[[#This Row],[Visitor]],'NHL Model'!$A$6:$B$38,2,FALSE)</f>
        <v>-0.95664361852990654</v>
      </c>
      <c r="J167">
        <f>($B$1+Table4[[#This Row],[Home Differential]])-Table4[[#This Row],[Away Differential]]</f>
        <v>0.39522710638726088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0.60195378300433666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0.1584407908645587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-0.12487089668223171</v>
      </c>
      <c r="H168" t="s">
        <v>23</v>
      </c>
      <c r="I168">
        <f>VLOOKUP(Table4[[#This Row],[Visitor]],'NHL Model'!$A$6:$B$38,2,FALSE)</f>
        <v>-0.49794713300108584</v>
      </c>
      <c r="J168">
        <f>($B$1+Table4[[#This Row],[Home Differential]])-Table4[[#This Row],[Away Differential]]</f>
        <v>0.53249589784368123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0.66569418878530917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0.1117603754119125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0.42254821659882374</v>
      </c>
      <c r="H169" t="s">
        <v>30</v>
      </c>
      <c r="I169">
        <f>VLOOKUP(Table4[[#This Row],[Visitor]],'NHL Model'!$A$6:$B$38,2,FALSE)</f>
        <v>3.2883390994754517E-3</v>
      </c>
      <c r="J169">
        <f>($B$1+Table4[[#This Row],[Home Differential]])-Table4[[#This Row],[Away Differential]]</f>
        <v>0.57867953902417546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0.60039438060281647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0.15968465105380669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-0.8561868317598319</v>
      </c>
      <c r="H170" t="s">
        <v>15</v>
      </c>
      <c r="I170">
        <f>VLOOKUP(Table4[[#This Row],[Visitor]],'NHL Model'!$A$6:$B$38,2,FALSE)</f>
        <v>-0.50599078340071213</v>
      </c>
      <c r="J170">
        <f>($B$1+Table4[[#This Row],[Home Differential]])-Table4[[#This Row],[Away Differential]]</f>
        <v>-0.19077638683429265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0.56292788763268442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0.19103203140922734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-0.31985119938240425</v>
      </c>
      <c r="H171" t="s">
        <v>26</v>
      </c>
      <c r="I171">
        <f>VLOOKUP(Table4[[#This Row],[Visitor]],'NHL Model'!$A$6:$B$38,2,FALSE)</f>
        <v>-0.67114180037169746</v>
      </c>
      <c r="J171">
        <f>($B$1+Table4[[#This Row],[Home Differential]])-Table4[[#This Row],[Away Differential]]</f>
        <v>0.51071026251412033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0.59018236238984445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0.34831522087605771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-0.17681265190927384</v>
      </c>
      <c r="H172" t="s">
        <v>14</v>
      </c>
      <c r="I172">
        <f>VLOOKUP(Table4[[#This Row],[Visitor]],'NHL Model'!$A$6:$B$38,2,FALSE)</f>
        <v>-0.2200802314358897</v>
      </c>
      <c r="J172">
        <f>($B$1+Table4[[#This Row],[Home Differential]])-Table4[[#This Row],[Away Differential]]</f>
        <v>0.20268724105144301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0.56815878928068297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0.32280440983689151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-0.34257283900844787</v>
      </c>
      <c r="H173" t="s">
        <v>16</v>
      </c>
      <c r="I173">
        <f>VLOOKUP(Table4[[#This Row],[Visitor]],'NHL Model'!$A$6:$B$38,2,FALSE)</f>
        <v>-1.1167763879247272</v>
      </c>
      <c r="J173">
        <f>($B$1+Table4[[#This Row],[Home Differential]])-Table4[[#This Row],[Away Differential]]</f>
        <v>0.93362321044110652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0.67220122246665692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0.10745203855235415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-0.54160534998918008</v>
      </c>
      <c r="H174" t="s">
        <v>29</v>
      </c>
      <c r="I174">
        <f>VLOOKUP(Table4[[#This Row],[Visitor]],'NHL Model'!$A$6:$B$38,2,FALSE)</f>
        <v>-1.6840122346544992</v>
      </c>
      <c r="J174">
        <f>($B$1+Table4[[#This Row],[Home Differential]])-Table4[[#This Row],[Away Differential]]</f>
        <v>1.3018265461901461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0.75310530097280237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6.0956992407730504E-2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-0.3479098095875402</v>
      </c>
      <c r="H175" t="s">
        <v>24</v>
      </c>
      <c r="I175">
        <f>VLOOKUP(Table4[[#This Row],[Visitor]],'NHL Model'!$A$6:$B$38,2,FALSE)</f>
        <v>2.0731927685773251E-2</v>
      </c>
      <c r="J175">
        <f>($B$1+Table4[[#This Row],[Home Differential]])-Table4[[#This Row],[Away Differential]]</f>
        <v>-0.20922207574848631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0.48989614924858071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0.23999823704858766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-1.5594075795597986</v>
      </c>
      <c r="H176" t="s">
        <v>38</v>
      </c>
      <c r="I176">
        <f>VLOOKUP(Table4[[#This Row],[Visitor]],'NHL Model'!$A$6:$B$38,2,FALSE)</f>
        <v>-1.1267952052768424</v>
      </c>
      <c r="J176">
        <f>($B$1+Table4[[#This Row],[Home Differential]])-Table4[[#This Row],[Away Differential]]</f>
        <v>-0.27319271275812906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0.51872315422128379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0.2316274022827102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0.1846559193064522</v>
      </c>
      <c r="H177" t="s">
        <v>39</v>
      </c>
      <c r="I177">
        <f>VLOOKUP(Table4[[#This Row],[Visitor]],'NHL Model'!$A$6:$B$38,2,FALSE)</f>
        <v>1.9153995907683643E-3</v>
      </c>
      <c r="J177">
        <f>($B$1+Table4[[#This Row],[Home Differential]])-Table4[[#This Row],[Away Differential]]</f>
        <v>0.34216018124051095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0.51420205366888294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0.23599964465953088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-7.3890719153774626E-2</v>
      </c>
      <c r="H178" t="s">
        <v>10</v>
      </c>
      <c r="I178">
        <f>VLOOKUP(Table4[[#This Row],[Visitor]],'NHL Model'!$A$6:$B$38,2,FALSE)</f>
        <v>-0.13160108676160023</v>
      </c>
      <c r="J178">
        <f>($B$1+Table4[[#This Row],[Home Differential]])-Table4[[#This Row],[Away Differential]]</f>
        <v>0.21713002913265275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0.57266076590486359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0.18261882099701779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0.35254565315374792</v>
      </c>
      <c r="H179" t="s">
        <v>26</v>
      </c>
      <c r="I179">
        <f>VLOOKUP(Table4[[#This Row],[Visitor]],'NHL Model'!$A$6:$B$38,2,FALSE)</f>
        <v>-0.67114180037169746</v>
      </c>
      <c r="J179">
        <f>($B$1+Table4[[#This Row],[Home Differential]])-Table4[[#This Row],[Away Differential]]</f>
        <v>1.1831071150502726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0.77975048161455662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4.8509850349019758E-2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-3.2309887002194844E-2</v>
      </c>
      <c r="H180" t="s">
        <v>12</v>
      </c>
      <c r="I180">
        <f>VLOOKUP(Table4[[#This Row],[Visitor]],'NHL Model'!$A$6:$B$38,2,FALSE)</f>
        <v>1.4583704516548168</v>
      </c>
      <c r="J180">
        <f>($B$1+Table4[[#This Row],[Home Differential]])-Table4[[#This Row],[Away Differential]]</f>
        <v>-1.3312606771321844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0.7374346270788823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6.8940575057205605E-2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0.21430145909042725</v>
      </c>
      <c r="H181" t="s">
        <v>30</v>
      </c>
      <c r="I181">
        <f>VLOOKUP(Table4[[#This Row],[Visitor]],'NHL Model'!$A$6:$B$38,2,FALSE)</f>
        <v>3.2883390994754517E-3</v>
      </c>
      <c r="J181">
        <f>($B$1+Table4[[#This Row],[Home Differential]])-Table4[[#This Row],[Away Differential]]</f>
        <v>0.37043278151577896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0.51884005365470864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0.26919500127642093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-0.12487089668223171</v>
      </c>
      <c r="H182" t="s">
        <v>25</v>
      </c>
      <c r="I182">
        <f>VLOOKUP(Table4[[#This Row],[Visitor]],'NHL Model'!$A$6:$B$38,2,FALSE)</f>
        <v>0.42254821659882374</v>
      </c>
      <c r="J182">
        <f>($B$1+Table4[[#This Row],[Home Differential]])-Table4[[#This Row],[Away Differential]]</f>
        <v>-0.3879994517562283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0.53390371266759307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0.28505317440023975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-0.49794713300108584</v>
      </c>
      <c r="H183" t="s">
        <v>22</v>
      </c>
      <c r="I183">
        <f>VLOOKUP(Table4[[#This Row],[Visitor]],'NHL Model'!$A$6:$B$38,2,FALSE)</f>
        <v>0.21430145909042725</v>
      </c>
      <c r="J183">
        <f>($B$1+Table4[[#This Row],[Home Differential]])-Table4[[#This Row],[Away Differential]]</f>
        <v>-0.55282893056668603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0.54346969227073827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0.29535930641685093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-0.72083617366747277</v>
      </c>
      <c r="H184" t="s">
        <v>35</v>
      </c>
      <c r="I184">
        <f>VLOOKUP(Table4[[#This Row],[Visitor]],'NHL Model'!$A$6:$B$38,2,FALSE)</f>
        <v>-1.5594075795597986</v>
      </c>
      <c r="J184">
        <f>($B$1+Table4[[#This Row],[Home Differential]])-Table4[[#This Row],[Away Differential]]</f>
        <v>0.99799106741715293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0.68569414710709065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9.8788169162739178E-2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-0.8561868317598319</v>
      </c>
      <c r="H185" t="s">
        <v>10</v>
      </c>
      <c r="I185">
        <f>VLOOKUP(Table4[[#This Row],[Visitor]],'NHL Model'!$A$6:$B$38,2,FALSE)</f>
        <v>-0.13160108676160023</v>
      </c>
      <c r="J185">
        <f>($B$1+Table4[[#This Row],[Home Differential]])-Table4[[#This Row],[Away Differential]]</f>
        <v>-0.56516608347340458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0.53147104097373343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0.28246146739370387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-0.21100886368613675</v>
      </c>
      <c r="H186" t="s">
        <v>39</v>
      </c>
      <c r="I186">
        <f>VLOOKUP(Table4[[#This Row],[Visitor]],'NHL Model'!$A$6:$B$38,2,FALSE)</f>
        <v>1.9153995907683643E-3</v>
      </c>
      <c r="J186">
        <f>($B$1+Table4[[#This Row],[Home Differential]])-Table4[[#This Row],[Away Differential]]</f>
        <v>-5.3504601752077968E-2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0.50743324936719247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0.25748850256334732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-0.31985119938240425</v>
      </c>
      <c r="H187" t="s">
        <v>24</v>
      </c>
      <c r="I187">
        <f>VLOOKUP(Table4[[#This Row],[Visitor]],'NHL Model'!$A$6:$B$38,2,FALSE)</f>
        <v>2.0731927685773251E-2</v>
      </c>
      <c r="J187">
        <f>($B$1+Table4[[#This Row],[Home Differential]])-Table4[[#This Row],[Away Differential]]</f>
        <v>-0.18116346554335036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0.48599804254893547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0.26419801226352602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-0.17681265190927384</v>
      </c>
      <c r="H188" t="s">
        <v>38</v>
      </c>
      <c r="I188">
        <f>VLOOKUP(Table4[[#This Row],[Visitor]],'NHL Model'!$A$6:$B$38,2,FALSE)</f>
        <v>-1.1267952052768424</v>
      </c>
      <c r="J188">
        <f>($B$1+Table4[[#This Row],[Home Differential]])-Table4[[#This Row],[Away Differential]]</f>
        <v>1.1094022148923957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0.67335701336248155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0.10669564071947805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-0.75480422558713034</v>
      </c>
      <c r="H189" t="s">
        <v>36</v>
      </c>
      <c r="I189">
        <f>VLOOKUP(Table4[[#This Row],[Visitor]],'NHL Model'!$A$6:$B$38,2,FALSE)</f>
        <v>-0.34257283900844787</v>
      </c>
      <c r="J189">
        <f>($B$1+Table4[[#This Row],[Home Differential]])-Table4[[#This Row],[Away Differential]]</f>
        <v>-0.25281172505385535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0.4951224480463014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0.24514623855936243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-1.6840122346544992</v>
      </c>
      <c r="H190" t="s">
        <v>16</v>
      </c>
      <c r="I190">
        <f>VLOOKUP(Table4[[#This Row],[Visitor]],'NHL Model'!$A$6:$B$38,2,FALSE)</f>
        <v>-1.1167763879247272</v>
      </c>
      <c r="J190">
        <f>($B$1+Table4[[#This Row],[Home Differential]])-Table4[[#This Row],[Away Differential]]</f>
        <v>-0.40781618520494489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0.5166567977582931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0.26693424666985377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-0.54160534998918008</v>
      </c>
      <c r="H191" t="s">
        <v>19</v>
      </c>
      <c r="I191">
        <f>VLOOKUP(Table4[[#This Row],[Visitor]],'NHL Model'!$A$6:$B$38,2,FALSE)</f>
        <v>-0.95664361852990654</v>
      </c>
      <c r="J191">
        <f>($B$1+Table4[[#This Row],[Home Differential]])-Table4[[#This Row],[Away Differential]]</f>
        <v>0.57445793006555357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0.65205394971564068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0.42517435333976727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-0.46055888840939002</v>
      </c>
      <c r="H192" t="s">
        <v>15</v>
      </c>
      <c r="I192">
        <f>VLOOKUP(Table4[[#This Row],[Visitor]],'NHL Model'!$A$6:$B$38,2,FALSE)</f>
        <v>-0.50599078340071213</v>
      </c>
      <c r="J192">
        <f>($B$1+Table4[[#This Row],[Home Differential]])-Table4[[#This Row],[Away Differential]]</f>
        <v>0.20485155651614928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0.51121809245430416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0.26134393805261746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-0.3479098095875402</v>
      </c>
      <c r="H193" t="s">
        <v>12</v>
      </c>
      <c r="I193">
        <f>VLOOKUP(Table4[[#This Row],[Visitor]],'NHL Model'!$A$6:$B$38,2,FALSE)</f>
        <v>1.4583704516548168</v>
      </c>
      <c r="J193">
        <f>($B$1+Table4[[#This Row],[Home Differential]])-Table4[[#This Row],[Away Differential]]</f>
        <v>-1.6468605997175298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0.78128006930296912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0.61039854669005222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-7.3890719153774626E-2</v>
      </c>
      <c r="H194" t="s">
        <v>14</v>
      </c>
      <c r="I194">
        <f>VLOOKUP(Table4[[#This Row],[Visitor]],'NHL Model'!$A$6:$B$38,2,FALSE)</f>
        <v>-0.2200802314358897</v>
      </c>
      <c r="J194">
        <f>($B$1+Table4[[#This Row],[Home Differential]])-Table4[[#This Row],[Away Differential]]</f>
        <v>0.30560917380694219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0.58495293376749691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0.1722640671882078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0.35254565315374792</v>
      </c>
      <c r="H195" t="s">
        <v>24</v>
      </c>
      <c r="I195">
        <f>VLOOKUP(Table4[[#This Row],[Visitor]],'NHL Model'!$A$6:$B$38,2,FALSE)</f>
        <v>2.0731927685773251E-2</v>
      </c>
      <c r="J195">
        <f>($B$1+Table4[[#This Row],[Home Differential]])-Table4[[#This Row],[Away Differential]]</f>
        <v>0.49123338699280183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0.70239206507290286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8.8570482931571284E-2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3.2883390994754517E-3</v>
      </c>
      <c r="H196" t="s">
        <v>28</v>
      </c>
      <c r="I196">
        <f>VLOOKUP(Table4[[#This Row],[Visitor]],'NHL Model'!$A$6:$B$38,2,FALSE)</f>
        <v>-0.72083617366747277</v>
      </c>
      <c r="J196">
        <f>($B$1+Table4[[#This Row],[Home Differential]])-Table4[[#This Row],[Away Differential]]</f>
        <v>0.88354417429177534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0.66274839844380029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0.11373864275222169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-0.54160534998918008</v>
      </c>
      <c r="H197" t="s">
        <v>16</v>
      </c>
      <c r="I197">
        <f>VLOOKUP(Table4[[#This Row],[Visitor]],'NHL Model'!$A$6:$B$38,2,FALSE)</f>
        <v>-1.1167763879247272</v>
      </c>
      <c r="J197">
        <f>($B$1+Table4[[#This Row],[Home Differential]])-Table4[[#This Row],[Away Differential]]</f>
        <v>0.73459069946037425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0.67430076153729113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0.45468151700977077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-0.3479098095875402</v>
      </c>
      <c r="H198" t="s">
        <v>26</v>
      </c>
      <c r="I198">
        <f>VLOOKUP(Table4[[#This Row],[Visitor]],'NHL Model'!$A$6:$B$38,2,FALSE)</f>
        <v>-0.67114180037169746</v>
      </c>
      <c r="J198">
        <f>($B$1+Table4[[#This Row],[Home Differential]])-Table4[[#This Row],[Away Differential]]</f>
        <v>0.48265165230898444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0.58628425569019926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0.34372922847021092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-0.1349739904770427</v>
      </c>
      <c r="H199" t="s">
        <v>37</v>
      </c>
      <c r="I199">
        <f>VLOOKUP(Table4[[#This Row],[Visitor]],'NHL Model'!$A$6:$B$38,2,FALSE)</f>
        <v>0.1846559193064522</v>
      </c>
      <c r="J199">
        <f>($B$1+Table4[[#This Row],[Home Differential]])-Table4[[#This Row],[Away Differential]]</f>
        <v>-0.16021024825866775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0.48379603728876114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0.26646653111878615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-1.6840122346544992</v>
      </c>
      <c r="H200" t="s">
        <v>38</v>
      </c>
      <c r="I200">
        <f>VLOOKUP(Table4[[#This Row],[Visitor]],'NHL Model'!$A$6:$B$38,2,FALSE)</f>
        <v>-1.1267952052768424</v>
      </c>
      <c r="J200">
        <f>($B$1+Table4[[#This Row],[Home Differential]])-Table4[[#This Row],[Away Differential]]</f>
        <v>-0.39779736785282971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0.5360341413756915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0.21526431796899181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-0.46055888840939002</v>
      </c>
      <c r="H201" t="s">
        <v>10</v>
      </c>
      <c r="I201">
        <f>VLOOKUP(Table4[[#This Row],[Visitor]],'NHL Model'!$A$6:$B$38,2,FALSE)</f>
        <v>-0.13160108676160023</v>
      </c>
      <c r="J201">
        <f>($B$1+Table4[[#This Row],[Home Differential]])-Table4[[#This Row],[Away Differential]]</f>
        <v>-0.16953814012296262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0.45751573864690215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0.20932065110962048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-1.5594075795597986</v>
      </c>
      <c r="H202" t="s">
        <v>17</v>
      </c>
      <c r="I202">
        <f>VLOOKUP(Table4[[#This Row],[Visitor]],'NHL Model'!$A$6:$B$38,2,FALSE)</f>
        <v>-0.8561868317598319</v>
      </c>
      <c r="J202">
        <f>($B$1+Table4[[#This Row],[Home Differential]])-Table4[[#This Row],[Away Differential]]</f>
        <v>-0.54380108627513957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0.53554881165480805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0.28681252966487708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-0.95664361852990654</v>
      </c>
      <c r="H203" t="s">
        <v>14</v>
      </c>
      <c r="I203">
        <f>VLOOKUP(Table4[[#This Row],[Visitor]],'NHL Model'!$A$6:$B$38,2,FALSE)</f>
        <v>-0.2200802314358897</v>
      </c>
      <c r="J203">
        <f>($B$1+Table4[[#This Row],[Home Differential]])-Table4[[#This Row],[Away Differential]]</f>
        <v>-0.57714372556918969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0.54018101420032838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0.29179552810249537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0.35254565315374792</v>
      </c>
      <c r="H204" t="s">
        <v>11</v>
      </c>
      <c r="I204">
        <f>VLOOKUP(Table4[[#This Row],[Visitor]],'NHL Model'!$A$6:$B$38,2,FALSE)</f>
        <v>-0.21100886368613675</v>
      </c>
      <c r="J204">
        <f>($B$1+Table4[[#This Row],[Home Differential]])-Table4[[#This Row],[Away Differential]]</f>
        <v>0.72297417836471189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0.73536147884519076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7.0033546879004413E-2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-0.49794713300108584</v>
      </c>
      <c r="H205" t="s">
        <v>55</v>
      </c>
      <c r="I205">
        <f>VLOOKUP(Table4[[#This Row],[Visitor]],'NHL Model'!$A$6:$B$38,2,FALSE)</f>
        <v>-0.1349739904770427</v>
      </c>
      <c r="J205">
        <f>($B$1+Table4[[#This Row],[Home Differential]])-Table4[[#This Row],[Away Differential]]</f>
        <v>-0.20355348099921602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0.4742625131512021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0.27639990507808987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1.4583704516548168</v>
      </c>
      <c r="H206" t="s">
        <v>37</v>
      </c>
      <c r="I206">
        <f>VLOOKUP(Table4[[#This Row],[Visitor]],'NHL Model'!$A$6:$B$38,2,FALSE)</f>
        <v>0.1846559193064522</v>
      </c>
      <c r="J206">
        <f>($B$1+Table4[[#This Row],[Home Differential]])-Table4[[#This Row],[Away Differential]]</f>
        <v>1.4331341938731916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0.77053002234809065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5.2656470643567779E-2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1.9153995907683643E-3</v>
      </c>
      <c r="H207" t="s">
        <v>17</v>
      </c>
      <c r="I207">
        <f>VLOOKUP(Table4[[#This Row],[Visitor]],'NHL Model'!$A$6:$B$38,2,FALSE)</f>
        <v>-0.8561868317598319</v>
      </c>
      <c r="J207">
        <f>($B$1+Table4[[#This Row],[Home Differential]])-Table4[[#This Row],[Away Differential]]</f>
        <v>1.0175218928754275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0.68385703911964191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9.9946371714199622E-2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-0.31985119938240425</v>
      </c>
      <c r="H208" t="s">
        <v>40</v>
      </c>
      <c r="I208">
        <f>VLOOKUP(Table4[[#This Row],[Visitor]],'NHL Model'!$A$6:$B$38,2,FALSE)</f>
        <v>-7.3890719153774626E-2</v>
      </c>
      <c r="J208">
        <f>($B$1+Table4[[#This Row],[Home Differential]])-Table4[[#This Row],[Away Differential]]</f>
        <v>-8.654081870380248E-2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0.53833867096053445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0.2898085246515546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-0.17681265190927384</v>
      </c>
      <c r="H209" t="s">
        <v>29</v>
      </c>
      <c r="I209">
        <f>VLOOKUP(Table4[[#This Row],[Visitor]],'NHL Model'!$A$6:$B$38,2,FALSE)</f>
        <v>-1.6840122346544992</v>
      </c>
      <c r="J209">
        <f>($B$1+Table4[[#This Row],[Home Differential]])-Table4[[#This Row],[Away Differential]]</f>
        <v>1.6666192442700525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0.77153889641539108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5.2194475851097405E-2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-0.75480422558713034</v>
      </c>
      <c r="H210" t="s">
        <v>27</v>
      </c>
      <c r="I210">
        <f>VLOOKUP(Table4[[#This Row],[Visitor]],'NHL Model'!$A$6:$B$38,2,FALSE)</f>
        <v>-0.54160534998918008</v>
      </c>
      <c r="J210">
        <f>($B$1+Table4[[#This Row],[Home Differential]])-Table4[[#This Row],[Away Differential]]</f>
        <v>-5.3779214073123138E-2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0.46747140051297786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0.28358670927160923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3.2883390994754517E-3</v>
      </c>
      <c r="H211" t="s">
        <v>21</v>
      </c>
      <c r="I211">
        <f>VLOOKUP(Table4[[#This Row],[Visitor]],'NHL Model'!$A$6:$B$38,2,FALSE)</f>
        <v>-0.12487089668223171</v>
      </c>
      <c r="J211">
        <f>($B$1+Table4[[#This Row],[Home Differential]])-Table4[[#This Row],[Away Differential]]</f>
        <v>0.2875788973065343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0.57995255709643112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0.33634496848268919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-0.50599078340071213</v>
      </c>
      <c r="H212" t="s">
        <v>25</v>
      </c>
      <c r="I212">
        <f>VLOOKUP(Table4[[#This Row],[Visitor]],'NHL Model'!$A$6:$B$38,2,FALSE)</f>
        <v>0.42254821659882374</v>
      </c>
      <c r="J212">
        <f>($B$1+Table4[[#This Row],[Home Differential]])-Table4[[#This Row],[Away Differential]]</f>
        <v>-0.76911933847470881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0.63947483511040848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0.12997839451866716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-3.2309887002194844E-2</v>
      </c>
      <c r="H213" t="s">
        <v>26</v>
      </c>
      <c r="I213">
        <f>VLOOKUP(Table4[[#This Row],[Visitor]],'NHL Model'!$A$6:$B$38,2,FALSE)</f>
        <v>-0.67114180037169746</v>
      </c>
      <c r="J213">
        <f>($B$1+Table4[[#This Row],[Home Differential]])-Table4[[#This Row],[Away Differential]]</f>
        <v>0.79825157489432974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0.63012969791428597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0.13680404036497734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-1.1167763879247272</v>
      </c>
      <c r="H214" t="s">
        <v>28</v>
      </c>
      <c r="I214">
        <f>VLOOKUP(Table4[[#This Row],[Visitor]],'NHL Model'!$A$6:$B$38,2,FALSE)</f>
        <v>-0.72083617366747277</v>
      </c>
      <c r="J214">
        <f>($B$1+Table4[[#This Row],[Home Differential]])-Table4[[#This Row],[Away Differential]]</f>
        <v>-0.23652055273242734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0.49285915961159443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0.24291015121304713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-0.46055888840939002</v>
      </c>
      <c r="H215" t="s">
        <v>33</v>
      </c>
      <c r="I215">
        <f>VLOOKUP(Table4[[#This Row],[Visitor]],'NHL Model'!$A$6:$B$38,2,FALSE)</f>
        <v>-0.3479098095875402</v>
      </c>
      <c r="J215">
        <f>($B$1+Table4[[#This Row],[Home Differential]])-Table4[[#This Row],[Away Differential]]</f>
        <v>4.6770582702977348E-2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0.57253544619350616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0.32779683714799718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-0.95664361852990654</v>
      </c>
      <c r="H216" t="s">
        <v>55</v>
      </c>
      <c r="I216">
        <f>VLOOKUP(Table4[[#This Row],[Visitor]],'NHL Model'!$A$6:$B$38,2,FALSE)</f>
        <v>-0.1349739904770427</v>
      </c>
      <c r="J216">
        <f>($B$1+Table4[[#This Row],[Home Differential]])-Table4[[#This Row],[Away Differential]]</f>
        <v>-0.66224996652803669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0.55200459368761812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0.30470907145223236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-1.1267952052768424</v>
      </c>
      <c r="H217" t="s">
        <v>10</v>
      </c>
      <c r="I217">
        <f>VLOOKUP(Table4[[#This Row],[Visitor]],'NHL Model'!$A$6:$B$38,2,FALSE)</f>
        <v>-0.13160108676160023</v>
      </c>
      <c r="J217">
        <f>($B$1+Table4[[#This Row],[Home Differential]])-Table4[[#This Row],[Away Differential]]</f>
        <v>-0.83577445699041508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0.57611188103644462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0.17968113739846128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0.21430145909042725</v>
      </c>
      <c r="H218" t="s">
        <v>35</v>
      </c>
      <c r="I218">
        <f>VLOOKUP(Table4[[#This Row],[Visitor]],'NHL Model'!$A$6:$B$38,2,FALSE)</f>
        <v>-1.5594075795597986</v>
      </c>
      <c r="J218">
        <f>($B$1+Table4[[#This Row],[Home Differential]])-Table4[[#This Row],[Away Differential]]</f>
        <v>1.933128700175053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0.80856433309906317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3.6647614561806444E-2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-0.12487089668223171</v>
      </c>
      <c r="H219" t="s">
        <v>36</v>
      </c>
      <c r="I219">
        <f>VLOOKUP(Table4[[#This Row],[Visitor]],'NHL Model'!$A$6:$B$38,2,FALSE)</f>
        <v>-0.34257283900844787</v>
      </c>
      <c r="J219">
        <f>($B$1+Table4[[#This Row],[Home Differential]])-Table4[[#This Row],[Away Differential]]</f>
        <v>0.37712160385104332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0.64410845905966196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0.12665878891288831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-0.49794713300108584</v>
      </c>
      <c r="H220" t="s">
        <v>35</v>
      </c>
      <c r="I220">
        <f>VLOOKUP(Table4[[#This Row],[Visitor]],'NHL Model'!$A$6:$B$38,2,FALSE)</f>
        <v>-1.5594075795597986</v>
      </c>
      <c r="J220">
        <f>($B$1+Table4[[#This Row],[Home Differential]])-Table4[[#This Row],[Away Differential]]</f>
        <v>1.2208801080835399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0.72363018631638831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0.5236406465482909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0.42254821659882374</v>
      </c>
      <c r="H221" t="s">
        <v>34</v>
      </c>
      <c r="I221">
        <f>VLOOKUP(Table4[[#This Row],[Visitor]],'NHL Model'!$A$6:$B$38,2,FALSE)</f>
        <v>-0.17681265190927384</v>
      </c>
      <c r="J221">
        <f>($B$1+Table4[[#This Row],[Home Differential]])-Table4[[#This Row],[Away Differential]]</f>
        <v>0.75878053003292478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0.67684389478412088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0.10442986833829633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1.9153995907683643E-3</v>
      </c>
      <c r="H222" t="s">
        <v>31</v>
      </c>
      <c r="I222">
        <f>VLOOKUP(Table4[[#This Row],[Visitor]],'NHL Model'!$A$6:$B$38,2,FALSE)</f>
        <v>0.35254565315374792</v>
      </c>
      <c r="J222">
        <f>($B$1+Table4[[#This Row],[Home Differential]])-Table4[[#This Row],[Away Differential]]</f>
        <v>-0.19121059203815241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0.50482523909092625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0.24519804384135835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-0.31985119938240425</v>
      </c>
      <c r="H223" t="s">
        <v>11</v>
      </c>
      <c r="I223">
        <f>VLOOKUP(Table4[[#This Row],[Visitor]],'NHL Model'!$A$6:$B$38,2,FALSE)</f>
        <v>-0.21100886368613675</v>
      </c>
      <c r="J223">
        <f>($B$1+Table4[[#This Row],[Home Differential]])-Table4[[#This Row],[Away Differential]]</f>
        <v>5.0577325828559644E-2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0.54702657085368978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0.29923806921994689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2.0731927685773251E-2</v>
      </c>
      <c r="H224" t="s">
        <v>18</v>
      </c>
      <c r="I224">
        <f>VLOOKUP(Table4[[#This Row],[Visitor]],'NHL Model'!$A$6:$B$38,2,FALSE)</f>
        <v>-0.75480422558713034</v>
      </c>
      <c r="J224">
        <f>($B$1+Table4[[#This Row],[Home Differential]])-Table4[[#This Row],[Away Differential]]</f>
        <v>0.93495581479773071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0.74527549375991742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6.4884574079253868E-2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-1.6840122346544992</v>
      </c>
      <c r="H225" t="s">
        <v>27</v>
      </c>
      <c r="I225">
        <f>VLOOKUP(Table4[[#This Row],[Visitor]],'NHL Model'!$A$6:$B$38,2,FALSE)</f>
        <v>-0.54160534998918008</v>
      </c>
      <c r="J225">
        <f>($B$1+Table4[[#This Row],[Home Differential]])-Table4[[#This Row],[Away Differential]]</f>
        <v>-0.98298722314049203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0.59656375181006849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0.16276080635356802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-0.2200802314358897</v>
      </c>
      <c r="H226" t="s">
        <v>22</v>
      </c>
      <c r="I226">
        <f>VLOOKUP(Table4[[#This Row],[Visitor]],'NHL Model'!$A$6:$B$38,2,FALSE)</f>
        <v>0.21430145909042725</v>
      </c>
      <c r="J226">
        <f>($B$1+Table4[[#This Row],[Home Differential]])-Table4[[#This Row],[Away Differential]]</f>
        <v>-0.2749620290014898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0.51896896053355701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0.26932878199728066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-3.2309887002194844E-2</v>
      </c>
      <c r="H227" t="s">
        <v>37</v>
      </c>
      <c r="I227">
        <f>VLOOKUP(Table4[[#This Row],[Visitor]],'NHL Model'!$A$6:$B$38,2,FALSE)</f>
        <v>0.1846559193064522</v>
      </c>
      <c r="J227">
        <f>($B$1+Table4[[#This Row],[Home Differential]])-Table4[[#This Row],[Away Differential]]</f>
        <v>-5.7546144783819891E-2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0.53431051946496166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0.21686669228099384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-1.1167763879247272</v>
      </c>
      <c r="H228" t="s">
        <v>10</v>
      </c>
      <c r="I228">
        <f>VLOOKUP(Table4[[#This Row],[Visitor]],'NHL Model'!$A$6:$B$38,2,FALSE)</f>
        <v>-0.13160108676160023</v>
      </c>
      <c r="J228">
        <f>($B$1+Table4[[#This Row],[Home Differential]])-Table4[[#This Row],[Away Differential]]</f>
        <v>-0.8257556396382999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0.57471999388461215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0.18086308360150433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-0.67114180037169746</v>
      </c>
      <c r="H229" t="s">
        <v>15</v>
      </c>
      <c r="I229">
        <f>VLOOKUP(Table4[[#This Row],[Visitor]],'NHL Model'!$A$6:$B$38,2,FALSE)</f>
        <v>-0.50599078340071213</v>
      </c>
      <c r="J229">
        <f>($B$1+Table4[[#This Row],[Home Differential]])-Table4[[#This Row],[Away Differential]]</f>
        <v>-5.731355446158215E-3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0.51171327225247976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0.23842392849438096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3.2883390994754517E-3</v>
      </c>
      <c r="H230" t="s">
        <v>34</v>
      </c>
      <c r="I230">
        <f>VLOOKUP(Table4[[#This Row],[Visitor]],'NHL Model'!$A$6:$B$38,2,FALSE)</f>
        <v>-0.17681265190927384</v>
      </c>
      <c r="J230">
        <f>($B$1+Table4[[#This Row],[Home Differential]])-Table4[[#This Row],[Away Differential]]</f>
        <v>0.33952065253357644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0.56639945366072042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0.32080834110716255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-0.3479098095875402</v>
      </c>
      <c r="H231" t="s">
        <v>40</v>
      </c>
      <c r="I231">
        <f>VLOOKUP(Table4[[#This Row],[Visitor]],'NHL Model'!$A$6:$B$38,2,FALSE)</f>
        <v>-7.3890719153774626E-2</v>
      </c>
      <c r="J231">
        <f>($B$1+Table4[[#This Row],[Home Differential]])-Table4[[#This Row],[Away Differential]]</f>
        <v>-0.11459942890893843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0.54223677766017975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0.29402072304729521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0.42254821659882374</v>
      </c>
      <c r="H232" t="s">
        <v>23</v>
      </c>
      <c r="I232">
        <f>VLOOKUP(Table4[[#This Row],[Visitor]],'NHL Model'!$A$6:$B$38,2,FALSE)</f>
        <v>-0.49794713300108584</v>
      </c>
      <c r="J232">
        <f>($B$1+Table4[[#This Row],[Home Differential]])-Table4[[#This Row],[Away Differential]]</f>
        <v>1.0799150111247369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0.74174564313012037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6.6695312842275145E-2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-0.8561868317598319</v>
      </c>
      <c r="H233" t="s">
        <v>12</v>
      </c>
      <c r="I233">
        <f>VLOOKUP(Table4[[#This Row],[Visitor]],'NHL Model'!$A$6:$B$38,2,FALSE)</f>
        <v>1.4583704516548168</v>
      </c>
      <c r="J233">
        <f>($B$1+Table4[[#This Row],[Home Differential]])-Table4[[#This Row],[Away Differential]]</f>
        <v>-2.1551376218898217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0.84486197658271012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2.4067806309823584E-2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-0.75480422558713034</v>
      </c>
      <c r="H234" t="s">
        <v>55</v>
      </c>
      <c r="I234">
        <f>VLOOKUP(Table4[[#This Row],[Visitor]],'NHL Model'!$A$6:$B$38,2,FALSE)</f>
        <v>-0.1349739904770427</v>
      </c>
      <c r="J234">
        <f>($B$1+Table4[[#This Row],[Home Differential]])-Table4[[#This Row],[Away Differential]]</f>
        <v>-0.4604105735852605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0.52396359364768919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0.27453784746820076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2.0731927685773251E-2</v>
      </c>
      <c r="H235" t="s">
        <v>14</v>
      </c>
      <c r="I235">
        <f>VLOOKUP(Table4[[#This Row],[Visitor]],'NHL Model'!$A$6:$B$38,2,FALSE)</f>
        <v>-0.2200802314358897</v>
      </c>
      <c r="J235">
        <f>($B$1+Table4[[#This Row],[Home Differential]])-Table4[[#This Row],[Away Differential]]</f>
        <v>0.4002318206464901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0.71458170573373081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8.146360270186663E-2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-1.6840122346544992</v>
      </c>
      <c r="H236" t="s">
        <v>39</v>
      </c>
      <c r="I236">
        <f>VLOOKUP(Table4[[#This Row],[Visitor]],'NHL Model'!$A$6:$B$38,2,FALSE)</f>
        <v>1.9153995907683643E-3</v>
      </c>
      <c r="J236">
        <f>($B$1+Table4[[#This Row],[Home Differential]])-Table4[[#This Row],[Away Differential]]</f>
        <v>-1.5265079727204405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0.76455980489260333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5.5432085472209007E-2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-0.50599078340071213</v>
      </c>
      <c r="H237" t="s">
        <v>30</v>
      </c>
      <c r="I237">
        <f>VLOOKUP(Table4[[#This Row],[Visitor]],'NHL Model'!$A$6:$B$38,2,FALSE)</f>
        <v>3.2883390994754517E-3</v>
      </c>
      <c r="J237">
        <f>($B$1+Table4[[#This Row],[Home Differential]])-Table4[[#This Row],[Away Differential]]</f>
        <v>-0.34985946097536047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0.58122819618481025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0.17536982367062778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-0.54160534998918008</v>
      </c>
      <c r="H238" t="s">
        <v>36</v>
      </c>
      <c r="I238">
        <f>VLOOKUP(Table4[[#This Row],[Visitor]],'NHL Model'!$A$6:$B$38,2,FALSE)</f>
        <v>-0.34257283900844787</v>
      </c>
      <c r="J238">
        <f>($B$1+Table4[[#This Row],[Home Differential]])-Table4[[#This Row],[Away Differential]]</f>
        <v>-3.9612849455905097E-2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0.4332572400478078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0.32119735595822807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-0.3479098095875402</v>
      </c>
      <c r="H239" t="s">
        <v>11</v>
      </c>
      <c r="I239">
        <f>VLOOKUP(Table4[[#This Row],[Visitor]],'NHL Model'!$A$6:$B$38,2,FALSE)</f>
        <v>-0.21100886368613675</v>
      </c>
      <c r="J239">
        <f>($B$1+Table4[[#This Row],[Home Differential]])-Table4[[#This Row],[Away Differential]]</f>
        <v>2.2518715623423696E-2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0.54312846415404448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0.20873160026624221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-1.5594075795597986</v>
      </c>
      <c r="H240" t="s">
        <v>32</v>
      </c>
      <c r="I240">
        <f>VLOOKUP(Table4[[#This Row],[Visitor]],'NHL Model'!$A$6:$B$38,2,FALSE)</f>
        <v>-0.46055888840939002</v>
      </c>
      <c r="J240">
        <f>($B$1+Table4[[#This Row],[Home Differential]])-Table4[[#This Row],[Away Differential]]</f>
        <v>-0.93942902962558139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0.59051232999253889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0.16768015188813937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0.1846559193064522</v>
      </c>
      <c r="H241" t="s">
        <v>22</v>
      </c>
      <c r="I241">
        <f>VLOOKUP(Table4[[#This Row],[Visitor]],'NHL Model'!$A$6:$B$38,2,FALSE)</f>
        <v>0.21430145909042725</v>
      </c>
      <c r="J241">
        <f>($B$1+Table4[[#This Row],[Home Differential]])-Table4[[#This Row],[Away Differential]]</f>
        <v>0.12977412174085207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0.55649070561201963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0.19670049420852423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-0.95664361852990654</v>
      </c>
      <c r="H242" t="s">
        <v>21</v>
      </c>
      <c r="I242">
        <f>VLOOKUP(Table4[[#This Row],[Visitor]],'NHL Model'!$A$6:$B$38,2,FALSE)</f>
        <v>-0.12487089668223171</v>
      </c>
      <c r="J242">
        <f>($B$1+Table4[[#This Row],[Home Differential]])-Table4[[#This Row],[Away Differential]]</f>
        <v>-0.6723530603228477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0.55340818913731327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0.19944424552961376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-1.1267952052768424</v>
      </c>
      <c r="H243" t="s">
        <v>28</v>
      </c>
      <c r="I243">
        <f>VLOOKUP(Table4[[#This Row],[Visitor]],'NHL Model'!$A$6:$B$38,2,FALSE)</f>
        <v>-0.72083617366747277</v>
      </c>
      <c r="J243">
        <f>($B$1+Table4[[#This Row],[Home Differential]])-Table4[[#This Row],[Away Differential]]</f>
        <v>-0.24653937008454252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0.49425104676342685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0.24428409722674316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-3.2309887002194844E-2</v>
      </c>
      <c r="H244" t="s">
        <v>31</v>
      </c>
      <c r="I244">
        <f>VLOOKUP(Table4[[#This Row],[Visitor]],'NHL Model'!$A$6:$B$38,2,FALSE)</f>
        <v>0.35254565315374792</v>
      </c>
      <c r="J244">
        <f>($B$1+Table4[[#This Row],[Home Differential]])-Table4[[#This Row],[Away Differential]]</f>
        <v>-0.22543587863111561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0.51208842663843712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0.23805770342015575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0.35254565315374792</v>
      </c>
      <c r="H245" t="s">
        <v>40</v>
      </c>
      <c r="I245">
        <f>VLOOKUP(Table4[[#This Row],[Visitor]],'NHL Model'!$A$6:$B$38,2,FALSE)</f>
        <v>-7.3890719153774626E-2</v>
      </c>
      <c r="J245">
        <f>($B$1+Table4[[#This Row],[Home Differential]])-Table4[[#This Row],[Away Differential]]</f>
        <v>0.58585603383234974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0.65281996301258727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0.12053397808258128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1.9153995907683643E-3</v>
      </c>
      <c r="H246" t="s">
        <v>32</v>
      </c>
      <c r="I246">
        <f>VLOOKUP(Table4[[#This Row],[Visitor]],'NHL Model'!$A$6:$B$38,2,FALSE)</f>
        <v>-0.46055888840939002</v>
      </c>
      <c r="J246">
        <f>($B$1+Table4[[#This Row],[Home Differential]])-Table4[[#This Row],[Away Differential]]</f>
        <v>0.62189394952498556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0.62889352078191108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0.13772001891764588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-0.67114180037169746</v>
      </c>
      <c r="H247" t="s">
        <v>10</v>
      </c>
      <c r="I247">
        <f>VLOOKUP(Table4[[#This Row],[Visitor]],'NHL Model'!$A$6:$B$38,2,FALSE)</f>
        <v>-0.13160108676160023</v>
      </c>
      <c r="J247">
        <f>($B$1+Table4[[#This Row],[Home Differential]])-Table4[[#This Row],[Away Differential]]</f>
        <v>-0.38012105208527014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0.48056312213710434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0.26981467008395282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-0.17681265190927384</v>
      </c>
      <c r="H248" t="s">
        <v>16</v>
      </c>
      <c r="I248">
        <f>VLOOKUP(Table4[[#This Row],[Visitor]],'NHL Model'!$A$6:$B$38,2,FALSE)</f>
        <v>-1.1167763879247272</v>
      </c>
      <c r="J248">
        <f>($B$1+Table4[[#This Row],[Home Differential]])-Table4[[#This Row],[Away Differential]]</f>
        <v>1.0993833975402805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0.69273435697987984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9.4412175380567911E-2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-0.34257283900844787</v>
      </c>
      <c r="H249" t="s">
        <v>55</v>
      </c>
      <c r="I249">
        <f>VLOOKUP(Table4[[#This Row],[Visitor]],'NHL Model'!$A$6:$B$38,2,FALSE)</f>
        <v>-0.1349739904770427</v>
      </c>
      <c r="J249">
        <f>($B$1+Table4[[#This Row],[Home Differential]])-Table4[[#This Row],[Away Differential]]</f>
        <v>-4.8179187006578028E-2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0.46419792471982974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0.21547971331419671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-0.2200802314358897</v>
      </c>
      <c r="H250" t="s">
        <v>13</v>
      </c>
      <c r="I250">
        <f>VLOOKUP(Table4[[#This Row],[Visitor]],'NHL Model'!$A$6:$B$38,2,FALSE)</f>
        <v>-0.31985119938240425</v>
      </c>
      <c r="J250">
        <f>($B$1+Table4[[#This Row],[Home Differential]])-Table4[[#This Row],[Away Differential]]</f>
        <v>0.25919062947134169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0.49253039108578256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0.24258618614311392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-0.95664361852990654</v>
      </c>
      <c r="H251" t="s">
        <v>25</v>
      </c>
      <c r="I251">
        <f>VLOOKUP(Table4[[#This Row],[Visitor]],'NHL Model'!$A$6:$B$38,2,FALSE)</f>
        <v>0.42254821659882374</v>
      </c>
      <c r="J251">
        <f>($B$1+Table4[[#This Row],[Home Differential]])-Table4[[#This Row],[Away Differential]]</f>
        <v>-1.2197721736039031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0.70208281258998051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8.8754650554296682E-2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-1.1267952052768424</v>
      </c>
      <c r="H252" t="s">
        <v>12</v>
      </c>
      <c r="I252">
        <f>VLOOKUP(Table4[[#This Row],[Visitor]],'NHL Model'!$A$6:$B$38,2,FALSE)</f>
        <v>1.4583704516548168</v>
      </c>
      <c r="J252">
        <f>($B$1+Table4[[#This Row],[Home Differential]])-Table4[[#This Row],[Away Differential]]</f>
        <v>-2.4257459954068321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0.88948850717622352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1.22127900461396E-2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-0.8561868317598319</v>
      </c>
      <c r="H253" t="s">
        <v>28</v>
      </c>
      <c r="I253">
        <f>VLOOKUP(Table4[[#This Row],[Visitor]],'NHL Model'!$A$6:$B$38,2,FALSE)</f>
        <v>-0.72083617366747277</v>
      </c>
      <c r="J253">
        <f>($B$1+Table4[[#This Row],[Home Differential]])-Table4[[#This Row],[Away Differential]]</f>
        <v>2.4069003432467984E-2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0.55038979329928439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0.20214933796946022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2.0731927685773251E-2</v>
      </c>
      <c r="H254" t="s">
        <v>30</v>
      </c>
      <c r="I254">
        <f>VLOOKUP(Table4[[#This Row],[Visitor]],'NHL Model'!$A$6:$B$38,2,FALSE)</f>
        <v>3.2883390994754517E-3</v>
      </c>
      <c r="J254">
        <f>($B$1+Table4[[#This Row],[Home Differential]])-Table4[[#This Row],[Away Differential]]</f>
        <v>0.17686325011112494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0.6154802230905777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0.37881590501562729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-0.50599078340071213</v>
      </c>
      <c r="H255" t="s">
        <v>29</v>
      </c>
      <c r="I255">
        <f>VLOOKUP(Table4[[#This Row],[Visitor]],'NHL Model'!$A$6:$B$38,2,FALSE)</f>
        <v>-1.6840122346544992</v>
      </c>
      <c r="J255">
        <f>($B$1+Table4[[#This Row],[Home Differential]])-Table4[[#This Row],[Away Differential]]</f>
        <v>1.3374411127786141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0.72580707041395187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7.518176263497954E-2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-3.2309887002194844E-2</v>
      </c>
      <c r="H256" t="s">
        <v>11</v>
      </c>
      <c r="I256">
        <f>VLOOKUP(Table4[[#This Row],[Visitor]],'NHL Model'!$A$6:$B$38,2,FALSE)</f>
        <v>-0.21100886368613675</v>
      </c>
      <c r="J256">
        <f>($B$1+Table4[[#This Row],[Home Differential]])-Table4[[#This Row],[Away Differential]]</f>
        <v>0.33811863820876908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0.58697390637813129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0.34453836676880323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-0.12487089668223171</v>
      </c>
      <c r="H257" t="s">
        <v>19</v>
      </c>
      <c r="I257">
        <f>VLOOKUP(Table4[[#This Row],[Visitor]],'NHL Model'!$A$6:$B$38,2,FALSE)</f>
        <v>-0.95664361852990654</v>
      </c>
      <c r="J257">
        <f>($B$1+Table4[[#This Row],[Home Differential]])-Table4[[#This Row],[Away Differential]]</f>
        <v>0.99119238337250193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0.72941964882311039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7.32137264430089E-2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0.42254821659882374</v>
      </c>
      <c r="H258" t="s">
        <v>22</v>
      </c>
      <c r="I258">
        <f>VLOOKUP(Table4[[#This Row],[Visitor]],'NHL Model'!$A$6:$B$38,2,FALSE)</f>
        <v>0.21430145909042725</v>
      </c>
      <c r="J258">
        <f>($B$1+Table4[[#This Row],[Home Differential]])-Table4[[#This Row],[Away Differential]]</f>
        <v>0.36766641903322367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0.6225074709460412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0.3875155513836363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1.4583704516548168</v>
      </c>
      <c r="H259" t="s">
        <v>31</v>
      </c>
      <c r="I259">
        <f>VLOOKUP(Table4[[#This Row],[Visitor]],'NHL Model'!$A$6:$B$38,2,FALSE)</f>
        <v>0.35254565315374792</v>
      </c>
      <c r="J259">
        <f>($B$1+Table4[[#This Row],[Home Differential]])-Table4[[#This Row],[Away Differential]]</f>
        <v>1.2652444600258961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0.79116160042620565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4.3613477136543788E-2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-0.17681265190927384</v>
      </c>
      <c r="H260" t="s">
        <v>33</v>
      </c>
      <c r="I260">
        <f>VLOOKUP(Table4[[#This Row],[Visitor]],'NHL Model'!$A$6:$B$38,2,FALSE)</f>
        <v>-0.3479098095875402</v>
      </c>
      <c r="J260">
        <f>($B$1+Table4[[#This Row],[Home Differential]])-Table4[[#This Row],[Away Differential]]</f>
        <v>0.3305168192030935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0.5859178062584578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0.34329967569072367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-0.75480422558713034</v>
      </c>
      <c r="H261" t="s">
        <v>13</v>
      </c>
      <c r="I261">
        <f>VLOOKUP(Table4[[#This Row],[Visitor]],'NHL Model'!$A$6:$B$38,2,FALSE)</f>
        <v>-0.31985119938240425</v>
      </c>
      <c r="J261">
        <f>($B$1+Table4[[#This Row],[Home Differential]])-Table4[[#This Row],[Away Differential]]</f>
        <v>-0.27553336467989897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0.58175736475183504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0.17492690193932955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-0.34257283900844787</v>
      </c>
      <c r="H262" t="s">
        <v>39</v>
      </c>
      <c r="I262">
        <f>VLOOKUP(Table4[[#This Row],[Visitor]],'NHL Model'!$A$6:$B$38,2,FALSE)</f>
        <v>1.9153995907683643E-3</v>
      </c>
      <c r="J262">
        <f>($B$1+Table4[[#This Row],[Home Differential]])-Table4[[#This Row],[Away Differential]]</f>
        <v>-0.18506857707438909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0.57571107602668936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0.18002109100642977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-0.46055888840939002</v>
      </c>
      <c r="H263" t="s">
        <v>28</v>
      </c>
      <c r="I263">
        <f>VLOOKUP(Table4[[#This Row],[Visitor]],'NHL Model'!$A$6:$B$38,2,FALSE)</f>
        <v>-0.72083617366747277</v>
      </c>
      <c r="J263">
        <f>($B$1+Table4[[#This Row],[Home Differential]])-Table4[[#This Row],[Away Differential]]</f>
        <v>0.41969694678290992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0.62434509562611562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0.38980679843238347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-1.5594075795597986</v>
      </c>
      <c r="H264" t="s">
        <v>16</v>
      </c>
      <c r="I264">
        <f>VLOOKUP(Table4[[#This Row],[Visitor]],'NHL Model'!$A$6:$B$38,2,FALSE)</f>
        <v>-1.1167763879247272</v>
      </c>
      <c r="J264">
        <f>($B$1+Table4[[#This Row],[Home Differential]])-Table4[[#This Row],[Away Differential]]</f>
        <v>-0.28321153011024425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0.4993458106038855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0.24934623856765148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-1.1267952052768424</v>
      </c>
      <c r="H265" t="s">
        <v>40</v>
      </c>
      <c r="I265">
        <f>VLOOKUP(Table4[[#This Row],[Visitor]],'NHL Model'!$A$6:$B$38,2,FALSE)</f>
        <v>-7.3890719153774626E-2</v>
      </c>
      <c r="J265">
        <f>($B$1+Table4[[#This Row],[Home Differential]])-Table4[[#This Row],[Away Differential]]</f>
        <v>-0.89348482459824063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0.65044521553343415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0.1221885473434673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-0.13160108676160023</v>
      </c>
      <c r="H266" t="s">
        <v>24</v>
      </c>
      <c r="I266">
        <f>VLOOKUP(Table4[[#This Row],[Visitor]],'NHL Model'!$A$6:$B$38,2,FALSE)</f>
        <v>2.0731927685773251E-2</v>
      </c>
      <c r="J266">
        <f>($B$1+Table4[[#This Row],[Home Differential]])-Table4[[#This Row],[Away Differential]]</f>
        <v>7.0866470774536595E-3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0.54015503559182754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0.29176746247520846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-0.54160534998918008</v>
      </c>
      <c r="H267" t="s">
        <v>17</v>
      </c>
      <c r="I267">
        <f>VLOOKUP(Table4[[#This Row],[Visitor]],'NHL Model'!$A$6:$B$38,2,FALSE)</f>
        <v>-0.8561868317598319</v>
      </c>
      <c r="J267">
        <f>($B$1+Table4[[#This Row],[Home Differential]])-Table4[[#This Row],[Away Differential]]</f>
        <v>0.47400114329547893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0.63809776048636857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0.40716875193771901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0.1846559193064522</v>
      </c>
      <c r="H268" t="s">
        <v>15</v>
      </c>
      <c r="I268">
        <f>VLOOKUP(Table4[[#This Row],[Visitor]],'NHL Model'!$A$6:$B$38,2,FALSE)</f>
        <v>-0.50599078340071213</v>
      </c>
      <c r="J268">
        <f>($B$1+Table4[[#This Row],[Home Differential]])-Table4[[#This Row],[Away Differential]]</f>
        <v>0.85006636423199144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0.59382557232980593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0.35262881035282156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-0.1349739904770427</v>
      </c>
      <c r="H269" t="s">
        <v>23</v>
      </c>
      <c r="I269">
        <f>VLOOKUP(Table4[[#This Row],[Visitor]],'NHL Model'!$A$6:$B$38,2,FALSE)</f>
        <v>-0.49794713300108584</v>
      </c>
      <c r="J269">
        <f>($B$1+Table4[[#This Row],[Home Differential]])-Table4[[#This Row],[Away Differential]]</f>
        <v>0.52239280404887034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0.67602289286632222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0.10496116594670653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-0.72083617366747277</v>
      </c>
      <c r="H270" t="s">
        <v>17</v>
      </c>
      <c r="I270">
        <f>VLOOKUP(Table4[[#This Row],[Visitor]],'NHL Model'!$A$6:$B$38,2,FALSE)</f>
        <v>-0.8561868317598319</v>
      </c>
      <c r="J270">
        <f>($B$1+Table4[[#This Row],[Home Differential]])-Table4[[#This Row],[Away Differential]]</f>
        <v>0.29477031961718625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0.58799759377506444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0.16974598273513683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-1.1167763879247272</v>
      </c>
      <c r="H271" t="s">
        <v>33</v>
      </c>
      <c r="I271">
        <f>VLOOKUP(Table4[[#This Row],[Visitor]],'NHL Model'!$A$6:$B$38,2,FALSE)</f>
        <v>-0.3479098095875402</v>
      </c>
      <c r="J271">
        <f>($B$1+Table4[[#This Row],[Home Differential]])-Table4[[#This Row],[Away Differential]]</f>
        <v>-0.60944691681235996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0.54466880904420389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0.29666411154563144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1.4583704516548168</v>
      </c>
      <c r="H272" t="s">
        <v>23</v>
      </c>
      <c r="I272">
        <f>VLOOKUP(Table4[[#This Row],[Visitor]],'NHL Model'!$A$6:$B$38,2,FALSE)</f>
        <v>-0.49794713300108584</v>
      </c>
      <c r="J272">
        <f>($B$1+Table4[[#This Row],[Home Differential]])-Table4[[#This Row],[Away Differential]]</f>
        <v>2.1157372461807298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0.92885427859470704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5.0617136742795608E-3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-0.67114180037169746</v>
      </c>
      <c r="H273" t="s">
        <v>31</v>
      </c>
      <c r="I273">
        <f>VLOOKUP(Table4[[#This Row],[Visitor]],'NHL Model'!$A$6:$B$38,2,FALSE)</f>
        <v>0.35254565315374792</v>
      </c>
      <c r="J273">
        <f>($B$1+Table4[[#This Row],[Home Differential]])-Table4[[#This Row],[Away Differential]]</f>
        <v>-0.86426779200061832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0.5683462449444705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0.32301745414248006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-0.21100886368613675</v>
      </c>
      <c r="H274" t="s">
        <v>22</v>
      </c>
      <c r="I274">
        <f>VLOOKUP(Table4[[#This Row],[Visitor]],'NHL Model'!$A$6:$B$38,2,FALSE)</f>
        <v>0.21430145909042725</v>
      </c>
      <c r="J274">
        <f>($B$1+Table4[[#This Row],[Home Differential]])-Table4[[#This Row],[Away Differential]]</f>
        <v>-0.26589066125173688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0.46551089779035604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0.2167003959615833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-0.75480422558713034</v>
      </c>
      <c r="H275" t="s">
        <v>39</v>
      </c>
      <c r="I275">
        <f>VLOOKUP(Table4[[#This Row],[Visitor]],'NHL Model'!$A$6:$B$38,2,FALSE)</f>
        <v>1.9153995907683643E-3</v>
      </c>
      <c r="J275">
        <f>($B$1+Table4[[#This Row],[Home Differential]])-Table4[[#This Row],[Away Differential]]</f>
        <v>-0.59729996365307159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0.63546745359551271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0.13288397738813967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-0.34257283900844787</v>
      </c>
      <c r="H276" t="s">
        <v>21</v>
      </c>
      <c r="I276">
        <f>VLOOKUP(Table4[[#This Row],[Visitor]],'NHL Model'!$A$6:$B$38,2,FALSE)</f>
        <v>-0.12487089668223171</v>
      </c>
      <c r="J276">
        <f>($B$1+Table4[[#This Row],[Home Differential]])-Table4[[#This Row],[Away Differential]]</f>
        <v>-5.8282280801389016E-2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0.46560152016952483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0.21678477558417245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-0.46055888840939002</v>
      </c>
      <c r="H277" t="s">
        <v>40</v>
      </c>
      <c r="I277">
        <f>VLOOKUP(Table4[[#This Row],[Visitor]],'NHL Model'!$A$6:$B$38,2,FALSE)</f>
        <v>-7.3890719153774626E-2</v>
      </c>
      <c r="J277">
        <f>($B$1+Table4[[#This Row],[Home Differential]])-Table4[[#This Row],[Away Differential]]</f>
        <v>-0.22724850773078822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0.53157101951926422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0.28256774879274998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-0.95664361852990654</v>
      </c>
      <c r="H278" t="s">
        <v>13</v>
      </c>
      <c r="I278">
        <f>VLOOKUP(Table4[[#This Row],[Visitor]],'NHL Model'!$A$6:$B$38,2,FALSE)</f>
        <v>-0.31985119938240425</v>
      </c>
      <c r="J278">
        <f>($B$1+Table4[[#This Row],[Home Differential]])-Table4[[#This Row],[Away Differential]]</f>
        <v>-0.47737275762267517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0.60979836479176397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0.15225731611918131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-3.2309887002194844E-2</v>
      </c>
      <c r="H279" t="s">
        <v>30</v>
      </c>
      <c r="I279">
        <f>VLOOKUP(Table4[[#This Row],[Visitor]],'NHL Model'!$A$6:$B$38,2,FALSE)</f>
        <v>3.2883390994754517E-3</v>
      </c>
      <c r="J279">
        <f>($B$1+Table4[[#This Row],[Home Differential]])-Table4[[#This Row],[Away Differential]]</f>
        <v>0.12382143542315685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0.48457900745947613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0.23481681447041103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0.42254821659882374</v>
      </c>
      <c r="H280" t="s">
        <v>38</v>
      </c>
      <c r="I280">
        <f>VLOOKUP(Table4[[#This Row],[Visitor]],'NHL Model'!$A$6:$B$38,2,FALSE)</f>
        <v>-1.1267952052768424</v>
      </c>
      <c r="J280">
        <f>($B$1+Table4[[#This Row],[Home Differential]])-Table4[[#This Row],[Away Differential]]</f>
        <v>1.7087630834004934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0.80882239723861504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3.6548875797589905E-2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-1.6840122346544992</v>
      </c>
      <c r="H281" t="s">
        <v>14</v>
      </c>
      <c r="I281">
        <f>VLOOKUP(Table4[[#This Row],[Visitor]],'NHL Model'!$A$6:$B$38,2,FALSE)</f>
        <v>-0.2200802314358897</v>
      </c>
      <c r="J281">
        <f>($B$1+Table4[[#This Row],[Home Differential]])-Table4[[#This Row],[Away Differential]]</f>
        <v>-1.3045123416937825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0.64123236545749007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0.41117894651020809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-1.5594075795597986</v>
      </c>
      <c r="H282" t="s">
        <v>27</v>
      </c>
      <c r="I282">
        <f>VLOOKUP(Table4[[#This Row],[Visitor]],'NHL Model'!$A$6:$B$38,2,FALSE)</f>
        <v>-0.54160534998918008</v>
      </c>
      <c r="J282">
        <f>($B$1+Table4[[#This Row],[Home Differential]])-Table4[[#This Row],[Away Differential]]</f>
        <v>-0.85838256804579138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0.57925276465566089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0.17702823604990467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-0.1349739904770427</v>
      </c>
      <c r="H283" t="s">
        <v>30</v>
      </c>
      <c r="I283">
        <f>VLOOKUP(Table4[[#This Row],[Visitor]],'NHL Model'!$A$6:$B$38,2,FALSE)</f>
        <v>3.2883390994754517E-3</v>
      </c>
      <c r="J283">
        <f>($B$1+Table4[[#This Row],[Home Differential]])-Table4[[#This Row],[Away Differential]]</f>
        <v>2.1157331948308995E-2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0.53510307349836861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0.28633529926740048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0.42254821659882374</v>
      </c>
      <c r="H284" t="s">
        <v>17</v>
      </c>
      <c r="I284">
        <f>VLOOKUP(Table4[[#This Row],[Visitor]],'NHL Model'!$A$6:$B$38,2,FALSE)</f>
        <v>-0.8561868317598319</v>
      </c>
      <c r="J284">
        <f>($B$1+Table4[[#This Row],[Home Differential]])-Table4[[#This Row],[Away Differential]]</f>
        <v>1.4381547098834828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0.79151491393864937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0.62649585898730753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-0.72083617366747277</v>
      </c>
      <c r="H285" t="s">
        <v>15</v>
      </c>
      <c r="I285">
        <f>VLOOKUP(Table4[[#This Row],[Visitor]],'NHL Model'!$A$6:$B$38,2,FALSE)</f>
        <v>-0.50599078340071213</v>
      </c>
      <c r="J285">
        <f>($B$1+Table4[[#This Row],[Home Differential]])-Table4[[#This Row],[Away Differential]]</f>
        <v>-5.5425728741933522E-2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0.5441239873947944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0.20782293886882158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-1.1167763879247272</v>
      </c>
      <c r="H286" t="s">
        <v>40</v>
      </c>
      <c r="I286">
        <f>VLOOKUP(Table4[[#This Row],[Visitor]],'NHL Model'!$A$6:$B$38,2,FALSE)</f>
        <v>-7.3890719153774626E-2</v>
      </c>
      <c r="J286">
        <f>($B$1+Table4[[#This Row],[Home Differential]])-Table4[[#This Row],[Away Differential]]</f>
        <v>-0.88346600724612545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0.64905332838160179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0.12316356632003182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-0.13160108676160023</v>
      </c>
      <c r="H287" t="s">
        <v>19</v>
      </c>
      <c r="I287">
        <f>VLOOKUP(Table4[[#This Row],[Visitor]],'NHL Model'!$A$6:$B$38,2,FALSE)</f>
        <v>-0.95664361852990654</v>
      </c>
      <c r="J287">
        <f>($B$1+Table4[[#This Row],[Home Differential]])-Table4[[#This Row],[Away Differential]]</f>
        <v>0.98446219329313345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0.67676866541739811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0.10447849565604993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1.9153995907683643E-3</v>
      </c>
      <c r="H288" t="s">
        <v>27</v>
      </c>
      <c r="I288">
        <f>VLOOKUP(Table4[[#This Row],[Visitor]],'NHL Model'!$A$6:$B$38,2,FALSE)</f>
        <v>-0.54160534998918008</v>
      </c>
      <c r="J288">
        <f>($B$1+Table4[[#This Row],[Home Differential]])-Table4[[#This Row],[Away Differential]]</f>
        <v>0.70294041110477556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0.64015308611878907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0.12948980142983163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-0.67114180037169746</v>
      </c>
      <c r="H289" t="s">
        <v>23</v>
      </c>
      <c r="I289">
        <f>VLOOKUP(Table4[[#This Row],[Visitor]],'NHL Model'!$A$6:$B$38,2,FALSE)</f>
        <v>-0.49794713300108584</v>
      </c>
      <c r="J289">
        <f>($B$1+Table4[[#This Row],[Home Differential]])-Table4[[#This Row],[Away Differential]]</f>
        <v>-1.3775005845784505E-2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0.4296676584347256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0.32527897983532877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-0.21100886368613675</v>
      </c>
      <c r="H290" t="s">
        <v>37</v>
      </c>
      <c r="I290">
        <f>VLOOKUP(Table4[[#This Row],[Visitor]],'NHL Model'!$A$6:$B$38,2,FALSE)</f>
        <v>0.1846559193064522</v>
      </c>
      <c r="J290">
        <f>($B$1+Table4[[#This Row],[Home Differential]])-Table4[[#This Row],[Away Differential]]</f>
        <v>-0.2362451214677618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0.50650510521850634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0.24353721117539751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-0.17681265190927384</v>
      </c>
      <c r="H291" t="s">
        <v>31</v>
      </c>
      <c r="I291">
        <f>VLOOKUP(Table4[[#This Row],[Visitor]],'NHL Model'!$A$6:$B$38,2,FALSE)</f>
        <v>0.35254565315374792</v>
      </c>
      <c r="J291">
        <f>($B$1+Table4[[#This Row],[Home Differential]])-Table4[[#This Row],[Away Differential]]</f>
        <v>-0.36993864353819461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0.53216380428128429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0.28319831458712907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-0.75480422558713034</v>
      </c>
      <c r="H292" t="s">
        <v>21</v>
      </c>
      <c r="I292">
        <f>VLOOKUP(Table4[[#This Row],[Visitor]],'NHL Model'!$A$6:$B$38,2,FALSE)</f>
        <v>-0.12487089668223171</v>
      </c>
      <c r="J292">
        <f>($B$1+Table4[[#This Row],[Home Differential]])-Table4[[#This Row],[Away Differential]]</f>
        <v>-0.4705136673800715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0.52536718909738434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0.22527630518531813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-0.34257283900844787</v>
      </c>
      <c r="H293" t="s">
        <v>13</v>
      </c>
      <c r="I293">
        <f>VLOOKUP(Table4[[#This Row],[Visitor]],'NHL Model'!$A$6:$B$38,2,FALSE)</f>
        <v>-0.31985119938240425</v>
      </c>
      <c r="J293">
        <f>($B$1+Table4[[#This Row],[Home Differential]])-Table4[[#This Row],[Away Differential]]</f>
        <v>0.13669802189878352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0.47800747928387266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0.22849115025132194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-0.46055888840939002</v>
      </c>
      <c r="H294" t="s">
        <v>33</v>
      </c>
      <c r="I294">
        <f>VLOOKUP(Table4[[#This Row],[Visitor]],'NHL Model'!$A$6:$B$38,2,FALSE)</f>
        <v>-0.3479098095875402</v>
      </c>
      <c r="J294">
        <f>($B$1+Table4[[#This Row],[Home Differential]])-Table4[[#This Row],[Away Differential]]</f>
        <v>4.6770582702977348E-2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0.57253544619350616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0.18272594476098486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-1.5594075795597986</v>
      </c>
      <c r="H295" t="s">
        <v>20</v>
      </c>
      <c r="I295">
        <f>VLOOKUP(Table4[[#This Row],[Visitor]],'NHL Model'!$A$6:$B$38,2,FALSE)</f>
        <v>-3.2309887002194844E-2</v>
      </c>
      <c r="J295">
        <f>($B$1+Table4[[#This Row],[Home Differential]])-Table4[[#This Row],[Away Differential]]</f>
        <v>-1.3676780310327765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0.65000780354939436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0.12249453757631933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0.21430145909042725</v>
      </c>
      <c r="H296" t="s">
        <v>24</v>
      </c>
      <c r="I296">
        <f>VLOOKUP(Table4[[#This Row],[Visitor]],'NHL Model'!$A$6:$B$38,2,FALSE)</f>
        <v>2.0731927685773251E-2</v>
      </c>
      <c r="J296">
        <f>($B$1+Table4[[#This Row],[Home Differential]])-Table4[[#This Row],[Away Differential]]</f>
        <v>0.35298919292948117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0.58821033917073851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0.34599140310735521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1.4583704516548168</v>
      </c>
      <c r="H297" t="s">
        <v>30</v>
      </c>
      <c r="I297">
        <f>VLOOKUP(Table4[[#This Row],[Visitor]],'NHL Model'!$A$6:$B$38,2,FALSE)</f>
        <v>3.2883390994754517E-3</v>
      </c>
      <c r="J297">
        <f>($B$1+Table4[[#This Row],[Home Differential]])-Table4[[#This Row],[Away Differential]]</f>
        <v>1.6145017740801686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0.78951574878247666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4.430362001060148E-2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-0.17681265190927384</v>
      </c>
      <c r="H298" t="s">
        <v>20</v>
      </c>
      <c r="I298">
        <f>VLOOKUP(Table4[[#This Row],[Visitor]],'NHL Model'!$A$6:$B$38,2,FALSE)</f>
        <v>-3.2309887002194844E-2</v>
      </c>
      <c r="J298">
        <f>($B$1+Table4[[#This Row],[Home Differential]])-Table4[[#This Row],[Away Differential]]</f>
        <v>1.491689661774815E-2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0.54207236403437109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0.20969771978106955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-0.50599078340071213</v>
      </c>
      <c r="H299" t="s">
        <v>26</v>
      </c>
      <c r="I299">
        <f>VLOOKUP(Table4[[#This Row],[Visitor]],'NHL Model'!$A$6:$B$38,2,FALSE)</f>
        <v>-0.67114180037169746</v>
      </c>
      <c r="J299">
        <f>($B$1+Table4[[#This Row],[Home Differential]])-Table4[[#This Row],[Away Differential]]</f>
        <v>0.32457067849581245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0.5643224942699997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0.31845987753911387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-0.2200802314358897</v>
      </c>
      <c r="H300" t="s">
        <v>29</v>
      </c>
      <c r="I300">
        <f>VLOOKUP(Table4[[#This Row],[Visitor]],'NHL Model'!$A$6:$B$38,2,FALSE)</f>
        <v>-1.6840122346544992</v>
      </c>
      <c r="J300">
        <f>($B$1+Table4[[#This Row],[Home Differential]])-Table4[[#This Row],[Away Differential]]</f>
        <v>1.6233516647434367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0.76552784881192637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5.4977189682762856E-2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0.1846559193064522</v>
      </c>
      <c r="H301" t="s">
        <v>38</v>
      </c>
      <c r="I301">
        <f>VLOOKUP(Table4[[#This Row],[Visitor]],'NHL Model'!$A$6:$B$38,2,FALSE)</f>
        <v>-1.1267952052768424</v>
      </c>
      <c r="J301">
        <f>($B$1+Table4[[#This Row],[Home Differential]])-Table4[[#This Row],[Away Differential]]</f>
        <v>1.4708707861081218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0.74280563190459348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0.55176020678918247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0.35254565315374792</v>
      </c>
      <c r="H302" t="s">
        <v>55</v>
      </c>
      <c r="I302">
        <f>VLOOKUP(Table4[[#This Row],[Visitor]],'NHL Model'!$A$6:$B$38,2,FALSE)</f>
        <v>-0.1349739904770427</v>
      </c>
      <c r="J302">
        <f>($B$1+Table4[[#This Row],[Home Differential]])-Table4[[#This Row],[Away Differential]]</f>
        <v>0.64693930515561782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0.72479815990329988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7.5736052792609698E-2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-0.12487089668223171</v>
      </c>
      <c r="H303" t="s">
        <v>25</v>
      </c>
      <c r="I303">
        <f>VLOOKUP(Table4[[#This Row],[Visitor]],'NHL Model'!$A$6:$B$38,2,FALSE)</f>
        <v>0.42254821659882374</v>
      </c>
      <c r="J303">
        <f>($B$1+Table4[[#This Row],[Home Differential]])-Table4[[#This Row],[Away Differential]]</f>
        <v>-0.3879994517562283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0.53390371266759307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0.21724574906505364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-0.49794713300108584</v>
      </c>
      <c r="H304" t="s">
        <v>17</v>
      </c>
      <c r="I304">
        <f>VLOOKUP(Table4[[#This Row],[Visitor]],'NHL Model'!$A$6:$B$38,2,FALSE)</f>
        <v>-0.8561868317598319</v>
      </c>
      <c r="J304">
        <f>($B$1+Table4[[#This Row],[Home Differential]])-Table4[[#This Row],[Away Differential]]</f>
        <v>0.51765936028357318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0.62593363298436211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0.13992564693227791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-0.72083617366747277</v>
      </c>
      <c r="H305" t="s">
        <v>18</v>
      </c>
      <c r="I305">
        <f>VLOOKUP(Table4[[#This Row],[Visitor]],'NHL Model'!$A$6:$B$38,2,FALSE)</f>
        <v>-0.75480422558713034</v>
      </c>
      <c r="J305">
        <f>($B$1+Table4[[#This Row],[Home Differential]])-Table4[[#This Row],[Away Differential]]</f>
        <v>0.19338771344448469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0.52686683110445132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0.22385499550914378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-0.21100886368613675</v>
      </c>
      <c r="H306" t="s">
        <v>38</v>
      </c>
      <c r="I306">
        <f>VLOOKUP(Table4[[#This Row],[Visitor]],'NHL Model'!$A$6:$B$38,2,FALSE)</f>
        <v>-1.1267952052768424</v>
      </c>
      <c r="J306">
        <f>($B$1+Table4[[#This Row],[Home Differential]])-Table4[[#This Row],[Away Differential]]</f>
        <v>1.0752060031155328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0.72080402850221781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7.7950390500590411E-2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0.21430145909042725</v>
      </c>
      <c r="H307" t="s">
        <v>13</v>
      </c>
      <c r="I307">
        <f>VLOOKUP(Table4[[#This Row],[Visitor]],'NHL Model'!$A$6:$B$38,2,FALSE)</f>
        <v>-0.31985119938240425</v>
      </c>
      <c r="J307">
        <f>($B$1+Table4[[#This Row],[Home Differential]])-Table4[[#This Row],[Away Differential]]</f>
        <v>0.69357231999765867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0.55287786252732696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0.19991820581813194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-0.13160108676160023</v>
      </c>
      <c r="H308" t="s">
        <v>16</v>
      </c>
      <c r="I308">
        <f>VLOOKUP(Table4[[#This Row],[Visitor]],'NHL Model'!$A$6:$B$38,2,FALSE)</f>
        <v>-1.1167763879247272</v>
      </c>
      <c r="J308">
        <f>($B$1+Table4[[#This Row],[Home Differential]])-Table4[[#This Row],[Away Differential]]</f>
        <v>1.1445949626879541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0.69901547723904844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9.0591682941637761E-2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1.9153995907683643E-3</v>
      </c>
      <c r="H309" t="s">
        <v>30</v>
      </c>
      <c r="I309">
        <f>VLOOKUP(Table4[[#This Row],[Visitor]],'NHL Model'!$A$6:$B$38,2,FALSE)</f>
        <v>3.2883390994754517E-3</v>
      </c>
      <c r="J309">
        <f>($B$1+Table4[[#This Row],[Home Differential]])-Table4[[#This Row],[Away Differential]]</f>
        <v>0.15804672201612005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0.49183652098311892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0.24190316337277798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-0.67114180037169746</v>
      </c>
      <c r="H310" t="s">
        <v>32</v>
      </c>
      <c r="I310">
        <f>VLOOKUP(Table4[[#This Row],[Visitor]],'NHL Model'!$A$6:$B$38,2,FALSE)</f>
        <v>-0.46055888840939002</v>
      </c>
      <c r="J310">
        <f>($B$1+Table4[[#This Row],[Home Differential]])-Table4[[#This Row],[Away Differential]]</f>
        <v>-5.1163250437480323E-2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0.43486190596392743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0.18910487725857966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-0.3479098095875402</v>
      </c>
      <c r="H311" t="s">
        <v>55</v>
      </c>
      <c r="I311">
        <f>VLOOKUP(Table4[[#This Row],[Visitor]],'NHL Model'!$A$6:$B$38,2,FALSE)</f>
        <v>-0.1349739904770427</v>
      </c>
      <c r="J311">
        <f>($B$1+Table4[[#This Row],[Home Differential]])-Table4[[#This Row],[Away Differential]]</f>
        <v>-5.3516157585670354E-2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0.46743485478784652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0.21849534347053517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0.1846559193064522</v>
      </c>
      <c r="H312" t="s">
        <v>24</v>
      </c>
      <c r="I312">
        <f>VLOOKUP(Table4[[#This Row],[Visitor]],'NHL Model'!$A$6:$B$38,2,FALSE)</f>
        <v>2.0731927685773251E-2</v>
      </c>
      <c r="J312">
        <f>($B$1+Table4[[#This Row],[Home Differential]])-Table4[[#This Row],[Away Differential]]</f>
        <v>0.32334365314550606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0.60320346632051625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0.15744748914005369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-0.95664361852990654</v>
      </c>
      <c r="H313" t="s">
        <v>35</v>
      </c>
      <c r="I313">
        <f>VLOOKUP(Table4[[#This Row],[Visitor]],'NHL Model'!$A$6:$B$38,2,FALSE)</f>
        <v>-1.5594075795597986</v>
      </c>
      <c r="J313">
        <f>($B$1+Table4[[#This Row],[Home Differential]])-Table4[[#This Row],[Away Differential]]</f>
        <v>0.76218362255471916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0.64588810577997224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0.12539523362809613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-3.2309887002194844E-2</v>
      </c>
      <c r="H314" t="s">
        <v>15</v>
      </c>
      <c r="I314">
        <f>VLOOKUP(Table4[[#This Row],[Visitor]],'NHL Model'!$A$6:$B$38,2,FALSE)</f>
        <v>-0.50599078340071213</v>
      </c>
      <c r="J314">
        <f>($B$1+Table4[[#This Row],[Home Differential]])-Table4[[#This Row],[Away Differential]]</f>
        <v>0.63310055792334441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0.54447668445193931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0.20750149100789808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-7.3890719153774626E-2</v>
      </c>
      <c r="H315" t="s">
        <v>28</v>
      </c>
      <c r="I315">
        <f>VLOOKUP(Table4[[#This Row],[Visitor]],'NHL Model'!$A$6:$B$38,2,FALSE)</f>
        <v>-0.72083617366747277</v>
      </c>
      <c r="J315">
        <f>($B$1+Table4[[#This Row],[Home Differential]])-Table4[[#This Row],[Away Differential]]</f>
        <v>0.80636511603852523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0.6545216001778813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0.11935532474365171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0.35254565315374792</v>
      </c>
      <c r="H316" t="s">
        <v>21</v>
      </c>
      <c r="I316">
        <f>VLOOKUP(Table4[[#This Row],[Visitor]],'NHL Model'!$A$6:$B$38,2,FALSE)</f>
        <v>-0.12487089668223171</v>
      </c>
      <c r="J316">
        <f>($B$1+Table4[[#This Row],[Home Differential]])-Table4[[#This Row],[Away Differential]]</f>
        <v>0.63683621136080681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0.72339456445360473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7.6510566973811034E-2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-0.49794713300108584</v>
      </c>
      <c r="H317" t="s">
        <v>16</v>
      </c>
      <c r="I317">
        <f>VLOOKUP(Table4[[#This Row],[Visitor]],'NHL Model'!$A$6:$B$38,2,FALSE)</f>
        <v>-1.1167763879247272</v>
      </c>
      <c r="J317">
        <f>($B$1+Table4[[#This Row],[Home Differential]])-Table4[[#This Row],[Away Differential]]</f>
        <v>0.7782489164484685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0.66213663403528467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0.43842492213157652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-0.17681265190927384</v>
      </c>
      <c r="H318" t="s">
        <v>25</v>
      </c>
      <c r="I318">
        <f>VLOOKUP(Table4[[#This Row],[Visitor]],'NHL Model'!$A$6:$B$38,2,FALSE)</f>
        <v>0.42254821659882374</v>
      </c>
      <c r="J318">
        <f>($B$1+Table4[[#This Row],[Home Differential]])-Table4[[#This Row],[Away Differential]]</f>
        <v>-0.43994120698327044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0.59374300910896927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0.35253076086577356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0.21430145909042725</v>
      </c>
      <c r="H319" t="s">
        <v>17</v>
      </c>
      <c r="I319">
        <f>VLOOKUP(Table4[[#This Row],[Visitor]],'NHL Model'!$A$6:$B$38,2,FALSE)</f>
        <v>-0.8561868317598319</v>
      </c>
      <c r="J319">
        <f>($B$1+Table4[[#This Row],[Home Differential]])-Table4[[#This Row],[Away Differential]]</f>
        <v>1.2299079523750862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0.71086777976703697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8.3597440776842641E-2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0.35254565315374792</v>
      </c>
      <c r="H320" t="s">
        <v>36</v>
      </c>
      <c r="I320">
        <f>VLOOKUP(Table4[[#This Row],[Visitor]],'NHL Model'!$A$6:$B$38,2,FALSE)</f>
        <v>-0.34257283900844787</v>
      </c>
      <c r="J320">
        <f>($B$1+Table4[[#This Row],[Home Differential]])-Table4[[#This Row],[Away Differential]]</f>
        <v>0.85453815368702291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0.75363930550468772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0.567972202801588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-0.13160108676160023</v>
      </c>
      <c r="H321" t="s">
        <v>32</v>
      </c>
      <c r="I321">
        <f>VLOOKUP(Table4[[#This Row],[Visitor]],'NHL Model'!$A$6:$B$38,2,FALSE)</f>
        <v>-0.46055888840939002</v>
      </c>
      <c r="J321">
        <f>($B$1+Table4[[#This Row],[Home Differential]])-Table4[[#This Row],[Away Differential]]</f>
        <v>0.48837746317261693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0.60784895785039506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0.36948035555981135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1.4583704516548168</v>
      </c>
      <c r="H322" t="s">
        <v>15</v>
      </c>
      <c r="I322">
        <f>VLOOKUP(Table4[[#This Row],[Visitor]],'NHL Model'!$A$6:$B$38,2,FALSE)</f>
        <v>-0.50599078340071213</v>
      </c>
      <c r="J322">
        <f>($B$1+Table4[[#This Row],[Home Differential]])-Table4[[#This Row],[Away Differential]]</f>
        <v>2.1237808965803562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0.84950657177685551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2.2648271938354742E-2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-0.67114180037169746</v>
      </c>
      <c r="H323" t="s">
        <v>30</v>
      </c>
      <c r="I323">
        <f>VLOOKUP(Table4[[#This Row],[Visitor]],'NHL Model'!$A$6:$B$38,2,FALSE)</f>
        <v>3.2883390994754517E-3</v>
      </c>
      <c r="J323">
        <f>($B$1+Table4[[#This Row],[Home Differential]])-Table4[[#This Row],[Away Differential]]</f>
        <v>-0.5150104779463458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0.57154901043896622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0.18357025045582909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-0.21100886368613675</v>
      </c>
      <c r="H324" t="s">
        <v>24</v>
      </c>
      <c r="I324">
        <f>VLOOKUP(Table4[[#This Row],[Visitor]],'NHL Model'!$A$6:$B$38,2,FALSE)</f>
        <v>2.0731927685773251E-2</v>
      </c>
      <c r="J324">
        <f>($B$1+Table4[[#This Row],[Home Differential]])-Table4[[#This Row],[Away Differential]]</f>
        <v>-7.232112984708286E-2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0.41913828772875861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0.17567690424019564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-0.75480422558713034</v>
      </c>
      <c r="H325" t="s">
        <v>22</v>
      </c>
      <c r="I325">
        <f>VLOOKUP(Table4[[#This Row],[Visitor]],'NHL Model'!$A$6:$B$38,2,FALSE)</f>
        <v>0.21430145909042725</v>
      </c>
      <c r="J325">
        <f>($B$1+Table4[[#This Row],[Home Differential]])-Table4[[#This Row],[Away Differential]]</f>
        <v>-0.80968602315273053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0.59325671637117461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0.16544009877715909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-0.54160534998918008</v>
      </c>
      <c r="H326" t="s">
        <v>35</v>
      </c>
      <c r="I326">
        <f>VLOOKUP(Table4[[#This Row],[Visitor]],'NHL Model'!$A$6:$B$38,2,FALSE)</f>
        <v>-1.5594075795597986</v>
      </c>
      <c r="J326">
        <f>($B$1+Table4[[#This Row],[Home Differential]])-Table4[[#This Row],[Away Differential]]</f>
        <v>1.1772218910954457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0.73579431381839477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6.9804644610692856E-2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-0.3479098095875402</v>
      </c>
      <c r="H327" t="s">
        <v>13</v>
      </c>
      <c r="I327">
        <f>VLOOKUP(Table4[[#This Row],[Visitor]],'NHL Model'!$A$6:$B$38,2,FALSE)</f>
        <v>-0.31985119938240425</v>
      </c>
      <c r="J327">
        <f>($B$1+Table4[[#This Row],[Home Differential]])-Table4[[#This Row],[Away Differential]]</f>
        <v>0.1313610513196912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0.47477137410800768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0.27586510945639037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0.1846559193064522</v>
      </c>
      <c r="H328" t="s">
        <v>17</v>
      </c>
      <c r="I328">
        <f>VLOOKUP(Table4[[#This Row],[Visitor]],'NHL Model'!$A$6:$B$38,2,FALSE)</f>
        <v>-0.8561868317598319</v>
      </c>
      <c r="J328">
        <f>($B$1+Table4[[#This Row],[Home Differential]])-Table4[[#This Row],[Away Differential]]</f>
        <v>1.2002624125911112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0.7258546365502041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7.5155680301020683E-2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-0.95664361852990654</v>
      </c>
      <c r="H329" t="s">
        <v>28</v>
      </c>
      <c r="I329">
        <f>VLOOKUP(Table4[[#This Row],[Visitor]],'NHL Model'!$A$6:$B$38,2,FALSE)</f>
        <v>-0.72083617366747277</v>
      </c>
      <c r="J329">
        <f>($B$1+Table4[[#This Row],[Home Differential]])-Table4[[#This Row],[Away Differential]]</f>
        <v>-7.6387783337606652E-2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0.47061234778994404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0.2802512863124752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-0.1349739904770427</v>
      </c>
      <c r="H330" t="s">
        <v>20</v>
      </c>
      <c r="I330">
        <f>VLOOKUP(Table4[[#This Row],[Visitor]],'NHL Model'!$A$6:$B$38,2,FALSE)</f>
        <v>-3.2309887002194844E-2</v>
      </c>
      <c r="J330">
        <f>($B$1+Table4[[#This Row],[Home Differential]])-Table4[[#This Row],[Away Differential]]</f>
        <v>5.6755558049979289E-2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0.61133317178026492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0.37372824691891887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-1.1267952052768424</v>
      </c>
      <c r="H331" t="s">
        <v>39</v>
      </c>
      <c r="I331">
        <f>VLOOKUP(Table4[[#This Row],[Visitor]],'NHL Model'!$A$6:$B$38,2,FALSE)</f>
        <v>1.9153995907683643E-3</v>
      </c>
      <c r="J331">
        <f>($B$1+Table4[[#This Row],[Home Differential]])-Table4[[#This Row],[Away Differential]]</f>
        <v>-0.96929094334278365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0.68714715260892445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9.7876904120703614E-2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-0.49794713300108584</v>
      </c>
      <c r="H332" t="s">
        <v>10</v>
      </c>
      <c r="I332">
        <f>VLOOKUP(Table4[[#This Row],[Visitor]],'NHL Model'!$A$6:$B$38,2,FALSE)</f>
        <v>-0.13160108676160023</v>
      </c>
      <c r="J332">
        <f>($B$1+Table4[[#This Row],[Home Differential]])-Table4[[#This Row],[Away Differential]]</f>
        <v>-0.20692638471465849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0.47473110152654568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0.22536961875660744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-0.31985119938240425</v>
      </c>
      <c r="H333" t="s">
        <v>21</v>
      </c>
      <c r="I333">
        <f>VLOOKUP(Table4[[#This Row],[Visitor]],'NHL Model'!$A$6:$B$38,2,FALSE)</f>
        <v>-0.12487089668223171</v>
      </c>
      <c r="J333">
        <f>($B$1+Table4[[#This Row],[Home Differential]])-Table4[[#This Row],[Away Differential]]</f>
        <v>-3.5560641175345395E-2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0.46494034353789632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0.28628883597334448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-0.2200802314358897</v>
      </c>
      <c r="H334" t="s">
        <v>34</v>
      </c>
      <c r="I334">
        <f>VLOOKUP(Table4[[#This Row],[Visitor]],'NHL Model'!$A$6:$B$38,2,FALSE)</f>
        <v>-0.17681265190927384</v>
      </c>
      <c r="J334">
        <f>($B$1+Table4[[#This Row],[Home Differential]])-Table4[[#This Row],[Away Differential]]</f>
        <v>0.11615208199821128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0.53536746330452267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0.28661832076511945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-7.3890719153774626E-2</v>
      </c>
      <c r="H335" t="s">
        <v>25</v>
      </c>
      <c r="I335">
        <f>VLOOKUP(Table4[[#This Row],[Visitor]],'NHL Model'!$A$6:$B$38,2,FALSE)</f>
        <v>0.42254821659882374</v>
      </c>
      <c r="J335">
        <f>($B$1+Table4[[#This Row],[Home Differential]])-Table4[[#This Row],[Away Differential]]</f>
        <v>-0.33701927422777123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0.57694165664634989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0.17897836188113492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0.35254565315374792</v>
      </c>
      <c r="H336" t="s">
        <v>20</v>
      </c>
      <c r="I336">
        <f>VLOOKUP(Table4[[#This Row],[Visitor]],'NHL Model'!$A$6:$B$38,2,FALSE)</f>
        <v>-3.2309887002194844E-2</v>
      </c>
      <c r="J336">
        <f>($B$1+Table4[[#This Row],[Home Differential]])-Table4[[#This Row],[Away Differential]]</f>
        <v>0.54427520168076993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0.71053531414427773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8.3789804357551984E-2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-1.1167763879247272</v>
      </c>
      <c r="H337" t="s">
        <v>39</v>
      </c>
      <c r="I337">
        <f>VLOOKUP(Table4[[#This Row],[Visitor]],'NHL Model'!$A$6:$B$38,2,FALSE)</f>
        <v>1.9153995907683643E-3</v>
      </c>
      <c r="J337">
        <f>($B$1+Table4[[#This Row],[Home Differential]])-Table4[[#This Row],[Away Differential]]</f>
        <v>-0.95927212599066847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0.68575526545709209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0.47026028410212684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-0.67114180037169746</v>
      </c>
      <c r="H338" t="s">
        <v>28</v>
      </c>
      <c r="I338">
        <f>VLOOKUP(Table4[[#This Row],[Visitor]],'NHL Model'!$A$6:$B$38,2,FALSE)</f>
        <v>-0.72083617366747277</v>
      </c>
      <c r="J338">
        <f>($B$1+Table4[[#This Row],[Home Differential]])-Table4[[#This Row],[Away Differential]]</f>
        <v>0.20911403482060242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0.60129771213591343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0.15896351434805694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-0.21100886368613675</v>
      </c>
      <c r="H339" t="s">
        <v>17</v>
      </c>
      <c r="I339">
        <f>VLOOKUP(Table4[[#This Row],[Visitor]],'NHL Model'!$A$6:$B$38,2,FALSE)</f>
        <v>-0.8561868317598319</v>
      </c>
      <c r="J339">
        <f>($B$1+Table4[[#This Row],[Home Differential]])-Table4[[#This Row],[Away Differential]]</f>
        <v>0.80459762959852232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0.70349654520225224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0.49490738911150456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-0.75480422558713034</v>
      </c>
      <c r="H340" t="s">
        <v>19</v>
      </c>
      <c r="I340">
        <f>VLOOKUP(Table4[[#This Row],[Visitor]],'NHL Model'!$A$6:$B$38,2,FALSE)</f>
        <v>-0.95664361852990654</v>
      </c>
      <c r="J340">
        <f>($B$1+Table4[[#This Row],[Home Differential]])-Table4[[#This Row],[Away Differential]]</f>
        <v>0.36125905446760331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0.59018874171714708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0.16794526741537519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-1.6840122346544992</v>
      </c>
      <c r="H341" t="s">
        <v>12</v>
      </c>
      <c r="I341">
        <f>VLOOKUP(Table4[[#This Row],[Visitor]],'NHL Model'!$A$6:$B$38,2,FALSE)</f>
        <v>1.4583704516548168</v>
      </c>
      <c r="J341">
        <f>($B$1+Table4[[#This Row],[Home Differential]])-Table4[[#This Row],[Away Differential]]</f>
        <v>-2.9829630247844889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0.9669011594599024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1.0955332450988081E-3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3.2883390994754517E-3</v>
      </c>
      <c r="H342" t="s">
        <v>35</v>
      </c>
      <c r="I342">
        <f>VLOOKUP(Table4[[#This Row],[Visitor]],'NHL Model'!$A$6:$B$38,2,FALSE)</f>
        <v>-1.5594075795597986</v>
      </c>
      <c r="J342">
        <f>($B$1+Table4[[#This Row],[Home Differential]])-Table4[[#This Row],[Away Differential]]</f>
        <v>1.7221155801841013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0.77924885201371652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0.60722877336469505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-0.54160534998918008</v>
      </c>
      <c r="H343" t="s">
        <v>24</v>
      </c>
      <c r="I343">
        <f>VLOOKUP(Table4[[#This Row],[Visitor]],'NHL Model'!$A$6:$B$38,2,FALSE)</f>
        <v>2.0731927685773251E-2</v>
      </c>
      <c r="J343">
        <f>($B$1+Table4[[#This Row],[Home Differential]])-Table4[[#This Row],[Away Differential]]</f>
        <v>-0.40291761615012622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0.48454768140209842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0.23478645555214947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-0.2200802314358897</v>
      </c>
      <c r="H344" t="s">
        <v>32</v>
      </c>
      <c r="I344">
        <f>VLOOKUP(Table4[[#This Row],[Visitor]],'NHL Model'!$A$6:$B$38,2,FALSE)</f>
        <v>-0.46055888840939002</v>
      </c>
      <c r="J344">
        <f>($B$1+Table4[[#This Row],[Home Differential]])-Table4[[#This Row],[Away Differential]]</f>
        <v>0.39989831849832747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0.59555678998776163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0.35468789010052681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-0.3479098095875402</v>
      </c>
      <c r="H345" t="s">
        <v>36</v>
      </c>
      <c r="I345">
        <f>VLOOKUP(Table4[[#This Row],[Visitor]],'NHL Model'!$A$6:$B$38,2,FALSE)</f>
        <v>-0.34257283900844787</v>
      </c>
      <c r="J345">
        <f>($B$1+Table4[[#This Row],[Home Differential]])-Table4[[#This Row],[Away Differential]]</f>
        <v>0.15408269094573482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0.56140629081354132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0.31517702336501852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-0.1349739904770427</v>
      </c>
      <c r="H346" t="s">
        <v>15</v>
      </c>
      <c r="I346">
        <f>VLOOKUP(Table4[[#This Row],[Visitor]],'NHL Model'!$A$6:$B$38,2,FALSE)</f>
        <v>-0.50599078340071213</v>
      </c>
      <c r="J346">
        <f>($B$1+Table4[[#This Row],[Home Differential]])-Table4[[#This Row],[Away Differential]]</f>
        <v>0.53043645444849652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0.59496869530716312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0.16405035778118165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0.21430145909042725</v>
      </c>
      <c r="H347" t="s">
        <v>37</v>
      </c>
      <c r="I347">
        <f>VLOOKUP(Table4[[#This Row],[Visitor]],'NHL Model'!$A$6:$B$38,2,FALSE)</f>
        <v>0.1846559193064522</v>
      </c>
      <c r="J347">
        <f>($B$1+Table4[[#This Row],[Home Differential]])-Table4[[#This Row],[Away Differential]]</f>
        <v>0.18906520130880222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0.49995052673027085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0.24995052917787527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-0.49794713300108584</v>
      </c>
      <c r="H348" t="s">
        <v>25</v>
      </c>
      <c r="I348">
        <f>VLOOKUP(Table4[[#This Row],[Visitor]],'NHL Model'!$A$6:$B$38,2,FALSE)</f>
        <v>0.42254821659882374</v>
      </c>
      <c r="J348">
        <f>($B$1+Table4[[#This Row],[Home Differential]])-Table4[[#This Row],[Away Differential]]</f>
        <v>-0.76107568807508241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0.62425270196284177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0.38969143590790856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-0.13160108676160023</v>
      </c>
      <c r="H349" t="s">
        <v>12</v>
      </c>
      <c r="I349">
        <f>VLOOKUP(Table4[[#This Row],[Visitor]],'NHL Model'!$A$6:$B$38,2,FALSE)</f>
        <v>1.4583704516548168</v>
      </c>
      <c r="J349">
        <f>($B$1+Table4[[#This Row],[Home Differential]])-Table4[[#This Row],[Away Differential]]</f>
        <v>-1.4305518768915899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0.75122888446256086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6.188706792574189E-2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3.2883390994754517E-3</v>
      </c>
      <c r="H350" t="s">
        <v>32</v>
      </c>
      <c r="I350">
        <f>VLOOKUP(Table4[[#This Row],[Visitor]],'NHL Model'!$A$6:$B$38,2,FALSE)</f>
        <v>-0.46055888840939002</v>
      </c>
      <c r="J350">
        <f>($B$1+Table4[[#This Row],[Home Differential]])-Table4[[#This Row],[Away Differential]]</f>
        <v>0.62326688903369265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0.62658878034395948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0.13943593896501175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-0.3479098095875402</v>
      </c>
      <c r="H351" t="s">
        <v>21</v>
      </c>
      <c r="I351">
        <f>VLOOKUP(Table4[[#This Row],[Visitor]],'NHL Model'!$A$6:$B$38,2,FALSE)</f>
        <v>-0.12487089668223171</v>
      </c>
      <c r="J351">
        <f>($B$1+Table4[[#This Row],[Home Differential]])-Table4[[#This Row],[Away Differential]]</f>
        <v>-6.3619251380481343E-2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0.46883845023754162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0.21980949242113978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-1.1267952052768424</v>
      </c>
      <c r="H352" t="s">
        <v>16</v>
      </c>
      <c r="I352">
        <f>VLOOKUP(Table4[[#This Row],[Visitor]],'NHL Model'!$A$6:$B$38,2,FALSE)</f>
        <v>-1.1167763879247272</v>
      </c>
      <c r="J352">
        <f>($B$1+Table4[[#This Row],[Home Differential]])-Table4[[#This Row],[Away Differential]]</f>
        <v>0.14940084417271193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0.56075585452538579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0.31444712838449562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-7.3890719153774626E-2</v>
      </c>
      <c r="H353" t="s">
        <v>34</v>
      </c>
      <c r="I353">
        <f>VLOOKUP(Table4[[#This Row],[Visitor]],'NHL Model'!$A$6:$B$38,2,FALSE)</f>
        <v>-0.17681265190927384</v>
      </c>
      <c r="J353">
        <f>($B$1+Table4[[#This Row],[Home Differential]])-Table4[[#This Row],[Away Differential]]</f>
        <v>0.26234159428032633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0.55818553739447485</v>
      </c>
      <c r="M353" t="str">
        <f>IF(OR((NHL2025_26Results[[#This Row],[Winning Team]]="")),"-",IF(Table4[[#This Row],[Predicted Winner]]=NHL2025_26Results[[#This Row],[Winning Team]],"YES","NO"))</f>
        <v>NO</v>
      </c>
      <c r="N353">
        <f>IF(Table4[[#This Row],[Adjusted Correct]]="-", "",IF(Table4[[#This Row],[Adjusted Correct]]="YES",(Table4[[#This Row],[Strength of Win]]-1)^2,(Table4[[#This Row],[Strength of Win]]-0)^2))</f>
        <v>0.3115710941563587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-0.31985119938240425</v>
      </c>
      <c r="H354" t="s">
        <v>36</v>
      </c>
      <c r="I354">
        <f>VLOOKUP(Table4[[#This Row],[Visitor]],'NHL Model'!$A$6:$B$38,2,FALSE)</f>
        <v>-0.34257283900844787</v>
      </c>
      <c r="J354">
        <f>($B$1+Table4[[#This Row],[Home Differential]])-Table4[[#This Row],[Away Differential]]</f>
        <v>0.18214130115087077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0.56530439751318662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0.18896026682137368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2.0731927685773251E-2</v>
      </c>
      <c r="H355" t="s">
        <v>26</v>
      </c>
      <c r="I355">
        <f>VLOOKUP(Table4[[#This Row],[Visitor]],'NHL Model'!$A$6:$B$38,2,FALSE)</f>
        <v>-0.67114180037169746</v>
      </c>
      <c r="J355">
        <f>($B$1+Table4[[#This Row],[Home Differential]])-Table4[[#This Row],[Away Differential]]</f>
        <v>0.85129338958229783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0.75826788429767122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5.8434415761924069E-2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-1.6840122346544992</v>
      </c>
      <c r="H356" t="s">
        <v>11</v>
      </c>
      <c r="I356">
        <f>VLOOKUP(Table4[[#This Row],[Visitor]],'NHL Model'!$A$6:$B$38,2,FALSE)</f>
        <v>-0.21100886368613675</v>
      </c>
      <c r="J356">
        <f>($B$1+Table4[[#This Row],[Home Differential]])-Table4[[#This Row],[Away Differential]]</f>
        <v>-1.3135837094435354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0.64249262600288892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0.12781152246231026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-0.50599078340071213</v>
      </c>
      <c r="H357" t="s">
        <v>35</v>
      </c>
      <c r="I357">
        <f>VLOOKUP(Table4[[#This Row],[Visitor]],'NHL Model'!$A$6:$B$38,2,FALSE)</f>
        <v>-1.5594075795597986</v>
      </c>
      <c r="J357">
        <f>($B$1+Table4[[#This Row],[Home Differential]])-Table4[[#This Row],[Away Differential]]</f>
        <v>1.2128364576839137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0.70849608325954438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8.4974533475026481E-2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0.1846559193064522</v>
      </c>
      <c r="H358" t="s">
        <v>27</v>
      </c>
      <c r="I358">
        <f>VLOOKUP(Table4[[#This Row],[Visitor]],'NHL Model'!$A$6:$B$38,2,FALSE)</f>
        <v>-0.54160534998918008</v>
      </c>
      <c r="J358">
        <f>($B$1+Table4[[#This Row],[Home Differential]])-Table4[[#This Row],[Away Differential]]</f>
        <v>0.8856809308204594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0.68215068354935138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0.10102818796814457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-0.1349739904770427</v>
      </c>
      <c r="H359" t="s">
        <v>20</v>
      </c>
      <c r="I359">
        <f>VLOOKUP(Table4[[#This Row],[Visitor]],'NHL Model'!$A$6:$B$38,2,FALSE)</f>
        <v>-3.2309887002194844E-2</v>
      </c>
      <c r="J359">
        <f>($B$1+Table4[[#This Row],[Home Differential]])-Table4[[#This Row],[Away Differential]]</f>
        <v>5.6755558049979289E-2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0.61133317178026492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0.15106190335838907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0.21430145909042725</v>
      </c>
      <c r="H360" t="s">
        <v>28</v>
      </c>
      <c r="I360">
        <f>VLOOKUP(Table4[[#This Row],[Visitor]],'NHL Model'!$A$6:$B$38,2,FALSE)</f>
        <v>-0.72083617366747277</v>
      </c>
      <c r="J360">
        <f>($B$1+Table4[[#This Row],[Home Differential]])-Table4[[#This Row],[Away Differential]]</f>
        <v>1.0945572942827271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0.69206387952914694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9.4824654290639729E-2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-0.8561868317598319</v>
      </c>
      <c r="H361" t="s">
        <v>39</v>
      </c>
      <c r="I361">
        <f>VLOOKUP(Table4[[#This Row],[Visitor]],'NHL Model'!$A$6:$B$38,2,FALSE)</f>
        <v>1.9153995907683643E-3</v>
      </c>
      <c r="J361">
        <f>($B$1+Table4[[#This Row],[Home Differential]])-Table4[[#This Row],[Away Differential]]</f>
        <v>-0.69868256982577315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0.64252062201541105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0.12779150568424863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0.35254565315374792</v>
      </c>
      <c r="H362" t="s">
        <v>38</v>
      </c>
      <c r="I362">
        <f>VLOOKUP(Table4[[#This Row],[Visitor]],'NHL Model'!$A$6:$B$38,2,FALSE)</f>
        <v>-1.1267952052768424</v>
      </c>
      <c r="J362">
        <f>($B$1+Table4[[#This Row],[Home Differential]])-Table4[[#This Row],[Away Differential]]</f>
        <v>1.6387605199554174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0.84305317470559937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O362">
        <v>1.6387605199554174</v>
      </c>
      <c r="P362" s="11">
        <v>0.84305317470559937</v>
      </c>
      <c r="Q362" t="s">
        <v>31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0.42254821659882374</v>
      </c>
      <c r="H363" t="s">
        <v>15</v>
      </c>
      <c r="I363">
        <f>VLOOKUP(Table4[[#This Row],[Visitor]],'NHL Model'!$A$6:$B$38,2,FALSE)</f>
        <v>-0.50599078340071213</v>
      </c>
      <c r="J363">
        <f>($B$1+Table4[[#This Row],[Home Differential]])-Table4[[#This Row],[Away Differential]]</f>
        <v>1.087958661524363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0.66023805844789762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O363">
        <v>1.087958661524363</v>
      </c>
      <c r="P363" s="11">
        <v>0.66023805844789762</v>
      </c>
      <c r="Q363" t="s">
        <v>25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-0.72083617366747277</v>
      </c>
      <c r="H364" t="s">
        <v>19</v>
      </c>
      <c r="I364">
        <f>VLOOKUP(Table4[[#This Row],[Visitor]],'NHL Model'!$A$6:$B$38,2,FALSE)</f>
        <v>-0.95664361852990654</v>
      </c>
      <c r="J364">
        <f>($B$1+Table4[[#This Row],[Home Differential]])-Table4[[#This Row],[Away Differential]]</f>
        <v>0.39522710638726088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0.60195378300433666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O364">
        <v>0.39522710638726088</v>
      </c>
      <c r="P364" s="11">
        <v>0.60195378300433666</v>
      </c>
      <c r="Q364" t="s">
        <v>28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-0.13160108676160023</v>
      </c>
      <c r="H365" t="s">
        <v>34</v>
      </c>
      <c r="I365">
        <f>VLOOKUP(Table4[[#This Row],[Visitor]],'NHL Model'!$A$6:$B$38,2,FALSE)</f>
        <v>-0.17681265190927384</v>
      </c>
      <c r="J365">
        <f>($B$1+Table4[[#This Row],[Home Differential]])-Table4[[#This Row],[Away Differential]]</f>
        <v>0.20463122667250075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0.54765963116715599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O365">
        <v>0.20463122667250075</v>
      </c>
      <c r="P365" s="11">
        <v>0.54765963116715599</v>
      </c>
      <c r="Q365" t="s">
        <v>10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1.4583704516548168</v>
      </c>
      <c r="H366" t="s">
        <v>33</v>
      </c>
      <c r="I366">
        <f>VLOOKUP(Table4[[#This Row],[Visitor]],'NHL Model'!$A$6:$B$38,2,FALSE)</f>
        <v>-0.3479098095875402</v>
      </c>
      <c r="J366">
        <f>($B$1+Table4[[#This Row],[Home Differential]])-Table4[[#This Row],[Away Differential]]</f>
        <v>1.9656999227671841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0.90800999973273655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O366">
        <v>1.9656999227671841</v>
      </c>
      <c r="P366" s="11">
        <v>0.90800999973273655</v>
      </c>
      <c r="Q366" t="s">
        <v>12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-0.67114180037169746</v>
      </c>
      <c r="H367" t="s">
        <v>29</v>
      </c>
      <c r="I367">
        <f>VLOOKUP(Table4[[#This Row],[Visitor]],'NHL Model'!$A$6:$B$38,2,FALSE)</f>
        <v>-1.6840122346544992</v>
      </c>
      <c r="J367">
        <f>($B$1+Table4[[#This Row],[Home Differential]])-Table4[[#This Row],[Away Differential]]</f>
        <v>1.1722900958076288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0.73510915286023726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O367">
        <v>1.1722900958076288</v>
      </c>
      <c r="P367" s="11">
        <v>0.73510915286023726</v>
      </c>
      <c r="Q367" t="s">
        <v>26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-0.21100886368613675</v>
      </c>
      <c r="H368" t="s">
        <v>27</v>
      </c>
      <c r="I368">
        <f>VLOOKUP(Table4[[#This Row],[Visitor]],'NHL Model'!$A$6:$B$38,2,FALSE)</f>
        <v>-0.54160534998918008</v>
      </c>
      <c r="J368">
        <f>($B$1+Table4[[#This Row],[Home Differential]])-Table4[[#This Row],[Away Differential]]</f>
        <v>0.49001614782787051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0.65979259220139941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O368">
        <v>0.49001614782787051</v>
      </c>
      <c r="P368" s="11">
        <v>0.65979259220139941</v>
      </c>
      <c r="Q368" t="s">
        <v>11</v>
      </c>
    </row>
    <row r="369" spans="4:17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2.0731927685773251E-2</v>
      </c>
      <c r="H369" t="s">
        <v>35</v>
      </c>
      <c r="I369">
        <f>VLOOKUP(Table4[[#This Row],[Visitor]],'NHL Model'!$A$6:$B$38,2,FALSE)</f>
        <v>-1.5594075795597986</v>
      </c>
      <c r="J369">
        <f>($B$1+Table4[[#This Row],[Home Differential]])-Table4[[#This Row],[Away Differential]]</f>
        <v>1.7395591687703991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0.90065082571403132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O369">
        <v>1.7395591687703991</v>
      </c>
      <c r="P369" s="11">
        <v>0.90065082571403132</v>
      </c>
      <c r="Q369" t="s">
        <v>24</v>
      </c>
    </row>
    <row r="370" spans="4:17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3.2883390994754517E-3</v>
      </c>
      <c r="H370" t="s">
        <v>21</v>
      </c>
      <c r="I370">
        <f>VLOOKUP(Table4[[#This Row],[Visitor]],'NHL Model'!$A$6:$B$38,2,FALSE)</f>
        <v>-0.12487089668223171</v>
      </c>
      <c r="J370">
        <f>($B$1+Table4[[#This Row],[Home Differential]])-Table4[[#This Row],[Away Differential]]</f>
        <v>0.2875788973065343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0.57995255709643112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O370">
        <v>0.2875788973065343</v>
      </c>
      <c r="P370" s="11">
        <v>0.57995255709643112</v>
      </c>
      <c r="Q370" t="s">
        <v>30</v>
      </c>
    </row>
    <row r="371" spans="4:17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-0.2200802314358897</v>
      </c>
      <c r="H371" t="s">
        <v>23</v>
      </c>
      <c r="I371">
        <f>VLOOKUP(Table4[[#This Row],[Visitor]],'NHL Model'!$A$6:$B$38,2,FALSE)</f>
        <v>-0.49794713300108584</v>
      </c>
      <c r="J371">
        <f>($B$1+Table4[[#This Row],[Home Differential]])-Table4[[#This Row],[Away Differential]]</f>
        <v>0.43728656309002328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0.60075103751696357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O371">
        <v>0.43728656309002328</v>
      </c>
      <c r="P371" s="11">
        <v>0.60075103751696357</v>
      </c>
      <c r="Q371" t="s">
        <v>14</v>
      </c>
    </row>
    <row r="372" spans="4:17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-0.46055888840939002</v>
      </c>
      <c r="H372" t="s">
        <v>39</v>
      </c>
      <c r="I372">
        <f>VLOOKUP(Table4[[#This Row],[Visitor]],'NHL Model'!$A$6:$B$38,2,FALSE)</f>
        <v>1.9153995907683643E-3</v>
      </c>
      <c r="J372">
        <f>($B$1+Table4[[#This Row],[Home Differential]])-Table4[[#This Row],[Away Differential]]</f>
        <v>-0.30305462647533121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0.56841834769681898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O372">
        <v>-0.30305462647533121</v>
      </c>
      <c r="P372" s="11">
        <v>0.56841834769681898</v>
      </c>
      <c r="Q372" t="s">
        <v>39</v>
      </c>
    </row>
    <row r="373" spans="4:17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0.1846559193064522</v>
      </c>
      <c r="H373" t="s">
        <v>16</v>
      </c>
      <c r="I373">
        <f>VLOOKUP(Table4[[#This Row],[Visitor]],'NHL Model'!$A$6:$B$38,2,FALSE)</f>
        <v>-1.1167763879247272</v>
      </c>
      <c r="J373">
        <f>($B$1+Table4[[#This Row],[Home Differential]])-Table4[[#This Row],[Away Differential]]</f>
        <v>1.4608519687560064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0.76205763760112666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O373">
        <v>1.4608519687560064</v>
      </c>
      <c r="P373" s="11">
        <v>0.76205763760112666</v>
      </c>
      <c r="Q373" t="s">
        <v>37</v>
      </c>
    </row>
    <row r="374" spans="4:17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-0.1349739904770427</v>
      </c>
      <c r="H374" t="s">
        <v>18</v>
      </c>
      <c r="I374">
        <f>VLOOKUP(Table4[[#This Row],[Visitor]],'NHL Model'!$A$6:$B$38,2,FALSE)</f>
        <v>-0.75480422558713034</v>
      </c>
      <c r="J374">
        <f>($B$1+Table4[[#This Row],[Home Differential]])-Table4[[#This Row],[Away Differential]]</f>
        <v>0.77924989663491484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0.66578120089593074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O374">
        <v>0.77924989663491484</v>
      </c>
      <c r="P374" s="11">
        <v>0.66578120089593074</v>
      </c>
      <c r="Q374" t="s">
        <v>55</v>
      </c>
    </row>
    <row r="375" spans="4:17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-3.2309887002194844E-2</v>
      </c>
      <c r="H375" t="s">
        <v>36</v>
      </c>
      <c r="I375">
        <f>VLOOKUP(Table4[[#This Row],[Visitor]],'NHL Model'!$A$6:$B$38,2,FALSE)</f>
        <v>-0.34257283900844787</v>
      </c>
      <c r="J375">
        <f>($B$1+Table4[[#This Row],[Home Differential]])-Table4[[#This Row],[Away Differential]]</f>
        <v>0.46968261353108021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0.60525173303762814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O375">
        <v>0.46968261353108021</v>
      </c>
      <c r="P375" s="11">
        <v>0.60525173303762814</v>
      </c>
      <c r="Q375" t="s">
        <v>20</v>
      </c>
    </row>
    <row r="376" spans="4:17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0.21430145909042725</v>
      </c>
      <c r="H376" t="s">
        <v>40</v>
      </c>
      <c r="I376">
        <f>VLOOKUP(Table4[[#This Row],[Visitor]],'NHL Model'!$A$6:$B$38,2,FALSE)</f>
        <v>-7.3890719153774626E-2</v>
      </c>
      <c r="J376">
        <f>($B$1+Table4[[#This Row],[Home Differential]])-Table4[[#This Row],[Away Differential]]</f>
        <v>0.44761183976902907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0.53586971075913947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O376">
        <v>0.44761183976902907</v>
      </c>
      <c r="P376" s="11">
        <v>0.53586971075913947</v>
      </c>
      <c r="Q376" t="s">
        <v>22</v>
      </c>
    </row>
    <row r="377" spans="4:17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0.35254565315374792</v>
      </c>
      <c r="H377" t="s">
        <v>13</v>
      </c>
      <c r="I377">
        <f>VLOOKUP(Table4[[#This Row],[Visitor]],'NHL Model'!$A$6:$B$38,2,FALSE)</f>
        <v>-0.31985119938240425</v>
      </c>
      <c r="J377">
        <f>($B$1+Table4[[#This Row],[Home Differential]])-Table4[[#This Row],[Away Differential]]</f>
        <v>0.83181651406097934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0.67001746029263864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7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-0.12487089668223171</v>
      </c>
      <c r="H378" t="s">
        <v>15</v>
      </c>
      <c r="I378">
        <f>VLOOKUP(Table4[[#This Row],[Visitor]],'NHL Model'!$A$6:$B$38,2,FALSE)</f>
        <v>-0.50599078340071213</v>
      </c>
      <c r="J378">
        <f>($B$1+Table4[[#This Row],[Home Differential]])-Table4[[#This Row],[Away Differential]]</f>
        <v>0.54053954824330752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0.58418660410308643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7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-0.49794713300108584</v>
      </c>
      <c r="H379" t="s">
        <v>24</v>
      </c>
      <c r="I379">
        <f>VLOOKUP(Table4[[#This Row],[Visitor]],'NHL Model'!$A$6:$B$38,2,FALSE)</f>
        <v>2.0731927685773251E-2</v>
      </c>
      <c r="J379">
        <f>($B$1+Table4[[#This Row],[Home Differential]])-Table4[[#This Row],[Away Differential]]</f>
        <v>-0.35925939916203198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0.49671944566129161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7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0.42254821659882374</v>
      </c>
      <c r="H380" t="s">
        <v>40</v>
      </c>
      <c r="I380">
        <f>VLOOKUP(Table4[[#This Row],[Visitor]],'NHL Model'!$A$6:$B$38,2,FALSE)</f>
        <v>-7.3890719153774626E-2</v>
      </c>
      <c r="J380">
        <f>($B$1+Table4[[#This Row],[Home Differential]])-Table4[[#This Row],[Away Differential]]</f>
        <v>0.65585859727742557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0.61743244754675952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7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-0.72083617366747277</v>
      </c>
      <c r="H381" t="s">
        <v>14</v>
      </c>
      <c r="I381">
        <f>VLOOKUP(Table4[[#This Row],[Visitor]],'NHL Model'!$A$6:$B$38,2,FALSE)</f>
        <v>-0.2200802314358897</v>
      </c>
      <c r="J381">
        <f>($B$1+Table4[[#This Row],[Home Differential]])-Table4[[#This Row],[Away Differential]]</f>
        <v>-0.34133628070675592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0.50037497287320998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7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-0.13160108676160023</v>
      </c>
      <c r="H382" t="s">
        <v>29</v>
      </c>
      <c r="I382">
        <f>VLOOKUP(Table4[[#This Row],[Visitor]],'NHL Model'!$A$6:$B$38,2,FALSE)</f>
        <v>-1.6840122346544992</v>
      </c>
      <c r="J382">
        <f>($B$1+Table4[[#This Row],[Home Differential]])-Table4[[#This Row],[Away Differential]]</f>
        <v>1.7118308094177261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0.77782001667455969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7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1.9153995907683643E-3</v>
      </c>
      <c r="H383" t="s">
        <v>55</v>
      </c>
      <c r="I383">
        <f>VLOOKUP(Table4[[#This Row],[Visitor]],'NHL Model'!$A$6:$B$38,2,FALSE)</f>
        <v>-0.1349739904770427</v>
      </c>
      <c r="J383">
        <f>($B$1+Table4[[#This Row],[Home Differential]])-Table4[[#This Row],[Away Differential]]</f>
        <v>0.29630905159263821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0.58366089298407775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7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-0.67114180037169746</v>
      </c>
      <c r="H384" t="s">
        <v>37</v>
      </c>
      <c r="I384">
        <f>VLOOKUP(Table4[[#This Row],[Visitor]],'NHL Model'!$A$6:$B$38,2,FALSE)</f>
        <v>0.1846559193064522</v>
      </c>
      <c r="J384">
        <f>($B$1+Table4[[#This Row],[Home Differential]])-Table4[[#This Row],[Away Differential]]</f>
        <v>-0.69637805815332254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0.59041680307352529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-0.21100886368613675</v>
      </c>
      <c r="H385" t="s">
        <v>16</v>
      </c>
      <c r="I385">
        <f>VLOOKUP(Table4[[#This Row],[Visitor]],'NHL Model'!$A$6:$B$38,2,FALSE)</f>
        <v>-1.1167763879247272</v>
      </c>
      <c r="J385">
        <f>($B$1+Table4[[#This Row],[Home Differential]])-Table4[[#This Row],[Away Differential]]</f>
        <v>1.0651871857634176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0.7396995462531748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-0.17681265190927384</v>
      </c>
      <c r="H386" t="s">
        <v>12</v>
      </c>
      <c r="I386">
        <f>VLOOKUP(Table4[[#This Row],[Visitor]],'NHL Model'!$A$6:$B$38,2,FALSE)</f>
        <v>1.4583704516548168</v>
      </c>
      <c r="J386">
        <f>($B$1+Table4[[#This Row],[Home Differential]])-Table4[[#This Row],[Away Differential]]</f>
        <v>-1.4757634420392636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0.75751000472172947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3.2883390994754517E-3</v>
      </c>
      <c r="H387" t="s">
        <v>27</v>
      </c>
      <c r="I387">
        <f>VLOOKUP(Table4[[#This Row],[Visitor]],'NHL Model'!$A$6:$B$38,2,FALSE)</f>
        <v>-0.54160534998918008</v>
      </c>
      <c r="J387">
        <f>($B$1+Table4[[#This Row],[Home Differential]])-Table4[[#This Row],[Away Differential]]</f>
        <v>0.70431335061348266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0.63784834568083748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-0.3479098095875402</v>
      </c>
      <c r="H388" t="s">
        <v>38</v>
      </c>
      <c r="I388">
        <f>VLOOKUP(Table4[[#This Row],[Visitor]],'NHL Model'!$A$6:$B$38,2,FALSE)</f>
        <v>-1.1267952052768424</v>
      </c>
      <c r="J388">
        <f>($B$1+Table4[[#This Row],[Home Differential]])-Table4[[#This Row],[Away Differential]]</f>
        <v>0.93830505721412938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0.6495869487812419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-1.5594075795597986</v>
      </c>
      <c r="H389" t="s">
        <v>36</v>
      </c>
      <c r="I389">
        <f>VLOOKUP(Table4[[#This Row],[Visitor]],'NHL Model'!$A$6:$B$38,2,FALSE)</f>
        <v>-0.34257283900844787</v>
      </c>
      <c r="J389">
        <f>($B$1+Table4[[#This Row],[Home Differential]])-Table4[[#This Row],[Away Differential]]</f>
        <v>-1.0574150790265235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0.60690381218898437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-3.2309887002194844E-2</v>
      </c>
      <c r="H390" t="s">
        <v>18</v>
      </c>
      <c r="I390">
        <f>VLOOKUP(Table4[[#This Row],[Visitor]],'NHL Model'!$A$6:$B$38,2,FALSE)</f>
        <v>-0.75480422558713034</v>
      </c>
      <c r="J390">
        <f>($B$1+Table4[[#This Row],[Home Differential]])-Table4[[#This Row],[Away Differential]]</f>
        <v>0.88191400010976262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0.61542253128041735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0.21430145909042725</v>
      </c>
      <c r="H391" t="s">
        <v>19</v>
      </c>
      <c r="I391">
        <f>VLOOKUP(Table4[[#This Row],[Visitor]],'NHL Model'!$A$6:$B$38,2,FALSE)</f>
        <v>-0.95664361852990654</v>
      </c>
      <c r="J391">
        <f>($B$1+Table4[[#This Row],[Home Differential]])-Table4[[#This Row],[Away Differential]]</f>
        <v>1.330364739145161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0.72482396899630908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-0.12487089668223171</v>
      </c>
      <c r="H392" t="s">
        <v>26</v>
      </c>
      <c r="I392">
        <f>VLOOKUP(Table4[[#This Row],[Visitor]],'NHL Model'!$A$6:$B$38,2,FALSE)</f>
        <v>-0.67114180037169746</v>
      </c>
      <c r="J392">
        <f>($B$1+Table4[[#This Row],[Home Differential]])-Table4[[#This Row],[Away Differential]]</f>
        <v>0.70569056521429285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0.6694682498027611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1.4583704516548168</v>
      </c>
      <c r="H393" t="s">
        <v>18</v>
      </c>
      <c r="I393">
        <f>VLOOKUP(Table4[[#This Row],[Visitor]],'NHL Model'!$A$6:$B$38,2,FALSE)</f>
        <v>-0.75480422558713034</v>
      </c>
      <c r="J393">
        <f>($B$1+Table4[[#This Row],[Home Differential]])-Table4[[#This Row],[Away Differential]]</f>
        <v>2.3725943387667741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0.91978203809817372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-0.31985119938240425</v>
      </c>
      <c r="H394" t="s">
        <v>38</v>
      </c>
      <c r="I394">
        <f>VLOOKUP(Table4[[#This Row],[Visitor]],'NHL Model'!$A$6:$B$38,2,FALSE)</f>
        <v>-1.1267952052768424</v>
      </c>
      <c r="J394">
        <f>($B$1+Table4[[#This Row],[Home Differential]])-Table4[[#This Row],[Away Differential]]</f>
        <v>0.96636366741926527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0.65348505548088709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-0.17681265190927384</v>
      </c>
      <c r="H395" t="s">
        <v>23</v>
      </c>
      <c r="I395">
        <f>VLOOKUP(Table4[[#This Row],[Visitor]],'NHL Model'!$A$6:$B$38,2,FALSE)</f>
        <v>-0.49794713300108584</v>
      </c>
      <c r="J395">
        <f>($B$1+Table4[[#This Row],[Home Differential]])-Table4[[#This Row],[Away Differential]]</f>
        <v>0.48055414261663915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0.60676208512042829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2.0731927685773251E-2</v>
      </c>
      <c r="H396" t="s">
        <v>27</v>
      </c>
      <c r="I396">
        <f>VLOOKUP(Table4[[#This Row],[Visitor]],'NHL Model'!$A$6:$B$38,2,FALSE)</f>
        <v>-0.54160534998918008</v>
      </c>
      <c r="J396">
        <f>($B$1+Table4[[#This Row],[Home Differential]])-Table4[[#This Row],[Away Differential]]</f>
        <v>0.72175693919978046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0.75925031938115239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-1.6840122346544992</v>
      </c>
      <c r="H397" t="s">
        <v>40</v>
      </c>
      <c r="I397">
        <f>VLOOKUP(Table4[[#This Row],[Visitor]],'NHL Model'!$A$6:$B$38,2,FALSE)</f>
        <v>-7.3890719153774626E-2</v>
      </c>
      <c r="J397">
        <f>($B$1+Table4[[#This Row],[Home Differential]])-Table4[[#This Row],[Away Differential]]</f>
        <v>-1.4507018539758976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0.72785786781711304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-0.50599078340071213</v>
      </c>
      <c r="H398" t="s">
        <v>37</v>
      </c>
      <c r="I398">
        <f>VLOOKUP(Table4[[#This Row],[Visitor]],'NHL Model'!$A$6:$B$38,2,FALSE)</f>
        <v>0.1846559193064522</v>
      </c>
      <c r="J398">
        <f>($B$1+Table4[[#This Row],[Home Differential]])-Table4[[#This Row],[Away Differential]]</f>
        <v>-0.53122704118233721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0.60011772310924794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-0.2200802314358897</v>
      </c>
      <c r="H399" t="s">
        <v>19</v>
      </c>
      <c r="I399">
        <f>VLOOKUP(Table4[[#This Row],[Visitor]],'NHL Model'!$A$6:$B$38,2,FALSE)</f>
        <v>-0.95664361852990654</v>
      </c>
      <c r="J399">
        <f>($B$1+Table4[[#This Row],[Home Differential]])-Table4[[#This Row],[Away Differential]]</f>
        <v>0.89598304861884404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0.66447649755476468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-0.46055888840939002</v>
      </c>
      <c r="H400" t="s">
        <v>17</v>
      </c>
      <c r="I400">
        <f>VLOOKUP(Table4[[#This Row],[Visitor]],'NHL Model'!$A$6:$B$38,2,FALSE)</f>
        <v>-0.8561868317598319</v>
      </c>
      <c r="J400">
        <f>($B$1+Table4[[#This Row],[Home Differential]])-Table4[[#This Row],[Away Differential]]</f>
        <v>0.55504760487526905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0.64314899586400565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-1.5594075795597986</v>
      </c>
      <c r="H401" t="s">
        <v>55</v>
      </c>
      <c r="I401">
        <f>VLOOKUP(Table4[[#This Row],[Visitor]],'NHL Model'!$A$6:$B$38,2,FALSE)</f>
        <v>-0.1349739904770427</v>
      </c>
      <c r="J401">
        <f>($B$1+Table4[[#This Row],[Home Differential]])-Table4[[#This Row],[Away Differential]]</f>
        <v>-1.2650139275579289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0.63574495779037221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-3.2309887002194844E-2</v>
      </c>
      <c r="H402" t="s">
        <v>33</v>
      </c>
      <c r="I402">
        <f>VLOOKUP(Table4[[#This Row],[Visitor]],'NHL Model'!$A$6:$B$38,2,FALSE)</f>
        <v>-0.3479098095875402</v>
      </c>
      <c r="J402">
        <f>($B$1+Table4[[#This Row],[Home Differential]])-Table4[[#This Row],[Away Differential]]</f>
        <v>0.47501958411017253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0.60599318390130497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0.42254821659882374</v>
      </c>
      <c r="H403" t="s">
        <v>16</v>
      </c>
      <c r="I403">
        <f>VLOOKUP(Table4[[#This Row],[Visitor]],'NHL Model'!$A$6:$B$38,2,FALSE)</f>
        <v>-1.1167763879247272</v>
      </c>
      <c r="J403">
        <f>($B$1+Table4[[#This Row],[Home Differential]])-Table4[[#This Row],[Away Differential]]</f>
        <v>1.698744266048378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0.82771791498957192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-0.13160108676160023</v>
      </c>
      <c r="H404" t="s">
        <v>31</v>
      </c>
      <c r="I404">
        <f>VLOOKUP(Table4[[#This Row],[Visitor]],'NHL Model'!$A$6:$B$38,2,FALSE)</f>
        <v>0.35254565315374792</v>
      </c>
      <c r="J404">
        <f>($B$1+Table4[[#This Row],[Home Differential]])-Table4[[#This Row],[Away Differential]]</f>
        <v>-0.32472707839052101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0.52588268402211569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1.9153995907683643E-3</v>
      </c>
      <c r="H405" t="s">
        <v>36</v>
      </c>
      <c r="I405">
        <f>VLOOKUP(Table4[[#This Row],[Visitor]],'NHL Model'!$A$6:$B$38,2,FALSE)</f>
        <v>-0.34257283900844787</v>
      </c>
      <c r="J405">
        <f>($B$1+Table4[[#This Row],[Home Differential]])-Table4[[#This Row],[Away Differential]]</f>
        <v>0.50390790012404341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0.61250203858546559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3.2883390994754517E-3</v>
      </c>
      <c r="H406" t="s">
        <v>22</v>
      </c>
      <c r="I406">
        <f>VLOOKUP(Table4[[#This Row],[Visitor]],'NHL Model'!$A$6:$B$38,2,FALSE)</f>
        <v>0.21430145909042725</v>
      </c>
      <c r="J406">
        <f>($B$1+Table4[[#This Row],[Home Differential]])-Table4[[#This Row],[Away Differential]]</f>
        <v>-5.1593458466124648E-2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0.48793697017735926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-0.49794713300108584</v>
      </c>
      <c r="H407" t="s">
        <v>40</v>
      </c>
      <c r="I407">
        <f>VLOOKUP(Table4[[#This Row],[Visitor]],'NHL Model'!$A$6:$B$38,2,FALSE)</f>
        <v>-7.3890719153774626E-2</v>
      </c>
      <c r="J407">
        <f>($B$1+Table4[[#This Row],[Home Differential]])-Table4[[#This Row],[Away Differential]]</f>
        <v>-0.26463675232248407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0.54896038899968558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2.0731927685773251E-2</v>
      </c>
      <c r="H408" t="s">
        <v>28</v>
      </c>
      <c r="I408">
        <f>VLOOKUP(Table4[[#This Row],[Visitor]],'NHL Model'!$A$6:$B$38,2,FALSE)</f>
        <v>-0.72083617366747277</v>
      </c>
      <c r="J408">
        <f>($B$1+Table4[[#This Row],[Home Differential]])-Table4[[#This Row],[Away Differential]]</f>
        <v>0.90098776287807314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0.78415037214411509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-0.54160534998918008</v>
      </c>
      <c r="H409" t="s">
        <v>14</v>
      </c>
      <c r="I409">
        <f>VLOOKUP(Table4[[#This Row],[Visitor]],'NHL Model'!$A$6:$B$38,2,FALSE)</f>
        <v>-0.2200802314358897</v>
      </c>
      <c r="J409">
        <f>($B$1+Table4[[#This Row],[Home Differential]])-Table4[[#This Row],[Away Differential]]</f>
        <v>-0.16210545702846327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0.45027480616190585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-0.3479098095875402</v>
      </c>
      <c r="H410" t="s">
        <v>55</v>
      </c>
      <c r="I410">
        <f>VLOOKUP(Table4[[#This Row],[Visitor]],'NHL Model'!$A$6:$B$38,2,FALSE)</f>
        <v>-0.1349739904770427</v>
      </c>
      <c r="J410">
        <f>($B$1+Table4[[#This Row],[Home Differential]])-Table4[[#This Row],[Away Differential]]</f>
        <v>-5.3516157585670354E-2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0.46743485478784652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-1.5594075795597986</v>
      </c>
      <c r="H411" t="s">
        <v>31</v>
      </c>
      <c r="I411">
        <f>VLOOKUP(Table4[[#This Row],[Visitor]],'NHL Model'!$A$6:$B$38,2,FALSE)</f>
        <v>0.35254565315374792</v>
      </c>
      <c r="J411">
        <f>($B$1+Table4[[#This Row],[Home Differential]])-Table4[[#This Row],[Away Differential]]</f>
        <v>-1.7525335711887193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0.72424397186504963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1.4583704516548168</v>
      </c>
      <c r="H412" t="s">
        <v>38</v>
      </c>
      <c r="I412">
        <f>VLOOKUP(Table4[[#This Row],[Visitor]],'NHL Model'!$A$6:$B$38,2,FALSE)</f>
        <v>-1.1267952052768424</v>
      </c>
      <c r="J412">
        <f>($B$1+Table4[[#This Row],[Home Differential]])-Table4[[#This Row],[Away Differential]]</f>
        <v>2.7445853184564863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0.99668241806997138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-0.67114180037169746</v>
      </c>
      <c r="H413" t="s">
        <v>21</v>
      </c>
      <c r="I413">
        <f>VLOOKUP(Table4[[#This Row],[Visitor]],'NHL Model'!$A$6:$B$38,2,FALSE)</f>
        <v>-0.12487089668223171</v>
      </c>
      <c r="J413">
        <f>($B$1+Table4[[#This Row],[Home Differential]])-Table4[[#This Row],[Away Differential]]</f>
        <v>-0.38685124216463862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0.48149812921145579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-0.8561868317598319</v>
      </c>
      <c r="H414" t="s">
        <v>34</v>
      </c>
      <c r="I414">
        <f>VLOOKUP(Table4[[#This Row],[Visitor]],'NHL Model'!$A$6:$B$38,2,FALSE)</f>
        <v>-0.17681265190927384</v>
      </c>
      <c r="J414">
        <f>($B$1+Table4[[#This Row],[Home Differential]])-Table4[[#This Row],[Away Differential]]</f>
        <v>-0.51995451832573092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0.54592008310083673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-0.21100886368613675</v>
      </c>
      <c r="H415" t="s">
        <v>19</v>
      </c>
      <c r="I415">
        <f>VLOOKUP(Table4[[#This Row],[Visitor]],'NHL Model'!$A$6:$B$38,2,FALSE)</f>
        <v>-0.95664361852990654</v>
      </c>
      <c r="J415">
        <f>($B$1+Table4[[#This Row],[Home Differential]])-Table4[[#This Row],[Away Differential]]</f>
        <v>0.90505441636859696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0.71745273443152435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-0.31985119938240425</v>
      </c>
      <c r="H416" t="s">
        <v>22</v>
      </c>
      <c r="I416">
        <f>VLOOKUP(Table4[[#This Row],[Visitor]],'NHL Model'!$A$6:$B$38,2,FALSE)</f>
        <v>0.21430145909042725</v>
      </c>
      <c r="J416">
        <f>($B$1+Table4[[#This Row],[Home Differential]])-Table4[[#This Row],[Away Differential]]</f>
        <v>-0.37473299694800433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0.53282987081168665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-0.75480422558713034</v>
      </c>
      <c r="H417" t="s">
        <v>36</v>
      </c>
      <c r="I417">
        <f>VLOOKUP(Table4[[#This Row],[Visitor]],'NHL Model'!$A$6:$B$38,2,FALSE)</f>
        <v>-0.34257283900844787</v>
      </c>
      <c r="J417">
        <f>($B$1+Table4[[#This Row],[Home Differential]])-Table4[[#This Row],[Away Differential]]</f>
        <v>-0.25281172505385535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0.4951224480463014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-1.6840122346544992</v>
      </c>
      <c r="H418" t="s">
        <v>16</v>
      </c>
      <c r="I418">
        <f>VLOOKUP(Table4[[#This Row],[Visitor]],'NHL Model'!$A$6:$B$38,2,FALSE)</f>
        <v>-1.1167763879247272</v>
      </c>
      <c r="J418">
        <f>($B$1+Table4[[#This Row],[Home Differential]])-Table4[[#This Row],[Away Differential]]</f>
        <v>-0.40781618520494489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0.5166567977582931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3.2883390994754517E-3</v>
      </c>
      <c r="H419" t="s">
        <v>37</v>
      </c>
      <c r="I419">
        <f>VLOOKUP(Table4[[#This Row],[Visitor]],'NHL Model'!$A$6:$B$38,2,FALSE)</f>
        <v>0.1846559193064522</v>
      </c>
      <c r="J419">
        <f>($B$1+Table4[[#This Row],[Home Differential]])-Table4[[#This Row],[Away Differential]]</f>
        <v>-2.1947918682149598E-2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0.5293649543550758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-0.50599078340071213</v>
      </c>
      <c r="H420" t="s">
        <v>39</v>
      </c>
      <c r="I420">
        <f>VLOOKUP(Table4[[#This Row],[Visitor]],'NHL Model'!$A$6:$B$38,2,FALSE)</f>
        <v>1.9153995907683643E-3</v>
      </c>
      <c r="J420">
        <f>($B$1+Table4[[#This Row],[Home Differential]])-Table4[[#This Row],[Away Differential]]</f>
        <v>-0.34848652146665338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0.60090047615586961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-3.2309887002194844E-2</v>
      </c>
      <c r="H421" t="s">
        <v>10</v>
      </c>
      <c r="I421">
        <f>VLOOKUP(Table4[[#This Row],[Visitor]],'NHL Model'!$A$6:$B$38,2,FALSE)</f>
        <v>-0.13160108676160023</v>
      </c>
      <c r="J421">
        <f>($B$1+Table4[[#This Row],[Home Differential]])-Table4[[#This Row],[Away Differential]]</f>
        <v>0.25871086128423254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0.57594199906089671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0.35254565315374792</v>
      </c>
      <c r="H422" t="s">
        <v>55</v>
      </c>
      <c r="I422">
        <f>VLOOKUP(Table4[[#This Row],[Visitor]],'NHL Model'!$A$6:$B$38,2,FALSE)</f>
        <v>-0.1349739904770427</v>
      </c>
      <c r="J422">
        <f>($B$1+Table4[[#This Row],[Home Differential]])-Table4[[#This Row],[Away Differential]]</f>
        <v>0.64693930515561782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0.72479815990329988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-0.75480422558713034</v>
      </c>
      <c r="H423" t="s">
        <v>40</v>
      </c>
      <c r="I423">
        <f>VLOOKUP(Table4[[#This Row],[Visitor]],'NHL Model'!$A$6:$B$38,2,FALSE)</f>
        <v>-7.3890719153774626E-2</v>
      </c>
      <c r="J423">
        <f>($B$1+Table4[[#This Row],[Home Differential]])-Table4[[#This Row],[Away Differential]]</f>
        <v>-0.52149384490852857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0.59876551652002241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2.0731927685773251E-2</v>
      </c>
      <c r="H424" t="s">
        <v>39</v>
      </c>
      <c r="I424">
        <f>VLOOKUP(Table4[[#This Row],[Visitor]],'NHL Model'!$A$6:$B$38,2,FALSE)</f>
        <v>1.9153995907683643E-3</v>
      </c>
      <c r="J424">
        <f>($B$1+Table4[[#This Row],[Home Differential]])-Table4[[#This Row],[Away Differential]]</f>
        <v>0.17823618961983204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0.59619044237644669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-0.54160534998918008</v>
      </c>
      <c r="H425" t="s">
        <v>23</v>
      </c>
      <c r="I425">
        <f>VLOOKUP(Table4[[#This Row],[Visitor]],'NHL Model'!$A$6:$B$38,2,FALSE)</f>
        <v>-0.49794713300108584</v>
      </c>
      <c r="J425">
        <f>($B$1+Table4[[#This Row],[Home Differential]])-Table4[[#This Row],[Away Differential]]</f>
        <v>0.11576144453673287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0.58832848967783957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-0.3479098095875402</v>
      </c>
      <c r="H426" t="s">
        <v>22</v>
      </c>
      <c r="I426">
        <f>VLOOKUP(Table4[[#This Row],[Visitor]],'NHL Model'!$A$6:$B$38,2,FALSE)</f>
        <v>0.21430145909042725</v>
      </c>
      <c r="J426">
        <f>($B$1+Table4[[#This Row],[Home Differential]])-Table4[[#This Row],[Away Differential]]</f>
        <v>-0.40279160715314033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0.53672797751133183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-0.12487089668223171</v>
      </c>
      <c r="H427" t="s">
        <v>35</v>
      </c>
      <c r="I427">
        <f>VLOOKUP(Table4[[#This Row],[Visitor]],'NHL Model'!$A$6:$B$38,2,FALSE)</f>
        <v>-1.5594075795597986</v>
      </c>
      <c r="J427">
        <f>($B$1+Table4[[#This Row],[Home Differential]])-Table4[[#This Row],[Away Differential]]</f>
        <v>1.5939563444023941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0.81316001292586448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0.42254821659882374</v>
      </c>
      <c r="H428" t="s">
        <v>19</v>
      </c>
      <c r="I428">
        <f>VLOOKUP(Table4[[#This Row],[Visitor]],'NHL Model'!$A$6:$B$38,2,FALSE)</f>
        <v>-0.95664361852990654</v>
      </c>
      <c r="J428">
        <f>($B$1+Table4[[#This Row],[Home Differential]])-Table4[[#This Row],[Away Differential]]</f>
        <v>1.5386114966535573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0.80547110316792148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-0.72083617366747277</v>
      </c>
      <c r="H429" t="s">
        <v>26</v>
      </c>
      <c r="I429">
        <f>VLOOKUP(Table4[[#This Row],[Visitor]],'NHL Model'!$A$6:$B$38,2,FALSE)</f>
        <v>-0.67114180037169746</v>
      </c>
      <c r="J429">
        <f>($B$1+Table4[[#This Row],[Home Differential]])-Table4[[#This Row],[Away Differential]]</f>
        <v>0.10972528822905181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0.5415596265005046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-1.1167763879247272</v>
      </c>
      <c r="H430" t="s">
        <v>34</v>
      </c>
      <c r="I430">
        <f>VLOOKUP(Table4[[#This Row],[Visitor]],'NHL Model'!$A$6:$B$38,2,FALSE)</f>
        <v>-0.17681265190927384</v>
      </c>
      <c r="J430">
        <f>($B$1+Table4[[#This Row],[Home Differential]])-Table4[[#This Row],[Away Differential]]</f>
        <v>-0.78054407449062624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0.5892081043946743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-0.8561868317598319</v>
      </c>
      <c r="H431" t="s">
        <v>32</v>
      </c>
      <c r="I431">
        <f>VLOOKUP(Table4[[#This Row],[Visitor]],'NHL Model'!$A$6:$B$38,2,FALSE)</f>
        <v>-0.46055888840939002</v>
      </c>
      <c r="J431">
        <f>($B$1+Table4[[#This Row],[Home Differential]])-Table4[[#This Row],[Away Differential]]</f>
        <v>-0.23620828182561476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0.48576982480055653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-0.21100886368613675</v>
      </c>
      <c r="H432" t="s">
        <v>29</v>
      </c>
      <c r="I432">
        <f>VLOOKUP(Table4[[#This Row],[Visitor]],'NHL Model'!$A$6:$B$38,2,FALSE)</f>
        <v>-1.6840122346544992</v>
      </c>
      <c r="J432">
        <f>($B$1+Table4[[#This Row],[Home Differential]])-Table4[[#This Row],[Away Differential]]</f>
        <v>1.6324230324931897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0.81850408568868604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-0.31985119938240425</v>
      </c>
      <c r="H433" t="s">
        <v>10</v>
      </c>
      <c r="I433">
        <f>VLOOKUP(Table4[[#This Row],[Visitor]],'NHL Model'!$A$6:$B$38,2,FALSE)</f>
        <v>-0.13160108676160023</v>
      </c>
      <c r="J433">
        <f>($B$1+Table4[[#This Row],[Home Differential]])-Table4[[#This Row],[Away Differential]]</f>
        <v>-2.8830451095976872E-2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0.46400533646354486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3.2883390994754517E-3</v>
      </c>
      <c r="H434" t="s">
        <v>12</v>
      </c>
      <c r="I434">
        <f>VLOOKUP(Table4[[#This Row],[Visitor]],'NHL Model'!$A$6:$B$38,2,FALSE)</f>
        <v>1.4583704516548168</v>
      </c>
      <c r="J434">
        <f>($B$1+Table4[[#This Row],[Home Differential]])-Table4[[#This Row],[Away Differential]]</f>
        <v>-1.2956624510305141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0.73248906196899655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-0.34257283900844787</v>
      </c>
      <c r="H435" t="s">
        <v>15</v>
      </c>
      <c r="I435">
        <f>VLOOKUP(Table4[[#This Row],[Visitor]],'NHL Model'!$A$6:$B$38,2,FALSE)</f>
        <v>-0.50599078340071213</v>
      </c>
      <c r="J435">
        <f>($B$1+Table4[[#This Row],[Home Differential]])-Table4[[#This Row],[Away Differential]]</f>
        <v>0.32283760591709143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0.50386734740371752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0.1846559193064522</v>
      </c>
      <c r="H436" t="s">
        <v>14</v>
      </c>
      <c r="I436">
        <f>VLOOKUP(Table4[[#This Row],[Visitor]],'NHL Model'!$A$6:$B$38,2,FALSE)</f>
        <v>-0.2200802314358897</v>
      </c>
      <c r="J436">
        <f>($B$1+Table4[[#This Row],[Home Differential]])-Table4[[#This Row],[Away Differential]]</f>
        <v>0.56415581226716904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0.63748206990192979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0.35254565315374792</v>
      </c>
      <c r="H437" t="s">
        <v>22</v>
      </c>
      <c r="I437">
        <f>VLOOKUP(Table4[[#This Row],[Visitor]],'NHL Model'!$A$6:$B$38,2,FALSE)</f>
        <v>0.21430145909042725</v>
      </c>
      <c r="J437">
        <f>($B$1+Table4[[#This Row],[Home Differential]])-Table4[[#This Row],[Away Differential]]</f>
        <v>0.29766385558814784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0.65673824841302564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1.9153995907683643E-3</v>
      </c>
      <c r="H438" t="s">
        <v>33</v>
      </c>
      <c r="I438">
        <f>VLOOKUP(Table4[[#This Row],[Visitor]],'NHL Model'!$A$6:$B$38,2,FALSE)</f>
        <v>-0.3479098095875402</v>
      </c>
      <c r="J438">
        <f>($B$1+Table4[[#This Row],[Home Differential]])-Table4[[#This Row],[Away Differential]]</f>
        <v>0.50924487070313573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0.61324348944914242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2.0731927685773251E-2</v>
      </c>
      <c r="H439" t="s">
        <v>20</v>
      </c>
      <c r="I439">
        <f>VLOOKUP(Table4[[#This Row],[Visitor]],'NHL Model'!$A$6:$B$38,2,FALSE)</f>
        <v>-3.2309887002194844E-2</v>
      </c>
      <c r="J439">
        <f>($B$1+Table4[[#This Row],[Home Differential]])-Table4[[#This Row],[Away Differential]]</f>
        <v>0.21246147621279524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0.68849528048741893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-1.1267952052768424</v>
      </c>
      <c r="H440" t="s">
        <v>55</v>
      </c>
      <c r="I440">
        <f>VLOOKUP(Table4[[#This Row],[Visitor]],'NHL Model'!$A$6:$B$38,2,FALSE)</f>
        <v>-0.1349739904770427</v>
      </c>
      <c r="J440">
        <f>($B$1+Table4[[#This Row],[Home Differential]])-Table4[[#This Row],[Away Differential]]</f>
        <v>-0.83240155327497256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0.57564329266110092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-7.3890719153774626E-2</v>
      </c>
      <c r="H441" t="s">
        <v>23</v>
      </c>
      <c r="I441">
        <f>VLOOKUP(Table4[[#This Row],[Visitor]],'NHL Model'!$A$6:$B$38,2,FALSE)</f>
        <v>-0.49794713300108584</v>
      </c>
      <c r="J441">
        <f>($B$1+Table4[[#This Row],[Home Differential]])-Table4[[#This Row],[Away Differential]]</f>
        <v>0.58347607537213841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0.62355622960724233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-0.12487089668223171</v>
      </c>
      <c r="H442" t="s">
        <v>24</v>
      </c>
      <c r="I442">
        <f>VLOOKUP(Table4[[#This Row],[Visitor]],'NHL Model'!$A$6:$B$38,2,FALSE)</f>
        <v>2.0731927685773251E-2</v>
      </c>
      <c r="J442">
        <f>($B$1+Table4[[#This Row],[Home Differential]])-Table4[[#This Row],[Away Differential]]</f>
        <v>1.3816837156822182E-2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0.59282862666282743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0.42254821659882374</v>
      </c>
      <c r="H443" t="s">
        <v>29</v>
      </c>
      <c r="I443">
        <f>VLOOKUP(Table4[[#This Row],[Visitor]],'NHL Model'!$A$6:$B$38,2,FALSE)</f>
        <v>-1.6840122346544992</v>
      </c>
      <c r="J443">
        <f>($B$1+Table4[[#This Row],[Home Differential]])-Table4[[#This Row],[Away Differential]]</f>
        <v>2.2659801127781503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0.90652245442508317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-1.1167763879247272</v>
      </c>
      <c r="H444" t="s">
        <v>55</v>
      </c>
      <c r="I444">
        <f>VLOOKUP(Table4[[#This Row],[Visitor]],'NHL Model'!$A$6:$B$38,2,FALSE)</f>
        <v>-0.1349739904770427</v>
      </c>
      <c r="J444">
        <f>($B$1+Table4[[#This Row],[Home Differential]])-Table4[[#This Row],[Away Differential]]</f>
        <v>-0.82238273592285738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0.57425140550926856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-0.8561868317598319</v>
      </c>
      <c r="H445" t="s">
        <v>40</v>
      </c>
      <c r="I445">
        <f>VLOOKUP(Table4[[#This Row],[Visitor]],'NHL Model'!$A$6:$B$38,2,FALSE)</f>
        <v>-7.3890719153774626E-2</v>
      </c>
      <c r="J445">
        <f>($B$1+Table4[[#This Row],[Home Differential]])-Table4[[#This Row],[Away Differential]]</f>
        <v>-0.62287645108123013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0.60576530708776433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-0.21100886368613675</v>
      </c>
      <c r="H446" t="s">
        <v>28</v>
      </c>
      <c r="I446">
        <f>VLOOKUP(Table4[[#This Row],[Visitor]],'NHL Model'!$A$6:$B$38,2,FALSE)</f>
        <v>-0.72083617366747277</v>
      </c>
      <c r="J446">
        <f>($B$1+Table4[[#This Row],[Home Differential]])-Table4[[#This Row],[Away Differential]]</f>
        <v>0.66924697150616319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0.68469264496436222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-0.31985119938240425</v>
      </c>
      <c r="H447" t="s">
        <v>10</v>
      </c>
      <c r="I447">
        <f>VLOOKUP(Table4[[#This Row],[Visitor]],'NHL Model'!$A$6:$B$38,2,FALSE)</f>
        <v>-0.13160108676160023</v>
      </c>
      <c r="J447">
        <f>($B$1+Table4[[#This Row],[Home Differential]])-Table4[[#This Row],[Away Differential]]</f>
        <v>-2.8830451095976872E-2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0.46400533646354486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-0.50599078340071213</v>
      </c>
      <c r="H448" t="s">
        <v>12</v>
      </c>
      <c r="I448">
        <f>VLOOKUP(Table4[[#This Row],[Visitor]],'NHL Model'!$A$6:$B$38,2,FALSE)</f>
        <v>1.4583704516548168</v>
      </c>
      <c r="J448">
        <f>($B$1+Table4[[#This Row],[Home Differential]])-Table4[[#This Row],[Away Differential]]</f>
        <v>-1.8049415735307019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0.80324183072316879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-0.34257283900844787</v>
      </c>
      <c r="H449" t="s">
        <v>35</v>
      </c>
      <c r="I449">
        <f>VLOOKUP(Table4[[#This Row],[Visitor]],'NHL Model'!$A$6:$B$38,2,FALSE)</f>
        <v>-1.5594075795597986</v>
      </c>
      <c r="J449">
        <f>($B$1+Table4[[#This Row],[Home Differential]])-Table4[[#This Row],[Away Differential]]</f>
        <v>1.3762544020761778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0.73369477474776057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-0.46055888840939002</v>
      </c>
      <c r="H450" t="s">
        <v>26</v>
      </c>
      <c r="I450">
        <f>VLOOKUP(Table4[[#This Row],[Visitor]],'NHL Model'!$A$6:$B$38,2,FALSE)</f>
        <v>-0.67114180037169746</v>
      </c>
      <c r="J450">
        <f>($B$1+Table4[[#This Row],[Home Differential]])-Table4[[#This Row],[Away Differential]]</f>
        <v>0.37000257348713461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0.59685800058120675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0.1846559193064522</v>
      </c>
      <c r="H451" t="s">
        <v>30</v>
      </c>
      <c r="I451">
        <f>VLOOKUP(Table4[[#This Row],[Visitor]],'NHL Model'!$A$6:$B$38,2,FALSE)</f>
        <v>3.2883390994754517E-3</v>
      </c>
      <c r="J451">
        <f>($B$1+Table4[[#This Row],[Home Differential]])-Table4[[#This Row],[Away Differential]]</f>
        <v>0.34078724173180386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0.53397566427860865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-0.95664361852990654</v>
      </c>
      <c r="H452" t="s">
        <v>18</v>
      </c>
      <c r="I452">
        <f>VLOOKUP(Table4[[#This Row],[Visitor]],'NHL Model'!$A$6:$B$38,2,FALSE)</f>
        <v>-0.75480422558713034</v>
      </c>
      <c r="J452">
        <f>($B$1+Table4[[#This Row],[Home Differential]])-Table4[[#This Row],[Away Differential]]</f>
        <v>-4.241973141794908E-2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0.51299264984344106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-1.1267952052768424</v>
      </c>
      <c r="H453" t="s">
        <v>34</v>
      </c>
      <c r="I453">
        <f>VLOOKUP(Table4[[#This Row],[Visitor]],'NHL Model'!$A$6:$B$38,2,FALSE)</f>
        <v>-0.17681265190927384</v>
      </c>
      <c r="J453">
        <f>($B$1+Table4[[#This Row],[Home Differential]])-Table4[[#This Row],[Away Differential]]</f>
        <v>-0.79056289184274142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0.59059999154650666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0.35254565315374792</v>
      </c>
      <c r="H454" t="s">
        <v>10</v>
      </c>
      <c r="I454">
        <f>VLOOKUP(Table4[[#This Row],[Visitor]],'NHL Model'!$A$6:$B$38,2,FALSE)</f>
        <v>-0.13160108676160023</v>
      </c>
      <c r="J454">
        <f>($B$1+Table4[[#This Row],[Home Differential]])-Table4[[#This Row],[Away Differential]]</f>
        <v>0.6435664014401753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0.7243295715279563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0.42254821659882374</v>
      </c>
      <c r="H455" t="s">
        <v>33</v>
      </c>
      <c r="I455">
        <f>VLOOKUP(Table4[[#This Row],[Visitor]],'NHL Model'!$A$6:$B$38,2,FALSE)</f>
        <v>-0.3479098095875402</v>
      </c>
      <c r="J455">
        <f>($B$1+Table4[[#This Row],[Home Differential]])-Table4[[#This Row],[Away Differential]]</f>
        <v>0.92987768771119117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0.72090136426814988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1.9153995907683643E-3</v>
      </c>
      <c r="H456" t="s">
        <v>14</v>
      </c>
      <c r="I456">
        <f>VLOOKUP(Table4[[#This Row],[Visitor]],'NHL Model'!$A$6:$B$38,2,FALSE)</f>
        <v>-0.2200802314358897</v>
      </c>
      <c r="J456">
        <f>($B$1+Table4[[#This Row],[Home Differential]])-Table4[[#This Row],[Away Differential]]</f>
        <v>0.38141529255148521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0.59548447247136749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-0.21100886368613675</v>
      </c>
      <c r="H457" t="s">
        <v>30</v>
      </c>
      <c r="I457">
        <f>VLOOKUP(Table4[[#This Row],[Visitor]],'NHL Model'!$A$6:$B$38,2,FALSE)</f>
        <v>3.2883390994754517E-3</v>
      </c>
      <c r="J457">
        <f>($B$1+Table4[[#This Row],[Home Differential]])-Table4[[#This Row],[Away Differential]]</f>
        <v>-5.4877541260785055E-2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0.48762398813358088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-0.75480422558713034</v>
      </c>
      <c r="H458" t="s">
        <v>35</v>
      </c>
      <c r="I458">
        <f>VLOOKUP(Table4[[#This Row],[Visitor]],'NHL Model'!$A$6:$B$38,2,FALSE)</f>
        <v>-1.5594075795597986</v>
      </c>
      <c r="J458">
        <f>($B$1+Table4[[#This Row],[Home Differential]])-Table4[[#This Row],[Away Differential]]</f>
        <v>0.96402301549749536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0.67392910581990118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-0.50599078340071213</v>
      </c>
      <c r="H459" t="s">
        <v>20</v>
      </c>
      <c r="I459">
        <f>VLOOKUP(Table4[[#This Row],[Visitor]],'NHL Model'!$A$6:$B$38,2,FALSE)</f>
        <v>-3.2309887002194844E-2</v>
      </c>
      <c r="J459">
        <f>($B$1+Table4[[#This Row],[Home Differential]])-Table4[[#This Row],[Away Differential]]</f>
        <v>-0.31426123487369018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0.50365946196706823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-0.54160534998918008</v>
      </c>
      <c r="H460" t="s">
        <v>12</v>
      </c>
      <c r="I460">
        <f>VLOOKUP(Table4[[#This Row],[Visitor]],'NHL Model'!$A$6:$B$38,2,FALSE)</f>
        <v>1.4583704516548168</v>
      </c>
      <c r="J460">
        <f>($B$1+Table4[[#This Row],[Home Differential]])-Table4[[#This Row],[Away Differential]]</f>
        <v>-1.8405561401191699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0.775703478127312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0.21430145909042725</v>
      </c>
      <c r="H461" t="s">
        <v>28</v>
      </c>
      <c r="I461">
        <f>VLOOKUP(Table4[[#This Row],[Visitor]],'NHL Model'!$A$6:$B$38,2,FALSE)</f>
        <v>-0.72083617366747277</v>
      </c>
      <c r="J461">
        <f>($B$1+Table4[[#This Row],[Home Differential]])-Table4[[#This Row],[Away Differential]]</f>
        <v>1.0945572942827271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0.69206387952914694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-1.1167763879247272</v>
      </c>
      <c r="H462" t="s">
        <v>23</v>
      </c>
      <c r="I462">
        <f>VLOOKUP(Table4[[#This Row],[Visitor]],'NHL Model'!$A$6:$B$38,2,FALSE)</f>
        <v>-0.49794713300108584</v>
      </c>
      <c r="J462">
        <f>($B$1+Table4[[#This Row],[Home Differential]])-Table4[[#This Row],[Away Differential]]</f>
        <v>-0.45940959339881426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0.52382453018223341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-0.46055888840939002</v>
      </c>
      <c r="H463" t="s">
        <v>34</v>
      </c>
      <c r="I463">
        <f>VLOOKUP(Table4[[#This Row],[Visitor]],'NHL Model'!$A$6:$B$38,2,FALSE)</f>
        <v>-0.17681265190927384</v>
      </c>
      <c r="J463">
        <f>($B$1+Table4[[#This Row],[Home Differential]])-Table4[[#This Row],[Away Differential]]</f>
        <v>-0.12432657497528901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0.47181780878224466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-0.95664361852990654</v>
      </c>
      <c r="H464" t="s">
        <v>37</v>
      </c>
      <c r="I464">
        <f>VLOOKUP(Table4[[#This Row],[Visitor]],'NHL Model'!$A$6:$B$38,2,FALSE)</f>
        <v>0.1846559193064522</v>
      </c>
      <c r="J464">
        <f>($B$1+Table4[[#This Row],[Home Differential]])-Table4[[#This Row],[Away Differential]]</f>
        <v>-0.98187987631153162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0.66272570058882008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-0.1349739904770427</v>
      </c>
      <c r="H465" t="s">
        <v>13</v>
      </c>
      <c r="I465">
        <f>VLOOKUP(Table4[[#This Row],[Visitor]],'NHL Model'!$A$6:$B$38,2,FALSE)</f>
        <v>-0.31985119938240425</v>
      </c>
      <c r="J465">
        <f>($B$1+Table4[[#This Row],[Home Differential]])-Table4[[#This Row],[Away Differential]]</f>
        <v>0.3442968704301887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0.56910882718731826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-1.1267952052768424</v>
      </c>
      <c r="H466" t="s">
        <v>26</v>
      </c>
      <c r="I466">
        <f>VLOOKUP(Table4[[#This Row],[Visitor]],'NHL Model'!$A$6:$B$38,2,FALSE)</f>
        <v>-0.67114180037169746</v>
      </c>
      <c r="J466">
        <f>($B$1+Table4[[#This Row],[Home Differential]])-Table4[[#This Row],[Away Differential]]</f>
        <v>-0.29623374338031783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0.52192418218305525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0.42254821659882374</v>
      </c>
      <c r="H467" t="s">
        <v>28</v>
      </c>
      <c r="I467">
        <f>VLOOKUP(Table4[[#This Row],[Visitor]],'NHL Model'!$A$6:$B$38,2,FALSE)</f>
        <v>-0.72083617366747277</v>
      </c>
      <c r="J467">
        <f>($B$1+Table4[[#This Row],[Home Differential]])-Table4[[#This Row],[Away Differential]]</f>
        <v>1.3028040517911237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0.77271101370075934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-0.8561868317598319</v>
      </c>
      <c r="H468" t="s">
        <v>23</v>
      </c>
      <c r="I468">
        <f>VLOOKUP(Table4[[#This Row],[Visitor]],'NHL Model'!$A$6:$B$38,2,FALSE)</f>
        <v>-0.49794713300108584</v>
      </c>
      <c r="J468">
        <f>($B$1+Table4[[#This Row],[Home Differential]])-Table4[[#This Row],[Away Differential]]</f>
        <v>-0.19882003723391894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0.48057557727135469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-0.75480422558713034</v>
      </c>
      <c r="H469" t="s">
        <v>37</v>
      </c>
      <c r="I469">
        <f>VLOOKUP(Table4[[#This Row],[Visitor]],'NHL Model'!$A$6:$B$38,2,FALSE)</f>
        <v>0.1846559193064522</v>
      </c>
      <c r="J469">
        <f>($B$1+Table4[[#This Row],[Home Differential]])-Table4[[#This Row],[Away Differential]]</f>
        <v>-0.78004048336875542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0.63468470054889115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-1.6840122346544992</v>
      </c>
      <c r="H470" t="s">
        <v>12</v>
      </c>
      <c r="I470">
        <f>VLOOKUP(Table4[[#This Row],[Visitor]],'NHL Model'!$A$6:$B$38,2,FALSE)</f>
        <v>1.4583704516548168</v>
      </c>
      <c r="J470">
        <f>($B$1+Table4[[#This Row],[Home Differential]])-Table4[[#This Row],[Away Differential]]</f>
        <v>-2.9829630247844889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0.9669011594599024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3.2883390994754517E-3</v>
      </c>
      <c r="H471" t="s">
        <v>20</v>
      </c>
      <c r="I471">
        <f>VLOOKUP(Table4[[#This Row],[Visitor]],'NHL Model'!$A$6:$B$38,2,FALSE)</f>
        <v>-3.2309887002194844E-2</v>
      </c>
      <c r="J471">
        <f>($B$1+Table4[[#This Row],[Home Differential]])-Table4[[#This Row],[Away Differential]]</f>
        <v>0.19501788762649744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0.56709330678710401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-0.34257283900844787</v>
      </c>
      <c r="H472" t="s">
        <v>24</v>
      </c>
      <c r="I472">
        <f>VLOOKUP(Table4[[#This Row],[Visitor]],'NHL Model'!$A$6:$B$38,2,FALSE)</f>
        <v>2.0731927685773251E-2</v>
      </c>
      <c r="J472">
        <f>($B$1+Table4[[#This Row],[Home Differential]])-Table4[[#This Row],[Away Differential]]</f>
        <v>-0.20388510516939398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0.48665853863067965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-0.54160534998918008</v>
      </c>
      <c r="H473" t="s">
        <v>33</v>
      </c>
      <c r="I473">
        <f>VLOOKUP(Table4[[#This Row],[Visitor]],'NHL Model'!$A$6:$B$38,2,FALSE)</f>
        <v>-0.3479098095875402</v>
      </c>
      <c r="J473">
        <f>($B$1+Table4[[#This Row],[Home Differential]])-Table4[[#This Row],[Away Differential]]</f>
        <v>-3.4275878876812771E-2</v>
      </c>
      <c r="K473" t="str">
        <f>IF(Table4[[#This Row],[HomeIce Differential]]&gt;0,Table4[[#This Row],[Home]],Table4[[#This Row],[Visitor]])</f>
        <v>San Jose Sharks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0.43251578918413097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-0.2200802314358897</v>
      </c>
      <c r="H474" t="s">
        <v>31</v>
      </c>
      <c r="I474">
        <f>VLOOKUP(Table4[[#This Row],[Visitor]],'NHL Model'!$A$6:$B$38,2,FALSE)</f>
        <v>0.35254565315374792</v>
      </c>
      <c r="J474">
        <f>($B$1+Table4[[#This Row],[Home Differential]])-Table4[[#This Row],[Away Differential]]</f>
        <v>-0.41320622306481047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0.53817485188474912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-1.5594075795597986</v>
      </c>
      <c r="H475" t="s">
        <v>21</v>
      </c>
      <c r="I475">
        <f>VLOOKUP(Table4[[#This Row],[Visitor]],'NHL Model'!$A$6:$B$38,2,FALSE)</f>
        <v>-0.12487089668223171</v>
      </c>
      <c r="J475">
        <f>($B$1+Table4[[#This Row],[Home Differential]])-Table4[[#This Row],[Away Differential]]</f>
        <v>-1.2751170213527399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0.63714855324006736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-7.3890719153774626E-2</v>
      </c>
      <c r="H476" t="s">
        <v>39</v>
      </c>
      <c r="I476">
        <f>VLOOKUP(Table4[[#This Row],[Visitor]],'NHL Model'!$A$6:$B$38,2,FALSE)</f>
        <v>1.9153995907683643E-3</v>
      </c>
      <c r="J476">
        <f>($B$1+Table4[[#This Row],[Home Differential]])-Table4[[#This Row],[Away Differential]]</f>
        <v>8.3613542780284156E-2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0.4616162029733476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-1.1167763879247272</v>
      </c>
      <c r="H477" t="s">
        <v>26</v>
      </c>
      <c r="I477">
        <f>VLOOKUP(Table4[[#This Row],[Visitor]],'NHL Model'!$A$6:$B$38,2,FALSE)</f>
        <v>-0.67114180037169746</v>
      </c>
      <c r="J477">
        <f>($B$1+Table4[[#This Row],[Home Differential]])-Table4[[#This Row],[Away Differential]]</f>
        <v>-0.28621492602820264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0.52053229503122289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-0.13160108676160023</v>
      </c>
      <c r="H478" t="s">
        <v>15</v>
      </c>
      <c r="I478">
        <f>VLOOKUP(Table4[[#This Row],[Visitor]],'NHL Model'!$A$6:$B$38,2,FALSE)</f>
        <v>-0.50599078340071213</v>
      </c>
      <c r="J478">
        <f>($B$1+Table4[[#This Row],[Home Differential]])-Table4[[#This Row],[Away Differential]]</f>
        <v>0.53380935816393904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0.53068242706826074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-0.46055888840939002</v>
      </c>
      <c r="H479" t="s">
        <v>13</v>
      </c>
      <c r="I479">
        <f>VLOOKUP(Table4[[#This Row],[Visitor]],'NHL Model'!$A$6:$B$38,2,FALSE)</f>
        <v>-0.31985119938240425</v>
      </c>
      <c r="J479">
        <f>($B$1+Table4[[#This Row],[Home Differential]])-Table4[[#This Row],[Away Differential]]</f>
        <v>1.87119724978414E-2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0.48535822433445941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-0.1349739904770427</v>
      </c>
      <c r="H480" t="s">
        <v>11</v>
      </c>
      <c r="I480">
        <f>VLOOKUP(Table4[[#This Row],[Visitor]],'NHL Model'!$A$6:$B$38,2,FALSE)</f>
        <v>-0.21100886368613675</v>
      </c>
      <c r="J480">
        <f>($B$1+Table4[[#This Row],[Home Differential]])-Table4[[#This Row],[Away Differential]]</f>
        <v>0.23545453473392119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0.63615933648117806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-0.72083617366747277</v>
      </c>
      <c r="H481" t="s">
        <v>36</v>
      </c>
      <c r="I481">
        <f>VLOOKUP(Table4[[#This Row],[Visitor]],'NHL Model'!$A$6:$B$38,2,FALSE)</f>
        <v>-0.34257283900844787</v>
      </c>
      <c r="J481">
        <f>($B$1+Table4[[#This Row],[Home Differential]])-Table4[[#This Row],[Away Differential]]</f>
        <v>-0.21884367313419778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0.48335740675911193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1.4583704516548168</v>
      </c>
      <c r="H482" t="s">
        <v>11</v>
      </c>
      <c r="I482">
        <f>VLOOKUP(Table4[[#This Row],[Visitor]],'NHL Model'!$A$6:$B$38,2,FALSE)</f>
        <v>-0.21100886368613675</v>
      </c>
      <c r="J482">
        <f>($B$1+Table4[[#This Row],[Home Differential]])-Table4[[#This Row],[Away Differential]]</f>
        <v>1.8287989768657806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0.88899072220956288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-0.8561868317598319</v>
      </c>
      <c r="H483" t="s">
        <v>26</v>
      </c>
      <c r="I483">
        <f>VLOOKUP(Table4[[#This Row],[Visitor]],'NHL Model'!$A$6:$B$38,2,FALSE)</f>
        <v>-0.67114180037169746</v>
      </c>
      <c r="J483">
        <f>($B$1+Table4[[#This Row],[Home Differential]])-Table4[[#This Row],[Away Differential]]</f>
        <v>-2.5625369863307323E-2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0.47724427373738532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-0.17681265190927384</v>
      </c>
      <c r="H484" t="s">
        <v>39</v>
      </c>
      <c r="I484">
        <f>VLOOKUP(Table4[[#This Row],[Visitor]],'NHL Model'!$A$6:$B$38,2,FALSE)</f>
        <v>1.9153995907683643E-3</v>
      </c>
      <c r="J484">
        <f>($B$1+Table4[[#This Row],[Home Differential]])-Table4[[#This Row],[Away Differential]]</f>
        <v>-1.9308389975215057E-2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0.5551686501544304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2.0731927685773251E-2</v>
      </c>
      <c r="H485" t="s">
        <v>37</v>
      </c>
      <c r="I485">
        <f>VLOOKUP(Table4[[#This Row],[Visitor]],'NHL Model'!$A$6:$B$38,2,FALSE)</f>
        <v>0.1846559193064522</v>
      </c>
      <c r="J485">
        <f>($B$1+Table4[[#This Row],[Home Differential]])-Table4[[#This Row],[Away Differential]]</f>
        <v>-4.5043300958517996E-3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0.40361084900398858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-1.6840122346544992</v>
      </c>
      <c r="H486" t="s">
        <v>35</v>
      </c>
      <c r="I486">
        <f>VLOOKUP(Table4[[#This Row],[Visitor]],'NHL Model'!$A$6:$B$38,2,FALSE)</f>
        <v>-1.5594075795597986</v>
      </c>
      <c r="J486">
        <f>($B$1+Table4[[#This Row],[Home Differential]])-Table4[[#This Row],[Away Differential]]</f>
        <v>3.4815006430126472E-2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0.54483675452281055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3.2883390994754517E-3</v>
      </c>
      <c r="H487" t="s">
        <v>31</v>
      </c>
      <c r="I487">
        <f>VLOOKUP(Table4[[#This Row],[Visitor]],'NHL Model'!$A$6:$B$38,2,FALSE)</f>
        <v>0.35254565315374792</v>
      </c>
      <c r="J487">
        <f>($B$1+Table4[[#This Row],[Home Differential]])-Table4[[#This Row],[Away Differential]]</f>
        <v>-0.18983765252944532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0.50714286152855126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-0.54160534998918008</v>
      </c>
      <c r="H488" t="s">
        <v>20</v>
      </c>
      <c r="I488">
        <f>VLOOKUP(Table4[[#This Row],[Visitor]],'NHL Model'!$A$6:$B$38,2,FALSE)</f>
        <v>-3.2309887002194844E-2</v>
      </c>
      <c r="J488">
        <f>($B$1+Table4[[#This Row],[Home Differential]])-Table4[[#This Row],[Away Differential]]</f>
        <v>-0.34987580146215813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0.47636123140821773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-0.2200802314358897</v>
      </c>
      <c r="H489" t="s">
        <v>18</v>
      </c>
      <c r="I489">
        <f>VLOOKUP(Table4[[#This Row],[Visitor]],'NHL Model'!$A$6:$B$38,2,FALSE)</f>
        <v>-0.75480422558713034</v>
      </c>
      <c r="J489">
        <f>($B$1+Table4[[#This Row],[Home Differential]])-Table4[[#This Row],[Away Differential]]</f>
        <v>0.69414365567606784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0.58933610603410547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-0.95664361852990654</v>
      </c>
      <c r="H490" t="s">
        <v>33</v>
      </c>
      <c r="I490">
        <f>VLOOKUP(Table4[[#This Row],[Visitor]],'NHL Model'!$A$6:$B$38,2,FALSE)</f>
        <v>-0.3479098095875402</v>
      </c>
      <c r="J490">
        <f>($B$1+Table4[[#This Row],[Home Differential]])-Table4[[#This Row],[Away Differential]]</f>
        <v>-0.44931414741753922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0.52242199722255345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-1.1267952052768424</v>
      </c>
      <c r="H491" t="s">
        <v>23</v>
      </c>
      <c r="I491">
        <f>VLOOKUP(Table4[[#This Row],[Visitor]],'NHL Model'!$A$6:$B$38,2,FALSE)</f>
        <v>-0.49794713300108584</v>
      </c>
      <c r="J491">
        <f>($B$1+Table4[[#This Row],[Home Differential]])-Table4[[#This Row],[Away Differential]]</f>
        <v>-0.46942841075092945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0.52521641733406588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-7.3890719153774626E-2</v>
      </c>
      <c r="H492" t="s">
        <v>21</v>
      </c>
      <c r="I492">
        <f>VLOOKUP(Table4[[#This Row],[Visitor]],'NHL Model'!$A$6:$B$38,2,FALSE)</f>
        <v>-0.12487089668223171</v>
      </c>
      <c r="J492">
        <f>($B$1+Table4[[#This Row],[Home Differential]])-Table4[[#This Row],[Away Differential]]</f>
        <v>0.21039983905328424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0.57172575883051213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0.21430145909042725</v>
      </c>
      <c r="H493" t="s">
        <v>25</v>
      </c>
      <c r="I493">
        <f>VLOOKUP(Table4[[#This Row],[Visitor]],'NHL Model'!$A$6:$B$38,2,FALSE)</f>
        <v>0.42254821659882374</v>
      </c>
      <c r="J493">
        <f>($B$1+Table4[[#This Row],[Home Differential]])-Table4[[#This Row],[Away Differential]]</f>
        <v>-4.8827095983569324E-2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0.53940658527088969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-1.5594075795597986</v>
      </c>
      <c r="H494" t="s">
        <v>10</v>
      </c>
      <c r="I494">
        <f>VLOOKUP(Table4[[#This Row],[Visitor]],'NHL Model'!$A$6:$B$38,2,FALSE)</f>
        <v>-0.13160108676160023</v>
      </c>
      <c r="J494">
        <f>($B$1+Table4[[#This Row],[Home Differential]])-Table4[[#This Row],[Away Differential]]</f>
        <v>-1.2683868312733713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0.63621354616571579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-0.1349739904770427</v>
      </c>
      <c r="H495" t="s">
        <v>32</v>
      </c>
      <c r="I495">
        <f>VLOOKUP(Table4[[#This Row],[Visitor]],'NHL Model'!$A$6:$B$38,2,FALSE)</f>
        <v>-0.46055888840939002</v>
      </c>
      <c r="J495">
        <f>($B$1+Table4[[#This Row],[Home Differential]])-Table4[[#This Row],[Away Differential]]</f>
        <v>0.48500455945717447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0.67082864533712039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-0.72083617366747277</v>
      </c>
      <c r="H496" t="s">
        <v>20</v>
      </c>
      <c r="I496">
        <f>VLOOKUP(Table4[[#This Row],[Visitor]],'NHL Model'!$A$6:$B$38,2,FALSE)</f>
        <v>-3.2309887002194844E-2</v>
      </c>
      <c r="J496">
        <f>($B$1+Table4[[#This Row],[Home Differential]])-Table4[[#This Row],[Away Differential]]</f>
        <v>-0.52910662514045081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0.52646139811952186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-0.13160108676160023</v>
      </c>
      <c r="H497" t="s">
        <v>26</v>
      </c>
      <c r="I497">
        <f>VLOOKUP(Table4[[#This Row],[Visitor]],'NHL Model'!$A$6:$B$38,2,FALSE)</f>
        <v>-0.67114180037169746</v>
      </c>
      <c r="J497">
        <f>($B$1+Table4[[#This Row],[Home Differential]])-Table4[[#This Row],[Away Differential]]</f>
        <v>0.69896037513492437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0.6163354405306074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1.4583704516548168</v>
      </c>
      <c r="H498" t="s">
        <v>29</v>
      </c>
      <c r="I498">
        <f>VLOOKUP(Table4[[#This Row],[Visitor]],'NHL Model'!$A$6:$B$38,2,FALSE)</f>
        <v>-1.6840122346544992</v>
      </c>
      <c r="J498">
        <f>($B$1+Table4[[#This Row],[Home Differential]])-Table4[[#This Row],[Away Differential]]</f>
        <v>3.3018023478341432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1.9153995907683643E-3</v>
      </c>
      <c r="H499" t="s">
        <v>11</v>
      </c>
      <c r="I499">
        <f>VLOOKUP(Table4[[#This Row],[Visitor]],'NHL Model'!$A$6:$B$38,2,FALSE)</f>
        <v>-0.21100886368613675</v>
      </c>
      <c r="J499">
        <f>($B$1+Table4[[#This Row],[Home Differential]])-Table4[[#This Row],[Away Differential]]</f>
        <v>0.37234392480173228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0.59422421192596875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-0.31985119938240425</v>
      </c>
      <c r="H500" t="s">
        <v>16</v>
      </c>
      <c r="I500">
        <f>VLOOKUP(Table4[[#This Row],[Visitor]],'NHL Model'!$A$6:$B$38,2,FALSE)</f>
        <v>-1.1167763879247272</v>
      </c>
      <c r="J500">
        <f>($B$1+Table4[[#This Row],[Home Differential]])-Table4[[#This Row],[Away Differential]]</f>
        <v>0.95634485006715009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0.67286239909828549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-0.17681265190927384</v>
      </c>
      <c r="H501" t="s">
        <v>36</v>
      </c>
      <c r="I501">
        <f>VLOOKUP(Table4[[#This Row],[Visitor]],'NHL Model'!$A$6:$B$38,2,FALSE)</f>
        <v>-0.34257283900844787</v>
      </c>
      <c r="J501">
        <f>($B$1+Table4[[#This Row],[Home Differential]])-Table4[[#This Row],[Away Differential]]</f>
        <v>0.32517984862400118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0.58517635539478097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2.0731927685773251E-2</v>
      </c>
      <c r="H502" t="s">
        <v>31</v>
      </c>
      <c r="I502">
        <f>VLOOKUP(Table4[[#This Row],[Visitor]],'NHL Model'!$A$6:$B$38,2,FALSE)</f>
        <v>0.35254565315374792</v>
      </c>
      <c r="J502">
        <f>($B$1+Table4[[#This Row],[Home Differential]])-Table4[[#This Row],[Away Differential]]</f>
        <v>-0.17239406394314752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0.38395024025505187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3.2883390994754517E-3</v>
      </c>
      <c r="H503" t="s">
        <v>37</v>
      </c>
      <c r="I503">
        <f>VLOOKUP(Table4[[#This Row],[Visitor]],'NHL Model'!$A$6:$B$38,2,FALSE)</f>
        <v>0.1846559193064522</v>
      </c>
      <c r="J503">
        <f>($B$1+Table4[[#This Row],[Home Differential]])-Table4[[#This Row],[Away Differential]]</f>
        <v>-2.1947918682149598E-2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0.5293649543550758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-0.50599078340071213</v>
      </c>
      <c r="H504" t="s">
        <v>18</v>
      </c>
      <c r="I504">
        <f>VLOOKUP(Table4[[#This Row],[Visitor]],'NHL Model'!$A$6:$B$38,2,FALSE)</f>
        <v>-0.75480422558713034</v>
      </c>
      <c r="J504">
        <f>($B$1+Table4[[#This Row],[Home Differential]])-Table4[[#This Row],[Away Differential]]</f>
        <v>0.40823310371124533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0.54961532763613108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-0.54160534998918008</v>
      </c>
      <c r="H505" t="s">
        <v>25</v>
      </c>
      <c r="I505">
        <f>VLOOKUP(Table4[[#This Row],[Visitor]],'NHL Model'!$A$6:$B$38,2,FALSE)</f>
        <v>0.42254821659882374</v>
      </c>
      <c r="J505">
        <f>($B$1+Table4[[#This Row],[Home Differential]])-Table4[[#This Row],[Away Differential]]</f>
        <v>-0.80473390506317677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0.61179950125199944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-0.2200802314358897</v>
      </c>
      <c r="H506" t="s">
        <v>33</v>
      </c>
      <c r="I506">
        <f>VLOOKUP(Table4[[#This Row],[Visitor]],'NHL Model'!$A$6:$B$38,2,FALSE)</f>
        <v>-0.3479098095875402</v>
      </c>
      <c r="J506">
        <f>($B$1+Table4[[#This Row],[Home Differential]])-Table4[[#This Row],[Away Differential]]</f>
        <v>0.28724923967647764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0.57990675865499308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-0.95664361852990654</v>
      </c>
      <c r="H507" t="s">
        <v>17</v>
      </c>
      <c r="I507">
        <f>VLOOKUP(Table4[[#This Row],[Visitor]],'NHL Model'!$A$6:$B$38,2,FALSE)</f>
        <v>-0.8561868317598319</v>
      </c>
      <c r="J507">
        <f>($B$1+Table4[[#This Row],[Home Differential]])-Table4[[#This Row],[Away Differential]]</f>
        <v>5.8962874754752481E-2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0.54819155244794604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-7.3890719153774626E-2</v>
      </c>
      <c r="H508" t="s">
        <v>22</v>
      </c>
      <c r="I508">
        <f>VLOOKUP(Table4[[#This Row],[Visitor]],'NHL Model'!$A$6:$B$38,2,FALSE)</f>
        <v>0.21430145909042725</v>
      </c>
      <c r="J508">
        <f>($B$1+Table4[[#This Row],[Home Differential]])-Table4[[#This Row],[Away Differential]]</f>
        <v>-0.12877251671937473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0.49615088644360483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0.42254821659882374</v>
      </c>
      <c r="H509" t="s">
        <v>27</v>
      </c>
      <c r="I509">
        <f>VLOOKUP(Table4[[#This Row],[Visitor]],'NHL Model'!$A$6:$B$38,2,FALSE)</f>
        <v>-0.54160534998918008</v>
      </c>
      <c r="J509">
        <f>($B$1+Table4[[#This Row],[Home Differential]])-Table4[[#This Row],[Away Differential]]</f>
        <v>1.123573228112831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0.74781096093779653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-0.17681265190927384</v>
      </c>
      <c r="H510" t="s">
        <v>21</v>
      </c>
      <c r="I510">
        <f>VLOOKUP(Table4[[#This Row],[Visitor]],'NHL Model'!$A$6:$B$38,2,FALSE)</f>
        <v>-0.12487089668223171</v>
      </c>
      <c r="J510">
        <f>($B$1+Table4[[#This Row],[Home Differential]])-Table4[[#This Row],[Away Differential]]</f>
        <v>0.10747790629778502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0.55493161434369809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-0.75480422558713034</v>
      </c>
      <c r="H511" t="s">
        <v>17</v>
      </c>
      <c r="I511">
        <f>VLOOKUP(Table4[[#This Row],[Visitor]],'NHL Model'!$A$6:$B$38,2,FALSE)</f>
        <v>-0.8561868317598319</v>
      </c>
      <c r="J511">
        <f>($B$1+Table4[[#This Row],[Home Differential]])-Table4[[#This Row],[Away Differential]]</f>
        <v>0.26080226769752868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0.57623255248787497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2.0731927685773251E-2</v>
      </c>
      <c r="H512" t="s">
        <v>38</v>
      </c>
      <c r="I512">
        <f>VLOOKUP(Table4[[#This Row],[Visitor]],'NHL Model'!$A$6:$B$38,2,FALSE)</f>
        <v>-1.1267952052768424</v>
      </c>
      <c r="J512">
        <f>($B$1+Table4[[#This Row],[Home Differential]])-Table4[[#This Row],[Away Differential]]</f>
        <v>1.3069467944874429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0.82157057738871397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-0.2200802314358897</v>
      </c>
      <c r="H513" t="s">
        <v>55</v>
      </c>
      <c r="I513">
        <f>VLOOKUP(Table4[[#This Row],[Visitor]],'NHL Model'!$A$6:$B$38,2,FALSE)</f>
        <v>-0.1349739904770427</v>
      </c>
      <c r="J513">
        <f>($B$1+Table4[[#This Row],[Home Differential]])-Table4[[#This Row],[Away Differential]]</f>
        <v>7.4313420565980143E-2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0.55032416218992841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-0.46055888840939002</v>
      </c>
      <c r="H514" t="s">
        <v>23</v>
      </c>
      <c r="I514">
        <f>VLOOKUP(Table4[[#This Row],[Visitor]],'NHL Model'!$A$6:$B$38,2,FALSE)</f>
        <v>-0.49794713300108584</v>
      </c>
      <c r="J514">
        <f>($B$1+Table4[[#This Row],[Home Differential]])-Table4[[#This Row],[Away Differential]]</f>
        <v>0.19680790611652299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0.59337972505547654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1.9153995907683643E-3</v>
      </c>
      <c r="H515" t="s">
        <v>13</v>
      </c>
      <c r="I515">
        <f>VLOOKUP(Table4[[#This Row],[Visitor]],'NHL Model'!$A$6:$B$38,2,FALSE)</f>
        <v>-0.31985119938240425</v>
      </c>
      <c r="J515">
        <f>($B$1+Table4[[#This Row],[Home Differential]])-Table4[[#This Row],[Away Differential]]</f>
        <v>0.48118626049799973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0.52586629698778009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-0.50599078340071213</v>
      </c>
      <c r="H516" t="s">
        <v>31</v>
      </c>
      <c r="I516">
        <f>VLOOKUP(Table4[[#This Row],[Visitor]],'NHL Model'!$A$6:$B$38,2,FALSE)</f>
        <v>0.35254565315374792</v>
      </c>
      <c r="J516">
        <f>($B$1+Table4[[#This Row],[Home Differential]])-Table4[[#This Row],[Away Differential]]</f>
        <v>-0.69911677502963299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0.5778956302827235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-1.5594075795597986</v>
      </c>
      <c r="H517" t="s">
        <v>29</v>
      </c>
      <c r="I517">
        <f>VLOOKUP(Table4[[#This Row],[Visitor]],'NHL Model'!$A$6:$B$38,2,FALSE)</f>
        <v>-1.6840122346544992</v>
      </c>
      <c r="J517">
        <f>($B$1+Table4[[#This Row],[Home Differential]])-Table4[[#This Row],[Away Differential]]</f>
        <v>0.28402431661952776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0.57945872883162586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0.1846559193064522</v>
      </c>
      <c r="H518" t="s">
        <v>11</v>
      </c>
      <c r="I518">
        <f>VLOOKUP(Table4[[#This Row],[Visitor]],'NHL Model'!$A$6:$B$38,2,FALSE)</f>
        <v>-0.21100886368613675</v>
      </c>
      <c r="J518">
        <f>($B$1+Table4[[#This Row],[Home Differential]])-Table4[[#This Row],[Away Differential]]</f>
        <v>0.55508444451741612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0.63622180935653094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-7.3890719153774626E-2</v>
      </c>
      <c r="H519" t="s">
        <v>36</v>
      </c>
      <c r="I519">
        <f>VLOOKUP(Table4[[#This Row],[Visitor]],'NHL Model'!$A$6:$B$38,2,FALSE)</f>
        <v>-0.34257283900844787</v>
      </c>
      <c r="J519">
        <f>($B$1+Table4[[#This Row],[Home Differential]])-Table4[[#This Row],[Away Differential]]</f>
        <v>0.42810178137950039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0.60197049988159501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-0.12487089668223171</v>
      </c>
      <c r="H520" t="s">
        <v>55</v>
      </c>
      <c r="I520">
        <f>VLOOKUP(Table4[[#This Row],[Visitor]],'NHL Model'!$A$6:$B$38,2,FALSE)</f>
        <v>-0.1349739904770427</v>
      </c>
      <c r="J520">
        <f>($B$1+Table4[[#This Row],[Home Differential]])-Table4[[#This Row],[Away Differential]]</f>
        <v>0.16952275531963812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0.61526731345827412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-0.72083617366747277</v>
      </c>
      <c r="H521" t="s">
        <v>31</v>
      </c>
      <c r="I521">
        <f>VLOOKUP(Table4[[#This Row],[Visitor]],'NHL Model'!$A$6:$B$38,2,FALSE)</f>
        <v>0.35254565315374792</v>
      </c>
      <c r="J521">
        <f>($B$1+Table4[[#This Row],[Home Differential]])-Table4[[#This Row],[Away Differential]]</f>
        <v>-0.91396216529639362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0.60065849805221849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-0.67114180037169746</v>
      </c>
      <c r="H522" t="s">
        <v>30</v>
      </c>
      <c r="I522">
        <f>VLOOKUP(Table4[[#This Row],[Visitor]],'NHL Model'!$A$6:$B$38,2,FALSE)</f>
        <v>3.2883390994754517E-3</v>
      </c>
      <c r="J522">
        <f>($B$1+Table4[[#This Row],[Home Differential]])-Table4[[#This Row],[Away Differential]]</f>
        <v>-0.5150104779463458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0.57154901043896622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-0.17681265190927384</v>
      </c>
      <c r="H523" t="s">
        <v>22</v>
      </c>
      <c r="I523">
        <f>VLOOKUP(Table4[[#This Row],[Visitor]],'NHL Model'!$A$6:$B$38,2,FALSE)</f>
        <v>0.21430145909042725</v>
      </c>
      <c r="J523">
        <f>($B$1+Table4[[#This Row],[Home Differential]])-Table4[[#This Row],[Away Differential]]</f>
        <v>-0.23169444947487394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0.51295791293009219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-0.75480422558713034</v>
      </c>
      <c r="H524" t="s">
        <v>27</v>
      </c>
      <c r="I524">
        <f>VLOOKUP(Table4[[#This Row],[Visitor]],'NHL Model'!$A$6:$B$38,2,FALSE)</f>
        <v>-0.54160534998918008</v>
      </c>
      <c r="J524">
        <f>($B$1+Table4[[#This Row],[Home Differential]])-Table4[[#This Row],[Away Differential]]</f>
        <v>-5.3779214073123138E-2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0.46747140051297786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-0.50599078340071213</v>
      </c>
      <c r="H525" t="s">
        <v>38</v>
      </c>
      <c r="I525">
        <f>VLOOKUP(Table4[[#This Row],[Visitor]],'NHL Model'!$A$6:$B$38,2,FALSE)</f>
        <v>-1.1267952052768424</v>
      </c>
      <c r="J525">
        <f>($B$1+Table4[[#This Row],[Home Differential]])-Table4[[#This Row],[Away Differential]]</f>
        <v>0.78022408340095739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0.62762518736104234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-0.2200802314358897</v>
      </c>
      <c r="H526" t="s">
        <v>17</v>
      </c>
      <c r="I526">
        <f>VLOOKUP(Table4[[#This Row],[Visitor]],'NHL Model'!$A$6:$B$38,2,FALSE)</f>
        <v>-0.8561868317598319</v>
      </c>
      <c r="J526">
        <f>($B$1+Table4[[#This Row],[Home Differential]])-Table4[[#This Row],[Away Differential]]</f>
        <v>0.79552626184876929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0.65052030832549257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-0.46055888840939002</v>
      </c>
      <c r="H527" t="s">
        <v>12</v>
      </c>
      <c r="I527">
        <f>VLOOKUP(Table4[[#This Row],[Visitor]],'NHL Model'!$A$6:$B$38,2,FALSE)</f>
        <v>1.4583704516548168</v>
      </c>
      <c r="J527">
        <f>($B$1+Table4[[#This Row],[Home Differential]])-Table4[[#This Row],[Away Differential]]</f>
        <v>-1.7595096785393798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0.77075970226411805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-0.3479098095875402</v>
      </c>
      <c r="H528" t="s">
        <v>16</v>
      </c>
      <c r="I528">
        <f>VLOOKUP(Table4[[#This Row],[Visitor]],'NHL Model'!$A$6:$B$38,2,FALSE)</f>
        <v>-1.1167763879247272</v>
      </c>
      <c r="J528">
        <f>($B$1+Table4[[#This Row],[Home Differential]])-Table4[[#This Row],[Away Differential]]</f>
        <v>0.9282862398620142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0.6689642923986403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-0.95664361852990654</v>
      </c>
      <c r="H529" t="s">
        <v>10</v>
      </c>
      <c r="I529">
        <f>VLOOKUP(Table4[[#This Row],[Visitor]],'NHL Model'!$A$6:$B$38,2,FALSE)</f>
        <v>-0.13160108676160023</v>
      </c>
      <c r="J529">
        <f>($B$1+Table4[[#This Row],[Home Differential]])-Table4[[#This Row],[Away Differential]]</f>
        <v>-0.66562287024347921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0.5524731820629617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-0.67114180037169746</v>
      </c>
      <c r="H530" t="s">
        <v>55</v>
      </c>
      <c r="I530">
        <f>VLOOKUP(Table4[[#This Row],[Visitor]],'NHL Model'!$A$6:$B$38,2,FALSE)</f>
        <v>-0.1349739904770427</v>
      </c>
      <c r="J530">
        <f>($B$1+Table4[[#This Row],[Home Differential]])-Table4[[#This Row],[Away Differential]]</f>
        <v>-0.37674814836982762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0.4800945337617607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-0.21100886368613675</v>
      </c>
      <c r="H531" t="s">
        <v>13</v>
      </c>
      <c r="I531">
        <f>VLOOKUP(Table4[[#This Row],[Visitor]],'NHL Model'!$A$6:$B$38,2,FALSE)</f>
        <v>-0.31985119938240425</v>
      </c>
      <c r="J531">
        <f>($B$1+Table4[[#This Row],[Home Differential]])-Table4[[#This Row],[Away Differential]]</f>
        <v>0.26826199722109467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0.54635982159165564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-1.6840122346544992</v>
      </c>
      <c r="H532" t="s">
        <v>25</v>
      </c>
      <c r="I532">
        <f>VLOOKUP(Table4[[#This Row],[Visitor]],'NHL Model'!$A$6:$B$38,2,FALSE)</f>
        <v>0.42254821659882374</v>
      </c>
      <c r="J532">
        <f>($B$1+Table4[[#This Row],[Home Differential]])-Table4[[#This Row],[Away Differential]]</f>
        <v>-1.9471407897284958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0.80313416384714231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-1.5594075795597986</v>
      </c>
      <c r="H533" t="s">
        <v>40</v>
      </c>
      <c r="I533">
        <f>VLOOKUP(Table4[[#This Row],[Visitor]],'NHL Model'!$A$6:$B$38,2,FALSE)</f>
        <v>-7.3890719153774626E-2</v>
      </c>
      <c r="J533">
        <f>($B$1+Table4[[#This Row],[Home Differential]])-Table4[[#This Row],[Away Differential]]</f>
        <v>-1.3260971988811969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0.71054688066270544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-3.2309887002194844E-2</v>
      </c>
      <c r="H534" t="s">
        <v>24</v>
      </c>
      <c r="I534">
        <f>VLOOKUP(Table4[[#This Row],[Visitor]],'NHL Model'!$A$6:$B$38,2,FALSE)</f>
        <v>2.0731927685773251E-2</v>
      </c>
      <c r="J534">
        <f>($B$1+Table4[[#This Row],[Home Differential]])-Table4[[#This Row],[Away Differential]]</f>
        <v>0.10637784683685905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0.55394929297550599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-0.12487089668223171</v>
      </c>
      <c r="H535" t="s">
        <v>17</v>
      </c>
      <c r="I535">
        <f>VLOOKUP(Table4[[#This Row],[Visitor]],'NHL Model'!$A$6:$B$38,2,FALSE)</f>
        <v>-0.8561868317598319</v>
      </c>
      <c r="J535">
        <f>($B$1+Table4[[#This Row],[Home Differential]])-Table4[[#This Row],[Away Differential]]</f>
        <v>0.89073559660242729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0.71546345959383828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-0.49794713300108584</v>
      </c>
      <c r="H536" t="s">
        <v>27</v>
      </c>
      <c r="I536">
        <f>VLOOKUP(Table4[[#This Row],[Visitor]],'NHL Model'!$A$6:$B$38,2,FALSE)</f>
        <v>-0.54160534998918008</v>
      </c>
      <c r="J536">
        <f>($B$1+Table4[[#This Row],[Home Differential]])-Table4[[#This Row],[Away Differential]]</f>
        <v>0.20307787851292136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0.58222967998350939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-0.72083617366747277</v>
      </c>
      <c r="H537" t="s">
        <v>34</v>
      </c>
      <c r="I537">
        <f>VLOOKUP(Table4[[#This Row],[Visitor]],'NHL Model'!$A$6:$B$38,2,FALSE)</f>
        <v>-0.17681265190927384</v>
      </c>
      <c r="J537">
        <f>($B$1+Table4[[#This Row],[Home Differential]])-Table4[[#This Row],[Away Differential]]</f>
        <v>-0.38460386023337179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0.5271161828629467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-1.1167763879247272</v>
      </c>
      <c r="H538" t="s">
        <v>32</v>
      </c>
      <c r="I538">
        <f>VLOOKUP(Table4[[#This Row],[Visitor]],'NHL Model'!$A$6:$B$38,2,FALSE)</f>
        <v>-0.46055888840939002</v>
      </c>
      <c r="J538">
        <f>($B$1+Table4[[#This Row],[Home Differential]])-Table4[[#This Row],[Away Differential]]</f>
        <v>-0.49679783799051008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0.52901877771143524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-0.75480422558713034</v>
      </c>
      <c r="H539" t="s">
        <v>10</v>
      </c>
      <c r="I539">
        <f>VLOOKUP(Table4[[#This Row],[Visitor]],'NHL Model'!$A$6:$B$38,2,FALSE)</f>
        <v>-0.13160108676160023</v>
      </c>
      <c r="J539">
        <f>($B$1+Table4[[#This Row],[Home Differential]])-Table4[[#This Row],[Away Differential]]</f>
        <v>-0.46378347730070302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0.52443218202303277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-0.34257283900844787</v>
      </c>
      <c r="H540" t="s">
        <v>14</v>
      </c>
      <c r="I540">
        <f>VLOOKUP(Table4[[#This Row],[Visitor]],'NHL Model'!$A$6:$B$38,2,FALSE)</f>
        <v>-0.2200802314358897</v>
      </c>
      <c r="J540">
        <f>($B$1+Table4[[#This Row],[Home Differential]])-Table4[[#This Row],[Away Differential]]</f>
        <v>3.6927053952268973E-2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0.54762565476746006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-0.3479098095875402</v>
      </c>
      <c r="H541" t="s">
        <v>39</v>
      </c>
      <c r="I541">
        <f>VLOOKUP(Table4[[#This Row],[Visitor]],'NHL Model'!$A$6:$B$38,2,FALSE)</f>
        <v>1.9153995907683643E-3</v>
      </c>
      <c r="J541">
        <f>($B$1+Table4[[#This Row],[Home Differential]])-Table4[[#This Row],[Away Differential]]</f>
        <v>-0.19040554765348142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0.57893871473567005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-1.5594075795597986</v>
      </c>
      <c r="H542" t="s">
        <v>15</v>
      </c>
      <c r="I542">
        <f>VLOOKUP(Table4[[#This Row],[Visitor]],'NHL Model'!$A$6:$B$38,2,FALSE)</f>
        <v>-0.50599078340071213</v>
      </c>
      <c r="J542">
        <f>($B$1+Table4[[#This Row],[Home Differential]])-Table4[[#This Row],[Away Differential]]</f>
        <v>-0.89399713463425934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0.66767886077467331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0.1846559193064522</v>
      </c>
      <c r="H543" t="s">
        <v>13</v>
      </c>
      <c r="I543">
        <f>VLOOKUP(Table4[[#This Row],[Visitor]],'NHL Model'!$A$6:$B$38,2,FALSE)</f>
        <v>-0.31985119938240425</v>
      </c>
      <c r="J543">
        <f>($B$1+Table4[[#This Row],[Home Differential]])-Table4[[#This Row],[Away Differential]]</f>
        <v>0.66392678021368357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0.56796570420996106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0.21430145909042725</v>
      </c>
      <c r="H544" t="s">
        <v>19</v>
      </c>
      <c r="I544">
        <f>VLOOKUP(Table4[[#This Row],[Visitor]],'NHL Model'!$A$6:$B$38,2,FALSE)</f>
        <v>-0.95664361852990654</v>
      </c>
      <c r="J544">
        <f>($B$1+Table4[[#This Row],[Home Differential]])-Table4[[#This Row],[Away Differential]]</f>
        <v>1.330364739145161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0.72482396899630908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0.35254565315374792</v>
      </c>
      <c r="H545" t="s">
        <v>39</v>
      </c>
      <c r="I545">
        <f>VLOOKUP(Table4[[#This Row],[Visitor]],'NHL Model'!$A$6:$B$38,2,FALSE)</f>
        <v>1.9153995907683643E-3</v>
      </c>
      <c r="J545">
        <f>($B$1+Table4[[#This Row],[Home Differential]])-Table4[[#This Row],[Away Differential]]</f>
        <v>0.51004991508780673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0.61631439833469059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1.4583704516548168</v>
      </c>
      <c r="H546" t="s">
        <v>40</v>
      </c>
      <c r="I546">
        <f>VLOOKUP(Table4[[#This Row],[Visitor]],'NHL Model'!$A$6:$B$38,2,FALSE)</f>
        <v>-7.3890719153774626E-2</v>
      </c>
      <c r="J546">
        <f>($B$1+Table4[[#This Row],[Home Differential]])-Table4[[#This Row],[Away Differential]]</f>
        <v>1.6916808323334185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0.80644920637695927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-0.21100886368613675</v>
      </c>
      <c r="H547" t="s">
        <v>25</v>
      </c>
      <c r="I547">
        <f>VLOOKUP(Table4[[#This Row],[Visitor]],'NHL Model'!$A$6:$B$38,2,FALSE)</f>
        <v>0.42254821659882374</v>
      </c>
      <c r="J547">
        <f>($B$1+Table4[[#This Row],[Home Differential]])-Table4[[#This Row],[Away Differential]]</f>
        <v>-0.47413741876013338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0.5458706270591791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3.2883390994754517E-3</v>
      </c>
      <c r="H548" t="s">
        <v>38</v>
      </c>
      <c r="I548">
        <f>VLOOKUP(Table4[[#This Row],[Visitor]],'NHL Model'!$A$6:$B$38,2,FALSE)</f>
        <v>-1.1267952052768424</v>
      </c>
      <c r="J548">
        <f>($B$1+Table4[[#This Row],[Home Differential]])-Table4[[#This Row],[Away Differential]]</f>
        <v>1.2895032059011451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0.69837795611521447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-0.1349739904770427</v>
      </c>
      <c r="H549" t="s">
        <v>24</v>
      </c>
      <c r="I549">
        <f>VLOOKUP(Table4[[#This Row],[Visitor]],'NHL Model'!$A$6:$B$38,2,FALSE)</f>
        <v>2.0731927685773251E-2</v>
      </c>
      <c r="J549">
        <f>($B$1+Table4[[#This Row],[Home Differential]])-Table4[[#This Row],[Away Differential]]</f>
        <v>3.7137433620111938E-3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0.60316494692655809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0.35254565315374792</v>
      </c>
      <c r="H550" t="s">
        <v>28</v>
      </c>
      <c r="I550">
        <f>VLOOKUP(Table4[[#This Row],[Visitor]],'NHL Model'!$A$6:$B$38,2,FALSE)</f>
        <v>-0.72083617366747277</v>
      </c>
      <c r="J550">
        <f>($B$1+Table4[[#This Row],[Home Differential]])-Table4[[#This Row],[Away Differential]]</f>
        <v>1.2328014883460479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0.8061904058009739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-0.12487089668223171</v>
      </c>
      <c r="H551" t="s">
        <v>38</v>
      </c>
      <c r="I551">
        <f>VLOOKUP(Table4[[#This Row],[Visitor]],'NHL Model'!$A$6:$B$38,2,FALSE)</f>
        <v>-1.1267952052768424</v>
      </c>
      <c r="J551">
        <f>($B$1+Table4[[#This Row],[Home Differential]])-Table4[[#This Row],[Away Differential]]</f>
        <v>1.1613439701194379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0.73277094289380384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-0.49794713300108584</v>
      </c>
      <c r="H552" t="s">
        <v>30</v>
      </c>
      <c r="I552">
        <f>VLOOKUP(Table4[[#This Row],[Visitor]],'NHL Model'!$A$6:$B$38,2,FALSE)</f>
        <v>3.2883390994754517E-3</v>
      </c>
      <c r="J552">
        <f>($B$1+Table4[[#This Row],[Home Differential]])-Table4[[#This Row],[Away Differential]]</f>
        <v>-0.34181581057573418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0.56600606303724355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-1.1167763879247272</v>
      </c>
      <c r="H553" t="s">
        <v>20</v>
      </c>
      <c r="I553">
        <f>VLOOKUP(Table4[[#This Row],[Visitor]],'NHL Model'!$A$6:$B$38,2,FALSE)</f>
        <v>-3.2309887002194844E-2</v>
      </c>
      <c r="J553">
        <f>($B$1+Table4[[#This Row],[Home Differential]])-Table4[[#This Row],[Away Differential]]</f>
        <v>-0.92504683939770527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0.58851425126829071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-0.21100886368613675</v>
      </c>
      <c r="H554" t="s">
        <v>35</v>
      </c>
      <c r="I554">
        <f>VLOOKUP(Table4[[#This Row],[Visitor]],'NHL Model'!$A$6:$B$38,2,FALSE)</f>
        <v>-1.5594075795597986</v>
      </c>
      <c r="J554">
        <f>($B$1+Table4[[#This Row],[Home Differential]])-Table4[[#This Row],[Away Differential]]</f>
        <v>1.507818377398489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0.80119309853427834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-0.17681265190927384</v>
      </c>
      <c r="H555" t="s">
        <v>17</v>
      </c>
      <c r="I555">
        <f>VLOOKUP(Table4[[#This Row],[Visitor]],'NHL Model'!$A$6:$B$38,2,FALSE)</f>
        <v>-0.8561868317598319</v>
      </c>
      <c r="J555">
        <f>($B$1+Table4[[#This Row],[Home Differential]])-Table4[[#This Row],[Away Differential]]</f>
        <v>0.83879384137538526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0.65653135592895739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-0.75480422558713034</v>
      </c>
      <c r="H556" t="s">
        <v>14</v>
      </c>
      <c r="I556">
        <f>VLOOKUP(Table4[[#This Row],[Visitor]],'NHL Model'!$A$6:$B$38,2,FALSE)</f>
        <v>-0.2200802314358897</v>
      </c>
      <c r="J556">
        <f>($B$1+Table4[[#This Row],[Home Differential]])-Table4[[#This Row],[Away Differential]]</f>
        <v>-0.37530433262641349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0.51214001416039934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-1.6840122346544992</v>
      </c>
      <c r="H557" t="s">
        <v>19</v>
      </c>
      <c r="I557">
        <f>VLOOKUP(Table4[[#This Row],[Visitor]],'NHL Model'!$A$6:$B$38,2,FALSE)</f>
        <v>-0.95664361852990654</v>
      </c>
      <c r="J557">
        <f>($B$1+Table4[[#This Row],[Home Differential]])-Table4[[#This Row],[Away Differential]]</f>
        <v>-0.56794895459976558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0.53890360957994354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-0.50599078340071213</v>
      </c>
      <c r="H558" t="s">
        <v>27</v>
      </c>
      <c r="I558">
        <f>VLOOKUP(Table4[[#This Row],[Visitor]],'NHL Model'!$A$6:$B$38,2,FALSE)</f>
        <v>-0.54160534998918008</v>
      </c>
      <c r="J558">
        <f>($B$1+Table4[[#This Row],[Home Differential]])-Table4[[#This Row],[Away Differential]]</f>
        <v>0.19503422811329507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0.56709557692666535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-0.34257283900844787</v>
      </c>
      <c r="H559" t="s">
        <v>10</v>
      </c>
      <c r="I559">
        <f>VLOOKUP(Table4[[#This Row],[Visitor]],'NHL Model'!$A$6:$B$38,2,FALSE)</f>
        <v>-0.13160108676160023</v>
      </c>
      <c r="J559">
        <f>($B$1+Table4[[#This Row],[Home Differential]])-Table4[[#This Row],[Away Differential]]</f>
        <v>-5.1552090722020494E-2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0.46466651309517332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-0.3479098095875402</v>
      </c>
      <c r="H560" t="s">
        <v>32</v>
      </c>
      <c r="I560">
        <f>VLOOKUP(Table4[[#This Row],[Visitor]],'NHL Model'!$A$6:$B$38,2,FALSE)</f>
        <v>-0.46055888840939002</v>
      </c>
      <c r="J560">
        <f>($B$1+Table4[[#This Row],[Home Differential]])-Table4[[#This Row],[Away Differential]]</f>
        <v>0.27206874034667694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0.5777977730099868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0.1846559193064522</v>
      </c>
      <c r="H561" t="s">
        <v>25</v>
      </c>
      <c r="I561">
        <f>VLOOKUP(Table4[[#This Row],[Visitor]],'NHL Model'!$A$6:$B$38,2,FALSE)</f>
        <v>0.42254821659882374</v>
      </c>
      <c r="J561">
        <f>($B$1+Table4[[#This Row],[Home Differential]])-Table4[[#This Row],[Away Differential]]</f>
        <v>-7.847263576754443E-2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0.52427097464698957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0.21430145909042725</v>
      </c>
      <c r="H562" t="s">
        <v>26</v>
      </c>
      <c r="I562">
        <f>VLOOKUP(Table4[[#This Row],[Visitor]],'NHL Model'!$A$6:$B$38,2,FALSE)</f>
        <v>-0.67114180037169746</v>
      </c>
      <c r="J562">
        <f>($B$1+Table4[[#This Row],[Home Differential]])-Table4[[#This Row],[Away Differential]]</f>
        <v>1.0448629209869518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0.66439074410951848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-0.12487089668223171</v>
      </c>
      <c r="H563" t="s">
        <v>36</v>
      </c>
      <c r="I563">
        <f>VLOOKUP(Table4[[#This Row],[Visitor]],'NHL Model'!$A$6:$B$38,2,FALSE)</f>
        <v>-0.34257283900844787</v>
      </c>
      <c r="J563">
        <f>($B$1+Table4[[#This Row],[Home Differential]])-Table4[[#This Row],[Away Differential]]</f>
        <v>0.37712160385104332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0.64410845905966196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1.9153995907683643E-3</v>
      </c>
      <c r="H564" t="s">
        <v>19</v>
      </c>
      <c r="I564">
        <f>VLOOKUP(Table4[[#This Row],[Visitor]],'NHL Model'!$A$6:$B$38,2,FALSE)</f>
        <v>-0.95664361852990654</v>
      </c>
      <c r="J564">
        <f>($B$1+Table4[[#This Row],[Home Differential]])-Table4[[#This Row],[Away Differential]]</f>
        <v>1.117978679645502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0.69781322834891402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-0.67114180037169746</v>
      </c>
      <c r="H565" t="s">
        <v>22</v>
      </c>
      <c r="I565">
        <f>VLOOKUP(Table4[[#This Row],[Visitor]],'NHL Model'!$A$6:$B$38,2,FALSE)</f>
        <v>0.21430145909042725</v>
      </c>
      <c r="J565">
        <f>($B$1+Table4[[#This Row],[Home Differential]])-Table4[[#This Row],[Away Differential]]</f>
        <v>-0.72602359793729754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0.5491403535932784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-0.8561868317598319</v>
      </c>
      <c r="H566" t="s">
        <v>20</v>
      </c>
      <c r="I566">
        <f>VLOOKUP(Table4[[#This Row],[Visitor]],'NHL Model'!$A$6:$B$38,2,FALSE)</f>
        <v>-3.2309887002194844E-2</v>
      </c>
      <c r="J566">
        <f>($B$1+Table4[[#This Row],[Home Differential]])-Table4[[#This Row],[Away Differential]]</f>
        <v>-0.66445728323280995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0.54526529835741189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-0.17681265190927384</v>
      </c>
      <c r="H567" t="s">
        <v>12</v>
      </c>
      <c r="I567">
        <f>VLOOKUP(Table4[[#This Row],[Visitor]],'NHL Model'!$A$6:$B$38,2,FALSE)</f>
        <v>1.4583704516548168</v>
      </c>
      <c r="J567">
        <f>($B$1+Table4[[#This Row],[Home Differential]])-Table4[[#This Row],[Away Differential]]</f>
        <v>-1.4757634420392636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0.75751000472172947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2.0731927685773251E-2</v>
      </c>
      <c r="H568" t="s">
        <v>23</v>
      </c>
      <c r="I568">
        <f>VLOOKUP(Table4[[#This Row],[Visitor]],'NHL Model'!$A$6:$B$38,2,FALSE)</f>
        <v>-0.49794713300108584</v>
      </c>
      <c r="J568">
        <f>($B$1+Table4[[#This Row],[Home Differential]])-Table4[[#This Row],[Away Differential]]</f>
        <v>0.67809872221168621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0.75318500157347612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-1.6840122346544992</v>
      </c>
      <c r="H569" t="s">
        <v>15</v>
      </c>
      <c r="I569">
        <f>VLOOKUP(Table4[[#This Row],[Visitor]],'NHL Model'!$A$6:$B$38,2,FALSE)</f>
        <v>-0.50599078340071213</v>
      </c>
      <c r="J569">
        <f>($B$1+Table4[[#This Row],[Home Differential]])-Table4[[#This Row],[Away Differential]]</f>
        <v>-1.0186017897289599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0.68498984792908091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-0.2200802314358897</v>
      </c>
      <c r="H570" t="s">
        <v>18</v>
      </c>
      <c r="I570">
        <f>VLOOKUP(Table4[[#This Row],[Visitor]],'NHL Model'!$A$6:$B$38,2,FALSE)</f>
        <v>-0.75480422558713034</v>
      </c>
      <c r="J570">
        <f>($B$1+Table4[[#This Row],[Home Differential]])-Table4[[#This Row],[Away Differential]]</f>
        <v>0.69414365567606784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0.58933610603410547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-0.1349739904770427</v>
      </c>
      <c r="H571" t="s">
        <v>40</v>
      </c>
      <c r="I571">
        <f>VLOOKUP(Table4[[#This Row],[Visitor]],'NHL Model'!$A$6:$B$38,2,FALSE)</f>
        <v>-7.3890719153774626E-2</v>
      </c>
      <c r="J571">
        <f>($B$1+Table4[[#This Row],[Home Differential]])-Table4[[#This Row],[Away Differential]]</f>
        <v>9.8336390201559071E-2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0.55212314674010765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0.35254565315374792</v>
      </c>
      <c r="H572" t="s">
        <v>32</v>
      </c>
      <c r="I572">
        <f>VLOOKUP(Table4[[#This Row],[Visitor]],'NHL Model'!$A$6:$B$38,2,FALSE)</f>
        <v>-0.46055888840939002</v>
      </c>
      <c r="J572">
        <f>($B$1+Table4[[#This Row],[Home Differential]])-Table4[[#This Row],[Away Differential]]</f>
        <v>0.97252420308796506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0.77003078770113309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-0.31985119938240425</v>
      </c>
      <c r="H573" t="s">
        <v>28</v>
      </c>
      <c r="I573">
        <f>VLOOKUP(Table4[[#This Row],[Visitor]],'NHL Model'!$A$6:$B$38,2,FALSE)</f>
        <v>-0.72083617366747277</v>
      </c>
      <c r="J573">
        <f>($B$1+Table4[[#This Row],[Home Differential]])-Table4[[#This Row],[Away Differential]]</f>
        <v>0.56040463580989563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0.61785549780947291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-0.54160534998918008</v>
      </c>
      <c r="H574" t="s">
        <v>38</v>
      </c>
      <c r="I574">
        <f>VLOOKUP(Table4[[#This Row],[Visitor]],'NHL Model'!$A$6:$B$38,2,FALSE)</f>
        <v>-1.1267952052768424</v>
      </c>
      <c r="J574">
        <f>($B$1+Table4[[#This Row],[Home Differential]])-Table4[[#This Row],[Away Differential]]</f>
        <v>0.74460951681248944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0.65517072081186034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0.1846559193064522</v>
      </c>
      <c r="H575" t="s">
        <v>35</v>
      </c>
      <c r="I575">
        <f>VLOOKUP(Table4[[#This Row],[Visitor]],'NHL Model'!$A$6:$B$38,2,FALSE)</f>
        <v>-1.5594075795597986</v>
      </c>
      <c r="J575">
        <f>($B$1+Table4[[#This Row],[Home Differential]])-Table4[[#This Row],[Away Differential]]</f>
        <v>1.9034831603910778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0.82355118988223031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-0.12487089668223171</v>
      </c>
      <c r="H576" t="s">
        <v>18</v>
      </c>
      <c r="I576">
        <f>VLOOKUP(Table4[[#This Row],[Visitor]],'NHL Model'!$A$6:$B$38,2,FALSE)</f>
        <v>-0.75480422558713034</v>
      </c>
      <c r="J576">
        <f>($B$1+Table4[[#This Row],[Home Differential]])-Table4[[#This Row],[Away Differential]]</f>
        <v>0.78935299042972573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0.65511721790636601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0.42254821659882374</v>
      </c>
      <c r="H577" t="s">
        <v>11</v>
      </c>
      <c r="I577">
        <f>VLOOKUP(Table4[[#This Row],[Visitor]],'NHL Model'!$A$6:$B$38,2,FALSE)</f>
        <v>-0.21100886368613675</v>
      </c>
      <c r="J577">
        <f>($B$1+Table4[[#This Row],[Home Differential]])-Table4[[#This Row],[Away Differential]]</f>
        <v>0.79297674180978772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0.70188208674497621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-0.13160108676160023</v>
      </c>
      <c r="H578" t="s">
        <v>27</v>
      </c>
      <c r="I578">
        <f>VLOOKUP(Table4[[#This Row],[Visitor]],'NHL Model'!$A$6:$B$38,2,FALSE)</f>
        <v>-0.54160534998918008</v>
      </c>
      <c r="J578">
        <f>($B$1+Table4[[#This Row],[Home Differential]])-Table4[[#This Row],[Away Differential]]</f>
        <v>0.569423924752407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0.61910852318727316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1.4583704516548168</v>
      </c>
      <c r="H579" t="s">
        <v>55</v>
      </c>
      <c r="I579">
        <f>VLOOKUP(Table4[[#This Row],[Visitor]],'NHL Model'!$A$6:$B$38,2,FALSE)</f>
        <v>-0.1349739904770427</v>
      </c>
      <c r="J579">
        <f>($B$1+Table4[[#This Row],[Home Differential]])-Table4[[#This Row],[Away Differential]]</f>
        <v>1.7527641036566866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0.87842740326767188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-0.67114180037169746</v>
      </c>
      <c r="H580" t="s">
        <v>39</v>
      </c>
      <c r="I580">
        <f>VLOOKUP(Table4[[#This Row],[Visitor]],'NHL Model'!$A$6:$B$38,2,FALSE)</f>
        <v>1.9153995907683643E-3</v>
      </c>
      <c r="J580">
        <f>($B$1+Table4[[#This Row],[Home Differential]])-Table4[[#This Row],[Away Differential]]</f>
        <v>-0.51363753843763871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0.59135827167257793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-0.8561868317598319</v>
      </c>
      <c r="H581" t="s">
        <v>16</v>
      </c>
      <c r="I581">
        <f>VLOOKUP(Table4[[#This Row],[Visitor]],'NHL Model'!$A$6:$B$38,2,FALSE)</f>
        <v>-1.1167763879247272</v>
      </c>
      <c r="J581">
        <f>($B$1+Table4[[#This Row],[Home Differential]])-Table4[[#This Row],[Away Differential]]</f>
        <v>0.42000921768972244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0.60539669458809697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-0.31985119938240425</v>
      </c>
      <c r="H582" t="s">
        <v>32</v>
      </c>
      <c r="I582">
        <f>VLOOKUP(Table4[[#This Row],[Visitor]],'NHL Model'!$A$6:$B$38,2,FALSE)</f>
        <v>-0.46055888840939002</v>
      </c>
      <c r="J582">
        <f>($B$1+Table4[[#This Row],[Home Differential]])-Table4[[#This Row],[Away Differential]]</f>
        <v>0.30012735055181294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0.5816958797096321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-0.17681265190927384</v>
      </c>
      <c r="H583" t="s">
        <v>29</v>
      </c>
      <c r="I583">
        <f>VLOOKUP(Table4[[#This Row],[Visitor]],'NHL Model'!$A$6:$B$38,2,FALSE)</f>
        <v>-1.6840122346544992</v>
      </c>
      <c r="J583">
        <f>($B$1+Table4[[#This Row],[Home Differential]])-Table4[[#This Row],[Away Differential]]</f>
        <v>1.6666192442700525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0.77153889641539108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3.2883390994754517E-3</v>
      </c>
      <c r="H584" t="s">
        <v>24</v>
      </c>
      <c r="I584">
        <f>VLOOKUP(Table4[[#This Row],[Visitor]],'NHL Model'!$A$6:$B$38,2,FALSE)</f>
        <v>2.0731927685773251E-2</v>
      </c>
      <c r="J584">
        <f>($B$1+Table4[[#This Row],[Home Differential]])-Table4[[#This Row],[Away Differential]]</f>
        <v>0.14197607293852935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0.55889485808539185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-0.34257283900844787</v>
      </c>
      <c r="H585" t="s">
        <v>23</v>
      </c>
      <c r="I585">
        <f>VLOOKUP(Table4[[#This Row],[Visitor]],'NHL Model'!$A$6:$B$38,2,FALSE)</f>
        <v>-0.49794713300108584</v>
      </c>
      <c r="J585">
        <f>($B$1+Table4[[#This Row],[Home Differential]])-Table4[[#This Row],[Away Differential]]</f>
        <v>0.31479395551746514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0.58622895060720537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-0.95664361852990654</v>
      </c>
      <c r="H586" t="s">
        <v>14</v>
      </c>
      <c r="I586">
        <f>VLOOKUP(Table4[[#This Row],[Visitor]],'NHL Model'!$A$6:$B$38,2,FALSE)</f>
        <v>-0.2200802314358897</v>
      </c>
      <c r="J586">
        <f>($B$1+Table4[[#This Row],[Home Differential]])-Table4[[#This Row],[Away Differential]]</f>
        <v>-0.57714372556918969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0.54018101420032838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-3.2309887002194844E-2</v>
      </c>
      <c r="H587" t="s">
        <v>33</v>
      </c>
      <c r="I587">
        <f>VLOOKUP(Table4[[#This Row],[Visitor]],'NHL Model'!$A$6:$B$38,2,FALSE)</f>
        <v>-0.3479098095875402</v>
      </c>
      <c r="J587">
        <f>($B$1+Table4[[#This Row],[Home Differential]])-Table4[[#This Row],[Away Differential]]</f>
        <v>0.47501958411017253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0.60599318390130497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0.21430145909042725</v>
      </c>
      <c r="H588" t="s">
        <v>15</v>
      </c>
      <c r="I588">
        <f>VLOOKUP(Table4[[#This Row],[Visitor]],'NHL Model'!$A$6:$B$38,2,FALSE)</f>
        <v>-0.50599078340071213</v>
      </c>
      <c r="J588">
        <f>($B$1+Table4[[#This Row],[Home Differential]])-Table4[[#This Row],[Away Differential]]</f>
        <v>0.87971190401596655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0.57873773064717182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-0.49794713300108584</v>
      </c>
      <c r="H589" t="s">
        <v>21</v>
      </c>
      <c r="I589">
        <f>VLOOKUP(Table4[[#This Row],[Visitor]],'NHL Model'!$A$6:$B$38,2,FALSE)</f>
        <v>-0.12487089668223171</v>
      </c>
      <c r="J589">
        <f>($B$1+Table4[[#This Row],[Home Differential]])-Table4[[#This Row],[Away Differential]]</f>
        <v>-0.213656574794027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0.4756661086008972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0.42254821659882374</v>
      </c>
      <c r="H590" t="s">
        <v>26</v>
      </c>
      <c r="I590">
        <f>VLOOKUP(Table4[[#This Row],[Visitor]],'NHL Model'!$A$6:$B$38,2,FALSE)</f>
        <v>-0.67114180037169746</v>
      </c>
      <c r="J590">
        <f>($B$1+Table4[[#This Row],[Home Differential]])-Table4[[#This Row],[Away Differential]]</f>
        <v>1.2531096784953484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0.74551970414757229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-1.1167763879247272</v>
      </c>
      <c r="H591" t="s">
        <v>17</v>
      </c>
      <c r="I591">
        <f>VLOOKUP(Table4[[#This Row],[Visitor]],'NHL Model'!$A$6:$B$38,2,FALSE)</f>
        <v>-0.8561868317598319</v>
      </c>
      <c r="J591">
        <f>($B$1+Table4[[#This Row],[Home Differential]])-Table4[[#This Row],[Away Differential]]</f>
        <v>-0.1011698946400682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0.47405525937370441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1.9153995907683643E-3</v>
      </c>
      <c r="H592" t="s">
        <v>10</v>
      </c>
      <c r="I592">
        <f>VLOOKUP(Table4[[#This Row],[Visitor]],'NHL Model'!$A$6:$B$38,2,FALSE)</f>
        <v>-0.13160108676160023</v>
      </c>
      <c r="J592">
        <f>($B$1+Table4[[#This Row],[Home Differential]])-Table4[[#This Row],[Away Differential]]</f>
        <v>0.29293614787719574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0.58319230460873417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-0.21100886368613675</v>
      </c>
      <c r="H593" t="s">
        <v>37</v>
      </c>
      <c r="I593">
        <f>VLOOKUP(Table4[[#This Row],[Visitor]],'NHL Model'!$A$6:$B$38,2,FALSE)</f>
        <v>0.1846559193064522</v>
      </c>
      <c r="J593">
        <f>($B$1+Table4[[#This Row],[Home Differential]])-Table4[[#This Row],[Away Differential]]</f>
        <v>-0.2362451214677618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0.50650510521850634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-0.31985119938240425</v>
      </c>
      <c r="H594" t="s">
        <v>31</v>
      </c>
      <c r="I594">
        <f>VLOOKUP(Table4[[#This Row],[Visitor]],'NHL Model'!$A$6:$B$38,2,FALSE)</f>
        <v>0.35254565315374792</v>
      </c>
      <c r="J594">
        <f>($B$1+Table4[[#This Row],[Home Differential]])-Table4[[#This Row],[Away Differential]]</f>
        <v>-0.512977191011325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0.55203576216287864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2.0731927685773251E-2</v>
      </c>
      <c r="H595" t="s">
        <v>22</v>
      </c>
      <c r="I595">
        <f>VLOOKUP(Table4[[#This Row],[Visitor]],'NHL Model'!$A$6:$B$38,2,FALSE)</f>
        <v>0.21430145909042725</v>
      </c>
      <c r="J595">
        <f>($B$1+Table4[[#This Row],[Home Differential]])-Table4[[#This Row],[Away Differential]]</f>
        <v>-3.414986987982685E-2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0.36474434890385982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3.2883390994754517E-3</v>
      </c>
      <c r="H596" t="s">
        <v>15</v>
      </c>
      <c r="I596">
        <f>VLOOKUP(Table4[[#This Row],[Visitor]],'NHL Model'!$A$6:$B$38,2,FALSE)</f>
        <v>-0.50599078340071213</v>
      </c>
      <c r="J596">
        <f>($B$1+Table4[[#This Row],[Home Differential]])-Table4[[#This Row],[Away Differential]]</f>
        <v>0.6686987840250147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0.54942224956182517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-1.5594075795597986</v>
      </c>
      <c r="H597" t="s">
        <v>29</v>
      </c>
      <c r="I597">
        <f>VLOOKUP(Table4[[#This Row],[Visitor]],'NHL Model'!$A$6:$B$38,2,FALSE)</f>
        <v>-1.6840122346544992</v>
      </c>
      <c r="J597">
        <f>($B$1+Table4[[#This Row],[Home Differential]])-Table4[[#This Row],[Away Differential]]</f>
        <v>0.28402431661952776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0.57945872883162586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-0.95664361852990654</v>
      </c>
      <c r="H598" t="s">
        <v>36</v>
      </c>
      <c r="I598">
        <f>VLOOKUP(Table4[[#This Row],[Visitor]],'NHL Model'!$A$6:$B$38,2,FALSE)</f>
        <v>-0.34257283900844787</v>
      </c>
      <c r="J598">
        <f>($B$1+Table4[[#This Row],[Home Differential]])-Table4[[#This Row],[Away Differential]]</f>
        <v>-0.45465111799663155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0.52316344808623028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-1.1267952052768424</v>
      </c>
      <c r="H599" t="s">
        <v>33</v>
      </c>
      <c r="I599">
        <f>VLOOKUP(Table4[[#This Row],[Visitor]],'NHL Model'!$A$6:$B$38,2,FALSE)</f>
        <v>-0.3479098095875402</v>
      </c>
      <c r="J599">
        <f>($B$1+Table4[[#This Row],[Home Differential]])-Table4[[#This Row],[Away Differential]]</f>
        <v>-0.61946573416447515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0.54606069619603637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-3.2309887002194844E-2</v>
      </c>
      <c r="H600" t="s">
        <v>12</v>
      </c>
      <c r="I600">
        <f>VLOOKUP(Table4[[#This Row],[Visitor]],'NHL Model'!$A$6:$B$38,2,FALSE)</f>
        <v>1.4583704516548168</v>
      </c>
      <c r="J600">
        <f>($B$1+Table4[[#This Row],[Home Differential]])-Table4[[#This Row],[Away Differential]]</f>
        <v>-1.3312606771321844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0.7374346270788823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-7.3890719153774626E-2</v>
      </c>
      <c r="H601" t="s">
        <v>34</v>
      </c>
      <c r="I601">
        <f>VLOOKUP(Table4[[#This Row],[Visitor]],'NHL Model'!$A$6:$B$38,2,FALSE)</f>
        <v>-0.17681265190927384</v>
      </c>
      <c r="J601">
        <f>($B$1+Table4[[#This Row],[Home Differential]])-Table4[[#This Row],[Away Differential]]</f>
        <v>0.26234159428032633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0.55818553739447485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-0.72083617366747277</v>
      </c>
      <c r="H602" t="s">
        <v>30</v>
      </c>
      <c r="I602">
        <f>VLOOKUP(Table4[[#This Row],[Visitor]],'NHL Model'!$A$6:$B$38,2,FALSE)</f>
        <v>3.2883390994754517E-3</v>
      </c>
      <c r="J602">
        <f>($B$1+Table4[[#This Row],[Home Differential]])-Table4[[#This Row],[Away Differential]]</f>
        <v>-0.56470485124212111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0.60400036034483839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-0.13160108676160023</v>
      </c>
      <c r="H603" t="s">
        <v>14</v>
      </c>
      <c r="I603">
        <f>VLOOKUP(Table4[[#This Row],[Visitor]],'NHL Model'!$A$6:$B$38,2,FALSE)</f>
        <v>-0.2200802314358897</v>
      </c>
      <c r="J603">
        <f>($B$1+Table4[[#This Row],[Home Differential]])-Table4[[#This Row],[Away Differential]]</f>
        <v>0.24789880619911661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0.57443990953985158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-0.67114180037169746</v>
      </c>
      <c r="H604" t="s">
        <v>19</v>
      </c>
      <c r="I604">
        <f>VLOOKUP(Table4[[#This Row],[Visitor]],'NHL Model'!$A$6:$B$38,2,FALSE)</f>
        <v>-0.95664361852990654</v>
      </c>
      <c r="J604">
        <f>($B$1+Table4[[#This Row],[Home Differential]])-Table4[[#This Row],[Away Differential]]</f>
        <v>0.44492147968303619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0.63405780160307557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-0.46055888840939002</v>
      </c>
      <c r="H605" t="s">
        <v>27</v>
      </c>
      <c r="I605">
        <f>VLOOKUP(Table4[[#This Row],[Visitor]],'NHL Model'!$A$6:$B$38,2,FALSE)</f>
        <v>-0.54160534998918008</v>
      </c>
      <c r="J605">
        <f>($B$1+Table4[[#This Row],[Home Differential]])-Table4[[#This Row],[Away Differential]]</f>
        <v>0.24046612310461724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0.59944504286315281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0.1846559193064522</v>
      </c>
      <c r="H606" t="s">
        <v>18</v>
      </c>
      <c r="I606">
        <f>VLOOKUP(Table4[[#This Row],[Visitor]],'NHL Model'!$A$6:$B$38,2,FALSE)</f>
        <v>-0.75480422558713034</v>
      </c>
      <c r="J606">
        <f>($B$1+Table4[[#This Row],[Home Differential]])-Table4[[#This Row],[Away Differential]]</f>
        <v>1.0988798064184095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0.66485951638086271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0.35254565315374792</v>
      </c>
      <c r="H607" t="s">
        <v>33</v>
      </c>
      <c r="I607">
        <f>VLOOKUP(Table4[[#This Row],[Visitor]],'NHL Model'!$A$6:$B$38,2,FALSE)</f>
        <v>-0.3479098095875402</v>
      </c>
      <c r="J607">
        <f>($B$1+Table4[[#This Row],[Home Differential]])-Table4[[#This Row],[Away Differential]]</f>
        <v>0.85987512426611534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0.75438075636836455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0.42254821659882374</v>
      </c>
      <c r="H608" t="s">
        <v>15</v>
      </c>
      <c r="I608">
        <f>VLOOKUP(Table4[[#This Row],[Visitor]],'NHL Model'!$A$6:$B$38,2,FALSE)</f>
        <v>-0.50599078340071213</v>
      </c>
      <c r="J608">
        <f>($B$1+Table4[[#This Row],[Home Differential]])-Table4[[#This Row],[Away Differential]]</f>
        <v>1.087958661524363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0.66023805844789762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-1.1167763879247272</v>
      </c>
      <c r="H609" t="s">
        <v>21</v>
      </c>
      <c r="I609">
        <f>VLOOKUP(Table4[[#This Row],[Visitor]],'NHL Model'!$A$6:$B$38,2,FALSE)</f>
        <v>-0.12487089668223171</v>
      </c>
      <c r="J609">
        <f>($B$1+Table4[[#This Row],[Home Differential]])-Table4[[#This Row],[Away Differential]]</f>
        <v>-0.83248582971766838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0.5756550009589636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1.4583704516548168</v>
      </c>
      <c r="H610" t="s">
        <v>13</v>
      </c>
      <c r="I610">
        <f>VLOOKUP(Table4[[#This Row],[Visitor]],'NHL Model'!$A$6:$B$38,2,FALSE)</f>
        <v>-0.31985119938240425</v>
      </c>
      <c r="J610">
        <f>($B$1+Table4[[#This Row],[Home Differential]])-Table4[[#This Row],[Away Differential]]</f>
        <v>1.9376413125620482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0.82364670365701076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-0.21100886368613675</v>
      </c>
      <c r="H611" t="s">
        <v>22</v>
      </c>
      <c r="I611">
        <f>VLOOKUP(Table4[[#This Row],[Visitor]],'NHL Model'!$A$6:$B$38,2,FALSE)</f>
        <v>0.21430145909042725</v>
      </c>
      <c r="J611">
        <f>($B$1+Table4[[#This Row],[Home Differential]])-Table4[[#This Row],[Away Differential]]</f>
        <v>-0.26589066125173688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0.46551089779035604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-0.34257283900844787</v>
      </c>
      <c r="H612" t="s">
        <v>28</v>
      </c>
      <c r="I612">
        <f>VLOOKUP(Table4[[#This Row],[Visitor]],'NHL Model'!$A$6:$B$38,2,FALSE)</f>
        <v>-0.72083617366747277</v>
      </c>
      <c r="J612">
        <f>($B$1+Table4[[#This Row],[Home Differential]])-Table4[[#This Row],[Away Differential]]</f>
        <v>0.53768299618385207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0.61719432117784434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-0.46055888840939002</v>
      </c>
      <c r="H613" t="s">
        <v>38</v>
      </c>
      <c r="I613">
        <f>VLOOKUP(Table4[[#This Row],[Visitor]],'NHL Model'!$A$6:$B$38,2,FALSE)</f>
        <v>-1.1267952052768424</v>
      </c>
      <c r="J613">
        <f>($B$1+Table4[[#This Row],[Home Differential]])-Table4[[#This Row],[Away Differential]]</f>
        <v>0.82565597839227955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0.66016069367224939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-1.5594075795597986</v>
      </c>
      <c r="H614" t="s">
        <v>23</v>
      </c>
      <c r="I614">
        <f>VLOOKUP(Table4[[#This Row],[Visitor]],'NHL Model'!$A$6:$B$38,2,FALSE)</f>
        <v>-0.49794713300108584</v>
      </c>
      <c r="J614">
        <f>($B$1+Table4[[#This Row],[Home Differential]])-Table4[[#This Row],[Away Differential]]</f>
        <v>-0.90204078503388563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0.58531808246333705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-0.1349739904770427</v>
      </c>
      <c r="H615" t="s">
        <v>29</v>
      </c>
      <c r="I615">
        <f>VLOOKUP(Table4[[#This Row],[Visitor]],'NHL Model'!$A$6:$B$38,2,FALSE)</f>
        <v>-1.6840122346544992</v>
      </c>
      <c r="J615">
        <f>($B$1+Table4[[#This Row],[Home Differential]])-Table4[[#This Row],[Away Differential]]</f>
        <v>1.7084579057022837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0.84079970416128502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-3.2309887002194844E-2</v>
      </c>
      <c r="H616" t="s">
        <v>34</v>
      </c>
      <c r="I616">
        <f>VLOOKUP(Table4[[#This Row],[Visitor]],'NHL Model'!$A$6:$B$38,2,FALSE)</f>
        <v>-0.17681265190927384</v>
      </c>
      <c r="J616">
        <f>($B$1+Table4[[#This Row],[Home Differential]])-Table4[[#This Row],[Away Differential]]</f>
        <v>0.30392242643190615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0.56145388855083456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-7.3890719153774626E-2</v>
      </c>
      <c r="H617" t="s">
        <v>17</v>
      </c>
      <c r="I617">
        <f>VLOOKUP(Table4[[#This Row],[Visitor]],'NHL Model'!$A$6:$B$38,2,FALSE)</f>
        <v>-0.8561868317598319</v>
      </c>
      <c r="J617">
        <f>($B$1+Table4[[#This Row],[Home Differential]])-Table4[[#This Row],[Away Differential]]</f>
        <v>0.94171577413088436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0.67332550041577133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-0.13160108676160023</v>
      </c>
      <c r="H618" t="s">
        <v>30</v>
      </c>
      <c r="I618">
        <f>VLOOKUP(Table4[[#This Row],[Visitor]],'NHL Model'!$A$6:$B$38,2,FALSE)</f>
        <v>3.2883390994754517E-3</v>
      </c>
      <c r="J618">
        <f>($B$1+Table4[[#This Row],[Home Differential]])-Table4[[#This Row],[Away Differential]]</f>
        <v>2.4530235663751461E-2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0.47078475007579762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-0.21100886368613675</v>
      </c>
      <c r="H619" t="s">
        <v>18</v>
      </c>
      <c r="I619">
        <f>VLOOKUP(Table4[[#This Row],[Visitor]],'NHL Model'!$A$6:$B$38,2,FALSE)</f>
        <v>-0.75480422558713034</v>
      </c>
      <c r="J619">
        <f>($B$1+Table4[[#This Row],[Home Differential]])-Table4[[#This Row],[Away Differential]]</f>
        <v>0.70321502342582076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0.64315030351477998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-0.2200802314358897</v>
      </c>
      <c r="H620" t="s">
        <v>25</v>
      </c>
      <c r="I620">
        <f>VLOOKUP(Table4[[#This Row],[Visitor]],'NHL Model'!$A$6:$B$38,2,FALSE)</f>
        <v>0.42254821659882374</v>
      </c>
      <c r="J620">
        <f>($B$1+Table4[[#This Row],[Home Differential]])-Table4[[#This Row],[Away Differential]]</f>
        <v>-0.4832087865098863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0.59975405671243409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-0.95664361852990654</v>
      </c>
      <c r="H621" t="s">
        <v>24</v>
      </c>
      <c r="I621">
        <f>VLOOKUP(Table4[[#This Row],[Visitor]],'NHL Model'!$A$6:$B$38,2,FALSE)</f>
        <v>2.0731927685773251E-2</v>
      </c>
      <c r="J621">
        <f>($B$1+Table4[[#This Row],[Home Differential]])-Table4[[#This Row],[Away Differential]]</f>
        <v>-0.81795588469085267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0.57446588814835231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-1.1267952052768424</v>
      </c>
      <c r="H622" t="s">
        <v>27</v>
      </c>
      <c r="I622">
        <f>VLOOKUP(Table4[[#This Row],[Visitor]],'NHL Model'!$A$6:$B$38,2,FALSE)</f>
        <v>-0.54160534998918008</v>
      </c>
      <c r="J622">
        <f>($B$1+Table4[[#This Row],[Home Differential]])-Table4[[#This Row],[Away Differential]]</f>
        <v>-0.4257701937628352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0.5191510995263896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0.35254565315374792</v>
      </c>
      <c r="H623" t="s">
        <v>37</v>
      </c>
      <c r="I623">
        <f>VLOOKUP(Table4[[#This Row],[Visitor]],'NHL Model'!$A$6:$B$38,2,FALSE)</f>
        <v>0.1846559193064522</v>
      </c>
      <c r="J623">
        <f>($B$1+Table4[[#This Row],[Home Differential]])-Table4[[#This Row],[Away Differential]]</f>
        <v>0.32730939537212289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0.61690077898371865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-0.72083617366747277</v>
      </c>
      <c r="H624" t="s">
        <v>24</v>
      </c>
      <c r="I624">
        <f>VLOOKUP(Table4[[#This Row],[Visitor]],'NHL Model'!$A$6:$B$38,2,FALSE)</f>
        <v>2.0731927685773251E-2</v>
      </c>
      <c r="J624">
        <f>($B$1+Table4[[#This Row],[Home Differential]])-Table4[[#This Row],[Away Differential]]</f>
        <v>-0.58214843982841891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0.53465781819867475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-1.1167763879247272</v>
      </c>
      <c r="H625" t="s">
        <v>27</v>
      </c>
      <c r="I625">
        <f>VLOOKUP(Table4[[#This Row],[Visitor]],'NHL Model'!$A$6:$B$38,2,FALSE)</f>
        <v>-0.54160534998918008</v>
      </c>
      <c r="J625">
        <f>($B$1+Table4[[#This Row],[Home Differential]])-Table4[[#This Row],[Away Differential]]</f>
        <v>-0.41575137641072002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0.51775921237455724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1.4583704516548168</v>
      </c>
      <c r="H626" t="s">
        <v>35</v>
      </c>
      <c r="I626">
        <f>VLOOKUP(Table4[[#This Row],[Visitor]],'NHL Model'!$A$6:$B$38,2,FALSE)</f>
        <v>-1.5594075795597986</v>
      </c>
      <c r="J626">
        <f>($B$1+Table4[[#This Row],[Home Differential]])-Table4[[#This Row],[Away Differential]]</f>
        <v>3.1771976927394423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1.9153995907683643E-3</v>
      </c>
      <c r="H627" t="s">
        <v>23</v>
      </c>
      <c r="I627">
        <f>VLOOKUP(Table4[[#This Row],[Visitor]],'NHL Model'!$A$6:$B$38,2,FALSE)</f>
        <v>-0.49794713300108584</v>
      </c>
      <c r="J627">
        <f>($B$1+Table4[[#This Row],[Home Differential]])-Table4[[#This Row],[Away Differential]]</f>
        <v>0.65928219411668132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0.6340877683111128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-0.67114180037169746</v>
      </c>
      <c r="H628" t="s">
        <v>40</v>
      </c>
      <c r="I628">
        <f>VLOOKUP(Table4[[#This Row],[Visitor]],'NHL Model'!$A$6:$B$38,2,FALSE)</f>
        <v>-7.3890719153774626E-2</v>
      </c>
      <c r="J628">
        <f>($B$1+Table4[[#This Row],[Home Differential]])-Table4[[#This Row],[Away Differential]]</f>
        <v>-0.43783141969309569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0.55449761904465666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-0.8561868317598319</v>
      </c>
      <c r="H629" t="s">
        <v>21</v>
      </c>
      <c r="I629">
        <f>VLOOKUP(Table4[[#This Row],[Visitor]],'NHL Model'!$A$6:$B$38,2,FALSE)</f>
        <v>-0.12487089668223171</v>
      </c>
      <c r="J629">
        <f>($B$1+Table4[[#This Row],[Home Differential]])-Table4[[#This Row],[Away Differential]]</f>
        <v>-0.57189627355277306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0.53240604804808489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-0.3479098095875402</v>
      </c>
      <c r="H630" t="s">
        <v>34</v>
      </c>
      <c r="I630">
        <f>VLOOKUP(Table4[[#This Row],[Visitor]],'NHL Model'!$A$6:$B$38,2,FALSE)</f>
        <v>-0.17681265190927384</v>
      </c>
      <c r="J630">
        <f>($B$1+Table4[[#This Row],[Home Differential]])-Table4[[#This Row],[Away Differential]]</f>
        <v>-1.1677496153439215E-2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0.4823915536732522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-3.2309887002194844E-2</v>
      </c>
      <c r="H631" t="s">
        <v>29</v>
      </c>
      <c r="I631">
        <f>VLOOKUP(Table4[[#This Row],[Visitor]],'NHL Model'!$A$6:$B$38,2,FALSE)</f>
        <v>-1.6840122346544992</v>
      </c>
      <c r="J631">
        <f>($B$1+Table4[[#This Row],[Home Differential]])-Table4[[#This Row],[Away Differential]]</f>
        <v>1.8111220091771316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0.79161427405823825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0.21430145909042725</v>
      </c>
      <c r="H632" t="s">
        <v>15</v>
      </c>
      <c r="I632">
        <f>VLOOKUP(Table4[[#This Row],[Visitor]],'NHL Model'!$A$6:$B$38,2,FALSE)</f>
        <v>-0.50599078340071213</v>
      </c>
      <c r="J632">
        <f>($B$1+Table4[[#This Row],[Home Differential]])-Table4[[#This Row],[Away Differential]]</f>
        <v>0.87971190401596655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0.57873773064717182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0.42254821659882374</v>
      </c>
      <c r="H633" t="s">
        <v>18</v>
      </c>
      <c r="I633">
        <f>VLOOKUP(Table4[[#This Row],[Visitor]],'NHL Model'!$A$6:$B$38,2,FALSE)</f>
        <v>-0.75480422558713034</v>
      </c>
      <c r="J633">
        <f>($B$1+Table4[[#This Row],[Home Differential]])-Table4[[#This Row],[Away Differential]]</f>
        <v>1.3367721037107811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0.7311686722511771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-0.13160108676160023</v>
      </c>
      <c r="H634" t="s">
        <v>39</v>
      </c>
      <c r="I634">
        <f>VLOOKUP(Table4[[#This Row],[Visitor]],'NHL Model'!$A$6:$B$38,2,FALSE)</f>
        <v>1.9153995907683643E-3</v>
      </c>
      <c r="J634">
        <f>($B$1+Table4[[#This Row],[Home Differential]])-Table4[[#This Row],[Away Differential]]</f>
        <v>2.5903175172458548E-2</v>
      </c>
      <c r="K634" t="str">
        <f>IF(Table4[[#This Row],[HomeIce Differential]]&gt;0,Table4[[#This Row],[Home]],Table4[[#This Row],[Visitor]])</f>
        <v>Chicago Blackhawks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0.45111247010473832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-0.31985119938240425</v>
      </c>
      <c r="H635" t="s">
        <v>37</v>
      </c>
      <c r="I635">
        <f>VLOOKUP(Table4[[#This Row],[Visitor]],'NHL Model'!$A$6:$B$38,2,FALSE)</f>
        <v>0.1846559193064522</v>
      </c>
      <c r="J635">
        <f>($B$1+Table4[[#This Row],[Home Differential]])-Table4[[#This Row],[Away Differential]]</f>
        <v>-0.34508745716402933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0.57425785498940318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3.2883390994754517E-3</v>
      </c>
      <c r="H636" t="s">
        <v>55</v>
      </c>
      <c r="I636">
        <f>VLOOKUP(Table4[[#This Row],[Visitor]],'NHL Model'!$A$6:$B$38,2,FALSE)</f>
        <v>-0.1349739904770427</v>
      </c>
      <c r="J636">
        <f>($B$1+Table4[[#This Row],[Home Differential]])-Table4[[#This Row],[Away Differential]]</f>
        <v>0.2976819911013453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0.58135615254612616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-0.34257283900844787</v>
      </c>
      <c r="H637" t="s">
        <v>22</v>
      </c>
      <c r="I637">
        <f>VLOOKUP(Table4[[#This Row],[Visitor]],'NHL Model'!$A$6:$B$38,2,FALSE)</f>
        <v>0.21430145909042725</v>
      </c>
      <c r="J637">
        <f>($B$1+Table4[[#This Row],[Home Differential]])-Table4[[#This Row],[Away Differential]]</f>
        <v>-0.397454636574048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0.53347816544364168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-0.2200802314358897</v>
      </c>
      <c r="H638" t="s">
        <v>26</v>
      </c>
      <c r="I638">
        <f>VLOOKUP(Table4[[#This Row],[Visitor]],'NHL Model'!$A$6:$B$38,2,FALSE)</f>
        <v>-0.67114180037169746</v>
      </c>
      <c r="J638">
        <f>($B$1+Table4[[#This Row],[Home Differential]])-Table4[[#This Row],[Away Differential]]</f>
        <v>0.61048123046063485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0.60404327266797408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-0.46055888840939002</v>
      </c>
      <c r="H639" t="s">
        <v>29</v>
      </c>
      <c r="I639">
        <f>VLOOKUP(Table4[[#This Row],[Visitor]],'NHL Model'!$A$6:$B$38,2,FALSE)</f>
        <v>-1.6840122346544992</v>
      </c>
      <c r="J639">
        <f>($B$1+Table4[[#This Row],[Home Differential]])-Table4[[#This Row],[Away Differential]]</f>
        <v>1.3828730077699363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0.75815653635043945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-0.95664361852990654</v>
      </c>
      <c r="H640" t="s">
        <v>40</v>
      </c>
      <c r="I640">
        <f>VLOOKUP(Table4[[#This Row],[Visitor]],'NHL Model'!$A$6:$B$38,2,FALSE)</f>
        <v>-7.3890719153774626E-2</v>
      </c>
      <c r="J640">
        <f>($B$1+Table4[[#This Row],[Home Differential]])-Table4[[#This Row],[Away Differential]]</f>
        <v>-0.72333323785130477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0.62680651655995134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0.35254565315374792</v>
      </c>
      <c r="H641" t="s">
        <v>34</v>
      </c>
      <c r="I641">
        <f>VLOOKUP(Table4[[#This Row],[Visitor]],'NHL Model'!$A$6:$B$38,2,FALSE)</f>
        <v>-0.17681265190927384</v>
      </c>
      <c r="J641">
        <f>($B$1+Table4[[#This Row],[Home Differential]])-Table4[[#This Row],[Away Differential]]</f>
        <v>0.68877796658784896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0.71107467225110532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-0.21100886368613675</v>
      </c>
      <c r="H642" t="s">
        <v>15</v>
      </c>
      <c r="I642">
        <f>VLOOKUP(Table4[[#This Row],[Visitor]],'NHL Model'!$A$6:$B$38,2,FALSE)</f>
        <v>-0.50599078340071213</v>
      </c>
      <c r="J642">
        <f>($B$1+Table4[[#This Row],[Home Differential]])-Table4[[#This Row],[Away Differential]]</f>
        <v>0.45440158123940255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0.57221968971150039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-1.5594075795597986</v>
      </c>
      <c r="H643" t="s">
        <v>20</v>
      </c>
      <c r="I643">
        <f>VLOOKUP(Table4[[#This Row],[Visitor]],'NHL Model'!$A$6:$B$38,2,FALSE)</f>
        <v>-3.2309887002194844E-2</v>
      </c>
      <c r="J643">
        <f>($B$1+Table4[[#This Row],[Home Differential]])-Table4[[#This Row],[Away Differential]]</f>
        <v>-1.3676780310327765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0.65000780354939436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-1.1267952052768424</v>
      </c>
      <c r="H644" t="s">
        <v>32</v>
      </c>
      <c r="I644">
        <f>VLOOKUP(Table4[[#This Row],[Visitor]],'NHL Model'!$A$6:$B$38,2,FALSE)</f>
        <v>-0.46055888840939002</v>
      </c>
      <c r="J644">
        <f>($B$1+Table4[[#This Row],[Home Differential]])-Table4[[#This Row],[Away Differential]]</f>
        <v>-0.50681665534262521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0.53041066486326771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0.42254821659882374</v>
      </c>
      <c r="H645" t="s">
        <v>12</v>
      </c>
      <c r="I645">
        <f>VLOOKUP(Table4[[#This Row],[Visitor]],'NHL Model'!$A$6:$B$38,2,FALSE)</f>
        <v>1.4583704516548168</v>
      </c>
      <c r="J645">
        <f>($B$1+Table4[[#This Row],[Home Differential]])-Table4[[#This Row],[Away Differential]]</f>
        <v>-0.87640257353116591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0.62175623519809442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-0.72083617366747277</v>
      </c>
      <c r="H646" t="s">
        <v>23</v>
      </c>
      <c r="I646">
        <f>VLOOKUP(Table4[[#This Row],[Visitor]],'NHL Model'!$A$6:$B$38,2,FALSE)</f>
        <v>-0.49794713300108584</v>
      </c>
      <c r="J646">
        <f>($B$1+Table4[[#This Row],[Home Differential]])-Table4[[#This Row],[Away Differential]]</f>
        <v>-6.3469379141559812E-2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0.46177167703346461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-1.1167763879247272</v>
      </c>
      <c r="H647" t="s">
        <v>29</v>
      </c>
      <c r="I647">
        <f>VLOOKUP(Table4[[#This Row],[Visitor]],'NHL Model'!$A$6:$B$38,2,FALSE)</f>
        <v>-1.6840122346544992</v>
      </c>
      <c r="J647">
        <f>($B$1+Table4[[#This Row],[Home Differential]])-Table4[[#This Row],[Away Differential]]</f>
        <v>0.72665550825459913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0.6409522811127295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-0.67114180037169746</v>
      </c>
      <c r="H648" t="s">
        <v>14</v>
      </c>
      <c r="I648">
        <f>VLOOKUP(Table4[[#This Row],[Visitor]],'NHL Model'!$A$6:$B$38,2,FALSE)</f>
        <v>-0.2200802314358897</v>
      </c>
      <c r="J648">
        <f>($B$1+Table4[[#This Row],[Home Differential]])-Table4[[#This Row],[Away Differential]]</f>
        <v>-0.29164190741098062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0.46827095427447091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-0.8561868317598319</v>
      </c>
      <c r="H649" t="s">
        <v>27</v>
      </c>
      <c r="I649">
        <f>VLOOKUP(Table4[[#This Row],[Visitor]],'NHL Model'!$A$6:$B$38,2,FALSE)</f>
        <v>-0.54160534998918008</v>
      </c>
      <c r="J649">
        <f>($B$1+Table4[[#This Row],[Home Differential]])-Table4[[#This Row],[Away Differential]]</f>
        <v>-0.1551618202458247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0.47451025946367847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-0.31985119938240425</v>
      </c>
      <c r="H650" t="s">
        <v>34</v>
      </c>
      <c r="I650">
        <f>VLOOKUP(Table4[[#This Row],[Visitor]],'NHL Model'!$A$6:$B$38,2,FALSE)</f>
        <v>-0.17681265190927384</v>
      </c>
      <c r="J650">
        <f>($B$1+Table4[[#This Row],[Home Differential]])-Table4[[#This Row],[Away Differential]]</f>
        <v>1.6381114051696732E-2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0.52150655302639304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2.0731927685773251E-2</v>
      </c>
      <c r="H651" t="s">
        <v>55</v>
      </c>
      <c r="I651">
        <f>VLOOKUP(Table4[[#This Row],[Visitor]],'NHL Model'!$A$6:$B$38,2,FALSE)</f>
        <v>-0.1349739904770427</v>
      </c>
      <c r="J651">
        <f>($B$1+Table4[[#This Row],[Home Differential]])-Table4[[#This Row],[Away Differential]]</f>
        <v>0.3151255796876431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0.70275812624644107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3.2883390994754517E-3</v>
      </c>
      <c r="H652" t="s">
        <v>19</v>
      </c>
      <c r="I652">
        <f>VLOOKUP(Table4[[#This Row],[Visitor]],'NHL Model'!$A$6:$B$38,2,FALSE)</f>
        <v>-0.95664361852990654</v>
      </c>
      <c r="J652">
        <f>($B$1+Table4[[#This Row],[Home Differential]])-Table4[[#This Row],[Away Differential]]</f>
        <v>1.1193516191542092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0.69550848791096243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-0.34257283900844787</v>
      </c>
      <c r="H653" t="s">
        <v>40</v>
      </c>
      <c r="I653">
        <f>VLOOKUP(Table4[[#This Row],[Visitor]],'NHL Model'!$A$6:$B$38,2,FALSE)</f>
        <v>-7.3890719153774626E-2</v>
      </c>
      <c r="J653">
        <f>($B$1+Table4[[#This Row],[Home Differential]])-Table4[[#This Row],[Away Differential]]</f>
        <v>-0.1092624583298461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0.53898906113234246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-0.3479098095875402</v>
      </c>
      <c r="H654" t="s">
        <v>37</v>
      </c>
      <c r="I654">
        <f>VLOOKUP(Table4[[#This Row],[Visitor]],'NHL Model'!$A$6:$B$38,2,FALSE)</f>
        <v>0.1846559193064522</v>
      </c>
      <c r="J654">
        <f>($B$1+Table4[[#This Row],[Home Differential]])-Table4[[#This Row],[Away Differential]]</f>
        <v>-0.37314606736916522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0.57815596168904837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-1.5594075795597986</v>
      </c>
      <c r="H655" t="s">
        <v>18</v>
      </c>
      <c r="I655">
        <f>VLOOKUP(Table4[[#This Row],[Visitor]],'NHL Model'!$A$6:$B$38,2,FALSE)</f>
        <v>-0.75480422558713034</v>
      </c>
      <c r="J655">
        <f>($B$1+Table4[[#This Row],[Home Differential]])-Table4[[#This Row],[Away Differential]]</f>
        <v>-0.64518369244784113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0.59673301394619505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-1.1267952052768424</v>
      </c>
      <c r="H656" t="s">
        <v>21</v>
      </c>
      <c r="I656">
        <f>VLOOKUP(Table4[[#This Row],[Visitor]],'NHL Model'!$A$6:$B$38,2,FALSE)</f>
        <v>-0.12487089668223171</v>
      </c>
      <c r="J656">
        <f>($B$1+Table4[[#This Row],[Home Differential]])-Table4[[#This Row],[Away Differential]]</f>
        <v>-0.84250464706978356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0.57704688811079607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0.21430145909042725</v>
      </c>
      <c r="H657" t="s">
        <v>10</v>
      </c>
      <c r="I657">
        <f>VLOOKUP(Table4[[#This Row],[Visitor]],'NHL Model'!$A$6:$B$38,2,FALSE)</f>
        <v>-0.13160108676160023</v>
      </c>
      <c r="J657">
        <f>($B$1+Table4[[#This Row],[Home Differential]])-Table4[[#This Row],[Away Differential]]</f>
        <v>0.50532220737685463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0.61020304525612923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-0.72083617366747277</v>
      </c>
      <c r="H658" t="s">
        <v>14</v>
      </c>
      <c r="I658">
        <f>VLOOKUP(Table4[[#This Row],[Visitor]],'NHL Model'!$A$6:$B$38,2,FALSE)</f>
        <v>-0.2200802314358897</v>
      </c>
      <c r="J658">
        <f>($B$1+Table4[[#This Row],[Home Differential]])-Table4[[#This Row],[Away Differential]]</f>
        <v>-0.34133628070675592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0.50037497287320998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-0.13160108676160023</v>
      </c>
      <c r="H659" t="s">
        <v>20</v>
      </c>
      <c r="I659">
        <f>VLOOKUP(Table4[[#This Row],[Visitor]],'NHL Model'!$A$6:$B$38,2,FALSE)</f>
        <v>-3.2309887002194844E-2</v>
      </c>
      <c r="J659">
        <f>($B$1+Table4[[#This Row],[Home Differential]])-Table4[[#This Row],[Away Differential]]</f>
        <v>6.0128461765421755E-2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0.54835348429353969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1.9153995907683643E-3</v>
      </c>
      <c r="H660" t="s">
        <v>18</v>
      </c>
      <c r="I660">
        <f>VLOOKUP(Table4[[#This Row],[Visitor]],'NHL Model'!$A$6:$B$38,2,FALSE)</f>
        <v>-0.75480422558713034</v>
      </c>
      <c r="J660">
        <f>($B$1+Table4[[#This Row],[Home Differential]])-Table4[[#This Row],[Away Differential]]</f>
        <v>0.91613928670272582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0.62268959314134231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-0.21100886368613675</v>
      </c>
      <c r="H661" t="s">
        <v>12</v>
      </c>
      <c r="I661">
        <f>VLOOKUP(Table4[[#This Row],[Visitor]],'NHL Model'!$A$6:$B$38,2,FALSE)</f>
        <v>1.4583704516548168</v>
      </c>
      <c r="J661">
        <f>($B$1+Table4[[#This Row],[Home Differential]])-Table4[[#This Row],[Away Differential]]</f>
        <v>-1.5099596538161264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0.70977460393449154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2.0731927685773251E-2</v>
      </c>
      <c r="H662" t="s">
        <v>25</v>
      </c>
      <c r="I662">
        <f>VLOOKUP(Table4[[#This Row],[Visitor]],'NHL Model'!$A$6:$B$38,2,FALSE)</f>
        <v>0.42254821659882374</v>
      </c>
      <c r="J662">
        <f>($B$1+Table4[[#This Row],[Home Differential]])-Table4[[#This Row],[Away Differential]]</f>
        <v>-0.24239662738822335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0.44276641583502052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-1.1167763879247272</v>
      </c>
      <c r="H663" t="s">
        <v>32</v>
      </c>
      <c r="I663">
        <f>VLOOKUP(Table4[[#This Row],[Visitor]],'NHL Model'!$A$6:$B$38,2,FALSE)</f>
        <v>-0.46055888840939002</v>
      </c>
      <c r="J663">
        <f>($B$1+Table4[[#This Row],[Home Differential]])-Table4[[#This Row],[Away Differential]]</f>
        <v>-0.49679783799051008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0.52901877771143524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-0.31985119938240425</v>
      </c>
      <c r="H664" t="s">
        <v>34</v>
      </c>
      <c r="I664">
        <f>VLOOKUP(Table4[[#This Row],[Visitor]],'NHL Model'!$A$6:$B$38,2,FALSE)</f>
        <v>-0.17681265190927384</v>
      </c>
      <c r="J664">
        <f>($B$1+Table4[[#This Row],[Home Differential]])-Table4[[#This Row],[Away Differential]]</f>
        <v>1.6381114051696732E-2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0.52150655302639304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-0.50599078340071213</v>
      </c>
      <c r="H665" t="s">
        <v>55</v>
      </c>
      <c r="I665">
        <f>VLOOKUP(Table4[[#This Row],[Visitor]],'NHL Model'!$A$6:$B$38,2,FALSE)</f>
        <v>-0.1349739904770427</v>
      </c>
      <c r="J665">
        <f>($B$1+Table4[[#This Row],[Home Differential]])-Table4[[#This Row],[Away Differential]]</f>
        <v>-0.21159713139884231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0.48939661620804603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-0.34257283900844787</v>
      </c>
      <c r="H666" t="s">
        <v>26</v>
      </c>
      <c r="I666">
        <f>VLOOKUP(Table4[[#This Row],[Visitor]],'NHL Model'!$A$6:$B$38,2,FALSE)</f>
        <v>-0.67114180037169746</v>
      </c>
      <c r="J666">
        <f>($B$1+Table4[[#This Row],[Home Differential]])-Table4[[#This Row],[Away Differential]]</f>
        <v>0.48798862288807676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0.5895340677578893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0.21430145909042725</v>
      </c>
      <c r="H667" t="s">
        <v>31</v>
      </c>
      <c r="I667">
        <f>VLOOKUP(Table4[[#This Row],[Visitor]],'NHL Model'!$A$6:$B$38,2,FALSE)</f>
        <v>0.35254565315374792</v>
      </c>
      <c r="J667">
        <f>($B$1+Table4[[#This Row],[Home Differential]])-Table4[[#This Row],[Away Differential]]</f>
        <v>2.1175467461506503E-2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0.52217261955679539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-0.49794713300108584</v>
      </c>
      <c r="H668" t="s">
        <v>38</v>
      </c>
      <c r="I668">
        <f>VLOOKUP(Table4[[#This Row],[Visitor]],'NHL Model'!$A$6:$B$38,2,FALSE)</f>
        <v>-1.1267952052768424</v>
      </c>
      <c r="J668">
        <f>($B$1+Table4[[#This Row],[Home Differential]])-Table4[[#This Row],[Away Differential]]</f>
        <v>0.78826773380058368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0.64284523402183547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0.42254821659882374</v>
      </c>
      <c r="H669" t="s">
        <v>39</v>
      </c>
      <c r="I669">
        <f>VLOOKUP(Table4[[#This Row],[Visitor]],'NHL Model'!$A$6:$B$38,2,FALSE)</f>
        <v>1.9153995907683643E-3</v>
      </c>
      <c r="J669">
        <f>($B$1+Table4[[#This Row],[Home Differential]])-Table4[[#This Row],[Away Differential]]</f>
        <v>0.58005247853288255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0.58058511936920476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-0.8561868317598319</v>
      </c>
      <c r="H670" t="s">
        <v>29</v>
      </c>
      <c r="I670">
        <f>VLOOKUP(Table4[[#This Row],[Visitor]],'NHL Model'!$A$6:$B$38,2,FALSE)</f>
        <v>-1.6840122346544992</v>
      </c>
      <c r="J670">
        <f>($B$1+Table4[[#This Row],[Home Differential]])-Table4[[#This Row],[Away Differential]]</f>
        <v>0.98724506441949444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0.68420123402360833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3.2883390994754517E-3</v>
      </c>
      <c r="H671" t="s">
        <v>24</v>
      </c>
      <c r="I671">
        <f>VLOOKUP(Table4[[#This Row],[Visitor]],'NHL Model'!$A$6:$B$38,2,FALSE)</f>
        <v>2.0731927685773251E-2</v>
      </c>
      <c r="J671">
        <f>($B$1+Table4[[#This Row],[Home Differential]])-Table4[[#This Row],[Away Differential]]</f>
        <v>0.14197607293852935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0.55889485808539185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-0.54160534998918008</v>
      </c>
      <c r="H672" t="s">
        <v>31</v>
      </c>
      <c r="I672">
        <f>VLOOKUP(Table4[[#This Row],[Visitor]],'NHL Model'!$A$6:$B$38,2,FALSE)</f>
        <v>0.35254565315374792</v>
      </c>
      <c r="J672">
        <f>($B$1+Table4[[#This Row],[Home Differential]])-Table4[[#This Row],[Away Differential]]</f>
        <v>-0.73473134161810094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0.55035009683190539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-0.46055888840939002</v>
      </c>
      <c r="H673" t="s">
        <v>21</v>
      </c>
      <c r="I673">
        <f>VLOOKUP(Table4[[#This Row],[Visitor]],'NHL Model'!$A$6:$B$38,2,FALSE)</f>
        <v>-0.12487089668223171</v>
      </c>
      <c r="J673">
        <f>($B$1+Table4[[#This Row],[Home Differential]])-Table4[[#This Row],[Away Differential]]</f>
        <v>-0.17626833020233112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0.45845074572125361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-0.3479098095875402</v>
      </c>
      <c r="H674" t="s">
        <v>28</v>
      </c>
      <c r="I674">
        <f>VLOOKUP(Table4[[#This Row],[Visitor]],'NHL Model'!$A$6:$B$38,2,FALSE)</f>
        <v>-0.72083617366747277</v>
      </c>
      <c r="J674">
        <f>($B$1+Table4[[#This Row],[Home Differential]])-Table4[[#This Row],[Away Differential]]</f>
        <v>0.53234602560475974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0.61395739110982761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0.1846559193064522</v>
      </c>
      <c r="H675" t="s">
        <v>12</v>
      </c>
      <c r="I675">
        <f>VLOOKUP(Table4[[#This Row],[Visitor]],'NHL Model'!$A$6:$B$38,2,FALSE)</f>
        <v>1.4583704516548168</v>
      </c>
      <c r="J675">
        <f>($B$1+Table4[[#This Row],[Home Differential]])-Table4[[#This Row],[Away Differential]]</f>
        <v>-1.1142948708235374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0.68813930089841624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-0.95664361852990654</v>
      </c>
      <c r="H676" t="s">
        <v>11</v>
      </c>
      <c r="I676">
        <f>VLOOKUP(Table4[[#This Row],[Visitor]],'NHL Model'!$A$6:$B$38,2,FALSE)</f>
        <v>-0.21100886368613675</v>
      </c>
      <c r="J676">
        <f>($B$1+Table4[[#This Row],[Home Differential]])-Table4[[#This Row],[Away Differential]]</f>
        <v>-0.58621509331894273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0.54144127474572712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-7.3890719153774626E-2</v>
      </c>
      <c r="H677" t="s">
        <v>20</v>
      </c>
      <c r="I677">
        <f>VLOOKUP(Table4[[#This Row],[Visitor]],'NHL Model'!$A$6:$B$38,2,FALSE)</f>
        <v>-3.2309887002194844E-2</v>
      </c>
      <c r="J677">
        <f>($B$1+Table4[[#This Row],[Home Differential]])-Table4[[#This Row],[Away Differential]]</f>
        <v>0.11783882937324736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0.55886650852118502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-0.13160108676160023</v>
      </c>
      <c r="H678" t="s">
        <v>35</v>
      </c>
      <c r="I678">
        <f>VLOOKUP(Table4[[#This Row],[Visitor]],'NHL Model'!$A$6:$B$38,2,FALSE)</f>
        <v>-1.5594075795597986</v>
      </c>
      <c r="J678">
        <f>($B$1+Table4[[#This Row],[Home Differential]])-Table4[[#This Row],[Away Differential]]</f>
        <v>1.5872261543230255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0.76050902952015209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-0.31985119938240425</v>
      </c>
      <c r="H679" t="s">
        <v>33</v>
      </c>
      <c r="I679">
        <f>VLOOKUP(Table4[[#This Row],[Visitor]],'NHL Model'!$A$6:$B$38,2,FALSE)</f>
        <v>-0.3479098095875402</v>
      </c>
      <c r="J679">
        <f>($B$1+Table4[[#This Row],[Home Differential]])-Table4[[#This Row],[Away Differential]]</f>
        <v>0.18747827172996309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0.56604584837686345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-0.75480422558713034</v>
      </c>
      <c r="H680" t="s">
        <v>16</v>
      </c>
      <c r="I680">
        <f>VLOOKUP(Table4[[#This Row],[Visitor]],'NHL Model'!$A$6:$B$38,2,FALSE)</f>
        <v>-1.1167763879247272</v>
      </c>
      <c r="J680">
        <f>($B$1+Table4[[#This Row],[Home Differential]])-Table4[[#This Row],[Away Differential]]</f>
        <v>0.521391823862424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0.61243555353879753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-0.1349739904770427</v>
      </c>
      <c r="H681" t="s">
        <v>36</v>
      </c>
      <c r="I681">
        <f>VLOOKUP(Table4[[#This Row],[Visitor]],'NHL Model'!$A$6:$B$38,2,FALSE)</f>
        <v>-0.34257283900844787</v>
      </c>
      <c r="J681">
        <f>($B$1+Table4[[#This Row],[Home Differential]])-Table4[[#This Row],[Away Differential]]</f>
        <v>0.36701851005623232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0.6544371631406749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0.21430145909042725</v>
      </c>
      <c r="H682" t="s">
        <v>39</v>
      </c>
      <c r="I682">
        <f>VLOOKUP(Table4[[#This Row],[Visitor]],'NHL Model'!$A$6:$B$38,2,FALSE)</f>
        <v>1.9153995907683643E-3</v>
      </c>
      <c r="J682">
        <f>($B$1+Table4[[#This Row],[Home Differential]])-Table4[[#This Row],[Away Differential]]</f>
        <v>0.37180572102448606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0.4991677736836494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-0.12487089668223171</v>
      </c>
      <c r="H683" t="s">
        <v>16</v>
      </c>
      <c r="I683">
        <f>VLOOKUP(Table4[[#This Row],[Visitor]],'NHL Model'!$A$6:$B$38,2,FALSE)</f>
        <v>-1.1167763879247272</v>
      </c>
      <c r="J683">
        <f>($B$1+Table4[[#This Row],[Home Differential]])-Table4[[#This Row],[Away Differential]]</f>
        <v>1.1513251527673227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0.75166646064476073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0.42254821659882374</v>
      </c>
      <c r="H684" t="s">
        <v>31</v>
      </c>
      <c r="I684">
        <f>VLOOKUP(Table4[[#This Row],[Visitor]],'NHL Model'!$A$6:$B$38,2,FALSE)</f>
        <v>0.35254565315374792</v>
      </c>
      <c r="J684">
        <f>($B$1+Table4[[#This Row],[Home Differential]])-Table4[[#This Row],[Away Differential]]</f>
        <v>0.229422224969903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0.6033015795948492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1.4583704516548168</v>
      </c>
      <c r="H685" t="s">
        <v>36</v>
      </c>
      <c r="I685">
        <f>VLOOKUP(Table4[[#This Row],[Visitor]],'NHL Model'!$A$6:$B$38,2,FALSE)</f>
        <v>-0.34257283900844787</v>
      </c>
      <c r="J685">
        <f>($B$1+Table4[[#This Row],[Home Differential]])-Table4[[#This Row],[Away Differential]]</f>
        <v>1.9603629521880919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0.90726854886905972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-0.67114180037169746</v>
      </c>
      <c r="H686" t="s">
        <v>38</v>
      </c>
      <c r="I686">
        <f>VLOOKUP(Table4[[#This Row],[Visitor]],'NHL Model'!$A$6:$B$38,2,FALSE)</f>
        <v>-1.1267952052768424</v>
      </c>
      <c r="J686">
        <f>($B$1+Table4[[#This Row],[Home Differential]])-Table4[[#This Row],[Away Differential]]</f>
        <v>0.61507306642997206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0.63717457269929534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-0.75480422558713034</v>
      </c>
      <c r="H687" t="s">
        <v>11</v>
      </c>
      <c r="I687">
        <f>VLOOKUP(Table4[[#This Row],[Visitor]],'NHL Model'!$A$6:$B$38,2,FALSE)</f>
        <v>-0.21100886368613675</v>
      </c>
      <c r="J687">
        <f>($B$1+Table4[[#This Row],[Home Differential]])-Table4[[#This Row],[Away Differential]]</f>
        <v>-0.38437570037616647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0.51340027470579819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-1.6840122346544992</v>
      </c>
      <c r="H688" t="s">
        <v>30</v>
      </c>
      <c r="I688">
        <f>VLOOKUP(Table4[[#This Row],[Visitor]],'NHL Model'!$A$6:$B$38,2,FALSE)</f>
        <v>3.2883390994754517E-3</v>
      </c>
      <c r="J688">
        <f>($B$1+Table4[[#This Row],[Home Differential]])-Table4[[#This Row],[Away Differential]]</f>
        <v>-1.5278809122291475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0.74488752492154398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-0.50599078340071213</v>
      </c>
      <c r="H689" t="s">
        <v>23</v>
      </c>
      <c r="I689">
        <f>VLOOKUP(Table4[[#This Row],[Visitor]],'NHL Model'!$A$6:$B$38,2,FALSE)</f>
        <v>-0.49794713300108584</v>
      </c>
      <c r="J689">
        <f>($B$1+Table4[[#This Row],[Home Differential]])-Table4[[#This Row],[Away Differential]]</f>
        <v>0.15137601112520083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0.56103025911898907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-0.54160534998918008</v>
      </c>
      <c r="H690" t="s">
        <v>19</v>
      </c>
      <c r="I690">
        <f>VLOOKUP(Table4[[#This Row],[Visitor]],'NHL Model'!$A$6:$B$38,2,FALSE)</f>
        <v>-0.95664361852990654</v>
      </c>
      <c r="J690">
        <f>($B$1+Table4[[#This Row],[Home Differential]])-Table4[[#This Row],[Away Differential]]</f>
        <v>0.57445793006555357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0.65205394971564068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-0.2200802314358897</v>
      </c>
      <c r="H691" t="s">
        <v>24</v>
      </c>
      <c r="I691">
        <f>VLOOKUP(Table4[[#This Row],[Visitor]],'NHL Model'!$A$6:$B$38,2,FALSE)</f>
        <v>2.0731927685773251E-2</v>
      </c>
      <c r="J691">
        <f>($B$1+Table4[[#This Row],[Home Differential]])-Table4[[#This Row],[Away Differential]]</f>
        <v>-8.1392497596835811E-2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0.47213713227080584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-0.46055888840939002</v>
      </c>
      <c r="H692" t="s">
        <v>34</v>
      </c>
      <c r="I692">
        <f>VLOOKUP(Table4[[#This Row],[Visitor]],'NHL Model'!$A$6:$B$38,2,FALSE)</f>
        <v>-0.17681265190927384</v>
      </c>
      <c r="J692">
        <f>($B$1+Table4[[#This Row],[Home Differential]])-Table4[[#This Row],[Away Differential]]</f>
        <v>-0.12432657497528901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0.47181780878224466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-3.2309887002194844E-2</v>
      </c>
      <c r="H693" t="s">
        <v>28</v>
      </c>
      <c r="I693">
        <f>VLOOKUP(Table4[[#This Row],[Visitor]],'NHL Model'!$A$6:$B$38,2,FALSE)</f>
        <v>-0.72083617366747277</v>
      </c>
      <c r="J693">
        <f>($B$1+Table4[[#This Row],[Home Differential]])-Table4[[#This Row],[Away Differential]]</f>
        <v>0.84794594819010505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0.65780283333391443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-7.3890719153774626E-2</v>
      </c>
      <c r="H694" t="s">
        <v>17</v>
      </c>
      <c r="I694">
        <f>VLOOKUP(Table4[[#This Row],[Visitor]],'NHL Model'!$A$6:$B$38,2,FALSE)</f>
        <v>-0.8561868317598319</v>
      </c>
      <c r="J694">
        <f>($B$1+Table4[[#This Row],[Home Differential]])-Table4[[#This Row],[Away Differential]]</f>
        <v>0.94171577413088436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0.67332550041577133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-0.13160108676160023</v>
      </c>
      <c r="H695" t="s">
        <v>22</v>
      </c>
      <c r="I695">
        <f>VLOOKUP(Table4[[#This Row],[Visitor]],'NHL Model'!$A$6:$B$38,2,FALSE)</f>
        <v>0.21430145909042725</v>
      </c>
      <c r="J695">
        <f>($B$1+Table4[[#This Row],[Home Differential]])-Table4[[#This Row],[Away Differential]]</f>
        <v>-0.18648288432720034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0.50667679267092358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-0.1349739904770427</v>
      </c>
      <c r="H696" t="s">
        <v>35</v>
      </c>
      <c r="I696">
        <f>VLOOKUP(Table4[[#This Row],[Visitor]],'NHL Model'!$A$6:$B$38,2,FALSE)</f>
        <v>-1.5594075795597986</v>
      </c>
      <c r="J696">
        <f>($B$1+Table4[[#This Row],[Home Differential]])-Table4[[#This Row],[Away Differential]]</f>
        <v>1.5838532506075831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0.82348871700687742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-7.3890719153774626E-2</v>
      </c>
      <c r="H697" t="s">
        <v>13</v>
      </c>
      <c r="I697">
        <f>VLOOKUP(Table4[[#This Row],[Visitor]],'NHL Model'!$A$6:$B$38,2,FALSE)</f>
        <v>-0.31985119938240425</v>
      </c>
      <c r="J697">
        <f>($B$1+Table4[[#This Row],[Home Differential]])-Table4[[#This Row],[Away Differential]]</f>
        <v>0.40538014175345677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0.51533475828390962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-0.12487089668223171</v>
      </c>
      <c r="H698" t="s">
        <v>15</v>
      </c>
      <c r="I698">
        <f>VLOOKUP(Table4[[#This Row],[Visitor]],'NHL Model'!$A$6:$B$38,2,FALSE)</f>
        <v>-0.50599078340071213</v>
      </c>
      <c r="J698">
        <f>($B$1+Table4[[#This Row],[Home Differential]])-Table4[[#This Row],[Away Differential]]</f>
        <v>0.54053954824330752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0.58418660410308643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-0.49794713300108584</v>
      </c>
      <c r="H699" t="s">
        <v>31</v>
      </c>
      <c r="I699">
        <f>VLOOKUP(Table4[[#This Row],[Visitor]],'NHL Model'!$A$6:$B$38,2,FALSE)</f>
        <v>0.35254565315374792</v>
      </c>
      <c r="J699">
        <f>($B$1+Table4[[#This Row],[Home Differential]])-Table4[[#This Row],[Away Differential]]</f>
        <v>-0.69107312463000659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0.56267558362193038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0.42254821659882374</v>
      </c>
      <c r="H700" t="s">
        <v>32</v>
      </c>
      <c r="I700">
        <f>VLOOKUP(Table4[[#This Row],[Visitor]],'NHL Model'!$A$6:$B$38,2,FALSE)</f>
        <v>-0.46055888840939002</v>
      </c>
      <c r="J700">
        <f>($B$1+Table4[[#This Row],[Home Differential]])-Table4[[#This Row],[Away Differential]]</f>
        <v>1.0425267665330409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0.73655139560091853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1.4583704516548168</v>
      </c>
      <c r="H701" t="s">
        <v>28</v>
      </c>
      <c r="I701">
        <f>VLOOKUP(Table4[[#This Row],[Visitor]],'NHL Model'!$A$6:$B$38,2,FALSE)</f>
        <v>-0.72083617366747277</v>
      </c>
      <c r="J701">
        <f>($B$1+Table4[[#This Row],[Home Differential]])-Table4[[#This Row],[Away Differential]]</f>
        <v>2.3386262868471168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0.95981964916534601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-0.8561868317598319</v>
      </c>
      <c r="H702" t="s">
        <v>13</v>
      </c>
      <c r="I702">
        <f>VLOOKUP(Table4[[#This Row],[Visitor]],'NHL Model'!$A$6:$B$38,2,FALSE)</f>
        <v>-0.31985119938240425</v>
      </c>
      <c r="J702">
        <f>($B$1+Table4[[#This Row],[Home Differential]])-Table4[[#This Row],[Away Differential]]</f>
        <v>-0.37691597085260053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0.58878775575252917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-0.17681265190927384</v>
      </c>
      <c r="H703" t="s">
        <v>30</v>
      </c>
      <c r="I703">
        <f>VLOOKUP(Table4[[#This Row],[Visitor]],'NHL Model'!$A$6:$B$38,2,FALSE)</f>
        <v>3.2883390994754517E-3</v>
      </c>
      <c r="J703">
        <f>($B$1+Table4[[#This Row],[Home Differential]])-Table4[[#This Row],[Away Differential]]</f>
        <v>-2.0681329483922144E-2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0.53549637018337104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-0.75480422558713034</v>
      </c>
      <c r="H704" t="s">
        <v>26</v>
      </c>
      <c r="I704">
        <f>VLOOKUP(Table4[[#This Row],[Visitor]],'NHL Model'!$A$6:$B$38,2,FALSE)</f>
        <v>-0.67114180037169746</v>
      </c>
      <c r="J704">
        <f>($B$1+Table4[[#This Row],[Home Differential]])-Table4[[#This Row],[Away Differential]]</f>
        <v>7.5757236309394238E-2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0.52975551683035649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-1.6840122346544992</v>
      </c>
      <c r="H705" t="s">
        <v>10</v>
      </c>
      <c r="I705">
        <f>VLOOKUP(Table4[[#This Row],[Visitor]],'NHL Model'!$A$6:$B$38,2,FALSE)</f>
        <v>-0.13160108676160023</v>
      </c>
      <c r="J705">
        <f>($B$1+Table4[[#This Row],[Home Differential]])-Table4[[#This Row],[Away Differential]]</f>
        <v>-1.3929914863680719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0.65352453332012339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-0.34257283900844787</v>
      </c>
      <c r="H706" t="s">
        <v>11</v>
      </c>
      <c r="I706">
        <f>VLOOKUP(Table4[[#This Row],[Visitor]],'NHL Model'!$A$6:$B$38,2,FALSE)</f>
        <v>-0.21100886368613675</v>
      </c>
      <c r="J706">
        <f>($B$1+Table4[[#This Row],[Home Differential]])-Table4[[#This Row],[Away Differential]]</f>
        <v>2.7855686202516022E-2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0.54636539422206121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-0.54160534998918008</v>
      </c>
      <c r="H707" t="s">
        <v>37</v>
      </c>
      <c r="I707">
        <f>VLOOKUP(Table4[[#This Row],[Visitor]],'NHL Model'!$A$6:$B$38,2,FALSE)</f>
        <v>0.1846559193064522</v>
      </c>
      <c r="J707">
        <f>($B$1+Table4[[#This Row],[Home Differential]])-Table4[[#This Row],[Away Differential]]</f>
        <v>-0.56684160777080517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0.57242065496096017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-0.2200802314358897</v>
      </c>
      <c r="H708" t="s">
        <v>16</v>
      </c>
      <c r="I708">
        <f>VLOOKUP(Table4[[#This Row],[Visitor]],'NHL Model'!$A$6:$B$38,2,FALSE)</f>
        <v>-1.1167763879247272</v>
      </c>
      <c r="J708">
        <f>($B$1+Table4[[#This Row],[Home Differential]])-Table4[[#This Row],[Away Differential]]</f>
        <v>1.0561158180136647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0.68672330937641513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-0.3479098095875402</v>
      </c>
      <c r="H709" t="s">
        <v>39</v>
      </c>
      <c r="I709">
        <f>VLOOKUP(Table4[[#This Row],[Visitor]],'NHL Model'!$A$6:$B$38,2,FALSE)</f>
        <v>1.9153995907683643E-3</v>
      </c>
      <c r="J709">
        <f>($B$1+Table4[[#This Row],[Home Differential]])-Table4[[#This Row],[Away Differential]]</f>
        <v>-0.19040554765348142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0.57893871473567005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-0.95664361852990654</v>
      </c>
      <c r="H710" t="s">
        <v>38</v>
      </c>
      <c r="I710">
        <f>VLOOKUP(Table4[[#This Row],[Visitor]],'NHL Model'!$A$6:$B$38,2,FALSE)</f>
        <v>-1.1267952052768424</v>
      </c>
      <c r="J710">
        <f>($B$1+Table4[[#This Row],[Home Differential]])-Table4[[#This Row],[Away Differential]]</f>
        <v>0.32957124827176298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0.56501720988147031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-3.2309887002194844E-2</v>
      </c>
      <c r="H711" t="s">
        <v>35</v>
      </c>
      <c r="I711">
        <f>VLOOKUP(Table4[[#This Row],[Visitor]],'NHL Model'!$A$6:$B$38,2,FALSE)</f>
        <v>-1.5594075795597986</v>
      </c>
      <c r="J711">
        <f>($B$1+Table4[[#This Row],[Home Differential]])-Table4[[#This Row],[Away Differential]]</f>
        <v>1.686517354082431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0.77430328690383066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-0.12487089668223171</v>
      </c>
      <c r="H712" t="s">
        <v>14</v>
      </c>
      <c r="I712">
        <f>VLOOKUP(Table4[[#This Row],[Visitor]],'NHL Model'!$A$6:$B$38,2,FALSE)</f>
        <v>-0.2200802314358897</v>
      </c>
      <c r="J712">
        <f>($B$1+Table4[[#This Row],[Home Differential]])-Table4[[#This Row],[Away Differential]]</f>
        <v>0.25462899627848512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0.62709089294556386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-1.6840122346544992</v>
      </c>
      <c r="H713" t="s">
        <v>22</v>
      </c>
      <c r="I713">
        <f>VLOOKUP(Table4[[#This Row],[Visitor]],'NHL Model'!$A$6:$B$38,2,FALSE)</f>
        <v>0.21430145909042725</v>
      </c>
      <c r="J713">
        <f>($B$1+Table4[[#This Row],[Home Differential]])-Table4[[#This Row],[Away Differential]]</f>
        <v>-1.7388940322200994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0.72234906766826512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-0.3479098095875402</v>
      </c>
      <c r="H714" t="s">
        <v>20</v>
      </c>
      <c r="I714">
        <f>VLOOKUP(Table4[[#This Row],[Visitor]],'NHL Model'!$A$6:$B$38,2,FALSE)</f>
        <v>-3.2309887002194844E-2</v>
      </c>
      <c r="J714">
        <f>($B$1+Table4[[#This Row],[Home Differential]])-Table4[[#This Row],[Away Differential]]</f>
        <v>-0.15618026106051822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0.48169770054686861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-0.1349739904770427</v>
      </c>
      <c r="H715" t="s">
        <v>28</v>
      </c>
      <c r="I715">
        <f>VLOOKUP(Table4[[#This Row],[Visitor]],'NHL Model'!$A$6:$B$38,2,FALSE)</f>
        <v>-0.72083617366747277</v>
      </c>
      <c r="J715">
        <f>($B$1+Table4[[#This Row],[Home Differential]])-Table4[[#This Row],[Away Differential]]</f>
        <v>0.74528184471525716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0.7069882634369612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-7.3890719153774626E-2</v>
      </c>
      <c r="H716" t="s">
        <v>24</v>
      </c>
      <c r="I716">
        <f>VLOOKUP(Table4[[#This Row],[Visitor]],'NHL Model'!$A$6:$B$38,2,FALSE)</f>
        <v>2.0731927685773251E-2</v>
      </c>
      <c r="J716">
        <f>($B$1+Table4[[#This Row],[Home Differential]])-Table4[[#This Row],[Away Differential]]</f>
        <v>6.4797014685279264E-2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0.5506687403693572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-0.49794713300108584</v>
      </c>
      <c r="H717" t="s">
        <v>11</v>
      </c>
      <c r="I717">
        <f>VLOOKUP(Table4[[#This Row],[Visitor]],'NHL Model'!$A$6:$B$38,2,FALSE)</f>
        <v>-0.21100886368613675</v>
      </c>
      <c r="J717">
        <f>($B$1+Table4[[#This Row],[Home Differential]])-Table4[[#This Row],[Away Differential]]</f>
        <v>-0.12751860779012197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0.46369919420931111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-0.13160108676160023</v>
      </c>
      <c r="H718" t="s">
        <v>17</v>
      </c>
      <c r="I718">
        <f>VLOOKUP(Table4[[#This Row],[Visitor]],'NHL Model'!$A$6:$B$38,2,FALSE)</f>
        <v>-0.8561868317598319</v>
      </c>
      <c r="J718">
        <f>($B$1+Table4[[#This Row],[Home Differential]])-Table4[[#This Row],[Away Differential]]</f>
        <v>0.88400540652305881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0.662812476188126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1.4583704516548168</v>
      </c>
      <c r="H719" t="s">
        <v>19</v>
      </c>
      <c r="I719">
        <f>VLOOKUP(Table4[[#This Row],[Visitor]],'NHL Model'!$A$6:$B$38,2,FALSE)</f>
        <v>-0.95664361852990654</v>
      </c>
      <c r="J719">
        <f>($B$1+Table4[[#This Row],[Home Differential]])-Table4[[#This Row],[Away Differential]]</f>
        <v>2.5744337317095507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0.99257973863250815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-0.67114180037169746</v>
      </c>
      <c r="H720" t="s">
        <v>25</v>
      </c>
      <c r="I720">
        <f>VLOOKUP(Table4[[#This Row],[Visitor]],'NHL Model'!$A$6:$B$38,2,FALSE)</f>
        <v>0.42254821659882374</v>
      </c>
      <c r="J720">
        <f>($B$1+Table4[[#This Row],[Home Differential]])-Table4[[#This Row],[Away Differential]]</f>
        <v>-0.93427035544569415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0.62979564936456445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-0.31985119938240425</v>
      </c>
      <c r="H721" t="s">
        <v>39</v>
      </c>
      <c r="I721">
        <f>VLOOKUP(Table4[[#This Row],[Visitor]],'NHL Model'!$A$6:$B$38,2,FALSE)</f>
        <v>1.9153995907683643E-3</v>
      </c>
      <c r="J721">
        <f>($B$1+Table4[[#This Row],[Home Differential]])-Table4[[#This Row],[Away Differential]]</f>
        <v>-0.16234693744834547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0.57504060803602475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-0.17681265190927384</v>
      </c>
      <c r="H722" t="s">
        <v>24</v>
      </c>
      <c r="I722">
        <f>VLOOKUP(Table4[[#This Row],[Visitor]],'NHL Model'!$A$6:$B$38,2,FALSE)</f>
        <v>2.0731927685773251E-2</v>
      </c>
      <c r="J722">
        <f>($B$1+Table4[[#This Row],[Home Differential]])-Table4[[#This Row],[Away Differential]]</f>
        <v>-3.8124918070219949E-2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0.46612608466734107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-0.75480422558713034</v>
      </c>
      <c r="H723" t="s">
        <v>38</v>
      </c>
      <c r="I723">
        <f>VLOOKUP(Table4[[#This Row],[Visitor]],'NHL Model'!$A$6:$B$38,2,FALSE)</f>
        <v>-1.1267952052768424</v>
      </c>
      <c r="J723">
        <f>($B$1+Table4[[#This Row],[Home Differential]])-Table4[[#This Row],[Away Differential]]</f>
        <v>0.53141064121453918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0.59305820992139924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-0.50599078340071213</v>
      </c>
      <c r="H724" t="s">
        <v>32</v>
      </c>
      <c r="I724">
        <f>VLOOKUP(Table4[[#This Row],[Visitor]],'NHL Model'!$A$6:$B$38,2,FALSE)</f>
        <v>-0.46055888840939002</v>
      </c>
      <c r="J724">
        <f>($B$1+Table4[[#This Row],[Home Differential]])-Table4[[#This Row],[Away Differential]]</f>
        <v>0.11398776653350501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0.55583601158978724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-0.54160534998918008</v>
      </c>
      <c r="H725" t="s">
        <v>37</v>
      </c>
      <c r="I725">
        <f>VLOOKUP(Table4[[#This Row],[Visitor]],'NHL Model'!$A$6:$B$38,2,FALSE)</f>
        <v>0.1846559193064522</v>
      </c>
      <c r="J725">
        <f>($B$1+Table4[[#This Row],[Home Differential]])-Table4[[#This Row],[Away Differential]]</f>
        <v>-0.56684160777080517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0.57242065496096017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0.35254565315374792</v>
      </c>
      <c r="H726" t="s">
        <v>39</v>
      </c>
      <c r="I726">
        <f>VLOOKUP(Table4[[#This Row],[Visitor]],'NHL Model'!$A$6:$B$38,2,FALSE)</f>
        <v>1.9153995907683643E-3</v>
      </c>
      <c r="J726">
        <f>($B$1+Table4[[#This Row],[Home Differential]])-Table4[[#This Row],[Away Differential]]</f>
        <v>0.51004991508780673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0.61631439833469059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-0.12487089668223171</v>
      </c>
      <c r="H727" t="s">
        <v>26</v>
      </c>
      <c r="I727">
        <f>VLOOKUP(Table4[[#This Row],[Visitor]],'NHL Model'!$A$6:$B$38,2,FALSE)</f>
        <v>-0.67114180037169746</v>
      </c>
      <c r="J727">
        <f>($B$1+Table4[[#This Row],[Home Differential]])-Table4[[#This Row],[Away Differential]]</f>
        <v>0.70569056521429285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0.6694682498027611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-0.72083617366747277</v>
      </c>
      <c r="H728" t="s">
        <v>16</v>
      </c>
      <c r="I728">
        <f>VLOOKUP(Table4[[#This Row],[Visitor]],'NHL Model'!$A$6:$B$38,2,FALSE)</f>
        <v>-1.1167763879247272</v>
      </c>
      <c r="J728">
        <f>($B$1+Table4[[#This Row],[Home Differential]])-Table4[[#This Row],[Away Differential]]</f>
        <v>0.55535987578208157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0.624200594825987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-1.6840122346544992</v>
      </c>
      <c r="H729" t="s">
        <v>17</v>
      </c>
      <c r="I729">
        <f>VLOOKUP(Table4[[#This Row],[Visitor]],'NHL Model'!$A$6:$B$38,2,FALSE)</f>
        <v>-0.8561868317598319</v>
      </c>
      <c r="J729">
        <f>($B$1+Table4[[#This Row],[Home Differential]])-Table4[[#This Row],[Away Differential]]</f>
        <v>-0.66840574136984021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0.55285979880921565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-0.34257283900844787</v>
      </c>
      <c r="H730" t="s">
        <v>38</v>
      </c>
      <c r="I730">
        <f>VLOOKUP(Table4[[#This Row],[Visitor]],'NHL Model'!$A$6:$B$38,2,FALSE)</f>
        <v>-1.1267952052768424</v>
      </c>
      <c r="J730">
        <f>($B$1+Table4[[#This Row],[Home Differential]])-Table4[[#This Row],[Away Differential]]</f>
        <v>0.9436420277932217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0.65283676084893205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-0.2200802314358897</v>
      </c>
      <c r="H731" t="s">
        <v>37</v>
      </c>
      <c r="I731">
        <f>VLOOKUP(Table4[[#This Row],[Visitor]],'NHL Model'!$A$6:$B$38,2,FALSE)</f>
        <v>0.1846559193064522</v>
      </c>
      <c r="J731">
        <f>($B$1+Table4[[#This Row],[Home Differential]])-Table4[[#This Row],[Away Differential]]</f>
        <v>-0.24531648921751475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0.56039694471127355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-1.5594075795597986</v>
      </c>
      <c r="H732" t="s">
        <v>25</v>
      </c>
      <c r="I732">
        <f>VLOOKUP(Table4[[#This Row],[Visitor]],'NHL Model'!$A$6:$B$38,2,FALSE)</f>
        <v>0.42254821659882374</v>
      </c>
      <c r="J732">
        <f>($B$1+Table4[[#This Row],[Home Differential]])-Table4[[#This Row],[Away Differential]]</f>
        <v>-1.8225361346337952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0.7858231766927346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-0.1349739904770427</v>
      </c>
      <c r="H733" t="s">
        <v>19</v>
      </c>
      <c r="I733">
        <f>VLOOKUP(Table4[[#This Row],[Visitor]],'NHL Model'!$A$6:$B$38,2,FALSE)</f>
        <v>-0.95664361852990654</v>
      </c>
      <c r="J733">
        <f>($B$1+Table4[[#This Row],[Home Differential]])-Table4[[#This Row],[Away Differential]]</f>
        <v>0.98108928957769104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0.73974835290412333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-7.3890719153774626E-2</v>
      </c>
      <c r="H734" t="s">
        <v>30</v>
      </c>
      <c r="I734">
        <f>VLOOKUP(Table4[[#This Row],[Visitor]],'NHL Model'!$A$6:$B$38,2,FALSE)</f>
        <v>3.2883390994754517E-3</v>
      </c>
      <c r="J734">
        <f>($B$1+Table4[[#This Row],[Home Differential]])-Table4[[#This Row],[Away Differential]]</f>
        <v>8.2240603271577062E-2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0.48130498227924834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0.21430145909042725</v>
      </c>
      <c r="H735" t="s">
        <v>18</v>
      </c>
      <c r="I735">
        <f>VLOOKUP(Table4[[#This Row],[Visitor]],'NHL Model'!$A$6:$B$38,2,FALSE)</f>
        <v>-0.75480422558713034</v>
      </c>
      <c r="J735">
        <f>($B$1+Table4[[#This Row],[Home Differential]])-Table4[[#This Row],[Away Differential]]</f>
        <v>1.1285253462023848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0.64968357747564986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-0.49794713300108584</v>
      </c>
      <c r="H736" t="s">
        <v>27</v>
      </c>
      <c r="I736">
        <f>VLOOKUP(Table4[[#This Row],[Visitor]],'NHL Model'!$A$6:$B$38,2,FALSE)</f>
        <v>-0.54160534998918008</v>
      </c>
      <c r="J736">
        <f>($B$1+Table4[[#This Row],[Home Differential]])-Table4[[#This Row],[Away Differential]]</f>
        <v>0.20307787851292136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0.58222967998350939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-0.31985119938240425</v>
      </c>
      <c r="H737" t="s">
        <v>20</v>
      </c>
      <c r="I737">
        <f>VLOOKUP(Table4[[#This Row],[Visitor]],'NHL Model'!$A$6:$B$38,2,FALSE)</f>
        <v>-3.2309887002194844E-2</v>
      </c>
      <c r="J737">
        <f>($B$1+Table4[[#This Row],[Home Differential]])-Table4[[#This Row],[Away Differential]]</f>
        <v>-0.12812165085538227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0.47779959384722337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2.0731927685773251E-2</v>
      </c>
      <c r="H738" t="s">
        <v>32</v>
      </c>
      <c r="I738">
        <f>VLOOKUP(Table4[[#This Row],[Visitor]],'NHL Model'!$A$6:$B$38,2,FALSE)</f>
        <v>-0.46055888840939002</v>
      </c>
      <c r="J738">
        <f>($B$1+Table4[[#This Row],[Home Differential]])-Table4[[#This Row],[Away Differential]]</f>
        <v>0.64071047761999045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0.74799075404427429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-0.50599078340071213</v>
      </c>
      <c r="H739" t="s">
        <v>36</v>
      </c>
      <c r="I739">
        <f>VLOOKUP(Table4[[#This Row],[Visitor]],'NHL Model'!$A$6:$B$38,2,FALSE)</f>
        <v>-0.34257283900844787</v>
      </c>
      <c r="J739">
        <f>($B$1+Table4[[#This Row],[Home Differential]])-Table4[[#This Row],[Away Differential]]</f>
        <v>-3.9982828674371418E-3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0.46055547060665825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-0.12487089668223171</v>
      </c>
      <c r="H740" t="s">
        <v>32</v>
      </c>
      <c r="I740">
        <f>VLOOKUP(Table4[[#This Row],[Visitor]],'NHL Model'!$A$6:$B$38,2,FALSE)</f>
        <v>-0.46055888840939002</v>
      </c>
      <c r="J740">
        <f>($B$1+Table4[[#This Row],[Home Differential]])-Table4[[#This Row],[Away Differential]]</f>
        <v>0.49510765325198547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0.66049994125610734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-0.49794713300108584</v>
      </c>
      <c r="H741" t="s">
        <v>18</v>
      </c>
      <c r="I741">
        <f>VLOOKUP(Table4[[#This Row],[Visitor]],'NHL Model'!$A$6:$B$38,2,FALSE)</f>
        <v>-0.75480422558713034</v>
      </c>
      <c r="J741">
        <f>($B$1+Table4[[#This Row],[Home Differential]])-Table4[[#This Row],[Away Differential]]</f>
        <v>0.41627675411087162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0.56487445519621704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-0.72083617366747277</v>
      </c>
      <c r="H742" t="s">
        <v>38</v>
      </c>
      <c r="I742">
        <f>VLOOKUP(Table4[[#This Row],[Visitor]],'NHL Model'!$A$6:$B$38,2,FALSE)</f>
        <v>-1.1267952052768424</v>
      </c>
      <c r="J742">
        <f>($B$1+Table4[[#This Row],[Home Differential]])-Table4[[#This Row],[Away Differential]]</f>
        <v>0.56537869313419675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0.60486231959154735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-0.13160108676160023</v>
      </c>
      <c r="H743" t="s">
        <v>16</v>
      </c>
      <c r="I743">
        <f>VLOOKUP(Table4[[#This Row],[Visitor]],'NHL Model'!$A$6:$B$38,2,FALSE)</f>
        <v>-1.1167763879247272</v>
      </c>
      <c r="J743">
        <f>($B$1+Table4[[#This Row],[Home Differential]])-Table4[[#This Row],[Away Differential]]</f>
        <v>1.1445949626879541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0.69901547723904844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-0.8561868317598319</v>
      </c>
      <c r="H744" t="s">
        <v>30</v>
      </c>
      <c r="I744">
        <f>VLOOKUP(Table4[[#This Row],[Visitor]],'NHL Model'!$A$6:$B$38,2,FALSE)</f>
        <v>3.2883390994754517E-3</v>
      </c>
      <c r="J744">
        <f>($B$1+Table4[[#This Row],[Home Differential]])-Table4[[#This Row],[Away Differential]]</f>
        <v>-0.70005550933448024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0.62280426058272842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-0.17681265190927384</v>
      </c>
      <c r="H745" t="s">
        <v>40</v>
      </c>
      <c r="I745">
        <f>VLOOKUP(Table4[[#This Row],[Visitor]],'NHL Model'!$A$6:$B$38,2,FALSE)</f>
        <v>-7.3890719153774626E-2</v>
      </c>
      <c r="J745">
        <f>($B$1+Table4[[#This Row],[Home Differential]])-Table4[[#This Row],[Away Differential]]</f>
        <v>5.6497728769327932E-2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0.48153328692105984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-0.2200802314358897</v>
      </c>
      <c r="H746" t="s">
        <v>27</v>
      </c>
      <c r="I746">
        <f>VLOOKUP(Table4[[#This Row],[Visitor]],'NHL Model'!$A$6:$B$38,2,FALSE)</f>
        <v>-0.54160534998918008</v>
      </c>
      <c r="J746">
        <f>($B$1+Table4[[#This Row],[Home Differential]])-Table4[[#This Row],[Away Differential]]</f>
        <v>0.48094478007811753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0.60681635532463973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-0.1349739904770427</v>
      </c>
      <c r="H747" t="s">
        <v>39</v>
      </c>
      <c r="I747">
        <f>VLOOKUP(Table4[[#This Row],[Visitor]],'NHL Model'!$A$6:$B$38,2,FALSE)</f>
        <v>1.9153995907683643E-3</v>
      </c>
      <c r="J747">
        <f>($B$1+Table4[[#This Row],[Home Differential]])-Table4[[#This Row],[Away Differential]]</f>
        <v>2.2530271457016082E-2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0.51532519152591805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-3.2309887002194844E-2</v>
      </c>
      <c r="H748" t="s">
        <v>19</v>
      </c>
      <c r="I748">
        <f>VLOOKUP(Table4[[#This Row],[Visitor]],'NHL Model'!$A$6:$B$38,2,FALSE)</f>
        <v>-0.95664361852990654</v>
      </c>
      <c r="J748">
        <f>($B$1+Table4[[#This Row],[Home Differential]])-Table4[[#This Row],[Away Differential]]</f>
        <v>1.0837533930525389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0.69056292280107656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0.21430145909042725</v>
      </c>
      <c r="H749" t="s">
        <v>33</v>
      </c>
      <c r="I749">
        <f>VLOOKUP(Table4[[#This Row],[Visitor]],'NHL Model'!$A$6:$B$38,2,FALSE)</f>
        <v>-0.3479098095875402</v>
      </c>
      <c r="J749">
        <f>($B$1+Table4[[#This Row],[Home Differential]])-Table4[[#This Row],[Away Differential]]</f>
        <v>0.72163093020279456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0.64025423009653748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0.42254821659882374</v>
      </c>
      <c r="H750" t="s">
        <v>11</v>
      </c>
      <c r="I750">
        <f>VLOOKUP(Table4[[#This Row],[Visitor]],'NHL Model'!$A$6:$B$38,2,FALSE)</f>
        <v>-0.21100886368613675</v>
      </c>
      <c r="J750">
        <f>($B$1+Table4[[#This Row],[Home Differential]])-Table4[[#This Row],[Away Differential]]</f>
        <v>0.79297674180978772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0.70188208674497621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1.4583704516548168</v>
      </c>
      <c r="H751" t="s">
        <v>29</v>
      </c>
      <c r="I751">
        <f>VLOOKUP(Table4[[#This Row],[Visitor]],'NHL Model'!$A$6:$B$38,2,FALSE)</f>
        <v>-1.6840122346544992</v>
      </c>
      <c r="J751">
        <f>($B$1+Table4[[#This Row],[Home Differential]])-Table4[[#This Row],[Away Differential]]</f>
        <v>3.3018023478341432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-0.67114180037169746</v>
      </c>
      <c r="H752" t="s">
        <v>33</v>
      </c>
      <c r="I752">
        <f>VLOOKUP(Table4[[#This Row],[Visitor]],'NHL Model'!$A$6:$B$38,2,FALSE)</f>
        <v>-0.3479098095875402</v>
      </c>
      <c r="J752">
        <f>($B$1+Table4[[#This Row],[Home Differential]])-Table4[[#This Row],[Away Differential]]</f>
        <v>-0.16381232925933015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0.45051193729669609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-0.31985119938240425</v>
      </c>
      <c r="H753" t="s">
        <v>31</v>
      </c>
      <c r="I753">
        <f>VLOOKUP(Table4[[#This Row],[Visitor]],'NHL Model'!$A$6:$B$38,2,FALSE)</f>
        <v>0.35254565315374792</v>
      </c>
      <c r="J753">
        <f>($B$1+Table4[[#This Row],[Home Differential]])-Table4[[#This Row],[Away Differential]]</f>
        <v>-0.512977191011325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0.55203576216287864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-1.5594075795597986</v>
      </c>
      <c r="H754" t="s">
        <v>37</v>
      </c>
      <c r="I754">
        <f>VLOOKUP(Table4[[#This Row],[Visitor]],'NHL Model'!$A$6:$B$38,2,FALSE)</f>
        <v>0.1846559193064522</v>
      </c>
      <c r="J754">
        <f>($B$1+Table4[[#This Row],[Home Differential]])-Table4[[#This Row],[Away Differential]]</f>
        <v>-1.5846438373414236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0.74646606469157406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0.35254565315374792</v>
      </c>
      <c r="H755" t="s">
        <v>13</v>
      </c>
      <c r="I755">
        <f>VLOOKUP(Table4[[#This Row],[Visitor]],'NHL Model'!$A$6:$B$38,2,FALSE)</f>
        <v>-0.31985119938240425</v>
      </c>
      <c r="J755">
        <f>($B$1+Table4[[#This Row],[Home Differential]])-Table4[[#This Row],[Away Differential]]</f>
        <v>0.83181651406097934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0.67001746029263864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-0.49794713300108584</v>
      </c>
      <c r="H756" t="s">
        <v>34</v>
      </c>
      <c r="I756">
        <f>VLOOKUP(Table4[[#This Row],[Visitor]],'NHL Model'!$A$6:$B$38,2,FALSE)</f>
        <v>-0.17681265190927384</v>
      </c>
      <c r="J756">
        <f>($B$1+Table4[[#This Row],[Home Differential]])-Table4[[#This Row],[Away Differential]]</f>
        <v>-0.16171481956698489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0.48913326843265864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-1.1167763879247272</v>
      </c>
      <c r="H757" t="s">
        <v>30</v>
      </c>
      <c r="I757">
        <f>VLOOKUP(Table4[[#This Row],[Visitor]],'NHL Model'!$A$6:$B$38,2,FALSE)</f>
        <v>3.2883390994754517E-3</v>
      </c>
      <c r="J757">
        <f>($B$1+Table4[[#This Row],[Home Differential]])-Table4[[#This Row],[Away Differential]]</f>
        <v>-0.96064506549937556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0.66608298548603273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-0.13160108676160023</v>
      </c>
      <c r="H758" t="s">
        <v>21</v>
      </c>
      <c r="I758">
        <f>VLOOKUP(Table4[[#This Row],[Visitor]],'NHL Model'!$A$6:$B$38,2,FALSE)</f>
        <v>-0.12487089668223171</v>
      </c>
      <c r="J758">
        <f>($B$1+Table4[[#This Row],[Home Differential]])-Table4[[#This Row],[Away Differential]]</f>
        <v>0.15268947144545864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0.56121273460286669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2.0731927685773251E-2</v>
      </c>
      <c r="H759" t="s">
        <v>25</v>
      </c>
      <c r="I759">
        <f>VLOOKUP(Table4[[#This Row],[Visitor]],'NHL Model'!$A$6:$B$38,2,FALSE)</f>
        <v>0.42254821659882374</v>
      </c>
      <c r="J759">
        <f>($B$1+Table4[[#This Row],[Home Differential]])-Table4[[#This Row],[Away Differential]]</f>
        <v>-0.24239662738822335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0.44276641583502052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-0.34257283900844787</v>
      </c>
      <c r="H760" t="s">
        <v>18</v>
      </c>
      <c r="I760">
        <f>VLOOKUP(Table4[[#This Row],[Visitor]],'NHL Model'!$A$6:$B$38,2,FALSE)</f>
        <v>-0.75480422558713034</v>
      </c>
      <c r="J760">
        <f>($B$1+Table4[[#This Row],[Home Differential]])-Table4[[#This Row],[Away Differential]]</f>
        <v>0.57165104810350964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0.57483077543743488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-0.54160534998918008</v>
      </c>
      <c r="H761" t="s">
        <v>15</v>
      </c>
      <c r="I761">
        <f>VLOOKUP(Table4[[#This Row],[Visitor]],'NHL Model'!$A$6:$B$38,2,FALSE)</f>
        <v>-0.50599078340071213</v>
      </c>
      <c r="J761">
        <f>($B$1+Table4[[#This Row],[Home Differential]])-Table4[[#This Row],[Away Differential]]</f>
        <v>0.12380509493635916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0.50628287586008547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-0.2200802314358897</v>
      </c>
      <c r="H762" t="s">
        <v>28</v>
      </c>
      <c r="I762">
        <f>VLOOKUP(Table4[[#This Row],[Visitor]],'NHL Model'!$A$6:$B$38,2,FALSE)</f>
        <v>-0.72083617366747277</v>
      </c>
      <c r="J762">
        <f>($B$1+Table4[[#This Row],[Home Differential]])-Table4[[#This Row],[Away Differential]]</f>
        <v>0.66017560375641016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0.63171640808760254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-0.1349739904770427</v>
      </c>
      <c r="H763" t="s">
        <v>32</v>
      </c>
      <c r="I763">
        <f>VLOOKUP(Table4[[#This Row],[Visitor]],'NHL Model'!$A$6:$B$38,2,FALSE)</f>
        <v>-0.46055888840939002</v>
      </c>
      <c r="J763">
        <f>($B$1+Table4[[#This Row],[Home Differential]])-Table4[[#This Row],[Away Differential]]</f>
        <v>0.48500455945717447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0.67082864533712039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-1.1267952052768424</v>
      </c>
      <c r="H764" t="s">
        <v>17</v>
      </c>
      <c r="I764">
        <f>VLOOKUP(Table4[[#This Row],[Visitor]],'NHL Model'!$A$6:$B$38,2,FALSE)</f>
        <v>-0.8561868317598319</v>
      </c>
      <c r="J764">
        <f>($B$1+Table4[[#This Row],[Home Differential]])-Table4[[#This Row],[Away Differential]]</f>
        <v>-0.11118871199218339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0.47544714652553682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-3.2309887002194844E-2</v>
      </c>
      <c r="H765" t="s">
        <v>29</v>
      </c>
      <c r="I765">
        <f>VLOOKUP(Table4[[#This Row],[Visitor]],'NHL Model'!$A$6:$B$38,2,FALSE)</f>
        <v>-1.6840122346544992</v>
      </c>
      <c r="J765">
        <f>($B$1+Table4[[#This Row],[Home Differential]])-Table4[[#This Row],[Away Differential]]</f>
        <v>1.8111220091771316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0.79161427405823825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-7.3890719153774626E-2</v>
      </c>
      <c r="H766" t="s">
        <v>19</v>
      </c>
      <c r="I766">
        <f>VLOOKUP(Table4[[#This Row],[Visitor]],'NHL Model'!$A$6:$B$38,2,FALSE)</f>
        <v>-0.95664361852990654</v>
      </c>
      <c r="J766">
        <f>($B$1+Table4[[#This Row],[Home Differential]])-Table4[[#This Row],[Away Differential]]</f>
        <v>1.0421725609009591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0.68728168964504344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0.21430145909042725</v>
      </c>
      <c r="H767" t="s">
        <v>11</v>
      </c>
      <c r="I767">
        <f>VLOOKUP(Table4[[#This Row],[Visitor]],'NHL Model'!$A$6:$B$38,2,FALSE)</f>
        <v>-0.21100886368613675</v>
      </c>
      <c r="J767">
        <f>($B$1+Table4[[#This Row],[Home Differential]])-Table4[[#This Row],[Away Differential]]</f>
        <v>0.58472998430139111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0.62123495257336381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1.9153995907683643E-3</v>
      </c>
      <c r="H768" t="s">
        <v>37</v>
      </c>
      <c r="I768">
        <f>VLOOKUP(Table4[[#This Row],[Visitor]],'NHL Model'!$A$6:$B$38,2,FALSE)</f>
        <v>0.1846559193064522</v>
      </c>
      <c r="J768">
        <f>($B$1+Table4[[#This Row],[Home Differential]])-Table4[[#This Row],[Away Differential]]</f>
        <v>-2.3320858190856691E-2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0.52704942745730365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-0.67114180037169746</v>
      </c>
      <c r="H769" t="s">
        <v>36</v>
      </c>
      <c r="I769">
        <f>VLOOKUP(Table4[[#This Row],[Visitor]],'NHL Model'!$A$6:$B$38,2,FALSE)</f>
        <v>-0.34257283900844787</v>
      </c>
      <c r="J769">
        <f>($B$1+Table4[[#This Row],[Home Differential]])-Table4[[#This Row],[Away Differential]]</f>
        <v>-0.16914929983842247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0.45125338816037286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-0.8561868317598319</v>
      </c>
      <c r="H770" t="s">
        <v>35</v>
      </c>
      <c r="I770">
        <f>VLOOKUP(Table4[[#This Row],[Visitor]],'NHL Model'!$A$6:$B$38,2,FALSE)</f>
        <v>-1.5594075795597986</v>
      </c>
      <c r="J770">
        <f>($B$1+Table4[[#This Row],[Home Differential]])-Table4[[#This Row],[Away Differential]]</f>
        <v>0.8626404093247938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0.66689024686920062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0.35254565315374792</v>
      </c>
      <c r="H771" t="s">
        <v>15</v>
      </c>
      <c r="I771">
        <f>VLOOKUP(Table4[[#This Row],[Visitor]],'NHL Model'!$A$6:$B$38,2,FALSE)</f>
        <v>-0.50599078340071213</v>
      </c>
      <c r="J771">
        <f>($B$1+Table4[[#This Row],[Home Differential]])-Table4[[#This Row],[Away Differential]]</f>
        <v>1.0179560980792872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0.6958773284124834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0.42254821659882374</v>
      </c>
      <c r="H772" t="s">
        <v>23</v>
      </c>
      <c r="I772">
        <f>VLOOKUP(Table4[[#This Row],[Visitor]],'NHL Model'!$A$6:$B$38,2,FALSE)</f>
        <v>-0.49794713300108584</v>
      </c>
      <c r="J772">
        <f>($B$1+Table4[[#This Row],[Home Differential]])-Table4[[#This Row],[Away Differential]]</f>
        <v>1.0799150111247369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0.74174564313012037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-1.1167763879247272</v>
      </c>
      <c r="H773" t="s">
        <v>24</v>
      </c>
      <c r="I773">
        <f>VLOOKUP(Table4[[#This Row],[Visitor]],'NHL Model'!$A$6:$B$38,2,FALSE)</f>
        <v>2.0731927685773251E-2</v>
      </c>
      <c r="J773">
        <f>($B$1+Table4[[#This Row],[Home Differential]])-Table4[[#This Row],[Away Differential]]</f>
        <v>-0.97808865408567336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0.59671269997000276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-0.13160108676160023</v>
      </c>
      <c r="H774" t="s">
        <v>40</v>
      </c>
      <c r="I774">
        <f>VLOOKUP(Table4[[#This Row],[Visitor]],'NHL Model'!$A$6:$B$38,2,FALSE)</f>
        <v>-7.3890719153774626E-2</v>
      </c>
      <c r="J774">
        <f>($B$1+Table4[[#This Row],[Home Differential]])-Table4[[#This Row],[Away Differential]]</f>
        <v>0.10170929391700154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0.48781440718022845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1.4583704516548168</v>
      </c>
      <c r="H775" t="s">
        <v>22</v>
      </c>
      <c r="I775">
        <f>VLOOKUP(Table4[[#This Row],[Visitor]],'NHL Model'!$A$6:$B$38,2,FALSE)</f>
        <v>0.21430145909042725</v>
      </c>
      <c r="J775">
        <f>($B$1+Table4[[#This Row],[Home Differential]])-Table4[[#This Row],[Away Differential]]</f>
        <v>1.4034886540892166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0.81036749177739764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-0.21100886368613675</v>
      </c>
      <c r="H776" t="s">
        <v>33</v>
      </c>
      <c r="I776">
        <f>VLOOKUP(Table4[[#This Row],[Visitor]],'NHL Model'!$A$6:$B$38,2,FALSE)</f>
        <v>-0.3479098095875402</v>
      </c>
      <c r="J776">
        <f>($B$1+Table4[[#This Row],[Home Differential]])-Table4[[#This Row],[Away Differential]]</f>
        <v>0.29632060742623056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0.63288299553175265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-0.46055888840939002</v>
      </c>
      <c r="H777" t="s">
        <v>14</v>
      </c>
      <c r="I777">
        <f>VLOOKUP(Table4[[#This Row],[Visitor]],'NHL Model'!$A$6:$B$38,2,FALSE)</f>
        <v>-0.2200802314358897</v>
      </c>
      <c r="J777">
        <f>($B$1+Table4[[#This Row],[Home Differential]])-Table4[[#This Row],[Away Differential]]</f>
        <v>-8.1058995448673149E-2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0.44522357078426872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-0.95664361852990654</v>
      </c>
      <c r="H778" t="s">
        <v>34</v>
      </c>
      <c r="I778">
        <f>VLOOKUP(Table4[[#This Row],[Visitor]],'NHL Model'!$A$6:$B$38,2,FALSE)</f>
        <v>-0.17681265190927384</v>
      </c>
      <c r="J778">
        <f>($B$1+Table4[[#This Row],[Home Differential]])-Table4[[#This Row],[Away Differential]]</f>
        <v>-0.62041130509580555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0.56696129257302386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-1.1267952052768424</v>
      </c>
      <c r="H779" t="s">
        <v>30</v>
      </c>
      <c r="I779">
        <f>VLOOKUP(Table4[[#This Row],[Visitor]],'NHL Model'!$A$6:$B$38,2,FALSE)</f>
        <v>3.2883390994754517E-3</v>
      </c>
      <c r="J779">
        <f>($B$1+Table4[[#This Row],[Home Differential]])-Table4[[#This Row],[Away Differential]]</f>
        <v>-0.97066388285149074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0.6674748726378652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-3.2309887002194844E-2</v>
      </c>
      <c r="H780" t="s">
        <v>27</v>
      </c>
      <c r="I780">
        <f>VLOOKUP(Table4[[#This Row],[Visitor]],'NHL Model'!$A$6:$B$38,2,FALSE)</f>
        <v>-0.54160534998918008</v>
      </c>
      <c r="J780">
        <f>($B$1+Table4[[#This Row],[Home Differential]])-Table4[[#This Row],[Away Differential]]</f>
        <v>0.66871512451181236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0.63290278057095162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-0.72083617366747277</v>
      </c>
      <c r="H781" t="s">
        <v>36</v>
      </c>
      <c r="I781">
        <f>VLOOKUP(Table4[[#This Row],[Visitor]],'NHL Model'!$A$6:$B$38,2,FALSE)</f>
        <v>-0.34257283900844787</v>
      </c>
      <c r="J781">
        <f>($B$1+Table4[[#This Row],[Home Differential]])-Table4[[#This Row],[Away Differential]]</f>
        <v>-0.21884367313419778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0.48335740675911193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1.9153995907683643E-3</v>
      </c>
      <c r="H782" t="s">
        <v>21</v>
      </c>
      <c r="I782">
        <f>VLOOKUP(Table4[[#This Row],[Visitor]],'NHL Model'!$A$6:$B$38,2,FALSE)</f>
        <v>-0.12487089668223171</v>
      </c>
      <c r="J782">
        <f>($B$1+Table4[[#This Row],[Home Differential]])-Table4[[#This Row],[Away Differential]]</f>
        <v>0.2862059577978272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0.5822572975343826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-0.8561868317598319</v>
      </c>
      <c r="H783" t="s">
        <v>24</v>
      </c>
      <c r="I783">
        <f>VLOOKUP(Table4[[#This Row],[Visitor]],'NHL Model'!$A$6:$B$38,2,FALSE)</f>
        <v>2.0731927685773251E-2</v>
      </c>
      <c r="J783">
        <f>($B$1+Table4[[#This Row],[Home Differential]])-Table4[[#This Row],[Away Differential]]</f>
        <v>-0.71749909792077804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0.55346171843656478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-0.31985119938240425</v>
      </c>
      <c r="H784" t="s">
        <v>15</v>
      </c>
      <c r="I784">
        <f>VLOOKUP(Table4[[#This Row],[Visitor]],'NHL Model'!$A$6:$B$38,2,FALSE)</f>
        <v>-0.50599078340071213</v>
      </c>
      <c r="J784">
        <f>($B$1+Table4[[#This Row],[Home Differential]])-Table4[[#This Row],[Away Differential]]</f>
        <v>0.345559245543135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0.50452934892749779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-0.75480422558713034</v>
      </c>
      <c r="H785" t="s">
        <v>34</v>
      </c>
      <c r="I785">
        <f>VLOOKUP(Table4[[#This Row],[Visitor]],'NHL Model'!$A$6:$B$38,2,FALSE)</f>
        <v>-0.17681265190927384</v>
      </c>
      <c r="J785">
        <f>($B$1+Table4[[#This Row],[Home Differential]])-Table4[[#This Row],[Away Differential]]</f>
        <v>-0.41857191215302936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0.53892029253309492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-1.6840122346544992</v>
      </c>
      <c r="H786" t="s">
        <v>23</v>
      </c>
      <c r="I786">
        <f>VLOOKUP(Table4[[#This Row],[Visitor]],'NHL Model'!$A$6:$B$38,2,FALSE)</f>
        <v>-0.49794713300108584</v>
      </c>
      <c r="J786">
        <f>($B$1+Table4[[#This Row],[Home Differential]])-Table4[[#This Row],[Away Differential]]</f>
        <v>-1.0266454401285863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0.60262906961774476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0.1846559193064522</v>
      </c>
      <c r="H787" t="s">
        <v>33</v>
      </c>
      <c r="I787">
        <f>VLOOKUP(Table4[[#This Row],[Visitor]],'NHL Model'!$A$6:$B$38,2,FALSE)</f>
        <v>-0.3479098095875402</v>
      </c>
      <c r="J787">
        <f>($B$1+Table4[[#This Row],[Home Differential]])-Table4[[#This Row],[Away Differential]]</f>
        <v>0.69198539041881957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0.65524108687970462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-7.3890719153774626E-2</v>
      </c>
      <c r="H788" t="s">
        <v>35</v>
      </c>
      <c r="I788">
        <f>VLOOKUP(Table4[[#This Row],[Visitor]],'NHL Model'!$A$6:$B$38,2,FALSE)</f>
        <v>-1.5594075795597986</v>
      </c>
      <c r="J788">
        <f>($B$1+Table4[[#This Row],[Home Differential]])-Table4[[#This Row],[Away Differential]]</f>
        <v>1.6449365219308512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0.77102205374779753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-1.1167763879247272</v>
      </c>
      <c r="H789" t="s">
        <v>14</v>
      </c>
      <c r="I789">
        <f>VLOOKUP(Table4[[#This Row],[Visitor]],'NHL Model'!$A$6:$B$38,2,FALSE)</f>
        <v>-0.2200802314358897</v>
      </c>
      <c r="J789">
        <f>($B$1+Table4[[#This Row],[Home Differential]])-Table4[[#This Row],[Away Differential]]</f>
        <v>-0.73727649496401038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0.56242782602197872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1.4583704516548168</v>
      </c>
      <c r="H790" t="s">
        <v>31</v>
      </c>
      <c r="I790">
        <f>VLOOKUP(Table4[[#This Row],[Visitor]],'NHL Model'!$A$6:$B$38,2,FALSE)</f>
        <v>0.35254565315374792</v>
      </c>
      <c r="J790">
        <f>($B$1+Table4[[#This Row],[Home Differential]])-Table4[[#This Row],[Away Differential]]</f>
        <v>1.2652444600258961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0.79116160042620565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-0.46055888840939002</v>
      </c>
      <c r="H791" t="s">
        <v>30</v>
      </c>
      <c r="I791">
        <f>VLOOKUP(Table4[[#This Row],[Visitor]],'NHL Model'!$A$6:$B$38,2,FALSE)</f>
        <v>3.2883390994754517E-3</v>
      </c>
      <c r="J791">
        <f>($B$1+Table4[[#This Row],[Home Differential]])-Table4[[#This Row],[Away Differential]]</f>
        <v>-0.30442756598403831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0.54862241091357367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-0.95664361852990654</v>
      </c>
      <c r="H792" t="s">
        <v>26</v>
      </c>
      <c r="I792">
        <f>VLOOKUP(Table4[[#This Row],[Visitor]],'NHL Model'!$A$6:$B$38,2,FALSE)</f>
        <v>-0.67114180037169746</v>
      </c>
      <c r="J792">
        <f>($B$1+Table4[[#This Row],[Home Differential]])-Table4[[#This Row],[Away Differential]]</f>
        <v>-0.12608215663338196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0.49828548320957244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-0.1349739904770427</v>
      </c>
      <c r="H793" t="s">
        <v>27</v>
      </c>
      <c r="I793">
        <f>VLOOKUP(Table4[[#This Row],[Visitor]],'NHL Model'!$A$6:$B$38,2,FALSE)</f>
        <v>-0.54160534998918008</v>
      </c>
      <c r="J793">
        <f>($B$1+Table4[[#This Row],[Home Differential]])-Table4[[#This Row],[Away Differential]]</f>
        <v>0.56605102103696447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0.68208821067399839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-1.1267952052768424</v>
      </c>
      <c r="H794" t="s">
        <v>22</v>
      </c>
      <c r="I794">
        <f>VLOOKUP(Table4[[#This Row],[Visitor]],'NHL Model'!$A$6:$B$38,2,FALSE)</f>
        <v>0.21430145909042725</v>
      </c>
      <c r="J794">
        <f>($B$1+Table4[[#This Row],[Home Differential]])-Table4[[#This Row],[Away Differential]]</f>
        <v>-1.1816770028424426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0.64493641538458635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-0.12487089668223171</v>
      </c>
      <c r="H795" t="s">
        <v>20</v>
      </c>
      <c r="I795">
        <f>VLOOKUP(Table4[[#This Row],[Visitor]],'NHL Model'!$A$6:$B$38,2,FALSE)</f>
        <v>-3.2309887002194844E-2</v>
      </c>
      <c r="J795">
        <f>($B$1+Table4[[#This Row],[Home Differential]])-Table4[[#This Row],[Away Differential]]</f>
        <v>6.6858651844790284E-2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0.60100446769925198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0.42254821659882374</v>
      </c>
      <c r="H796" t="s">
        <v>10</v>
      </c>
      <c r="I796">
        <f>VLOOKUP(Table4[[#This Row],[Visitor]],'NHL Model'!$A$6:$B$38,2,FALSE)</f>
        <v>-0.13160108676160023</v>
      </c>
      <c r="J796">
        <f>($B$1+Table4[[#This Row],[Home Differential]])-Table4[[#This Row],[Away Differential]]</f>
        <v>0.71356896488525112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0.69085017942774163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-0.72083617366747277</v>
      </c>
      <c r="H797" t="s">
        <v>39</v>
      </c>
      <c r="I797">
        <f>VLOOKUP(Table4[[#This Row],[Visitor]],'NHL Model'!$A$6:$B$38,2,FALSE)</f>
        <v>1.9153995907683643E-3</v>
      </c>
      <c r="J797">
        <f>($B$1+Table4[[#This Row],[Home Differential]])-Table4[[#This Row],[Away Differential]]</f>
        <v>-0.56333191173341401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0.62371672177752102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-0.8561868317598319</v>
      </c>
      <c r="H798" t="s">
        <v>14</v>
      </c>
      <c r="I798">
        <f>VLOOKUP(Table4[[#This Row],[Visitor]],'NHL Model'!$A$6:$B$38,2,FALSE)</f>
        <v>-0.2200802314358897</v>
      </c>
      <c r="J798">
        <f>($B$1+Table4[[#This Row],[Home Differential]])-Table4[[#This Row],[Away Differential]]</f>
        <v>-0.47668693879911506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0.5191788731111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-0.17681265190927384</v>
      </c>
      <c r="H799" t="s">
        <v>26</v>
      </c>
      <c r="I799">
        <f>VLOOKUP(Table4[[#This Row],[Visitor]],'NHL Model'!$A$6:$B$38,2,FALSE)</f>
        <v>-0.67114180037169746</v>
      </c>
      <c r="J799">
        <f>($B$1+Table4[[#This Row],[Home Differential]])-Table4[[#This Row],[Away Differential]]</f>
        <v>0.65374880998725082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0.6100543202714388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-0.75480422558713034</v>
      </c>
      <c r="H800" t="s">
        <v>23</v>
      </c>
      <c r="I800">
        <f>VLOOKUP(Table4[[#This Row],[Visitor]],'NHL Model'!$A$6:$B$38,2,FALSE)</f>
        <v>-0.49794713300108584</v>
      </c>
      <c r="J800">
        <f>($B$1+Table4[[#This Row],[Home Differential]])-Table4[[#This Row],[Away Differential]]</f>
        <v>-9.7437431061217383E-2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0.47353671832065408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-1.6840122346544992</v>
      </c>
      <c r="H801" t="s">
        <v>36</v>
      </c>
      <c r="I801">
        <f>VLOOKUP(Table4[[#This Row],[Visitor]],'NHL Model'!$A$6:$B$38,2,FALSE)</f>
        <v>-0.34257283900844787</v>
      </c>
      <c r="J801">
        <f>($B$1+Table4[[#This Row],[Home Differential]])-Table4[[#This Row],[Away Differential]]</f>
        <v>-1.1820197341212242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0.62421479934339197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-7.3890719153774626E-2</v>
      </c>
      <c r="H802" t="s">
        <v>11</v>
      </c>
      <c r="I802">
        <f>VLOOKUP(Table4[[#This Row],[Visitor]],'NHL Model'!$A$6:$B$38,2,FALSE)</f>
        <v>-0.21100886368613675</v>
      </c>
      <c r="J802">
        <f>($B$1+Table4[[#This Row],[Home Differential]])-Table4[[#This Row],[Away Differential]]</f>
        <v>0.29653780605718927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0.58369267322209817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-1.1167763879247272</v>
      </c>
      <c r="H803" t="s">
        <v>22</v>
      </c>
      <c r="I803">
        <f>VLOOKUP(Table4[[#This Row],[Visitor]],'NHL Model'!$A$6:$B$38,2,FALSE)</f>
        <v>0.21430145909042725</v>
      </c>
      <c r="J803">
        <f>($B$1+Table4[[#This Row],[Home Differential]])-Table4[[#This Row],[Away Differential]]</f>
        <v>-1.1716581854903274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0.64354452823275388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-0.13160108676160023</v>
      </c>
      <c r="H804" t="s">
        <v>37</v>
      </c>
      <c r="I804">
        <f>VLOOKUP(Table4[[#This Row],[Visitor]],'NHL Model'!$A$6:$B$38,2,FALSE)</f>
        <v>0.1846559193064522</v>
      </c>
      <c r="J804">
        <f>($B$1+Table4[[#This Row],[Home Differential]])-Table4[[#This Row],[Away Differential]]</f>
        <v>-0.15683734454322529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0.54810477684864012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1.4583704516548168</v>
      </c>
      <c r="H805" t="s">
        <v>27</v>
      </c>
      <c r="I805">
        <f>VLOOKUP(Table4[[#This Row],[Visitor]],'NHL Model'!$A$6:$B$38,2,FALSE)</f>
        <v>-0.54160534998918008</v>
      </c>
      <c r="J805">
        <f>($B$1+Table4[[#This Row],[Home Differential]])-Table4[[#This Row],[Away Differential]]</f>
        <v>2.1593954631688241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0.93491959640238331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1.9153995907683643E-3</v>
      </c>
      <c r="H806" t="s">
        <v>35</v>
      </c>
      <c r="I806">
        <f>VLOOKUP(Table4[[#This Row],[Visitor]],'NHL Model'!$A$6:$B$38,2,FALSE)</f>
        <v>-1.5594075795597986</v>
      </c>
      <c r="J806">
        <f>($B$1+Table4[[#This Row],[Home Differential]])-Table4[[#This Row],[Away Differential]]</f>
        <v>1.7207426406753941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0.78155359245166811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-0.46055888840939002</v>
      </c>
      <c r="H807" t="s">
        <v>31</v>
      </c>
      <c r="I807">
        <f>VLOOKUP(Table4[[#This Row],[Visitor]],'NHL Model'!$A$6:$B$38,2,FALSE)</f>
        <v>0.35254565315374792</v>
      </c>
      <c r="J807">
        <f>($B$1+Table4[[#This Row],[Home Differential]])-Table4[[#This Row],[Away Differential]]</f>
        <v>-0.65368488003831082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0.54536012397151634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-0.3479098095875402</v>
      </c>
      <c r="H808" t="s">
        <v>15</v>
      </c>
      <c r="I808">
        <f>VLOOKUP(Table4[[#This Row],[Visitor]],'NHL Model'!$A$6:$B$38,2,FALSE)</f>
        <v>-0.50599078340071213</v>
      </c>
      <c r="J808">
        <f>($B$1+Table4[[#This Row],[Home Differential]])-Table4[[#This Row],[Away Differential]]</f>
        <v>0.3175006353379991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0.50063124222785249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-0.95664361852990654</v>
      </c>
      <c r="H809" t="s">
        <v>20</v>
      </c>
      <c r="I809">
        <f>VLOOKUP(Table4[[#This Row],[Visitor]],'NHL Model'!$A$6:$B$38,2,FALSE)</f>
        <v>-3.2309887002194844E-2</v>
      </c>
      <c r="J809">
        <f>($B$1+Table4[[#This Row],[Home Differential]])-Table4[[#This Row],[Away Differential]]</f>
        <v>-0.76491407000288458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0.56626743944664026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-1.1267952052768424</v>
      </c>
      <c r="H810" t="s">
        <v>24</v>
      </c>
      <c r="I810">
        <f>VLOOKUP(Table4[[#This Row],[Visitor]],'NHL Model'!$A$6:$B$38,2,FALSE)</f>
        <v>2.0731927685773251E-2</v>
      </c>
      <c r="J810">
        <f>($B$1+Table4[[#This Row],[Home Differential]])-Table4[[#This Row],[Away Differential]]</f>
        <v>-0.98810747143778854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0.59810458712183512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-0.12487089668223171</v>
      </c>
      <c r="H811" t="s">
        <v>18</v>
      </c>
      <c r="I811">
        <f>VLOOKUP(Table4[[#This Row],[Visitor]],'NHL Model'!$A$6:$B$38,2,FALSE)</f>
        <v>-0.75480422558713034</v>
      </c>
      <c r="J811">
        <f>($B$1+Table4[[#This Row],[Home Differential]])-Table4[[#This Row],[Away Differential]]</f>
        <v>0.78935299042972573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0.65511721790636601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-0.72083617366747277</v>
      </c>
      <c r="H812" t="s">
        <v>37</v>
      </c>
      <c r="I812">
        <f>VLOOKUP(Table4[[#This Row],[Visitor]],'NHL Model'!$A$6:$B$38,2,FALSE)</f>
        <v>0.1846559193064522</v>
      </c>
      <c r="J812">
        <f>($B$1+Table4[[#This Row],[Home Differential]])-Table4[[#This Row],[Away Differential]]</f>
        <v>-0.74607243144909785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0.62288059087874292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-0.8561868317598319</v>
      </c>
      <c r="H813" t="s">
        <v>22</v>
      </c>
      <c r="I813">
        <f>VLOOKUP(Table4[[#This Row],[Visitor]],'NHL Model'!$A$6:$B$38,2,FALSE)</f>
        <v>0.21430145909042725</v>
      </c>
      <c r="J813">
        <f>($B$1+Table4[[#This Row],[Home Differential]])-Table4[[#This Row],[Away Differential]]</f>
        <v>-0.91106862932543198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0.60025650693891641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-0.17681265190927384</v>
      </c>
      <c r="H814" t="s">
        <v>11</v>
      </c>
      <c r="I814">
        <f>VLOOKUP(Table4[[#This Row],[Visitor]],'NHL Model'!$A$6:$B$38,2,FALSE)</f>
        <v>-0.21100886368613675</v>
      </c>
      <c r="J814">
        <f>($B$1+Table4[[#This Row],[Home Differential]])-Table4[[#This Row],[Away Differential]]</f>
        <v>0.19361587330169006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0.56689852873528412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-1.6840122346544992</v>
      </c>
      <c r="H815" t="s">
        <v>55</v>
      </c>
      <c r="I815">
        <f>VLOOKUP(Table4[[#This Row],[Visitor]],'NHL Model'!$A$6:$B$38,2,FALSE)</f>
        <v>-0.1349739904770427</v>
      </c>
      <c r="J815">
        <f>($B$1+Table4[[#This Row],[Home Differential]])-Table4[[#This Row],[Away Differential]]</f>
        <v>-1.3896185826526295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0.65305594494477981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3.2883390994754517E-3</v>
      </c>
      <c r="H816" t="s">
        <v>23</v>
      </c>
      <c r="I816">
        <f>VLOOKUP(Table4[[#This Row],[Visitor]],'NHL Model'!$A$6:$B$38,2,FALSE)</f>
        <v>-0.49794713300108584</v>
      </c>
      <c r="J816">
        <f>($B$1+Table4[[#This Row],[Home Differential]])-Table4[[#This Row],[Away Differential]]</f>
        <v>0.66065513362538841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0.63178302787316132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-0.34257283900844787</v>
      </c>
      <c r="H817" t="s">
        <v>25</v>
      </c>
      <c r="I817">
        <f>VLOOKUP(Table4[[#This Row],[Visitor]],'NHL Model'!$A$6:$B$38,2,FALSE)</f>
        <v>0.42254821659882374</v>
      </c>
      <c r="J817">
        <f>($B$1+Table4[[#This Row],[Home Differential]])-Table4[[#This Row],[Away Differential]]</f>
        <v>-0.6057013940824445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0.61426893564638674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-1.5594075795597986</v>
      </c>
      <c r="H818" t="s">
        <v>13</v>
      </c>
      <c r="I818">
        <f>VLOOKUP(Table4[[#This Row],[Visitor]],'NHL Model'!$A$6:$B$38,2,FALSE)</f>
        <v>-0.31985119938240425</v>
      </c>
      <c r="J818">
        <f>($B$1+Table4[[#This Row],[Home Differential]])-Table4[[#This Row],[Away Differential]]</f>
        <v>-1.0801367186525672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0.69353872889451806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-7.3890719153774626E-2</v>
      </c>
      <c r="H819" t="s">
        <v>26</v>
      </c>
      <c r="I819">
        <f>VLOOKUP(Table4[[#This Row],[Visitor]],'NHL Model'!$A$6:$B$38,2,FALSE)</f>
        <v>-0.67114180037169746</v>
      </c>
      <c r="J819">
        <f>($B$1+Table4[[#This Row],[Home Differential]])-Table4[[#This Row],[Away Differential]]</f>
        <v>0.75667074274274992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0.62686134675792626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-1.1167763879247272</v>
      </c>
      <c r="H820" t="s">
        <v>31</v>
      </c>
      <c r="I820">
        <f>VLOOKUP(Table4[[#This Row],[Visitor]],'NHL Model'!$A$6:$B$38,2,FALSE)</f>
        <v>0.35254565315374792</v>
      </c>
      <c r="J820">
        <f>($B$1+Table4[[#This Row],[Home Differential]])-Table4[[#This Row],[Away Differential]]</f>
        <v>-1.309902379553648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0.66275041958394598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-0.13160108676160023</v>
      </c>
      <c r="H821" t="s">
        <v>11</v>
      </c>
      <c r="I821">
        <f>VLOOKUP(Table4[[#This Row],[Visitor]],'NHL Model'!$A$6:$B$38,2,FALSE)</f>
        <v>-0.21100886368613675</v>
      </c>
      <c r="J821">
        <f>($B$1+Table4[[#This Row],[Home Differential]])-Table4[[#This Row],[Away Differential]]</f>
        <v>0.23882743844936366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0.57317964899445273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-0.34257283900844787</v>
      </c>
      <c r="H822" t="s">
        <v>20</v>
      </c>
      <c r="I822">
        <f>VLOOKUP(Table4[[#This Row],[Visitor]],'NHL Model'!$A$6:$B$38,2,FALSE)</f>
        <v>-3.2309887002194844E-2</v>
      </c>
      <c r="J822">
        <f>($B$1+Table4[[#This Row],[Home Differential]])-Table4[[#This Row],[Away Differential]]</f>
        <v>-0.15084329048142589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0.47846077047885183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-0.46055888840939002</v>
      </c>
      <c r="H823" t="s">
        <v>24</v>
      </c>
      <c r="I823">
        <f>VLOOKUP(Table4[[#This Row],[Visitor]],'NHL Model'!$A$6:$B$38,2,FALSE)</f>
        <v>2.0731927685773251E-2</v>
      </c>
      <c r="J823">
        <f>($B$1+Table4[[#This Row],[Home Differential]])-Table4[[#This Row],[Away Differential]]</f>
        <v>-0.3218711545703361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0.47949929618944404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-0.95664361852990654</v>
      </c>
      <c r="H824" t="s">
        <v>12</v>
      </c>
      <c r="I824">
        <f>VLOOKUP(Table4[[#This Row],[Visitor]],'NHL Model'!$A$6:$B$38,2,FALSE)</f>
        <v>1.4583704516548168</v>
      </c>
      <c r="J824">
        <f>($B$1+Table4[[#This Row],[Home Differential]])-Table4[[#This Row],[Away Differential]]</f>
        <v>-2.2555944086598965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0.86584980820274082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-1.1267952052768424</v>
      </c>
      <c r="H825" t="s">
        <v>14</v>
      </c>
      <c r="I825">
        <f>VLOOKUP(Table4[[#This Row],[Visitor]],'NHL Model'!$A$6:$B$38,2,FALSE)</f>
        <v>-0.2200802314358897</v>
      </c>
      <c r="J825">
        <f>($B$1+Table4[[#This Row],[Home Differential]])-Table4[[#This Row],[Away Differential]]</f>
        <v>-0.74729531231612556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0.56381971317381119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-0.72083617366747277</v>
      </c>
      <c r="H826" t="s">
        <v>13</v>
      </c>
      <c r="I826">
        <f>VLOOKUP(Table4[[#This Row],[Visitor]],'NHL Model'!$A$6:$B$38,2,FALSE)</f>
        <v>-0.31985119938240425</v>
      </c>
      <c r="J826">
        <f>($B$1+Table4[[#This Row],[Home Differential]])-Table4[[#This Row],[Away Differential]]</f>
        <v>-0.2415653127602414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0.56998385551463915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-0.8561868317598319</v>
      </c>
      <c r="H827" t="s">
        <v>31</v>
      </c>
      <c r="I827">
        <f>VLOOKUP(Table4[[#This Row],[Visitor]],'NHL Model'!$A$6:$B$38,2,FALSE)</f>
        <v>0.35254565315374792</v>
      </c>
      <c r="J827">
        <f>($B$1+Table4[[#This Row],[Home Differential]])-Table4[[#This Row],[Away Differential]]</f>
        <v>-1.0493128233887528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0.61946239829010841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-0.50599078340071213</v>
      </c>
      <c r="H828" t="s">
        <v>21</v>
      </c>
      <c r="I828">
        <f>VLOOKUP(Table4[[#This Row],[Visitor]],'NHL Model'!$A$6:$B$38,2,FALSE)</f>
        <v>-0.12487089668223171</v>
      </c>
      <c r="J828">
        <f>($B$1+Table4[[#This Row],[Home Differential]])-Table4[[#This Row],[Away Differential]]</f>
        <v>-0.22170022519365329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0.49080021165774113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-0.54160534998918008</v>
      </c>
      <c r="H829" t="s">
        <v>30</v>
      </c>
      <c r="I829">
        <f>VLOOKUP(Table4[[#This Row],[Visitor]],'NHL Model'!$A$6:$B$38,2,FALSE)</f>
        <v>3.2883390994754517E-3</v>
      </c>
      <c r="J829">
        <f>($B$1+Table4[[#This Row],[Home Differential]])-Table4[[#This Row],[Away Differential]]</f>
        <v>-0.38547402756382843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0.55355286232640122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0.1846559193064522</v>
      </c>
      <c r="H830" t="s">
        <v>55</v>
      </c>
      <c r="I830">
        <f>VLOOKUP(Table4[[#This Row],[Visitor]],'NHL Model'!$A$6:$B$38,2,FALSE)</f>
        <v>-0.1349739904770427</v>
      </c>
      <c r="J830">
        <f>($B$1+Table4[[#This Row],[Home Differential]])-Table4[[#This Row],[Away Differential]]</f>
        <v>0.47904957130832204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0.62565849041464006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-0.12487089668223171</v>
      </c>
      <c r="H831" t="s">
        <v>29</v>
      </c>
      <c r="I831">
        <f>VLOOKUP(Table4[[#This Row],[Visitor]],'NHL Model'!$A$6:$B$38,2,FALSE)</f>
        <v>-1.6840122346544992</v>
      </c>
      <c r="J831">
        <f>($B$1+Table4[[#This Row],[Home Differential]])-Table4[[#This Row],[Away Differential]]</f>
        <v>1.7185609994970947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0.83047100008027208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-0.67114180037169746</v>
      </c>
      <c r="H832" t="s">
        <v>13</v>
      </c>
      <c r="I832">
        <f>VLOOKUP(Table4[[#This Row],[Visitor]],'NHL Model'!$A$6:$B$38,2,FALSE)</f>
        <v>-0.31985119938240425</v>
      </c>
      <c r="J832">
        <f>($B$1+Table4[[#This Row],[Home Differential]])-Table4[[#This Row],[Away Differential]]</f>
        <v>-0.19187093946446609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0.53757314037232451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-0.21100886368613675</v>
      </c>
      <c r="H833" t="s">
        <v>55</v>
      </c>
      <c r="I833">
        <f>VLOOKUP(Table4[[#This Row],[Visitor]],'NHL Model'!$A$6:$B$38,2,FALSE)</f>
        <v>-0.1349739904770427</v>
      </c>
      <c r="J833">
        <f>($B$1+Table4[[#This Row],[Home Differential]])-Table4[[#This Row],[Away Differential]]</f>
        <v>8.3384788315733094E-2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0.60330039906668809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-0.17681265190927384</v>
      </c>
      <c r="H834" t="s">
        <v>10</v>
      </c>
      <c r="I834">
        <f>VLOOKUP(Table4[[#This Row],[Visitor]],'NHL Model'!$A$6:$B$38,2,FALSE)</f>
        <v>-0.13160108676160023</v>
      </c>
      <c r="J834">
        <f>($B$1+Table4[[#This Row],[Home Differential]])-Table4[[#This Row],[Away Differential]]</f>
        <v>0.11420809637715354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0.55586662141804954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-0.75480422558713034</v>
      </c>
      <c r="H835" t="s">
        <v>20</v>
      </c>
      <c r="I835">
        <f>VLOOKUP(Table4[[#This Row],[Visitor]],'NHL Model'!$A$6:$B$38,2,FALSE)</f>
        <v>-3.2309887002194844E-2</v>
      </c>
      <c r="J835">
        <f>($B$1+Table4[[#This Row],[Home Differential]])-Table4[[#This Row],[Away Differential]]</f>
        <v>-0.56307467706010839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0.53822643940671133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2.0731927685773251E-2</v>
      </c>
      <c r="H836" t="s">
        <v>40</v>
      </c>
      <c r="I836">
        <f>VLOOKUP(Table4[[#This Row],[Visitor]],'NHL Model'!$A$6:$B$38,2,FALSE)</f>
        <v>-7.3890719153774626E-2</v>
      </c>
      <c r="J836">
        <f>($B$1+Table4[[#This Row],[Home Differential]])-Table4[[#This Row],[Away Differential]]</f>
        <v>0.25404230836437502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0.63230833502488004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-0.46055888840939002</v>
      </c>
      <c r="H837" t="s">
        <v>22</v>
      </c>
      <c r="I837">
        <f>VLOOKUP(Table4[[#This Row],[Visitor]],'NHL Model'!$A$6:$B$38,2,FALSE)</f>
        <v>0.21430145909042725</v>
      </c>
      <c r="J837">
        <f>($B$1+Table4[[#This Row],[Home Differential]])-Table4[[#This Row],[Away Differential]]</f>
        <v>-0.51544068597499004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0.52615423262032435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-1.5594075795597986</v>
      </c>
      <c r="H838" t="s">
        <v>39</v>
      </c>
      <c r="I838">
        <f>VLOOKUP(Table4[[#This Row],[Visitor]],'NHL Model'!$A$6:$B$38,2,FALSE)</f>
        <v>1.9153995907683643E-3</v>
      </c>
      <c r="J838">
        <f>($B$1+Table4[[#This Row],[Home Differential]])-Table4[[#This Row],[Away Differential]]</f>
        <v>-1.4019033176257398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0.74724881773819574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-0.95664361852990654</v>
      </c>
      <c r="H839" t="s">
        <v>23</v>
      </c>
      <c r="I839">
        <f>VLOOKUP(Table4[[#This Row],[Visitor]],'NHL Model'!$A$6:$B$38,2,FALSE)</f>
        <v>-0.49794713300108584</v>
      </c>
      <c r="J839">
        <f>($B$1+Table4[[#This Row],[Home Differential]])-Table4[[#This Row],[Away Differential]]</f>
        <v>-0.29927682400399358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0.50157771836058296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-1.1267952052768424</v>
      </c>
      <c r="H840" t="s">
        <v>33</v>
      </c>
      <c r="I840">
        <f>VLOOKUP(Table4[[#This Row],[Visitor]],'NHL Model'!$A$6:$B$38,2,FALSE)</f>
        <v>-0.3479098095875402</v>
      </c>
      <c r="J840">
        <f>($B$1+Table4[[#This Row],[Home Differential]])-Table4[[#This Row],[Away Differential]]</f>
        <v>-0.61946573416447515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0.54606069619603637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-0.72083617366747277</v>
      </c>
      <c r="H841" t="s">
        <v>27</v>
      </c>
      <c r="I841">
        <f>VLOOKUP(Table4[[#This Row],[Visitor]],'NHL Model'!$A$6:$B$38,2,FALSE)</f>
        <v>-0.54160534998918008</v>
      </c>
      <c r="J841">
        <f>($B$1+Table4[[#This Row],[Home Differential]])-Table4[[#This Row],[Away Differential]]</f>
        <v>-1.9811162153465567E-2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0.45570635922578845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3.2883390994754517E-3</v>
      </c>
      <c r="H842" t="s">
        <v>15</v>
      </c>
      <c r="I842">
        <f>VLOOKUP(Table4[[#This Row],[Visitor]],'NHL Model'!$A$6:$B$38,2,FALSE)</f>
        <v>-0.50599078340071213</v>
      </c>
      <c r="J842">
        <f>($B$1+Table4[[#This Row],[Home Differential]])-Table4[[#This Row],[Away Differential]]</f>
        <v>0.6686987840250147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0.54942224956182517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-0.34257283900844787</v>
      </c>
      <c r="H843" t="s">
        <v>12</v>
      </c>
      <c r="I843">
        <f>VLOOKUP(Table4[[#This Row],[Visitor]],'NHL Model'!$A$6:$B$38,2,FALSE)</f>
        <v>1.4583704516548168</v>
      </c>
      <c r="J843">
        <f>($B$1+Table4[[#This Row],[Home Differential]])-Table4[[#This Row],[Away Differential]]</f>
        <v>-1.6415236291384376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0.77805243059398843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-0.12487089668223171</v>
      </c>
      <c r="H844" t="s">
        <v>27</v>
      </c>
      <c r="I844">
        <f>VLOOKUP(Table4[[#This Row],[Visitor]],'NHL Model'!$A$6:$B$38,2,FALSE)</f>
        <v>-0.54160534998918008</v>
      </c>
      <c r="J844">
        <f>($B$1+Table4[[#This Row],[Home Differential]])-Table4[[#This Row],[Away Differential]]</f>
        <v>0.57615411483177548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0.67175950659298544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-0.49794713300108584</v>
      </c>
      <c r="H845" t="s">
        <v>13</v>
      </c>
      <c r="I845">
        <f>VLOOKUP(Table4[[#This Row],[Visitor]],'NHL Model'!$A$6:$B$38,2,FALSE)</f>
        <v>-0.31985119938240425</v>
      </c>
      <c r="J845">
        <f>($B$1+Table4[[#This Row],[Home Differential]])-Table4[[#This Row],[Away Differential]]</f>
        <v>-1.8676272093854474E-2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0.53200640859027992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0.42254821659882374</v>
      </c>
      <c r="H846" t="s">
        <v>55</v>
      </c>
      <c r="I846">
        <f>VLOOKUP(Table4[[#This Row],[Visitor]],'NHL Model'!$A$6:$B$38,2,FALSE)</f>
        <v>-0.1349739904770427</v>
      </c>
      <c r="J846">
        <f>($B$1+Table4[[#This Row],[Home Differential]])-Table4[[#This Row],[Away Differential]]</f>
        <v>0.71694186860069364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0.69131876780308521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-0.67114180037169746</v>
      </c>
      <c r="H847" t="s">
        <v>22</v>
      </c>
      <c r="I847">
        <f>VLOOKUP(Table4[[#This Row],[Visitor]],'NHL Model'!$A$6:$B$38,2,FALSE)</f>
        <v>0.21430145909042725</v>
      </c>
      <c r="J847">
        <f>($B$1+Table4[[#This Row],[Home Differential]])-Table4[[#This Row],[Away Differential]]</f>
        <v>-0.72602359793729754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0.5491403535932784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-0.8561868317598319</v>
      </c>
      <c r="H848" t="s">
        <v>33</v>
      </c>
      <c r="I848">
        <f>VLOOKUP(Table4[[#This Row],[Visitor]],'NHL Model'!$A$6:$B$38,2,FALSE)</f>
        <v>-0.3479098095875402</v>
      </c>
      <c r="J848">
        <f>($B$1+Table4[[#This Row],[Home Differential]])-Table4[[#This Row],[Away Differential]]</f>
        <v>-0.34885736064746459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0.50141985613332518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-0.17681265190927384</v>
      </c>
      <c r="H849" t="s">
        <v>16</v>
      </c>
      <c r="I849">
        <f>VLOOKUP(Table4[[#This Row],[Visitor]],'NHL Model'!$A$6:$B$38,2,FALSE)</f>
        <v>-1.1167763879247272</v>
      </c>
      <c r="J849">
        <f>($B$1+Table4[[#This Row],[Home Differential]])-Table4[[#This Row],[Away Differential]]</f>
        <v>1.0993833975402805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0.69273435697987984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-0.75480422558713034</v>
      </c>
      <c r="H850" t="s">
        <v>12</v>
      </c>
      <c r="I850">
        <f>VLOOKUP(Table4[[#This Row],[Visitor]],'NHL Model'!$A$6:$B$38,2,FALSE)</f>
        <v>1.4583704516548168</v>
      </c>
      <c r="J850">
        <f>($B$1+Table4[[#This Row],[Home Differential]])-Table4[[#This Row],[Away Differential]]</f>
        <v>-2.0537550157171198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0.83780880816281178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2.0731927685773251E-2</v>
      </c>
      <c r="H851" t="s">
        <v>29</v>
      </c>
      <c r="I851">
        <f>VLOOKUP(Table4[[#This Row],[Visitor]],'NHL Model'!$A$6:$B$38,2,FALSE)</f>
        <v>-1.6840122346544992</v>
      </c>
      <c r="J851">
        <f>($B$1+Table4[[#This Row],[Home Differential]])-Table4[[#This Row],[Away Differential]]</f>
        <v>1.8641638238650997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0.91796181286843903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-0.50599078340071213</v>
      </c>
      <c r="H852" t="s">
        <v>30</v>
      </c>
      <c r="I852">
        <f>VLOOKUP(Table4[[#This Row],[Visitor]],'NHL Model'!$A$6:$B$38,2,FALSE)</f>
        <v>3.2883390994754517E-3</v>
      </c>
      <c r="J852">
        <f>($B$1+Table4[[#This Row],[Home Differential]])-Table4[[#This Row],[Away Differential]]</f>
        <v>-0.34985946097536047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0.58122819618481025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-0.2200802314358897</v>
      </c>
      <c r="H853" t="s">
        <v>10</v>
      </c>
      <c r="I853">
        <f>VLOOKUP(Table4[[#This Row],[Visitor]],'NHL Model'!$A$6:$B$38,2,FALSE)</f>
        <v>-0.13160108676160023</v>
      </c>
      <c r="J853">
        <f>($B$1+Table4[[#This Row],[Home Differential]])-Table4[[#This Row],[Away Differential]]</f>
        <v>7.0940516850537677E-2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0.54985557381458483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-0.46055888840939002</v>
      </c>
      <c r="H854" t="s">
        <v>19</v>
      </c>
      <c r="I854">
        <f>VLOOKUP(Table4[[#This Row],[Visitor]],'NHL Model'!$A$6:$B$38,2,FALSE)</f>
        <v>-0.95664361852990654</v>
      </c>
      <c r="J854">
        <f>($B$1+Table4[[#This Row],[Home Differential]])-Table4[[#This Row],[Away Differential]]</f>
        <v>0.65550439164534369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0.65710518509327775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-1.5594075795597986</v>
      </c>
      <c r="H855" t="s">
        <v>11</v>
      </c>
      <c r="I855">
        <f>VLOOKUP(Table4[[#This Row],[Visitor]],'NHL Model'!$A$6:$B$38,2,FALSE)</f>
        <v>-0.21100886368613675</v>
      </c>
      <c r="J855">
        <f>($B$1+Table4[[#This Row],[Home Differential]])-Table4[[#This Row],[Away Differential]]</f>
        <v>-1.1889790543488348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0.62518163884848121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0.1846559193064522</v>
      </c>
      <c r="H856" t="s">
        <v>40</v>
      </c>
      <c r="I856">
        <f>VLOOKUP(Table4[[#This Row],[Visitor]],'NHL Model'!$A$6:$B$38,2,FALSE)</f>
        <v>-7.3890719153774626E-2</v>
      </c>
      <c r="J856">
        <f>($B$1+Table4[[#This Row],[Home Differential]])-Table4[[#This Row],[Away Differential]]</f>
        <v>0.41796629998505397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0.5510246721849601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-1.1267952052768424</v>
      </c>
      <c r="H857" t="s">
        <v>31</v>
      </c>
      <c r="I857">
        <f>VLOOKUP(Table4[[#This Row],[Visitor]],'NHL Model'!$A$6:$B$38,2,FALSE)</f>
        <v>0.35254565315374792</v>
      </c>
      <c r="J857">
        <f>($B$1+Table4[[#This Row],[Home Differential]])-Table4[[#This Row],[Away Differential]]</f>
        <v>-1.3199211969057631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0.66414230673577834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-3.2309887002194844E-2</v>
      </c>
      <c r="H858" t="s">
        <v>39</v>
      </c>
      <c r="I858">
        <f>VLOOKUP(Table4[[#This Row],[Visitor]],'NHL Model'!$A$6:$B$38,2,FALSE)</f>
        <v>1.9153995907683643E-3</v>
      </c>
      <c r="J858">
        <f>($B$1+Table4[[#This Row],[Home Differential]])-Table4[[#This Row],[Away Differential]]</f>
        <v>0.12519437493186394</v>
      </c>
      <c r="K858" t="str">
        <f>IF(Table4[[#This Row],[HomeIce Differential]]&gt;0,Table4[[#This Row],[Home]],Table4[[#This Row],[Visitor]])</f>
        <v>Vegas Golden Knights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0.46490672748841683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-0.13160108676160023</v>
      </c>
      <c r="H859" t="s">
        <v>28</v>
      </c>
      <c r="I859">
        <f>VLOOKUP(Table4[[#This Row],[Visitor]],'NHL Model'!$A$6:$B$38,2,FALSE)</f>
        <v>-0.72083617366747277</v>
      </c>
      <c r="J859">
        <f>($B$1+Table4[[#This Row],[Home Differential]])-Table4[[#This Row],[Away Differential]]</f>
        <v>0.74865474843069968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0.64400857595023586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-0.49794713300108584</v>
      </c>
      <c r="H860" t="s">
        <v>18</v>
      </c>
      <c r="I860">
        <f>VLOOKUP(Table4[[#This Row],[Visitor]],'NHL Model'!$A$6:$B$38,2,FALSE)</f>
        <v>-0.75480422558713034</v>
      </c>
      <c r="J860">
        <f>($B$1+Table4[[#This Row],[Home Differential]])-Table4[[#This Row],[Away Differential]]</f>
        <v>0.41627675411087162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0.56487445519621704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-1.1167763879247272</v>
      </c>
      <c r="H861" t="s">
        <v>33</v>
      </c>
      <c r="I861">
        <f>VLOOKUP(Table4[[#This Row],[Visitor]],'NHL Model'!$A$6:$B$38,2,FALSE)</f>
        <v>-0.3479098095875402</v>
      </c>
      <c r="J861">
        <f>($B$1+Table4[[#This Row],[Home Differential]])-Table4[[#This Row],[Away Differential]]</f>
        <v>-0.60944691681235996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0.54466880904420389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-0.67114180037169746</v>
      </c>
      <c r="H862" t="s">
        <v>12</v>
      </c>
      <c r="I862">
        <f>VLOOKUP(Table4[[#This Row],[Visitor]],'NHL Model'!$A$6:$B$38,2,FALSE)</f>
        <v>1.4583704516548168</v>
      </c>
      <c r="J862">
        <f>($B$1+Table4[[#This Row],[Home Differential]])-Table4[[#This Row],[Away Differential]]</f>
        <v>-1.9700925905016873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0.793699626239877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-0.8561868317598319</v>
      </c>
      <c r="H863" t="s">
        <v>34</v>
      </c>
      <c r="I863">
        <f>VLOOKUP(Table4[[#This Row],[Visitor]],'NHL Model'!$A$6:$B$38,2,FALSE)</f>
        <v>-0.17681265190927384</v>
      </c>
      <c r="J863">
        <f>($B$1+Table4[[#This Row],[Home Differential]])-Table4[[#This Row],[Away Differential]]</f>
        <v>-0.51995451832573092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0.54592008310083673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-0.21100886368613675</v>
      </c>
      <c r="H864" t="s">
        <v>40</v>
      </c>
      <c r="I864">
        <f>VLOOKUP(Table4[[#This Row],[Visitor]],'NHL Model'!$A$6:$B$38,2,FALSE)</f>
        <v>-7.3890719153774626E-2</v>
      </c>
      <c r="J864">
        <f>($B$1+Table4[[#This Row],[Home Differential]])-Table4[[#This Row],[Away Differential]]</f>
        <v>2.230151699246502E-2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0.52941407881036229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3.2883390994754517E-3</v>
      </c>
      <c r="H865" t="s">
        <v>29</v>
      </c>
      <c r="I865">
        <f>VLOOKUP(Table4[[#This Row],[Visitor]],'NHL Model'!$A$6:$B$38,2,FALSE)</f>
        <v>-1.6840122346544992</v>
      </c>
      <c r="J865">
        <f>($B$1+Table4[[#This Row],[Home Differential]])-Table4[[#This Row],[Away Differential]]</f>
        <v>1.8467202352788019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0.79655983916812412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-0.34257283900844787</v>
      </c>
      <c r="H866" t="s">
        <v>24</v>
      </c>
      <c r="I866">
        <f>VLOOKUP(Table4[[#This Row],[Visitor]],'NHL Model'!$A$6:$B$38,2,FALSE)</f>
        <v>2.0731927685773251E-2</v>
      </c>
      <c r="J866">
        <f>($B$1+Table4[[#This Row],[Home Differential]])-Table4[[#This Row],[Away Differential]]</f>
        <v>-0.20388510516939398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0.48665853863067965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-0.54160534998918008</v>
      </c>
      <c r="H867" t="s">
        <v>13</v>
      </c>
      <c r="I867">
        <f>VLOOKUP(Table4[[#This Row],[Visitor]],'NHL Model'!$A$6:$B$38,2,FALSE)</f>
        <v>-0.31985119938240425</v>
      </c>
      <c r="J867">
        <f>($B$1+Table4[[#This Row],[Home Differential]])-Table4[[#This Row],[Away Differential]]</f>
        <v>-6.2334489081948719E-2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0.51957699225975951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-0.2200802314358897</v>
      </c>
      <c r="H868" t="s">
        <v>15</v>
      </c>
      <c r="I868">
        <f>VLOOKUP(Table4[[#This Row],[Visitor]],'NHL Model'!$A$6:$B$38,2,FALSE)</f>
        <v>-0.50599078340071213</v>
      </c>
      <c r="J868">
        <f>($B$1+Table4[[#This Row],[Home Differential]])-Table4[[#This Row],[Away Differential]]</f>
        <v>0.44533021348964957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0.51839025920562731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-1.5594075795597986</v>
      </c>
      <c r="H869" t="s">
        <v>28</v>
      </c>
      <c r="I869">
        <f>VLOOKUP(Table4[[#This Row],[Visitor]],'NHL Model'!$A$6:$B$38,2,FALSE)</f>
        <v>-0.72083617366747277</v>
      </c>
      <c r="J869">
        <f>($B$1+Table4[[#This Row],[Home Differential]])-Table4[[#This Row],[Away Differential]]</f>
        <v>-0.6791517443674987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0.55435271189269808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-0.1349739904770427</v>
      </c>
      <c r="H870" t="s">
        <v>39</v>
      </c>
      <c r="I870">
        <f>VLOOKUP(Table4[[#This Row],[Visitor]],'NHL Model'!$A$6:$B$38,2,FALSE)</f>
        <v>1.9153995907683643E-3</v>
      </c>
      <c r="J870">
        <f>($B$1+Table4[[#This Row],[Home Differential]])-Table4[[#This Row],[Away Differential]]</f>
        <v>2.2530271457016082E-2</v>
      </c>
      <c r="K870" t="str">
        <f>IF(Table4[[#This Row],[HomeIce Differential]]&gt;0,Table4[[#This Row],[Home]],Table4[[#This Row],[Visitor]])</f>
        <v>Utah Mammoth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0.51532519152591805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-1.1267952052768424</v>
      </c>
      <c r="H871" t="s">
        <v>19</v>
      </c>
      <c r="I871">
        <f>VLOOKUP(Table4[[#This Row],[Visitor]],'NHL Model'!$A$6:$B$38,2,FALSE)</f>
        <v>-0.95664361852990654</v>
      </c>
      <c r="J871">
        <f>($B$1+Table4[[#This Row],[Home Differential]])-Table4[[#This Row],[Away Differential]]</f>
        <v>-1.0731925222108751E-2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0.46149095729626471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-3.2309887002194844E-2</v>
      </c>
      <c r="H872" t="s">
        <v>32</v>
      </c>
      <c r="I872">
        <f>VLOOKUP(Table4[[#This Row],[Visitor]],'NHL Model'!$A$6:$B$38,2,FALSE)</f>
        <v>-0.46055888840939002</v>
      </c>
      <c r="J872">
        <f>($B$1+Table4[[#This Row],[Home Differential]])-Table4[[#This Row],[Away Differential]]</f>
        <v>0.58766866293202236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0.62164321523407362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0.21430145909042725</v>
      </c>
      <c r="H873" t="s">
        <v>25</v>
      </c>
      <c r="I873">
        <f>VLOOKUP(Table4[[#This Row],[Visitor]],'NHL Model'!$A$6:$B$38,2,FALSE)</f>
        <v>0.42254821659882374</v>
      </c>
      <c r="J873">
        <f>($B$1+Table4[[#This Row],[Home Differential]])-Table4[[#This Row],[Away Differential]]</f>
        <v>-4.8827095983569324E-2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0.53940658527088969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0.35254565315374792</v>
      </c>
      <c r="H874" t="s">
        <v>20</v>
      </c>
      <c r="I874">
        <f>VLOOKUP(Table4[[#This Row],[Visitor]],'NHL Model'!$A$6:$B$38,2,FALSE)</f>
        <v>-3.2309887002194844E-2</v>
      </c>
      <c r="J874">
        <f>($B$1+Table4[[#This Row],[Home Differential]])-Table4[[#This Row],[Away Differential]]</f>
        <v>0.54427520168076993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0.71053531414427773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0.42254821659882374</v>
      </c>
      <c r="H875" t="s">
        <v>13</v>
      </c>
      <c r="I875">
        <f>VLOOKUP(Table4[[#This Row],[Visitor]],'NHL Model'!$A$6:$B$38,2,FALSE)</f>
        <v>-0.31985119938240425</v>
      </c>
      <c r="J875">
        <f>($B$1+Table4[[#This Row],[Home Differential]])-Table4[[#This Row],[Away Differential]]</f>
        <v>0.90181907750605517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0.63437819032805276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0.1846559193064522</v>
      </c>
      <c r="H876" t="s">
        <v>21</v>
      </c>
      <c r="I876">
        <f>VLOOKUP(Table4[[#This Row],[Visitor]],'NHL Model'!$A$6:$B$38,2,FALSE)</f>
        <v>-0.12487089668223171</v>
      </c>
      <c r="J876">
        <f>($B$1+Table4[[#This Row],[Home Differential]])-Table4[[#This Row],[Away Differential]]</f>
        <v>0.46894647751351104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0.62425489496494491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-1.1167763879247272</v>
      </c>
      <c r="H877" t="s">
        <v>19</v>
      </c>
      <c r="I877">
        <f>VLOOKUP(Table4[[#This Row],[Visitor]],'NHL Model'!$A$6:$B$38,2,FALSE)</f>
        <v>-0.95664361852990654</v>
      </c>
      <c r="J877">
        <f>($B$1+Table4[[#This Row],[Home Differential]])-Table4[[#This Row],[Away Differential]]</f>
        <v>-7.1310786999356779E-4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0.4600990701444323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-0.13160108676160023</v>
      </c>
      <c r="H878" t="s">
        <v>33</v>
      </c>
      <c r="I878">
        <f>VLOOKUP(Table4[[#This Row],[Visitor]],'NHL Model'!$A$6:$B$38,2,FALSE)</f>
        <v>-0.3479098095875402</v>
      </c>
      <c r="J878">
        <f>($B$1+Table4[[#This Row],[Home Differential]])-Table4[[#This Row],[Away Differential]]</f>
        <v>0.37572838435076711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0.5921989265176264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1.4583704516548168</v>
      </c>
      <c r="H879" t="s">
        <v>26</v>
      </c>
      <c r="I879">
        <f>VLOOKUP(Table4[[#This Row],[Visitor]],'NHL Model'!$A$6:$B$38,2,FALSE)</f>
        <v>-0.67114180037169746</v>
      </c>
      <c r="J879">
        <f>($B$1+Table4[[#This Row],[Home Differential]])-Table4[[#This Row],[Away Differential]]</f>
        <v>2.2889319135513415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0.93337972497892874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1.9153995907683643E-3</v>
      </c>
      <c r="H880" t="s">
        <v>40</v>
      </c>
      <c r="I880">
        <f>VLOOKUP(Table4[[#This Row],[Visitor]],'NHL Model'!$A$6:$B$38,2,FALSE)</f>
        <v>-7.3890719153774626E-2</v>
      </c>
      <c r="J880">
        <f>($B$1+Table4[[#This Row],[Home Differential]])-Table4[[#This Row],[Away Differential]]</f>
        <v>0.23522578026937013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0.50886975657156486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-0.21100886368613675</v>
      </c>
      <c r="H881" t="s">
        <v>23</v>
      </c>
      <c r="I881">
        <f>VLOOKUP(Table4[[#This Row],[Visitor]],'NHL Model'!$A$6:$B$38,2,FALSE)</f>
        <v>-0.49794713300108584</v>
      </c>
      <c r="J881">
        <f>($B$1+Table4[[#This Row],[Home Differential]])-Table4[[#This Row],[Away Differential]]</f>
        <v>0.44635793083977626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0.65372727439372313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-0.17681265190927384</v>
      </c>
      <c r="H882" t="s">
        <v>18</v>
      </c>
      <c r="I882">
        <f>VLOOKUP(Table4[[#This Row],[Visitor]],'NHL Model'!$A$6:$B$38,2,FALSE)</f>
        <v>-0.75480422558713034</v>
      </c>
      <c r="J882">
        <f>($B$1+Table4[[#This Row],[Home Differential]])-Table4[[#This Row],[Away Differential]]</f>
        <v>0.73741123520268359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0.59534715363757018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-1.6840122346544992</v>
      </c>
      <c r="H883" t="s">
        <v>35</v>
      </c>
      <c r="I883">
        <f>VLOOKUP(Table4[[#This Row],[Visitor]],'NHL Model'!$A$6:$B$38,2,FALSE)</f>
        <v>-1.5594075795597986</v>
      </c>
      <c r="J883">
        <f>($B$1+Table4[[#This Row],[Home Differential]])-Table4[[#This Row],[Away Differential]]</f>
        <v>3.4815006430126472E-2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0.54483675452281055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-0.2200802314358897</v>
      </c>
      <c r="H884" t="s">
        <v>36</v>
      </c>
      <c r="I884">
        <f>VLOOKUP(Table4[[#This Row],[Visitor]],'NHL Model'!$A$6:$B$38,2,FALSE)</f>
        <v>-0.34257283900844787</v>
      </c>
      <c r="J884">
        <f>($B$1+Table4[[#This Row],[Home Differential]])-Table4[[#This Row],[Away Differential]]</f>
        <v>0.28191226909738532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0.57916530779131625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-0.1349739904770427</v>
      </c>
      <c r="H885" t="s">
        <v>38</v>
      </c>
      <c r="I885">
        <f>VLOOKUP(Table4[[#This Row],[Visitor]],'NHL Model'!$A$6:$B$38,2,FALSE)</f>
        <v>-1.1267952052768424</v>
      </c>
      <c r="J885">
        <f>($B$1+Table4[[#This Row],[Home Differential]])-Table4[[#This Row],[Away Differential]]</f>
        <v>1.1512408763246269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0.74327210934887056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0.21430145909042725</v>
      </c>
      <c r="H886" t="s">
        <v>30</v>
      </c>
      <c r="I886">
        <f>VLOOKUP(Table4[[#This Row],[Visitor]],'NHL Model'!$A$6:$B$38,2,FALSE)</f>
        <v>3.2883390994754517E-3</v>
      </c>
      <c r="J886">
        <f>($B$1+Table4[[#This Row],[Home Differential]])-Table4[[#This Row],[Away Differential]]</f>
        <v>0.37043278151577896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0.51884005365470864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0.35254565315374792</v>
      </c>
      <c r="H887" t="s">
        <v>32</v>
      </c>
      <c r="I887">
        <f>VLOOKUP(Table4[[#This Row],[Visitor]],'NHL Model'!$A$6:$B$38,2,FALSE)</f>
        <v>-0.46055888840939002</v>
      </c>
      <c r="J887">
        <f>($B$1+Table4[[#This Row],[Home Differential]])-Table4[[#This Row],[Away Differential]]</f>
        <v>0.97252420308796506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0.77003078770113309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0.42254821659882374</v>
      </c>
      <c r="H888" t="s">
        <v>36</v>
      </c>
      <c r="I888">
        <f>VLOOKUP(Table4[[#This Row],[Visitor]],'NHL Model'!$A$6:$B$38,2,FALSE)</f>
        <v>-0.34257283900844787</v>
      </c>
      <c r="J888">
        <f>($B$1+Table4[[#This Row],[Home Differential]])-Table4[[#This Row],[Away Differential]]</f>
        <v>0.92454071713209873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0.72015991340447305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-0.8561868317598319</v>
      </c>
      <c r="H889" t="s">
        <v>19</v>
      </c>
      <c r="I889">
        <f>VLOOKUP(Table4[[#This Row],[Visitor]],'NHL Model'!$A$6:$B$38,2,FALSE)</f>
        <v>-0.95664361852990654</v>
      </c>
      <c r="J889">
        <f>($B$1+Table4[[#This Row],[Home Differential]])-Table4[[#This Row],[Away Differential]]</f>
        <v>0.25987644829490175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0.58314988276644653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2.0731927685773251E-2</v>
      </c>
      <c r="H890" t="s">
        <v>28</v>
      </c>
      <c r="I890">
        <f>VLOOKUP(Table4[[#This Row],[Visitor]],'NHL Model'!$A$6:$B$38,2,FALSE)</f>
        <v>-0.72083617366747277</v>
      </c>
      <c r="J890">
        <f>($B$1+Table4[[#This Row],[Home Differential]])-Table4[[#This Row],[Away Differential]]</f>
        <v>0.90098776287807314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0.78415037214411509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3.2883390994754517E-3</v>
      </c>
      <c r="H891" t="s">
        <v>14</v>
      </c>
      <c r="I891">
        <f>VLOOKUP(Table4[[#This Row],[Visitor]],'NHL Model'!$A$6:$B$38,2,FALSE)</f>
        <v>-0.2200802314358897</v>
      </c>
      <c r="J891">
        <f>($B$1+Table4[[#This Row],[Home Differential]])-Table4[[#This Row],[Away Differential]]</f>
        <v>0.3827882320601923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0.59317973203341601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-0.54160534998918008</v>
      </c>
      <c r="H892" t="s">
        <v>22</v>
      </c>
      <c r="I892">
        <f>VLOOKUP(Table4[[#This Row],[Visitor]],'NHL Model'!$A$6:$B$38,2,FALSE)</f>
        <v>0.21430145909042725</v>
      </c>
      <c r="J892">
        <f>($B$1+Table4[[#This Row],[Home Differential]])-Table4[[#This Row],[Away Differential]]</f>
        <v>-0.59648714755478016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0.53114420548071339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0.1846559193064522</v>
      </c>
      <c r="H893" t="s">
        <v>23</v>
      </c>
      <c r="I893">
        <f>VLOOKUP(Table4[[#This Row],[Visitor]],'NHL Model'!$A$6:$B$38,2,FALSE)</f>
        <v>-0.49794713300108584</v>
      </c>
      <c r="J893">
        <f>($B$1+Table4[[#This Row],[Home Differential]])-Table4[[#This Row],[Away Differential]]</f>
        <v>0.84202271383236516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0.6760853657416751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-0.72083617366747277</v>
      </c>
      <c r="H894" t="s">
        <v>10</v>
      </c>
      <c r="I894">
        <f>VLOOKUP(Table4[[#This Row],[Visitor]],'NHL Model'!$A$6:$B$38,2,FALSE)</f>
        <v>-0.13160108676160023</v>
      </c>
      <c r="J894">
        <f>($B$1+Table4[[#This Row],[Home Differential]])-Table4[[#This Row],[Away Differential]]</f>
        <v>-0.42981542538104545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0.51266714073584341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-1.1167763879247272</v>
      </c>
      <c r="H895" t="s">
        <v>17</v>
      </c>
      <c r="I895">
        <f>VLOOKUP(Table4[[#This Row],[Visitor]],'NHL Model'!$A$6:$B$38,2,FALSE)</f>
        <v>-0.8561868317598319</v>
      </c>
      <c r="J895">
        <f>($B$1+Table4[[#This Row],[Home Differential]])-Table4[[#This Row],[Away Differential]]</f>
        <v>-0.1011698946400682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0.47405525937370441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1.4583704516548168</v>
      </c>
      <c r="H896" t="s">
        <v>33</v>
      </c>
      <c r="I896">
        <f>VLOOKUP(Table4[[#This Row],[Visitor]],'NHL Model'!$A$6:$B$38,2,FALSE)</f>
        <v>-0.3479098095875402</v>
      </c>
      <c r="J896">
        <f>($B$1+Table4[[#This Row],[Home Differential]])-Table4[[#This Row],[Away Differential]]</f>
        <v>1.9656999227671841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0.90800999973273655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1.9153995907683643E-3</v>
      </c>
      <c r="H897" t="s">
        <v>35</v>
      </c>
      <c r="I897">
        <f>VLOOKUP(Table4[[#This Row],[Visitor]],'NHL Model'!$A$6:$B$38,2,FALSE)</f>
        <v>-1.5594075795597986</v>
      </c>
      <c r="J897">
        <f>($B$1+Table4[[#This Row],[Home Differential]])-Table4[[#This Row],[Away Differential]]</f>
        <v>1.7207426406753941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0.78155359245166811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-0.21100886368613675</v>
      </c>
      <c r="H898" t="s">
        <v>21</v>
      </c>
      <c r="I898">
        <f>VLOOKUP(Table4[[#This Row],[Visitor]],'NHL Model'!$A$6:$B$38,2,FALSE)</f>
        <v>-0.12487089668223171</v>
      </c>
      <c r="J898">
        <f>($B$1+Table4[[#This Row],[Home Differential]])-Table4[[#This Row],[Away Differential]]</f>
        <v>7.3281694520922105E-2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0.60189680361699294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-0.31985119938240425</v>
      </c>
      <c r="H899" t="s">
        <v>32</v>
      </c>
      <c r="I899">
        <f>VLOOKUP(Table4[[#This Row],[Visitor]],'NHL Model'!$A$6:$B$38,2,FALSE)</f>
        <v>-0.46055888840939002</v>
      </c>
      <c r="J899">
        <f>($B$1+Table4[[#This Row],[Home Differential]])-Table4[[#This Row],[Away Differential]]</f>
        <v>0.30012735055181294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0.5816958797096321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-1.6840122346544992</v>
      </c>
      <c r="H900" t="s">
        <v>34</v>
      </c>
      <c r="I900">
        <f>VLOOKUP(Table4[[#This Row],[Visitor]],'NHL Model'!$A$6:$B$38,2,FALSE)</f>
        <v>-0.17681265190927384</v>
      </c>
      <c r="J900">
        <f>($B$1+Table4[[#This Row],[Home Differential]])-Table4[[#This Row],[Away Differential]]</f>
        <v>-1.3477799212203982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0.66801264383018555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-0.1349739904770427</v>
      </c>
      <c r="H901" t="s">
        <v>26</v>
      </c>
      <c r="I901">
        <f>VLOOKUP(Table4[[#This Row],[Visitor]],'NHL Model'!$A$6:$B$38,2,FALSE)</f>
        <v>-0.67114180037169746</v>
      </c>
      <c r="J901">
        <f>($B$1+Table4[[#This Row],[Home Differential]])-Table4[[#This Row],[Away Differential]]</f>
        <v>0.69558747141948185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0.67996941625782792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-3.2309887002194844E-2</v>
      </c>
      <c r="H902" t="s">
        <v>38</v>
      </c>
      <c r="I902">
        <f>VLOOKUP(Table4[[#This Row],[Visitor]],'NHL Model'!$A$6:$B$38,2,FALSE)</f>
        <v>-1.1267952052768424</v>
      </c>
      <c r="J902">
        <f>($B$1+Table4[[#This Row],[Home Differential]])-Table4[[#This Row],[Away Differential]]</f>
        <v>1.2539049797994748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0.69343239100532861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-7.3890719153774626E-2</v>
      </c>
      <c r="H903" t="s">
        <v>18</v>
      </c>
      <c r="I903">
        <f>VLOOKUP(Table4[[#This Row],[Visitor]],'NHL Model'!$A$6:$B$38,2,FALSE)</f>
        <v>-0.75480422558713034</v>
      </c>
      <c r="J903">
        <f>($B$1+Table4[[#This Row],[Home Differential]])-Table4[[#This Row],[Away Differential]]</f>
        <v>0.84033316795818291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0.61215805443747173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-0.49794713300108584</v>
      </c>
      <c r="H904" t="s">
        <v>14</v>
      </c>
      <c r="I904">
        <f>VLOOKUP(Table4[[#This Row],[Visitor]],'NHL Model'!$A$6:$B$38,2,FALSE)</f>
        <v>-0.2200802314358897</v>
      </c>
      <c r="J904">
        <f>($B$1+Table4[[#This Row],[Home Differential]])-Table4[[#This Row],[Away Differential]]</f>
        <v>-0.11844724004036902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0.46243893366391231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2.0731927685773251E-2</v>
      </c>
      <c r="H905" t="s">
        <v>30</v>
      </c>
      <c r="I905">
        <f>VLOOKUP(Table4[[#This Row],[Visitor]],'NHL Model'!$A$6:$B$38,2,FALSE)</f>
        <v>3.2883390994754517E-3</v>
      </c>
      <c r="J905">
        <f>($B$1+Table4[[#This Row],[Home Differential]])-Table4[[#This Row],[Away Differential]]</f>
        <v>0.17686325011112494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0.6154802230905777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-0.50599078340071213</v>
      </c>
      <c r="H906" t="s">
        <v>25</v>
      </c>
      <c r="I906">
        <f>VLOOKUP(Table4[[#This Row],[Visitor]],'NHL Model'!$A$6:$B$38,2,FALSE)</f>
        <v>0.42254821659882374</v>
      </c>
      <c r="J906">
        <f>($B$1+Table4[[#This Row],[Home Differential]])-Table4[[#This Row],[Away Differential]]</f>
        <v>-0.76911933847470881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0.63947483511040848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-0.54160534998918008</v>
      </c>
      <c r="H907" t="s">
        <v>36</v>
      </c>
      <c r="I907">
        <f>VLOOKUP(Table4[[#This Row],[Visitor]],'NHL Model'!$A$6:$B$38,2,FALSE)</f>
        <v>-0.34257283900844787</v>
      </c>
      <c r="J907">
        <f>($B$1+Table4[[#This Row],[Home Differential]])-Table4[[#This Row],[Away Differential]]</f>
        <v>-3.9612849455905097E-2</v>
      </c>
      <c r="K907" t="str">
        <f>IF(Table4[[#This Row],[HomeIce Differential]]&gt;0,Table4[[#This Row],[Home]],Table4[[#This Row],[Visitor]])</f>
        <v>Ottawa Senators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0.4332572400478078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0.1846559193064522</v>
      </c>
      <c r="H908" t="s">
        <v>11</v>
      </c>
      <c r="I908">
        <f>VLOOKUP(Table4[[#This Row],[Visitor]],'NHL Model'!$A$6:$B$38,2,FALSE)</f>
        <v>-0.21100886368613675</v>
      </c>
      <c r="J908">
        <f>($B$1+Table4[[#This Row],[Home Differential]])-Table4[[#This Row],[Away Differential]]</f>
        <v>0.55508444451741612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0.63622180935653094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-3.2309887002194844E-2</v>
      </c>
      <c r="H909" t="s">
        <v>13</v>
      </c>
      <c r="I909">
        <f>VLOOKUP(Table4[[#This Row],[Visitor]],'NHL Model'!$A$6:$B$38,2,FALSE)</f>
        <v>-0.31985119938240425</v>
      </c>
      <c r="J909">
        <f>($B$1+Table4[[#This Row],[Home Differential]])-Table4[[#This Row],[Away Differential]]</f>
        <v>0.44696097390503653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0.51861681633209444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0.21430145909042725</v>
      </c>
      <c r="H910" t="s">
        <v>29</v>
      </c>
      <c r="I910">
        <f>VLOOKUP(Table4[[#This Row],[Visitor]],'NHL Model'!$A$6:$B$38,2,FALSE)</f>
        <v>-1.6840122346544992</v>
      </c>
      <c r="J910">
        <f>($B$1+Table4[[#This Row],[Home Differential]])-Table4[[#This Row],[Away Differential]]</f>
        <v>2.0577333552697539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0.82587532025347077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0.35254565315374792</v>
      </c>
      <c r="H911" t="s">
        <v>17</v>
      </c>
      <c r="I911">
        <f>VLOOKUP(Table4[[#This Row],[Visitor]],'NHL Model'!$A$6:$B$38,2,FALSE)</f>
        <v>-0.8561868317598319</v>
      </c>
      <c r="J911">
        <f>($B$1+Table4[[#This Row],[Home Differential]])-Table4[[#This Row],[Away Differential]]</f>
        <v>1.368152146438407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0.82499430603886403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1.9153995907683643E-3</v>
      </c>
      <c r="H912" t="s">
        <v>32</v>
      </c>
      <c r="I912">
        <f>VLOOKUP(Table4[[#This Row],[Visitor]],'NHL Model'!$A$6:$B$38,2,FALSE)</f>
        <v>-0.46055888840939002</v>
      </c>
      <c r="J912">
        <f>($B$1+Table4[[#This Row],[Home Differential]])-Table4[[#This Row],[Away Differential]]</f>
        <v>0.62189394952498556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0.62889352078191108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-0.31985119938240425</v>
      </c>
      <c r="H913" t="s">
        <v>20</v>
      </c>
      <c r="I913">
        <f>VLOOKUP(Table4[[#This Row],[Visitor]],'NHL Model'!$A$6:$B$38,2,FALSE)</f>
        <v>-3.2309887002194844E-2</v>
      </c>
      <c r="J913">
        <f>($B$1+Table4[[#This Row],[Home Differential]])-Table4[[#This Row],[Away Differential]]</f>
        <v>-0.12812165085538227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0.47779959384722337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2.0731927685773251E-2</v>
      </c>
      <c r="H914" t="s">
        <v>23</v>
      </c>
      <c r="I914">
        <f>VLOOKUP(Table4[[#This Row],[Visitor]],'NHL Model'!$A$6:$B$38,2,FALSE)</f>
        <v>-0.49794713300108584</v>
      </c>
      <c r="J914">
        <f>($B$1+Table4[[#This Row],[Home Differential]])-Table4[[#This Row],[Away Differential]]</f>
        <v>0.67809872221168621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0.75318500157347612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0.1846559193064522</v>
      </c>
      <c r="H915" t="s">
        <v>19</v>
      </c>
      <c r="I915">
        <f>VLOOKUP(Table4[[#This Row],[Visitor]],'NHL Model'!$A$6:$B$38,2,FALSE)</f>
        <v>-0.95664361852990654</v>
      </c>
      <c r="J915">
        <f>($B$1+Table4[[#This Row],[Home Differential]])-Table4[[#This Row],[Away Differential]]</f>
        <v>1.3007191993611857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0.73981082577947621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-0.1349739904770427</v>
      </c>
      <c r="H916" t="s">
        <v>12</v>
      </c>
      <c r="I916">
        <f>VLOOKUP(Table4[[#This Row],[Visitor]],'NHL Model'!$A$6:$B$38,2,FALSE)</f>
        <v>1.4583704516548168</v>
      </c>
      <c r="J916">
        <f>($B$1+Table4[[#This Row],[Home Differential]])-Table4[[#This Row],[Away Differential]]</f>
        <v>-1.4339247806070323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0.68701616304138113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-1.1267952052768424</v>
      </c>
      <c r="H917" t="s">
        <v>40</v>
      </c>
      <c r="I917">
        <f>VLOOKUP(Table4[[#This Row],[Visitor]],'NHL Model'!$A$6:$B$38,2,FALSE)</f>
        <v>-7.3890719153774626E-2</v>
      </c>
      <c r="J917">
        <f>($B$1+Table4[[#This Row],[Home Differential]])-Table4[[#This Row],[Away Differential]]</f>
        <v>-0.89348482459824063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0.65044521553343415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0.21430145909042725</v>
      </c>
      <c r="H918" t="s">
        <v>27</v>
      </c>
      <c r="I918">
        <f>VLOOKUP(Table4[[#This Row],[Visitor]],'NHL Model'!$A$6:$B$38,2,FALSE)</f>
        <v>-0.54160534998918008</v>
      </c>
      <c r="J918">
        <f>($B$1+Table4[[#This Row],[Home Differential]])-Table4[[#This Row],[Away Differential]]</f>
        <v>0.91532647060443451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0.66716382676618413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-0.12487089668223171</v>
      </c>
      <c r="H919" t="s">
        <v>28</v>
      </c>
      <c r="I919">
        <f>VLOOKUP(Table4[[#This Row],[Visitor]],'NHL Model'!$A$6:$B$38,2,FALSE)</f>
        <v>-0.72083617366747277</v>
      </c>
      <c r="J919">
        <f>($B$1+Table4[[#This Row],[Home Differential]])-Table4[[#This Row],[Away Differential]]</f>
        <v>0.75538493851006816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0.69665955935594814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0.42254821659882374</v>
      </c>
      <c r="H920" t="s">
        <v>37</v>
      </c>
      <c r="I920">
        <f>VLOOKUP(Table4[[#This Row],[Visitor]],'NHL Model'!$A$6:$B$38,2,FALSE)</f>
        <v>0.1846559193064522</v>
      </c>
      <c r="J920">
        <f>($B$1+Table4[[#This Row],[Home Differential]])-Table4[[#This Row],[Away Differential]]</f>
        <v>0.39731195881719872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0.58151326351789079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1.4583704516548168</v>
      </c>
      <c r="H921" t="s">
        <v>34</v>
      </c>
      <c r="I921">
        <f>VLOOKUP(Table4[[#This Row],[Visitor]],'NHL Model'!$A$6:$B$38,2,FALSE)</f>
        <v>-0.17681265190927384</v>
      </c>
      <c r="J921">
        <f>($B$1+Table4[[#This Row],[Home Differential]])-Table4[[#This Row],[Away Differential]]</f>
        <v>1.7946027650889178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0.86470391561547733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-0.21100886368613675</v>
      </c>
      <c r="H922" t="s">
        <v>19</v>
      </c>
      <c r="I922">
        <f>VLOOKUP(Table4[[#This Row],[Visitor]],'NHL Model'!$A$6:$B$38,2,FALSE)</f>
        <v>-0.95664361852990654</v>
      </c>
      <c r="J922">
        <f>($B$1+Table4[[#This Row],[Home Differential]])-Table4[[#This Row],[Away Differential]]</f>
        <v>0.90505441636859696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0.71745273443152435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-0.31985119938240425</v>
      </c>
      <c r="H923" t="s">
        <v>17</v>
      </c>
      <c r="I923">
        <f>VLOOKUP(Table4[[#This Row],[Visitor]],'NHL Model'!$A$6:$B$38,2,FALSE)</f>
        <v>-0.8561868317598319</v>
      </c>
      <c r="J923">
        <f>($B$1+Table4[[#This Row],[Home Differential]])-Table4[[#This Row],[Away Differential]]</f>
        <v>0.69575529390225477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0.63665939804736293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-0.75480422558713034</v>
      </c>
      <c r="H924" t="s">
        <v>30</v>
      </c>
      <c r="I924">
        <f>VLOOKUP(Table4[[#This Row],[Visitor]],'NHL Model'!$A$6:$B$38,2,FALSE)</f>
        <v>3.2883390994754517E-3</v>
      </c>
      <c r="J924">
        <f>($B$1+Table4[[#This Row],[Home Differential]])-Table4[[#This Row],[Away Differential]]</f>
        <v>-0.59867290316177868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0.61579517362445335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-1.6840122346544992</v>
      </c>
      <c r="H925" t="s">
        <v>10</v>
      </c>
      <c r="I925">
        <f>VLOOKUP(Table4[[#This Row],[Visitor]],'NHL Model'!$A$6:$B$38,2,FALSE)</f>
        <v>-0.13160108676160023</v>
      </c>
      <c r="J925">
        <f>($B$1+Table4[[#This Row],[Home Differential]])-Table4[[#This Row],[Away Differential]]</f>
        <v>-1.3929914863680719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0.65352453332012339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-0.50599078340071213</v>
      </c>
      <c r="H926" t="s">
        <v>27</v>
      </c>
      <c r="I926">
        <f>VLOOKUP(Table4[[#This Row],[Visitor]],'NHL Model'!$A$6:$B$38,2,FALSE)</f>
        <v>-0.54160534998918008</v>
      </c>
      <c r="J926">
        <f>($B$1+Table4[[#This Row],[Home Differential]])-Table4[[#This Row],[Away Differential]]</f>
        <v>0.19503422811329507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0.56709557692666535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-0.34257283900844787</v>
      </c>
      <c r="H927" t="s">
        <v>26</v>
      </c>
      <c r="I927">
        <f>VLOOKUP(Table4[[#This Row],[Visitor]],'NHL Model'!$A$6:$B$38,2,FALSE)</f>
        <v>-0.67114180037169746</v>
      </c>
      <c r="J927">
        <f>($B$1+Table4[[#This Row],[Home Differential]])-Table4[[#This Row],[Away Differential]]</f>
        <v>0.48798862288807676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0.5895340677578893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-0.2200802314358897</v>
      </c>
      <c r="H928" t="s">
        <v>24</v>
      </c>
      <c r="I928">
        <f>VLOOKUP(Table4[[#This Row],[Visitor]],'NHL Model'!$A$6:$B$38,2,FALSE)</f>
        <v>2.0731927685773251E-2</v>
      </c>
      <c r="J928">
        <f>($B$1+Table4[[#This Row],[Home Differential]])-Table4[[#This Row],[Away Differential]]</f>
        <v>-8.1392497596835811E-2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0.47213713227080584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-0.3479098095875402</v>
      </c>
      <c r="H929" t="s">
        <v>16</v>
      </c>
      <c r="I929">
        <f>VLOOKUP(Table4[[#This Row],[Visitor]],'NHL Model'!$A$6:$B$38,2,FALSE)</f>
        <v>-1.1167763879247272</v>
      </c>
      <c r="J929">
        <f>($B$1+Table4[[#This Row],[Home Differential]])-Table4[[#This Row],[Away Differential]]</f>
        <v>0.9282862398620142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0.6689642923986403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-1.5594075795597986</v>
      </c>
      <c r="H930" t="s">
        <v>32</v>
      </c>
      <c r="I930">
        <f>VLOOKUP(Table4[[#This Row],[Visitor]],'NHL Model'!$A$6:$B$38,2,FALSE)</f>
        <v>-0.46055888840939002</v>
      </c>
      <c r="J930">
        <f>($B$1+Table4[[#This Row],[Home Differential]])-Table4[[#This Row],[Away Differential]]</f>
        <v>-0.93942902962558139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0.59051232999253889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0.35254565315374792</v>
      </c>
      <c r="H931" t="s">
        <v>40</v>
      </c>
      <c r="I931">
        <f>VLOOKUP(Table4[[#This Row],[Visitor]],'NHL Model'!$A$6:$B$38,2,FALSE)</f>
        <v>-7.3890719153774626E-2</v>
      </c>
      <c r="J931">
        <f>($B$1+Table4[[#This Row],[Home Differential]])-Table4[[#This Row],[Away Differential]]</f>
        <v>0.58585603383234974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0.65281996301258727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-0.21100886368613675</v>
      </c>
      <c r="H932" t="s">
        <v>23</v>
      </c>
      <c r="I932">
        <f>VLOOKUP(Table4[[#This Row],[Visitor]],'NHL Model'!$A$6:$B$38,2,FALSE)</f>
        <v>-0.49794713300108584</v>
      </c>
      <c r="J932">
        <f>($B$1+Table4[[#This Row],[Home Differential]])-Table4[[#This Row],[Away Differential]]</f>
        <v>0.44635793083977626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0.65372727439372313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-0.1349739904770427</v>
      </c>
      <c r="H933" t="s">
        <v>34</v>
      </c>
      <c r="I933">
        <f>VLOOKUP(Table4[[#This Row],[Visitor]],'NHL Model'!$A$6:$B$38,2,FALSE)</f>
        <v>-0.17681265190927384</v>
      </c>
      <c r="J933">
        <f>($B$1+Table4[[#This Row],[Home Differential]])-Table4[[#This Row],[Away Differential]]</f>
        <v>0.20125832295705828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0.61129360689437651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0.21430145909042725</v>
      </c>
      <c r="H934" t="s">
        <v>20</v>
      </c>
      <c r="I934">
        <f>VLOOKUP(Table4[[#This Row],[Visitor]],'NHL Model'!$A$6:$B$38,2,FALSE)</f>
        <v>-3.2309887002194844E-2</v>
      </c>
      <c r="J934">
        <f>($B$1+Table4[[#This Row],[Home Differential]])-Table4[[#This Row],[Away Differential]]</f>
        <v>0.40603100761744926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0.59640878787245066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0.42254821659882374</v>
      </c>
      <c r="H935" t="s">
        <v>26</v>
      </c>
      <c r="I935">
        <f>VLOOKUP(Table4[[#This Row],[Visitor]],'NHL Model'!$A$6:$B$38,2,FALSE)</f>
        <v>-0.67114180037169746</v>
      </c>
      <c r="J935">
        <f>($B$1+Table4[[#This Row],[Home Differential]])-Table4[[#This Row],[Away Differential]]</f>
        <v>1.2531096784953484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0.74551970414757229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-0.72083617366747277</v>
      </c>
      <c r="H936" t="s">
        <v>30</v>
      </c>
      <c r="I936">
        <f>VLOOKUP(Table4[[#This Row],[Visitor]],'NHL Model'!$A$6:$B$38,2,FALSE)</f>
        <v>3.2883390994754517E-3</v>
      </c>
      <c r="J936">
        <f>($B$1+Table4[[#This Row],[Home Differential]])-Table4[[#This Row],[Away Differential]]</f>
        <v>-0.56470485124212111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0.60400036034483839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1.4583704516548168</v>
      </c>
      <c r="H937" t="s">
        <v>10</v>
      </c>
      <c r="I937">
        <f>VLOOKUP(Table4[[#This Row],[Visitor]],'NHL Model'!$A$6:$B$38,2,FALSE)</f>
        <v>-0.13160108676160023</v>
      </c>
      <c r="J937">
        <f>($B$1+Table4[[#This Row],[Home Differential]])-Table4[[#This Row],[Away Differential]]</f>
        <v>1.7493911999412441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0.8779588148923283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1.9153995907683643E-3</v>
      </c>
      <c r="H938" t="s">
        <v>29</v>
      </c>
      <c r="I938">
        <f>VLOOKUP(Table4[[#This Row],[Visitor]],'NHL Model'!$A$6:$B$38,2,FALSE)</f>
        <v>-1.6840122346544992</v>
      </c>
      <c r="J938">
        <f>($B$1+Table4[[#This Row],[Home Differential]])-Table4[[#This Row],[Away Differential]]</f>
        <v>1.8453472957700947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0.79886457960607571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-0.31985119938240425</v>
      </c>
      <c r="H939" t="s">
        <v>16</v>
      </c>
      <c r="I939">
        <f>VLOOKUP(Table4[[#This Row],[Visitor]],'NHL Model'!$A$6:$B$38,2,FALSE)</f>
        <v>-1.1167763879247272</v>
      </c>
      <c r="J939">
        <f>($B$1+Table4[[#This Row],[Home Differential]])-Table4[[#This Row],[Away Differential]]</f>
        <v>0.95634485006715009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0.67286239909828549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-0.75480422558713034</v>
      </c>
      <c r="H940" t="s">
        <v>22</v>
      </c>
      <c r="I940">
        <f>VLOOKUP(Table4[[#This Row],[Visitor]],'NHL Model'!$A$6:$B$38,2,FALSE)</f>
        <v>0.21430145909042725</v>
      </c>
      <c r="J940">
        <f>($B$1+Table4[[#This Row],[Home Differential]])-Table4[[#This Row],[Away Differential]]</f>
        <v>-0.80968602315273053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0.59325671637117461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-0.50599078340071213</v>
      </c>
      <c r="H941" t="s">
        <v>14</v>
      </c>
      <c r="I941">
        <f>VLOOKUP(Table4[[#This Row],[Visitor]],'NHL Model'!$A$6:$B$38,2,FALSE)</f>
        <v>-0.2200802314358897</v>
      </c>
      <c r="J941">
        <f>($B$1+Table4[[#This Row],[Home Differential]])-Table4[[#This Row],[Away Differential]]</f>
        <v>-0.12649089043999531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0.47757303672075624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-0.54160534998918008</v>
      </c>
      <c r="H942" t="s">
        <v>21</v>
      </c>
      <c r="I942">
        <f>VLOOKUP(Table4[[#This Row],[Visitor]],'NHL Model'!$A$6:$B$38,2,FALSE)</f>
        <v>-0.12487089668223171</v>
      </c>
      <c r="J942">
        <f>($B$1+Table4[[#This Row],[Home Differential]])-Table4[[#This Row],[Away Differential]]</f>
        <v>-0.25731479178212124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0.46350198109889068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-0.46055888840939002</v>
      </c>
      <c r="H943" t="s">
        <v>38</v>
      </c>
      <c r="I943">
        <f>VLOOKUP(Table4[[#This Row],[Visitor]],'NHL Model'!$A$6:$B$38,2,FALSE)</f>
        <v>-1.1267952052768424</v>
      </c>
      <c r="J943">
        <f>($B$1+Table4[[#This Row],[Home Differential]])-Table4[[#This Row],[Away Differential]]</f>
        <v>0.82565597839227955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0.66016069367224939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-0.3479098095875402</v>
      </c>
      <c r="H944" t="s">
        <v>17</v>
      </c>
      <c r="I944">
        <f>VLOOKUP(Table4[[#This Row],[Visitor]],'NHL Model'!$A$6:$B$38,2,FALSE)</f>
        <v>-0.8561868317598319</v>
      </c>
      <c r="J944">
        <f>($B$1+Table4[[#This Row],[Home Differential]])-Table4[[#This Row],[Away Differential]]</f>
        <v>0.66769668369711888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0.63276129134771764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-1.5594075795597986</v>
      </c>
      <c r="H945" t="s">
        <v>24</v>
      </c>
      <c r="I945">
        <f>VLOOKUP(Table4[[#This Row],[Visitor]],'NHL Model'!$A$6:$B$38,2,FALSE)</f>
        <v>2.0731927685773251E-2</v>
      </c>
      <c r="J945">
        <f>($B$1+Table4[[#This Row],[Home Differential]])-Table4[[#This Row],[Away Differential]]</f>
        <v>-1.4207198457207446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0.65820625225110641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0.1846559193064522</v>
      </c>
      <c r="H946" t="s">
        <v>23</v>
      </c>
      <c r="I946">
        <f>VLOOKUP(Table4[[#This Row],[Visitor]],'NHL Model'!$A$6:$B$38,2,FALSE)</f>
        <v>-0.49794713300108584</v>
      </c>
      <c r="J946">
        <f>($B$1+Table4[[#This Row],[Home Differential]])-Table4[[#This Row],[Away Differential]]</f>
        <v>0.84202271383236516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0.6760853657416751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-0.95664361852990654</v>
      </c>
      <c r="H947" t="s">
        <v>36</v>
      </c>
      <c r="I947">
        <f>VLOOKUP(Table4[[#This Row],[Visitor]],'NHL Model'!$A$6:$B$38,2,FALSE)</f>
        <v>-0.34257283900844787</v>
      </c>
      <c r="J947">
        <f>($B$1+Table4[[#This Row],[Home Differential]])-Table4[[#This Row],[Away Differential]]</f>
        <v>-0.45465111799663155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0.52316344808623028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0.35254565315374792</v>
      </c>
      <c r="H948" t="s">
        <v>16</v>
      </c>
      <c r="I948">
        <f>VLOOKUP(Table4[[#This Row],[Visitor]],'NHL Model'!$A$6:$B$38,2,FALSE)</f>
        <v>-1.1167763879247272</v>
      </c>
      <c r="J948">
        <f>($B$1+Table4[[#This Row],[Home Differential]])-Table4[[#This Row],[Away Differential]]</f>
        <v>1.6287417026033024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0.86119730708978659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-0.17681265190927384</v>
      </c>
      <c r="H949" t="s">
        <v>35</v>
      </c>
      <c r="I949">
        <f>VLOOKUP(Table4[[#This Row],[Visitor]],'NHL Model'!$A$6:$B$38,2,FALSE)</f>
        <v>-1.5594075795597986</v>
      </c>
      <c r="J949">
        <f>($B$1+Table4[[#This Row],[Home Differential]])-Table4[[#This Row],[Away Differential]]</f>
        <v>1.5420145891753518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0.75422790926098349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3.2883390994754517E-3</v>
      </c>
      <c r="H950" t="s">
        <v>11</v>
      </c>
      <c r="I950">
        <f>VLOOKUP(Table4[[#This Row],[Visitor]],'NHL Model'!$A$6:$B$38,2,FALSE)</f>
        <v>-0.21100886368613675</v>
      </c>
      <c r="J950">
        <f>($B$1+Table4[[#This Row],[Home Differential]])-Table4[[#This Row],[Away Differential]]</f>
        <v>0.37371686431043938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0.59191947148801716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-0.2200802314358897</v>
      </c>
      <c r="H951" t="s">
        <v>20</v>
      </c>
      <c r="I951">
        <f>VLOOKUP(Table4[[#This Row],[Visitor]],'NHL Model'!$A$6:$B$38,2,FALSE)</f>
        <v>-3.2309887002194844E-2</v>
      </c>
      <c r="J951">
        <f>($B$1+Table4[[#This Row],[Home Differential]])-Table4[[#This Row],[Away Differential]]</f>
        <v>-2.8350682908867712E-2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0.46393868356909379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-0.3479098095875402</v>
      </c>
      <c r="H952" t="s">
        <v>40</v>
      </c>
      <c r="I952">
        <f>VLOOKUP(Table4[[#This Row],[Visitor]],'NHL Model'!$A$6:$B$38,2,FALSE)</f>
        <v>-7.3890719153774626E-2</v>
      </c>
      <c r="J952">
        <f>($B$1+Table4[[#This Row],[Home Differential]])-Table4[[#This Row],[Away Differential]]</f>
        <v>-0.11459942890893843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0.54223677766017975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-0.1349739904770427</v>
      </c>
      <c r="H953" t="s">
        <v>10</v>
      </c>
      <c r="I953">
        <f>VLOOKUP(Table4[[#This Row],[Visitor]],'NHL Model'!$A$6:$B$38,2,FALSE)</f>
        <v>-0.13160108676160023</v>
      </c>
      <c r="J953">
        <f>($B$1+Table4[[#This Row],[Home Differential]])-Table4[[#This Row],[Away Differential]]</f>
        <v>0.15604675780938468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0.62512742916394348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-0.31985119938240425</v>
      </c>
      <c r="H954" t="s">
        <v>12</v>
      </c>
      <c r="I954">
        <f>VLOOKUP(Table4[[#This Row],[Visitor]],'NHL Model'!$A$6:$B$38,2,FALSE)</f>
        <v>1.4583704516548168</v>
      </c>
      <c r="J954">
        <f>($B$1+Table4[[#This Row],[Home Differential]])-Table4[[#This Row],[Away Differential]]</f>
        <v>-1.618801989512394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0.77738196260332393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-1.6840122346544992</v>
      </c>
      <c r="H955" t="s">
        <v>26</v>
      </c>
      <c r="I955">
        <f>VLOOKUP(Table4[[#This Row],[Visitor]],'NHL Model'!$A$6:$B$38,2,FALSE)</f>
        <v>-0.67114180037169746</v>
      </c>
      <c r="J955">
        <f>($B$1+Table4[[#This Row],[Home Differential]])-Table4[[#This Row],[Away Differential]]</f>
        <v>-0.85345077275797465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0.59933683446673414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-0.50599078340071213</v>
      </c>
      <c r="H956" t="s">
        <v>28</v>
      </c>
      <c r="I956">
        <f>VLOOKUP(Table4[[#This Row],[Visitor]],'NHL Model'!$A$6:$B$38,2,FALSE)</f>
        <v>-0.72083617366747277</v>
      </c>
      <c r="J956">
        <f>($B$1+Table4[[#This Row],[Home Differential]])-Table4[[#This Row],[Away Differential]]</f>
        <v>0.37426505179158776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0.59199562968962804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-0.46055888840939002</v>
      </c>
      <c r="H957" t="s">
        <v>25</v>
      </c>
      <c r="I957">
        <f>VLOOKUP(Table4[[#This Row],[Visitor]],'NHL Model'!$A$6:$B$38,2,FALSE)</f>
        <v>0.42254821659882374</v>
      </c>
      <c r="J957">
        <f>($B$1+Table4[[#This Row],[Home Differential]])-Table4[[#This Row],[Away Differential]]</f>
        <v>-0.72368744348338665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0.60686904983917189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-0.95664361852990654</v>
      </c>
      <c r="H958" t="s">
        <v>27</v>
      </c>
      <c r="I958">
        <f>VLOOKUP(Table4[[#This Row],[Visitor]],'NHL Model'!$A$6:$B$38,2,FALSE)</f>
        <v>-0.54160534998918008</v>
      </c>
      <c r="J958">
        <f>($B$1+Table4[[#This Row],[Home Differential]])-Table4[[#This Row],[Away Differential]]</f>
        <v>-0.25561860701589934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0.4955124005529068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-1.1267952052768424</v>
      </c>
      <c r="H959" t="s">
        <v>39</v>
      </c>
      <c r="I959">
        <f>VLOOKUP(Table4[[#This Row],[Visitor]],'NHL Model'!$A$6:$B$38,2,FALSE)</f>
        <v>1.9153995907683643E-3</v>
      </c>
      <c r="J959">
        <f>($B$1+Table4[[#This Row],[Home Differential]])-Table4[[#This Row],[Away Differential]]</f>
        <v>-0.96929094334278365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0.68714715260892445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0.35254565315374792</v>
      </c>
      <c r="H960" t="s">
        <v>12</v>
      </c>
      <c r="I960">
        <f>VLOOKUP(Table4[[#This Row],[Visitor]],'NHL Model'!$A$6:$B$38,2,FALSE)</f>
        <v>1.4583704516548168</v>
      </c>
      <c r="J960">
        <f>($B$1+Table4[[#This Row],[Home Differential]])-Table4[[#This Row],[Away Differential]]</f>
        <v>-0.94640513697624173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0.58602695623260836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-0.12487089668223171</v>
      </c>
      <c r="H961" t="s">
        <v>14</v>
      </c>
      <c r="I961">
        <f>VLOOKUP(Table4[[#This Row],[Visitor]],'NHL Model'!$A$6:$B$38,2,FALSE)</f>
        <v>-0.2200802314358897</v>
      </c>
      <c r="J961">
        <f>($B$1+Table4[[#This Row],[Home Differential]])-Table4[[#This Row],[Away Differential]]</f>
        <v>0.25462899627848512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0.62709089294556386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-0.49794713300108584</v>
      </c>
      <c r="H962" t="s">
        <v>20</v>
      </c>
      <c r="I962">
        <f>VLOOKUP(Table4[[#This Row],[Visitor]],'NHL Model'!$A$6:$B$38,2,FALSE)</f>
        <v>-3.2309887002194844E-2</v>
      </c>
      <c r="J962">
        <f>($B$1+Table4[[#This Row],[Home Differential]])-Table4[[#This Row],[Away Differential]]</f>
        <v>-0.30621758447406389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0.48852535891022419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-0.72083617366747277</v>
      </c>
      <c r="H963" t="s">
        <v>29</v>
      </c>
      <c r="I963">
        <f>VLOOKUP(Table4[[#This Row],[Visitor]],'NHL Model'!$A$6:$B$38,2,FALSE)</f>
        <v>-1.6840122346544992</v>
      </c>
      <c r="J963">
        <f>($B$1+Table4[[#This Row],[Home Differential]])-Table4[[#This Row],[Away Differential]]</f>
        <v>1.1225957225118535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0.70300513426149824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-1.1167763879247272</v>
      </c>
      <c r="H964" t="s">
        <v>39</v>
      </c>
      <c r="I964">
        <f>VLOOKUP(Table4[[#This Row],[Visitor]],'NHL Model'!$A$6:$B$38,2,FALSE)</f>
        <v>1.9153995907683643E-3</v>
      </c>
      <c r="J964">
        <f>($B$1+Table4[[#This Row],[Home Differential]])-Table4[[#This Row],[Away Differential]]</f>
        <v>-0.95927212599066847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0.68575526545709209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-0.8561868317598319</v>
      </c>
      <c r="H965" t="s">
        <v>36</v>
      </c>
      <c r="I965">
        <f>VLOOKUP(Table4[[#This Row],[Visitor]],'NHL Model'!$A$6:$B$38,2,FALSE)</f>
        <v>-0.34257283900844787</v>
      </c>
      <c r="J965">
        <f>($B$1+Table4[[#This Row],[Home Differential]])-Table4[[#This Row],[Away Differential]]</f>
        <v>-0.35419433122655691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0.50216130699700201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-0.17681265190927384</v>
      </c>
      <c r="H966" t="s">
        <v>37</v>
      </c>
      <c r="I966">
        <f>VLOOKUP(Table4[[#This Row],[Visitor]],'NHL Model'!$A$6:$B$38,2,FALSE)</f>
        <v>0.1846559193064522</v>
      </c>
      <c r="J966">
        <f>($B$1+Table4[[#This Row],[Home Differential]])-Table4[[#This Row],[Away Differential]]</f>
        <v>-0.20204890969089889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0.55438589710780872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2.0731927685773251E-2</v>
      </c>
      <c r="H967" t="s">
        <v>11</v>
      </c>
      <c r="I967">
        <f>VLOOKUP(Table4[[#This Row],[Visitor]],'NHL Model'!$A$6:$B$38,2,FALSE)</f>
        <v>-0.21100886368613675</v>
      </c>
      <c r="J967">
        <f>($B$1+Table4[[#This Row],[Home Differential]])-Table4[[#This Row],[Away Differential]]</f>
        <v>0.39116045289673718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0.71332144518833196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-0.3479098095875402</v>
      </c>
      <c r="H968" t="s">
        <v>18</v>
      </c>
      <c r="I968">
        <f>VLOOKUP(Table4[[#This Row],[Visitor]],'NHL Model'!$A$6:$B$38,2,FALSE)</f>
        <v>-0.75480422558713034</v>
      </c>
      <c r="J968">
        <f>($B$1+Table4[[#This Row],[Home Differential]])-Table4[[#This Row],[Away Differential]]</f>
        <v>0.56631407752441731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0.57157708905633053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-7.3890719153774626E-2</v>
      </c>
      <c r="H969" t="s">
        <v>10</v>
      </c>
      <c r="I969">
        <f>VLOOKUP(Table4[[#This Row],[Visitor]],'NHL Model'!$A$6:$B$38,2,FALSE)</f>
        <v>-0.13160108676160023</v>
      </c>
      <c r="J969">
        <f>($B$1+Table4[[#This Row],[Home Differential]])-Table4[[#This Row],[Away Differential]]</f>
        <v>0.21713002913265275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0.57266076590486359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0.21430145909042725</v>
      </c>
      <c r="H970" t="s">
        <v>55</v>
      </c>
      <c r="I970">
        <f>VLOOKUP(Table4[[#This Row],[Visitor]],'NHL Model'!$A$6:$B$38,2,FALSE)</f>
        <v>-0.1349739904770427</v>
      </c>
      <c r="J970">
        <f>($B$1+Table4[[#This Row],[Home Differential]])-Table4[[#This Row],[Away Differential]]</f>
        <v>0.50869511109229715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0.61067163363147281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0.35254565315374792</v>
      </c>
      <c r="H971" t="s">
        <v>30</v>
      </c>
      <c r="I971">
        <f>VLOOKUP(Table4[[#This Row],[Visitor]],'NHL Model'!$A$6:$B$38,2,FALSE)</f>
        <v>3.2883390994754517E-3</v>
      </c>
      <c r="J971">
        <f>($B$1+Table4[[#This Row],[Home Differential]])-Table4[[#This Row],[Away Differential]]</f>
        <v>0.50867697557909963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0.63588650541810465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-0.67114180037169746</v>
      </c>
      <c r="H972" t="s">
        <v>20</v>
      </c>
      <c r="I972">
        <f>VLOOKUP(Table4[[#This Row],[Visitor]],'NHL Model'!$A$6:$B$38,2,FALSE)</f>
        <v>-3.2309887002194844E-2</v>
      </c>
      <c r="J972">
        <f>($B$1+Table4[[#This Row],[Home Differential]])-Table4[[#This Row],[Away Differential]]</f>
        <v>-0.47941225184467551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0.49435737952078285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2.0731927685773251E-2</v>
      </c>
      <c r="H973" t="s">
        <v>19</v>
      </c>
      <c r="I973">
        <f>VLOOKUP(Table4[[#This Row],[Visitor]],'NHL Model'!$A$6:$B$38,2,FALSE)</f>
        <v>-0.95664361852990654</v>
      </c>
      <c r="J973">
        <f>($B$1+Table4[[#This Row],[Home Differential]])-Table4[[#This Row],[Away Differential]]</f>
        <v>1.136795207740507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0.81691046161127723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-0.46055888840939002</v>
      </c>
      <c r="H974" t="s">
        <v>35</v>
      </c>
      <c r="I974">
        <f>VLOOKUP(Table4[[#This Row],[Visitor]],'NHL Model'!$A$6:$B$38,2,FALSE)</f>
        <v>-1.5594075795597986</v>
      </c>
      <c r="J974">
        <f>($B$1+Table4[[#This Row],[Home Differential]])-Table4[[#This Row],[Away Differential]]</f>
        <v>1.2582683526752358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0.74084554919603174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-1.1267952052768424</v>
      </c>
      <c r="H975" t="s">
        <v>25</v>
      </c>
      <c r="I975">
        <f>VLOOKUP(Table4[[#This Row],[Visitor]],'NHL Model'!$A$6:$B$38,2,FALSE)</f>
        <v>0.42254821659882374</v>
      </c>
      <c r="J975">
        <f>($B$1+Table4[[#This Row],[Home Differential]])-Table4[[#This Row],[Away Differential]]</f>
        <v>-1.389923760350839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0.72572151156346343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-0.72083617366747277</v>
      </c>
      <c r="H976" t="s">
        <v>11</v>
      </c>
      <c r="I976">
        <f>VLOOKUP(Table4[[#This Row],[Visitor]],'NHL Model'!$A$6:$B$38,2,FALSE)</f>
        <v>-0.21100886368613675</v>
      </c>
      <c r="J976">
        <f>($B$1+Table4[[#This Row],[Home Differential]])-Table4[[#This Row],[Away Differential]]</f>
        <v>-0.3504076484565089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0.50163523341860883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-1.1167763879247272</v>
      </c>
      <c r="H977" t="s">
        <v>36</v>
      </c>
      <c r="I977">
        <f>VLOOKUP(Table4[[#This Row],[Visitor]],'NHL Model'!$A$6:$B$38,2,FALSE)</f>
        <v>-0.34257283900844787</v>
      </c>
      <c r="J977">
        <f>($B$1+Table4[[#This Row],[Home Differential]])-Table4[[#This Row],[Away Differential]]</f>
        <v>-0.61478388739145218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0.54541025990788072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-0.31985119938240425</v>
      </c>
      <c r="H978" t="s">
        <v>30</v>
      </c>
      <c r="I978">
        <f>VLOOKUP(Table4[[#This Row],[Visitor]],'NHL Model'!$A$6:$B$38,2,FALSE)</f>
        <v>3.2883390994754517E-3</v>
      </c>
      <c r="J978">
        <f>($B$1+Table4[[#This Row],[Home Differential]])-Table4[[#This Row],[Away Differential]]</f>
        <v>-0.16371987695705256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0.5553683280649655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-1.6840122346544992</v>
      </c>
      <c r="H979" t="s">
        <v>21</v>
      </c>
      <c r="I979">
        <f>VLOOKUP(Table4[[#This Row],[Visitor]],'NHL Model'!$A$6:$B$38,2,FALSE)</f>
        <v>-0.12487089668223171</v>
      </c>
      <c r="J979">
        <f>($B$1+Table4[[#This Row],[Home Differential]])-Table4[[#This Row],[Away Differential]]</f>
        <v>-1.3997216764474405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0.65445954039447496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-0.50599078340071213</v>
      </c>
      <c r="H980" t="s">
        <v>19</v>
      </c>
      <c r="I980">
        <f>VLOOKUP(Table4[[#This Row],[Visitor]],'NHL Model'!$A$6:$B$38,2,FALSE)</f>
        <v>-0.95664361852990654</v>
      </c>
      <c r="J980">
        <f>($B$1+Table4[[#This Row],[Home Differential]])-Table4[[#This Row],[Away Differential]]</f>
        <v>0.61007249665402152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0.62475571915679029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-0.54160534998918008</v>
      </c>
      <c r="H981" t="s">
        <v>55</v>
      </c>
      <c r="I981">
        <f>VLOOKUP(Table4[[#This Row],[Visitor]],'NHL Model'!$A$6:$B$38,2,FALSE)</f>
        <v>-0.1349739904770427</v>
      </c>
      <c r="J981">
        <f>($B$1+Table4[[#This Row],[Home Differential]])-Table4[[#This Row],[Away Differential]]</f>
        <v>-0.24721169798731027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0.46209838564919559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-0.2200802314358897</v>
      </c>
      <c r="H982" t="s">
        <v>23</v>
      </c>
      <c r="I982">
        <f>VLOOKUP(Table4[[#This Row],[Visitor]],'NHL Model'!$A$6:$B$38,2,FALSE)</f>
        <v>-0.49794713300108584</v>
      </c>
      <c r="J982">
        <f>($B$1+Table4[[#This Row],[Home Differential]])-Table4[[#This Row],[Away Differential]]</f>
        <v>0.43728656309002328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0.60075103751696357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-7.3890719153774626E-2</v>
      </c>
      <c r="H983" t="s">
        <v>37</v>
      </c>
      <c r="I983">
        <f>VLOOKUP(Table4[[#This Row],[Visitor]],'NHL Model'!$A$6:$B$38,2,FALSE)</f>
        <v>0.1846559193064522</v>
      </c>
      <c r="J983">
        <f>($B$1+Table4[[#This Row],[Home Differential]])-Table4[[#This Row],[Away Differential]]</f>
        <v>-9.912697693539968E-2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0.53758096616117423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0.35254565315374792</v>
      </c>
      <c r="H984" t="s">
        <v>18</v>
      </c>
      <c r="I984">
        <f>VLOOKUP(Table4[[#This Row],[Visitor]],'NHL Model'!$A$6:$B$38,2,FALSE)</f>
        <v>-0.75480422558713034</v>
      </c>
      <c r="J984">
        <f>($B$1+Table4[[#This Row],[Home Differential]])-Table4[[#This Row],[Away Differential]]</f>
        <v>1.2667695402657055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0.76615279473380171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-0.13160108676160023</v>
      </c>
      <c r="H985" t="s">
        <v>38</v>
      </c>
      <c r="I985">
        <f>VLOOKUP(Table4[[#This Row],[Visitor]],'NHL Model'!$A$6:$B$38,2,FALSE)</f>
        <v>-1.1267952052768424</v>
      </c>
      <c r="J985">
        <f>($B$1+Table4[[#This Row],[Home Differential]])-Table4[[#This Row],[Away Differential]]</f>
        <v>1.1546137800400693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0.67963813362165015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1.9153995907683643E-3</v>
      </c>
      <c r="H986" t="s">
        <v>12</v>
      </c>
      <c r="I986">
        <f>VLOOKUP(Table4[[#This Row],[Visitor]],'NHL Model'!$A$6:$B$38,2,FALSE)</f>
        <v>1.4583704516548168</v>
      </c>
      <c r="J986">
        <f>($B$1+Table4[[#This Row],[Home Differential]])-Table4[[#This Row],[Away Differential]]</f>
        <v>-1.2970353905392213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0.730193612890081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-0.67114180037169746</v>
      </c>
      <c r="H987" t="s">
        <v>11</v>
      </c>
      <c r="I987">
        <f>VLOOKUP(Table4[[#This Row],[Visitor]],'NHL Model'!$A$6:$B$38,2,FALSE)</f>
        <v>-0.21100886368613675</v>
      </c>
      <c r="J987">
        <f>($B$1+Table4[[#This Row],[Home Differential]])-Table4[[#This Row],[Away Differential]]</f>
        <v>-0.3007132751607336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0.46953121481986976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-0.8561868317598319</v>
      </c>
      <c r="H988" t="s">
        <v>25</v>
      </c>
      <c r="I988">
        <f>VLOOKUP(Table4[[#This Row],[Visitor]],'NHL Model'!$A$6:$B$38,2,FALSE)</f>
        <v>0.42254821659882374</v>
      </c>
      <c r="J988">
        <f>($B$1+Table4[[#This Row],[Home Differential]])-Table4[[#This Row],[Away Differential]]</f>
        <v>-1.1193153868338286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0.68105089950832665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-0.3479098095875402</v>
      </c>
      <c r="H989" t="s">
        <v>35</v>
      </c>
      <c r="I989">
        <f>VLOOKUP(Table4[[#This Row],[Visitor]],'NHL Model'!$A$6:$B$38,2,FALSE)</f>
        <v>-1.5594075795597986</v>
      </c>
      <c r="J989">
        <f>($B$1+Table4[[#This Row],[Home Differential]])-Table4[[#This Row],[Away Differential]]</f>
        <v>1.3709174314970856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0.73045784467974384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-3.2309887002194844E-2</v>
      </c>
      <c r="H990" t="s">
        <v>34</v>
      </c>
      <c r="I990">
        <f>VLOOKUP(Table4[[#This Row],[Visitor]],'NHL Model'!$A$6:$B$38,2,FALSE)</f>
        <v>-0.17681265190927384</v>
      </c>
      <c r="J990">
        <f>($B$1+Table4[[#This Row],[Home Differential]])-Table4[[#This Row],[Away Differential]]</f>
        <v>0.30392242643190615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0.56145388855083456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-0.12487089668223171</v>
      </c>
      <c r="H991" t="s">
        <v>22</v>
      </c>
      <c r="I991">
        <f>VLOOKUP(Table4[[#This Row],[Visitor]],'NHL Model'!$A$6:$B$38,2,FALSE)</f>
        <v>0.21430145909042725</v>
      </c>
      <c r="J991">
        <f>($B$1+Table4[[#This Row],[Home Differential]])-Table4[[#This Row],[Away Differential]]</f>
        <v>-0.1797526942478318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0.45354398339877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-0.49794713300108584</v>
      </c>
      <c r="H992" t="s">
        <v>29</v>
      </c>
      <c r="I992">
        <f>VLOOKUP(Table4[[#This Row],[Visitor]],'NHL Model'!$A$6:$B$38,2,FALSE)</f>
        <v>-1.6840122346544992</v>
      </c>
      <c r="J992">
        <f>($B$1+Table4[[#This Row],[Home Differential]])-Table4[[#This Row],[Away Differential]]</f>
        <v>1.3454847631782405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0.74094117347079602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-0.72083617366747277</v>
      </c>
      <c r="H993" t="s">
        <v>55</v>
      </c>
      <c r="I993">
        <f>VLOOKUP(Table4[[#This Row],[Visitor]],'NHL Model'!$A$6:$B$38,2,FALSE)</f>
        <v>-0.1349739904770427</v>
      </c>
      <c r="J993">
        <f>($B$1+Table4[[#This Row],[Home Differential]])-Table4[[#This Row],[Away Differential]]</f>
        <v>-0.42644252166560292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0.51219855236049971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-1.1167763879247272</v>
      </c>
      <c r="H994" t="s">
        <v>25</v>
      </c>
      <c r="I994">
        <f>VLOOKUP(Table4[[#This Row],[Visitor]],'NHL Model'!$A$6:$B$38,2,FALSE)</f>
        <v>0.42254821659882374</v>
      </c>
      <c r="J994">
        <f>($B$1+Table4[[#This Row],[Home Differential]])-Table4[[#This Row],[Away Differential]]</f>
        <v>-1.3799049429987238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0.72432962441163096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-0.31985119938240425</v>
      </c>
      <c r="H995" t="s">
        <v>18</v>
      </c>
      <c r="I995">
        <f>VLOOKUP(Table4[[#This Row],[Visitor]],'NHL Model'!$A$6:$B$38,2,FALSE)</f>
        <v>-0.75480422558713034</v>
      </c>
      <c r="J995">
        <f>($B$1+Table4[[#This Row],[Home Differential]])-Table4[[#This Row],[Away Differential]]</f>
        <v>0.59437268772955321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0.57547519575597583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2.0731927685773251E-2</v>
      </c>
      <c r="H996" t="s">
        <v>15</v>
      </c>
      <c r="I996">
        <f>VLOOKUP(Table4[[#This Row],[Visitor]],'NHL Model'!$A$6:$B$38,2,FALSE)</f>
        <v>-0.50599078340071213</v>
      </c>
      <c r="J996">
        <f>($B$1+Table4[[#This Row],[Home Differential]])-Table4[[#This Row],[Away Differential]]</f>
        <v>0.6861423726113125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0.67563478176467462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-0.2200802314358897</v>
      </c>
      <c r="H997" t="s">
        <v>27</v>
      </c>
      <c r="I997">
        <f>VLOOKUP(Table4[[#This Row],[Visitor]],'NHL Model'!$A$6:$B$38,2,FALSE)</f>
        <v>-0.54160534998918008</v>
      </c>
      <c r="J997">
        <f>($B$1+Table4[[#This Row],[Home Differential]])-Table4[[#This Row],[Away Differential]]</f>
        <v>0.48094478007811753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0.60681635532463973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-0.46055888840939002</v>
      </c>
      <c r="H998" t="s">
        <v>36</v>
      </c>
      <c r="I998">
        <f>VLOOKUP(Table4[[#This Row],[Visitor]],'NHL Model'!$A$6:$B$38,2,FALSE)</f>
        <v>-0.34257283900844787</v>
      </c>
      <c r="J998">
        <f>($B$1+Table4[[#This Row],[Home Differential]])-Table4[[#This Row],[Away Differential]]</f>
        <v>4.1433612123885022E-2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0.57179399532982933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-0.3479098095875402</v>
      </c>
      <c r="H999" t="s">
        <v>30</v>
      </c>
      <c r="I999">
        <f>VLOOKUP(Table4[[#This Row],[Visitor]],'NHL Model'!$A$6:$B$38,2,FALSE)</f>
        <v>3.2883390994754517E-3</v>
      </c>
      <c r="J999">
        <f>($B$1+Table4[[#This Row],[Home Differential]])-Table4[[#This Row],[Away Differential]]</f>
        <v>-0.19177848716218851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0.55926643476461069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-0.95664361852990654</v>
      </c>
      <c r="H1000" t="s">
        <v>37</v>
      </c>
      <c r="I1000">
        <f>VLOOKUP(Table4[[#This Row],[Visitor]],'NHL Model'!$A$6:$B$38,2,FALSE)</f>
        <v>0.1846559193064522</v>
      </c>
      <c r="J1000">
        <f>($B$1+Table4[[#This Row],[Home Differential]])-Table4[[#This Row],[Away Differential]]</f>
        <v>-0.98187987631153162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0.66272570058882008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-7.3890719153774626E-2</v>
      </c>
      <c r="H1001" t="s">
        <v>38</v>
      </c>
      <c r="I1001">
        <f>VLOOKUP(Table4[[#This Row],[Visitor]],'NHL Model'!$A$6:$B$38,2,FALSE)</f>
        <v>-1.1267952052768424</v>
      </c>
      <c r="J1001">
        <f>($B$1+Table4[[#This Row],[Home Differential]])-Table4[[#This Row],[Away Differential]]</f>
        <v>1.212324147647895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0.6901640398489689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0.35254565315374792</v>
      </c>
      <c r="H1002" t="s">
        <v>35</v>
      </c>
      <c r="I1002">
        <f>VLOOKUP(Table4[[#This Row],[Visitor]],'NHL Model'!$A$6:$B$38,2,FALSE)</f>
        <v>-1.5594075795597986</v>
      </c>
      <c r="J1002">
        <f>($B$1+Table4[[#This Row],[Home Differential]])-Table4[[#This Row],[Away Differential]]</f>
        <v>2.0713728942383738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0.92269085937089024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-0.49794713300108584</v>
      </c>
      <c r="H1003" t="s">
        <v>37</v>
      </c>
      <c r="I1003">
        <f>VLOOKUP(Table4[[#This Row],[Visitor]],'NHL Model'!$A$6:$B$38,2,FALSE)</f>
        <v>0.1846559193064522</v>
      </c>
      <c r="J1003">
        <f>($B$1+Table4[[#This Row],[Home Differential]])-Table4[[#This Row],[Away Differential]]</f>
        <v>-0.52318339078271092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0.5848795730285542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1.4583704516548168</v>
      </c>
      <c r="H1004" t="s">
        <v>34</v>
      </c>
      <c r="I1004">
        <f>VLOOKUP(Table4[[#This Row],[Visitor]],'NHL Model'!$A$6:$B$38,2,FALSE)</f>
        <v>-0.17681265190927384</v>
      </c>
      <c r="J1004">
        <f>($B$1+Table4[[#This Row],[Home Differential]])-Table4[[#This Row],[Away Differential]]</f>
        <v>1.7946027650889178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0.86470391561547733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1.9153995907683643E-3</v>
      </c>
      <c r="H1005" t="s">
        <v>10</v>
      </c>
      <c r="I1005">
        <f>VLOOKUP(Table4[[#This Row],[Visitor]],'NHL Model'!$A$6:$B$38,2,FALSE)</f>
        <v>-0.13160108676160023</v>
      </c>
      <c r="J1005">
        <f>($B$1+Table4[[#This Row],[Home Differential]])-Table4[[#This Row],[Away Differential]]</f>
        <v>0.29293614787719574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0.58319230460873417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2.0731927685773251E-2</v>
      </c>
      <c r="H1006" t="s">
        <v>26</v>
      </c>
      <c r="I1006">
        <f>VLOOKUP(Table4[[#This Row],[Visitor]],'NHL Model'!$A$6:$B$38,2,FALSE)</f>
        <v>-0.67114180037169746</v>
      </c>
      <c r="J1006">
        <f>($B$1+Table4[[#This Row],[Home Differential]])-Table4[[#This Row],[Away Differential]]</f>
        <v>0.85129338958229783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0.75826788429767122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-0.2200802314358897</v>
      </c>
      <c r="H1007" t="s">
        <v>21</v>
      </c>
      <c r="I1007">
        <f>VLOOKUP(Table4[[#This Row],[Visitor]],'NHL Model'!$A$6:$B$38,2,FALSE)</f>
        <v>-0.12487089668223171</v>
      </c>
      <c r="J1007">
        <f>($B$1+Table4[[#This Row],[Home Differential]])-Table4[[#This Row],[Away Differential]]</f>
        <v>6.4210326771169154E-2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0.54892056674023326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-3.2309887002194844E-2</v>
      </c>
      <c r="H1008" t="s">
        <v>17</v>
      </c>
      <c r="I1008">
        <f>VLOOKUP(Table4[[#This Row],[Visitor]],'NHL Model'!$A$6:$B$38,2,FALSE)</f>
        <v>-0.8561868317598319</v>
      </c>
      <c r="J1008">
        <f>($B$1+Table4[[#This Row],[Home Differential]])-Table4[[#This Row],[Away Differential]]</f>
        <v>0.98329660628246418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0.67660673357180445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-0.13160108676160023</v>
      </c>
      <c r="H1009" t="s">
        <v>55</v>
      </c>
      <c r="I1009">
        <f>VLOOKUP(Table4[[#This Row],[Visitor]],'NHL Model'!$A$6:$B$38,2,FALSE)</f>
        <v>-0.1349739904770427</v>
      </c>
      <c r="J1009">
        <f>($B$1+Table4[[#This Row],[Home Differential]])-Table4[[#This Row],[Away Differential]]</f>
        <v>0.16279256524026961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0.56261633005256184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-0.54160534998918008</v>
      </c>
      <c r="H1010" t="s">
        <v>15</v>
      </c>
      <c r="I1010">
        <f>VLOOKUP(Table4[[#This Row],[Visitor]],'NHL Model'!$A$6:$B$38,2,FALSE)</f>
        <v>-0.50599078340071213</v>
      </c>
      <c r="J1010">
        <f>($B$1+Table4[[#This Row],[Home Differential]])-Table4[[#This Row],[Away Differential]]</f>
        <v>0.12380509493635916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0.50628287586008547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-1.1267952052768424</v>
      </c>
      <c r="H1011" t="s">
        <v>36</v>
      </c>
      <c r="I1011">
        <f>VLOOKUP(Table4[[#This Row],[Visitor]],'NHL Model'!$A$6:$B$38,2,FALSE)</f>
        <v>-0.34257283900844787</v>
      </c>
      <c r="J1011">
        <f>($B$1+Table4[[#This Row],[Home Differential]])-Table4[[#This Row],[Away Differential]]</f>
        <v>-0.62480270474356736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0.54680214705971308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0.21430145909042725</v>
      </c>
      <c r="H1012" t="s">
        <v>16</v>
      </c>
      <c r="I1012">
        <f>VLOOKUP(Table4[[#This Row],[Visitor]],'NHL Model'!$A$6:$B$38,2,FALSE)</f>
        <v>-1.1167763879247272</v>
      </c>
      <c r="J1012">
        <f>($B$1+Table4[[#This Row],[Home Differential]])-Table4[[#This Row],[Away Differential]]</f>
        <v>1.4904975085399816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0.74707078081795952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-0.12487089668223171</v>
      </c>
      <c r="H1013" t="s">
        <v>13</v>
      </c>
      <c r="I1013">
        <f>VLOOKUP(Table4[[#This Row],[Visitor]],'NHL Model'!$A$6:$B$38,2,FALSE)</f>
        <v>-0.31985119938240425</v>
      </c>
      <c r="J1013">
        <f>($B$1+Table4[[#This Row],[Home Differential]])-Table4[[#This Row],[Away Differential]]</f>
        <v>0.3543999642249997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0.55832673598324167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-0.49794713300108584</v>
      </c>
      <c r="H1014" t="s">
        <v>33</v>
      </c>
      <c r="I1014">
        <f>VLOOKUP(Table4[[#This Row],[Visitor]],'NHL Model'!$A$6:$B$38,2,FALSE)</f>
        <v>-0.3479098095875402</v>
      </c>
      <c r="J1014">
        <f>($B$1+Table4[[#This Row],[Home Differential]])-Table4[[#This Row],[Away Differential]]</f>
        <v>9.3823381112814741E-3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0.55532008331386262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0.42254821659882374</v>
      </c>
      <c r="H1015" t="s">
        <v>14</v>
      </c>
      <c r="I1015">
        <f>VLOOKUP(Table4[[#This Row],[Visitor]],'NHL Model'!$A$6:$B$38,2,FALSE)</f>
        <v>-0.2200802314358897</v>
      </c>
      <c r="J1015">
        <f>($B$1+Table4[[#This Row],[Home Differential]])-Table4[[#This Row],[Away Differential]]</f>
        <v>0.80204810955954065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0.70314234729037506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1.4583704516548168</v>
      </c>
      <c r="H1016" t="s">
        <v>17</v>
      </c>
      <c r="I1016">
        <f>VLOOKUP(Table4[[#This Row],[Visitor]],'NHL Model'!$A$6:$B$38,2,FALSE)</f>
        <v>-0.8561868317598319</v>
      </c>
      <c r="J1016">
        <f>($B$1+Table4[[#This Row],[Home Differential]])-Table4[[#This Row],[Away Differential]]</f>
        <v>2.473976944939476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0.97862354940323604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1.9153995907683643E-3</v>
      </c>
      <c r="H1017" t="s">
        <v>20</v>
      </c>
      <c r="I1017">
        <f>VLOOKUP(Table4[[#This Row],[Visitor]],'NHL Model'!$A$6:$B$38,2,FALSE)</f>
        <v>-3.2309887002194844E-2</v>
      </c>
      <c r="J1017">
        <f>($B$1+Table4[[#This Row],[Home Differential]])-Table4[[#This Row],[Away Differential]]</f>
        <v>0.19364494811779034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0.5693980472250556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-0.21100886368613675</v>
      </c>
      <c r="H1018" t="s">
        <v>26</v>
      </c>
      <c r="I1018">
        <f>VLOOKUP(Table4[[#This Row],[Visitor]],'NHL Model'!$A$6:$B$38,2,FALSE)</f>
        <v>-0.67114180037169746</v>
      </c>
      <c r="J1018">
        <f>($B$1+Table4[[#This Row],[Home Differential]])-Table4[[#This Row],[Away Differential]]</f>
        <v>0.61955259821038788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0.65750133541117517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-0.17681265190927384</v>
      </c>
      <c r="H1019" t="s">
        <v>55</v>
      </c>
      <c r="I1019">
        <f>VLOOKUP(Table4[[#This Row],[Visitor]],'NHL Model'!$A$6:$B$38,2,FALSE)</f>
        <v>-0.1349739904770427</v>
      </c>
      <c r="J1019">
        <f>($B$1+Table4[[#This Row],[Home Differential]])-Table4[[#This Row],[Away Differential]]</f>
        <v>0.11758100009259601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0.55633520979339324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-0.75480422558713034</v>
      </c>
      <c r="H1020" t="s">
        <v>19</v>
      </c>
      <c r="I1020">
        <f>VLOOKUP(Table4[[#This Row],[Visitor]],'NHL Model'!$A$6:$B$38,2,FALSE)</f>
        <v>-0.95664361852990654</v>
      </c>
      <c r="J1020">
        <f>($B$1+Table4[[#This Row],[Home Differential]])-Table4[[#This Row],[Away Differential]]</f>
        <v>0.36125905446760331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0.59018874171714708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-0.50599078340071213</v>
      </c>
      <c r="H1021" t="s">
        <v>16</v>
      </c>
      <c r="I1021">
        <f>VLOOKUP(Table4[[#This Row],[Visitor]],'NHL Model'!$A$6:$B$38,2,FALSE)</f>
        <v>-1.1167763879247272</v>
      </c>
      <c r="J1021">
        <f>($B$1+Table4[[#This Row],[Home Differential]])-Table4[[#This Row],[Away Differential]]</f>
        <v>0.77020526604884221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0.64700253097844063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-0.46055888840939002</v>
      </c>
      <c r="H1022" t="s">
        <v>29</v>
      </c>
      <c r="I1022">
        <f>VLOOKUP(Table4[[#This Row],[Visitor]],'NHL Model'!$A$6:$B$38,2,FALSE)</f>
        <v>-1.6840122346544992</v>
      </c>
      <c r="J1022">
        <f>($B$1+Table4[[#This Row],[Home Differential]])-Table4[[#This Row],[Away Differential]]</f>
        <v>1.3828730077699363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0.75815653635043945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-1.5594075795597986</v>
      </c>
      <c r="H1023" t="s">
        <v>30</v>
      </c>
      <c r="I1023">
        <f>VLOOKUP(Table4[[#This Row],[Visitor]],'NHL Model'!$A$6:$B$38,2,FALSE)</f>
        <v>3.2883390994754517E-3</v>
      </c>
      <c r="J1023">
        <f>($B$1+Table4[[#This Row],[Home Differential]])-Table4[[#This Row],[Away Differential]]</f>
        <v>-1.4032762571344468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0.72757653776713638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0.1846559193064522</v>
      </c>
      <c r="H1024" t="s">
        <v>28</v>
      </c>
      <c r="I1024">
        <f>VLOOKUP(Table4[[#This Row],[Visitor]],'NHL Model'!$A$6:$B$38,2,FALSE)</f>
        <v>-0.72083617366747277</v>
      </c>
      <c r="J1024">
        <f>($B$1+Table4[[#This Row],[Home Differential]])-Table4[[#This Row],[Away Differential]]</f>
        <v>1.0649117544987521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0.70705073631231408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-7.3890719153774626E-2</v>
      </c>
      <c r="H1025" t="s">
        <v>31</v>
      </c>
      <c r="I1025">
        <f>VLOOKUP(Table4[[#This Row],[Visitor]],'NHL Model'!$A$6:$B$38,2,FALSE)</f>
        <v>0.35254565315374792</v>
      </c>
      <c r="J1025">
        <f>($B$1+Table4[[#This Row],[Home Differential]])-Table4[[#This Row],[Away Differential]]</f>
        <v>-0.2670167107826954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0.51535677779479683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-0.34257283900844787</v>
      </c>
      <c r="H1026" t="s">
        <v>18</v>
      </c>
      <c r="I1026">
        <f>VLOOKUP(Table4[[#This Row],[Visitor]],'NHL Model'!$A$6:$B$38,2,FALSE)</f>
        <v>-0.75480422558713034</v>
      </c>
      <c r="J1026">
        <f>($B$1+Table4[[#This Row],[Home Differential]])-Table4[[#This Row],[Away Differential]]</f>
        <v>0.57165104810350964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0.57483077543743488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-0.54160534998918008</v>
      </c>
      <c r="H1027" t="s">
        <v>22</v>
      </c>
      <c r="I1027">
        <f>VLOOKUP(Table4[[#This Row],[Visitor]],'NHL Model'!$A$6:$B$38,2,FALSE)</f>
        <v>0.21430145909042725</v>
      </c>
      <c r="J1027">
        <f>($B$1+Table4[[#This Row],[Home Differential]])-Table4[[#This Row],[Away Differential]]</f>
        <v>-0.59648714755478016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0.53114420548071339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-0.12487089668223171</v>
      </c>
      <c r="H1028" t="s">
        <v>33</v>
      </c>
      <c r="I1028">
        <f>VLOOKUP(Table4[[#This Row],[Visitor]],'NHL Model'!$A$6:$B$38,2,FALSE)</f>
        <v>-0.3479098095875402</v>
      </c>
      <c r="J1028">
        <f>($B$1+Table4[[#This Row],[Home Differential]])-Table4[[#This Row],[Away Differential]]</f>
        <v>0.38245857443013564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0.64484990992333868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-0.49794713300108584</v>
      </c>
      <c r="H1029" t="s">
        <v>22</v>
      </c>
      <c r="I1029">
        <f>VLOOKUP(Table4[[#This Row],[Visitor]],'NHL Model'!$A$6:$B$38,2,FALSE)</f>
        <v>0.21430145909042725</v>
      </c>
      <c r="J1029">
        <f>($B$1+Table4[[#This Row],[Home Differential]])-Table4[[#This Row],[Away Differential]]</f>
        <v>-0.55282893056668603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0.54346969227073827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0.42254821659882374</v>
      </c>
      <c r="H1030" t="s">
        <v>35</v>
      </c>
      <c r="I1030">
        <f>VLOOKUP(Table4[[#This Row],[Visitor]],'NHL Model'!$A$6:$B$38,2,FALSE)</f>
        <v>-1.5594075795597986</v>
      </c>
      <c r="J1030">
        <f>($B$1+Table4[[#This Row],[Home Differential]])-Table4[[#This Row],[Away Differential]]</f>
        <v>2.1413754576834494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0.88921146727067557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1.9153995907683643E-3</v>
      </c>
      <c r="H1031" t="s">
        <v>17</v>
      </c>
      <c r="I1031">
        <f>VLOOKUP(Table4[[#This Row],[Visitor]],'NHL Model'!$A$6:$B$38,2,FALSE)</f>
        <v>-0.8561868317598319</v>
      </c>
      <c r="J1031">
        <f>($B$1+Table4[[#This Row],[Home Differential]])-Table4[[#This Row],[Away Differential]]</f>
        <v>1.0175218928754275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0.68385703911964191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-0.21100886368613675</v>
      </c>
      <c r="H1032" t="s">
        <v>28</v>
      </c>
      <c r="I1032">
        <f>VLOOKUP(Table4[[#This Row],[Visitor]],'NHL Model'!$A$6:$B$38,2,FALSE)</f>
        <v>-0.72083617366747277</v>
      </c>
      <c r="J1032">
        <f>($B$1+Table4[[#This Row],[Home Differential]])-Table4[[#This Row],[Away Differential]]</f>
        <v>0.66924697150616319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0.68469264496436222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-0.17681265190927384</v>
      </c>
      <c r="H1033" t="s">
        <v>27</v>
      </c>
      <c r="I1033">
        <f>VLOOKUP(Table4[[#This Row],[Visitor]],'NHL Model'!$A$6:$B$38,2,FALSE)</f>
        <v>-0.54160534998918008</v>
      </c>
      <c r="J1033">
        <f>($B$1+Table4[[#This Row],[Home Differential]])-Table4[[#This Row],[Away Differential]]</f>
        <v>0.52421235960473345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0.61282740292810456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2.0731927685773251E-2</v>
      </c>
      <c r="H1034" t="s">
        <v>16</v>
      </c>
      <c r="I1034">
        <f>VLOOKUP(Table4[[#This Row],[Visitor]],'NHL Model'!$A$6:$B$38,2,FALSE)</f>
        <v>-1.1167763879247272</v>
      </c>
      <c r="J1034">
        <f>($B$1+Table4[[#This Row],[Home Differential]])-Table4[[#This Row],[Away Differential]]</f>
        <v>1.2969279771353277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0.83915727343292768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-0.46055888840939002</v>
      </c>
      <c r="H1035" t="s">
        <v>12</v>
      </c>
      <c r="I1035">
        <f>VLOOKUP(Table4[[#This Row],[Visitor]],'NHL Model'!$A$6:$B$38,2,FALSE)</f>
        <v>1.4583704516548168</v>
      </c>
      <c r="J1035">
        <f>($B$1+Table4[[#This Row],[Home Differential]])-Table4[[#This Row],[Away Differential]]</f>
        <v>-1.7595096785393798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0.77075970226411805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0.1846559193064522</v>
      </c>
      <c r="H1036" t="s">
        <v>26</v>
      </c>
      <c r="I1036">
        <f>VLOOKUP(Table4[[#This Row],[Visitor]],'NHL Model'!$A$6:$B$38,2,FALSE)</f>
        <v>-0.67114180037169746</v>
      </c>
      <c r="J1036">
        <f>($B$1+Table4[[#This Row],[Home Differential]])-Table4[[#This Row],[Away Differential]]</f>
        <v>1.0152173812029768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0.67950293881355073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-0.95664361852990654</v>
      </c>
      <c r="H1037" t="s">
        <v>31</v>
      </c>
      <c r="I1037">
        <f>VLOOKUP(Table4[[#This Row],[Visitor]],'NHL Model'!$A$6:$B$38,2,FALSE)</f>
        <v>0.35254565315374792</v>
      </c>
      <c r="J1037">
        <f>($B$1+Table4[[#This Row],[Home Differential]])-Table4[[#This Row],[Away Differential]]</f>
        <v>-1.1497696101588273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0.64050360776229553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-0.1349739904770427</v>
      </c>
      <c r="H1038" t="s">
        <v>10</v>
      </c>
      <c r="I1038">
        <f>VLOOKUP(Table4[[#This Row],[Visitor]],'NHL Model'!$A$6:$B$38,2,FALSE)</f>
        <v>-0.13160108676160023</v>
      </c>
      <c r="J1038">
        <f>($B$1+Table4[[#This Row],[Home Differential]])-Table4[[#This Row],[Away Differential]]</f>
        <v>0.15604675780938468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0.62512742916394348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-1.1267952052768424</v>
      </c>
      <c r="H1039" t="s">
        <v>29</v>
      </c>
      <c r="I1039">
        <f>VLOOKUP(Table4[[#This Row],[Visitor]],'NHL Model'!$A$6:$B$38,2,FALSE)</f>
        <v>-1.6840122346544992</v>
      </c>
      <c r="J1039">
        <f>($B$1+Table4[[#This Row],[Home Differential]])-Table4[[#This Row],[Away Differential]]</f>
        <v>0.71663669090248394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0.63956039396089703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-3.2309887002194844E-2</v>
      </c>
      <c r="H1040" t="s">
        <v>14</v>
      </c>
      <c r="I1040">
        <f>VLOOKUP(Table4[[#This Row],[Visitor]],'NHL Model'!$A$6:$B$38,2,FALSE)</f>
        <v>-0.2200802314358897</v>
      </c>
      <c r="J1040">
        <f>($B$1+Table4[[#This Row],[Home Differential]])-Table4[[#This Row],[Away Differential]]</f>
        <v>0.34719000595852201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0.58823416692353014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-7.3890719153774626E-2</v>
      </c>
      <c r="H1041" t="s">
        <v>15</v>
      </c>
      <c r="I1041">
        <f>VLOOKUP(Table4[[#This Row],[Visitor]],'NHL Model'!$A$6:$B$38,2,FALSE)</f>
        <v>-0.50599078340071213</v>
      </c>
      <c r="J1041">
        <f>($B$1+Table4[[#This Row],[Home Differential]])-Table4[[#This Row],[Away Differential]]</f>
        <v>0.59151972577176459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0.54119462640375438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3.2883390994754517E-3</v>
      </c>
      <c r="H1042" t="s">
        <v>13</v>
      </c>
      <c r="I1042">
        <f>VLOOKUP(Table4[[#This Row],[Visitor]],'NHL Model'!$A$6:$B$38,2,FALSE)</f>
        <v>-0.31985119938240425</v>
      </c>
      <c r="J1042">
        <f>($B$1+Table4[[#This Row],[Home Differential]])-Table4[[#This Row],[Away Differential]]</f>
        <v>0.48255920000670682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0.52356238144198031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-1.5594075795597986</v>
      </c>
      <c r="H1043" t="s">
        <v>17</v>
      </c>
      <c r="I1043">
        <f>VLOOKUP(Table4[[#This Row],[Visitor]],'NHL Model'!$A$6:$B$38,2,FALSE)</f>
        <v>-0.8561868317598319</v>
      </c>
      <c r="J1043">
        <f>($B$1+Table4[[#This Row],[Home Differential]])-Table4[[#This Row],[Away Differential]]</f>
        <v>-0.54380108627513957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0.53554881165480805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-0.49794713300108584</v>
      </c>
      <c r="H1044" t="s">
        <v>19</v>
      </c>
      <c r="I1044">
        <f>VLOOKUP(Table4[[#This Row],[Visitor]],'NHL Model'!$A$6:$B$38,2,FALSE)</f>
        <v>-0.95664361852990654</v>
      </c>
      <c r="J1044">
        <f>($B$1+Table4[[#This Row],[Home Differential]])-Table4[[#This Row],[Away Differential]]</f>
        <v>0.61811614705364781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0.63988982221363433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1.9153995907683643E-3</v>
      </c>
      <c r="H1045" t="s">
        <v>26</v>
      </c>
      <c r="I1045">
        <f>VLOOKUP(Table4[[#This Row],[Visitor]],'NHL Model'!$A$6:$B$38,2,FALSE)</f>
        <v>-0.67114180037169746</v>
      </c>
      <c r="J1045">
        <f>($B$1+Table4[[#This Row],[Home Differential]])-Table4[[#This Row],[Away Differential]]</f>
        <v>0.83247686148729294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0.63739288546179684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-0.17681265190927384</v>
      </c>
      <c r="H1046" t="s">
        <v>15</v>
      </c>
      <c r="I1046">
        <f>VLOOKUP(Table4[[#This Row],[Visitor]],'NHL Model'!$A$6:$B$38,2,FALSE)</f>
        <v>-0.50599078340071213</v>
      </c>
      <c r="J1046">
        <f>($B$1+Table4[[#This Row],[Home Differential]])-Table4[[#This Row],[Away Differential]]</f>
        <v>0.48859779301626544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0.52440130680909214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-0.75480422558713034</v>
      </c>
      <c r="H1047" t="s">
        <v>33</v>
      </c>
      <c r="I1047">
        <f>VLOOKUP(Table4[[#This Row],[Visitor]],'NHL Model'!$A$6:$B$38,2,FALSE)</f>
        <v>-0.3479098095875402</v>
      </c>
      <c r="J1047">
        <f>($B$1+Table4[[#This Row],[Home Differential]])-Table4[[#This Row],[Away Differential]]</f>
        <v>-0.24747475447476303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0.49438099718262457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2.0731927685773251E-2</v>
      </c>
      <c r="H1048" t="s">
        <v>13</v>
      </c>
      <c r="I1048">
        <f>VLOOKUP(Table4[[#This Row],[Visitor]],'NHL Model'!$A$6:$B$38,2,FALSE)</f>
        <v>-0.31985119938240425</v>
      </c>
      <c r="J1048">
        <f>($B$1+Table4[[#This Row],[Home Differential]])-Table4[[#This Row],[Away Differential]]</f>
        <v>0.50000278859300462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0.64977491364482987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3.2883390994754517E-3</v>
      </c>
      <c r="H1049" t="s">
        <v>16</v>
      </c>
      <c r="I1049">
        <f>VLOOKUP(Table4[[#This Row],[Visitor]],'NHL Model'!$A$6:$B$38,2,FALSE)</f>
        <v>-1.1167763879247272</v>
      </c>
      <c r="J1049">
        <f>($B$1+Table4[[#This Row],[Home Differential]])-Table4[[#This Row],[Away Differential]]</f>
        <v>1.2794843885490299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0.71775529973261287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-0.34257283900844787</v>
      </c>
      <c r="H1050" t="s">
        <v>31</v>
      </c>
      <c r="I1050">
        <f>VLOOKUP(Table4[[#This Row],[Visitor]],'NHL Model'!$A$6:$B$38,2,FALSE)</f>
        <v>0.35254565315374792</v>
      </c>
      <c r="J1050">
        <f>($B$1+Table4[[#This Row],[Home Differential]])-Table4[[#This Row],[Away Differential]]</f>
        <v>-0.53569883063736867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0.55268405679483379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-0.54160534998918008</v>
      </c>
      <c r="H1051" t="s">
        <v>28</v>
      </c>
      <c r="I1051">
        <f>VLOOKUP(Table4[[#This Row],[Visitor]],'NHL Model'!$A$6:$B$38,2,FALSE)</f>
        <v>-0.72083617366747277</v>
      </c>
      <c r="J1051">
        <f>($B$1+Table4[[#This Row],[Home Differential]])-Table4[[#This Row],[Away Differential]]</f>
        <v>0.3386504852031198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0.61929386024847854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0.1846559193064522</v>
      </c>
      <c r="H1052" t="s">
        <v>25</v>
      </c>
      <c r="I1052">
        <f>VLOOKUP(Table4[[#This Row],[Visitor]],'NHL Model'!$A$6:$B$38,2,FALSE)</f>
        <v>0.42254821659882374</v>
      </c>
      <c r="J1052">
        <f>($B$1+Table4[[#This Row],[Home Differential]])-Table4[[#This Row],[Away Differential]]</f>
        <v>-7.847263576754443E-2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0.52427097464698957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-0.1349739904770427</v>
      </c>
      <c r="H1053" t="s">
        <v>14</v>
      </c>
      <c r="I1053">
        <f>VLOOKUP(Table4[[#This Row],[Visitor]],'NHL Model'!$A$6:$B$38,2,FALSE)</f>
        <v>-0.2200802314358897</v>
      </c>
      <c r="J1053">
        <f>($B$1+Table4[[#This Row],[Home Differential]])-Table4[[#This Row],[Away Differential]]</f>
        <v>0.24452590248367415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0.63741959702657691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-1.1267952052768424</v>
      </c>
      <c r="H1054" t="s">
        <v>32</v>
      </c>
      <c r="I1054">
        <f>VLOOKUP(Table4[[#This Row],[Visitor]],'NHL Model'!$A$6:$B$38,2,FALSE)</f>
        <v>-0.46055888840939002</v>
      </c>
      <c r="J1054">
        <f>($B$1+Table4[[#This Row],[Home Differential]])-Table4[[#This Row],[Away Differential]]</f>
        <v>-0.50681665534262521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0.53041066486326771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-3.2309887002194844E-2</v>
      </c>
      <c r="H1055" t="s">
        <v>10</v>
      </c>
      <c r="I1055">
        <f>VLOOKUP(Table4[[#This Row],[Visitor]],'NHL Model'!$A$6:$B$38,2,FALSE)</f>
        <v>-0.13160108676160023</v>
      </c>
      <c r="J1055">
        <f>($B$1+Table4[[#This Row],[Home Differential]])-Table4[[#This Row],[Away Differential]]</f>
        <v>0.25871086128423254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0.57594199906089671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-7.3890719153774626E-2</v>
      </c>
      <c r="H1056" t="s">
        <v>12</v>
      </c>
      <c r="I1056">
        <f>VLOOKUP(Table4[[#This Row],[Visitor]],'NHL Model'!$A$6:$B$38,2,FALSE)</f>
        <v>1.4583704516548168</v>
      </c>
      <c r="J1056">
        <f>($B$1+Table4[[#This Row],[Home Differential]])-Table4[[#This Row],[Away Differential]]</f>
        <v>-1.3728415092837642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0.74072515159395158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0.21430145909042725</v>
      </c>
      <c r="H1057" t="s">
        <v>21</v>
      </c>
      <c r="I1057">
        <f>VLOOKUP(Table4[[#This Row],[Visitor]],'NHL Model'!$A$6:$B$38,2,FALSE)</f>
        <v>-0.12487089668223171</v>
      </c>
      <c r="J1057">
        <f>($B$1+Table4[[#This Row],[Home Differential]])-Table4[[#This Row],[Away Differential]]</f>
        <v>0.49859201729748615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0.60926803818177777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-0.8561868317598319</v>
      </c>
      <c r="H1058" t="s">
        <v>29</v>
      </c>
      <c r="I1058">
        <f>VLOOKUP(Table4[[#This Row],[Visitor]],'NHL Model'!$A$6:$B$38,2,FALSE)</f>
        <v>-1.6840122346544992</v>
      </c>
      <c r="J1058">
        <f>($B$1+Table4[[#This Row],[Home Differential]])-Table4[[#This Row],[Away Differential]]</f>
        <v>0.98724506441949444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0.68420123402360833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-0.17681265190927384</v>
      </c>
      <c r="H1059" t="s">
        <v>19</v>
      </c>
      <c r="I1059">
        <f>VLOOKUP(Table4[[#This Row],[Visitor]],'NHL Model'!$A$6:$B$38,2,FALSE)</f>
        <v>-0.95664361852990654</v>
      </c>
      <c r="J1059">
        <f>($B$1+Table4[[#This Row],[Home Differential]])-Table4[[#This Row],[Away Differential]]</f>
        <v>0.93925062814545979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0.6704875451582295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-0.75480422558713034</v>
      </c>
      <c r="H1060" t="s">
        <v>31</v>
      </c>
      <c r="I1060">
        <f>VLOOKUP(Table4[[#This Row],[Visitor]],'NHL Model'!$A$6:$B$38,2,FALSE)</f>
        <v>0.35254565315374792</v>
      </c>
      <c r="J1060">
        <f>($B$1+Table4[[#This Row],[Home Differential]])-Table4[[#This Row],[Away Differential]]</f>
        <v>-0.94793021721605109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0.6124626077223666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-0.34257283900844787</v>
      </c>
      <c r="H1061" t="s">
        <v>33</v>
      </c>
      <c r="I1061">
        <f>VLOOKUP(Table4[[#This Row],[Visitor]],'NHL Model'!$A$6:$B$38,2,FALSE)</f>
        <v>-0.3479098095875402</v>
      </c>
      <c r="J1061">
        <f>($B$1+Table4[[#This Row],[Home Differential]])-Table4[[#This Row],[Away Differential]]</f>
        <v>0.16475663210391947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0.56538467174523488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-0.46055888840939002</v>
      </c>
      <c r="H1062" t="s">
        <v>11</v>
      </c>
      <c r="I1062">
        <f>VLOOKUP(Table4[[#This Row],[Visitor]],'NHL Model'!$A$6:$B$38,2,FALSE)</f>
        <v>-0.21100886368613675</v>
      </c>
      <c r="J1062">
        <f>($B$1+Table4[[#This Row],[Home Differential]])-Table4[[#This Row],[Away Differential]]</f>
        <v>-9.01303631984261E-2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0.44648383132966757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-7.3890719153774626E-2</v>
      </c>
      <c r="H1063" t="s">
        <v>35</v>
      </c>
      <c r="I1063">
        <f>VLOOKUP(Table4[[#This Row],[Visitor]],'NHL Model'!$A$6:$B$38,2,FALSE)</f>
        <v>-1.5594075795597986</v>
      </c>
      <c r="J1063">
        <f>($B$1+Table4[[#This Row],[Home Differential]])-Table4[[#This Row],[Away Differential]]</f>
        <v>1.6449365219308512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0.77102205374779753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1.4583704516548168</v>
      </c>
      <c r="H1064" t="s">
        <v>14</v>
      </c>
      <c r="I1064">
        <f>VLOOKUP(Table4[[#This Row],[Visitor]],'NHL Model'!$A$6:$B$38,2,FALSE)</f>
        <v>-0.2200802314358897</v>
      </c>
      <c r="J1064">
        <f>($B$1+Table4[[#This Row],[Home Differential]])-Table4[[#This Row],[Away Differential]]</f>
        <v>1.8378703446155336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0.89025098275496162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1.9153995907683643E-3</v>
      </c>
      <c r="H1065" t="s">
        <v>55</v>
      </c>
      <c r="I1065">
        <f>VLOOKUP(Table4[[#This Row],[Visitor]],'NHL Model'!$A$6:$B$38,2,FALSE)</f>
        <v>-0.1349739904770427</v>
      </c>
      <c r="J1065">
        <f>($B$1+Table4[[#This Row],[Home Differential]])-Table4[[#This Row],[Away Differential]]</f>
        <v>0.29630905159263821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0.58366089298407775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-0.67114180037169746</v>
      </c>
      <c r="H1066" t="s">
        <v>16</v>
      </c>
      <c r="I1066">
        <f>VLOOKUP(Table4[[#This Row],[Visitor]],'NHL Model'!$A$6:$B$38,2,FALSE)</f>
        <v>-1.1167763879247272</v>
      </c>
      <c r="J1066">
        <f>($B$1+Table4[[#This Row],[Home Differential]])-Table4[[#This Row],[Away Differential]]</f>
        <v>0.60505424907785688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0.65630461342472601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2.0731927685773251E-2</v>
      </c>
      <c r="H1067" t="s">
        <v>21</v>
      </c>
      <c r="I1067">
        <f>VLOOKUP(Table4[[#This Row],[Visitor]],'NHL Model'!$A$6:$B$38,2,FALSE)</f>
        <v>-0.12487089668223171</v>
      </c>
      <c r="J1067">
        <f>($B$1+Table4[[#This Row],[Home Differential]])-Table4[[#This Row],[Away Differential]]</f>
        <v>0.3050224858928321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0.70135453079674592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-0.50599078340071213</v>
      </c>
      <c r="H1068" t="s">
        <v>13</v>
      </c>
      <c r="I1068">
        <f>VLOOKUP(Table4[[#This Row],[Visitor]],'NHL Model'!$A$6:$B$38,2,FALSE)</f>
        <v>-0.31985119938240425</v>
      </c>
      <c r="J1068">
        <f>($B$1+Table4[[#This Row],[Home Differential]])-Table4[[#This Row],[Away Differential]]</f>
        <v>-2.6719922493480763E-2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0.54719038731219194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-0.72083617366747277</v>
      </c>
      <c r="H1069" t="s">
        <v>25</v>
      </c>
      <c r="I1069">
        <f>VLOOKUP(Table4[[#This Row],[Visitor]],'NHL Model'!$A$6:$B$38,2,FALSE)</f>
        <v>0.42254821659882374</v>
      </c>
      <c r="J1069">
        <f>($B$1+Table4[[#This Row],[Home Differential]])-Table4[[#This Row],[Away Differential]]</f>
        <v>-0.98396472874146945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0.66224699927043673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-0.13160108676160023</v>
      </c>
      <c r="H1070" t="s">
        <v>34</v>
      </c>
      <c r="I1070">
        <f>VLOOKUP(Table4[[#This Row],[Visitor]],'NHL Model'!$A$6:$B$38,2,FALSE)</f>
        <v>-0.17681265190927384</v>
      </c>
      <c r="J1070">
        <f>($B$1+Table4[[#This Row],[Home Differential]])-Table4[[#This Row],[Away Differential]]</f>
        <v>0.20463122667250075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0.54765963116715599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-0.8561868317598319</v>
      </c>
      <c r="H1071" t="s">
        <v>33</v>
      </c>
      <c r="I1071">
        <f>VLOOKUP(Table4[[#This Row],[Visitor]],'NHL Model'!$A$6:$B$38,2,FALSE)</f>
        <v>-0.3479098095875402</v>
      </c>
      <c r="J1071">
        <f>($B$1+Table4[[#This Row],[Home Differential]])-Table4[[#This Row],[Away Differential]]</f>
        <v>-0.34885736064746459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0.50141985613332518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-0.75480422558713034</v>
      </c>
      <c r="H1072" t="s">
        <v>21</v>
      </c>
      <c r="I1072">
        <f>VLOOKUP(Table4[[#This Row],[Visitor]],'NHL Model'!$A$6:$B$38,2,FALSE)</f>
        <v>-0.12487089668223171</v>
      </c>
      <c r="J1072">
        <f>($B$1+Table4[[#This Row],[Home Differential]])-Table4[[#This Row],[Away Differential]]</f>
        <v>-0.4705136673800715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0.52536718909738434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-0.46055888840939002</v>
      </c>
      <c r="H1073" t="s">
        <v>37</v>
      </c>
      <c r="I1073">
        <f>VLOOKUP(Table4[[#This Row],[Visitor]],'NHL Model'!$A$6:$B$38,2,FALSE)</f>
        <v>0.1846559193064522</v>
      </c>
      <c r="J1073">
        <f>($B$1+Table4[[#This Row],[Home Differential]])-Table4[[#This Row],[Away Differential]]</f>
        <v>-0.48579514619101505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0.56749020354813284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-0.95664361852990654</v>
      </c>
      <c r="H1074" t="s">
        <v>30</v>
      </c>
      <c r="I1074">
        <f>VLOOKUP(Table4[[#This Row],[Visitor]],'NHL Model'!$A$6:$B$38,2,FALSE)</f>
        <v>3.2883390994754517E-3</v>
      </c>
      <c r="J1074">
        <f>($B$1+Table4[[#This Row],[Home Differential]])-Table4[[#This Row],[Away Differential]]</f>
        <v>-0.80051229610455488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0.64383617366438228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-1.1267952052768424</v>
      </c>
      <c r="H1075" t="s">
        <v>11</v>
      </c>
      <c r="I1075">
        <f>VLOOKUP(Table4[[#This Row],[Visitor]],'NHL Model'!$A$6:$B$38,2,FALSE)</f>
        <v>-0.21100886368613675</v>
      </c>
      <c r="J1075">
        <f>($B$1+Table4[[#This Row],[Home Differential]])-Table4[[#This Row],[Away Differential]]</f>
        <v>-0.75636668006587859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0.56507997371921004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-3.2309887002194844E-2</v>
      </c>
      <c r="H1076" t="s">
        <v>23</v>
      </c>
      <c r="I1076">
        <f>VLOOKUP(Table4[[#This Row],[Visitor]],'NHL Model'!$A$6:$B$38,2,FALSE)</f>
        <v>-0.49794713300108584</v>
      </c>
      <c r="J1076">
        <f>($B$1+Table4[[#This Row],[Home Differential]])-Table4[[#This Row],[Away Differential]]</f>
        <v>0.62505690752371812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0.62683746276327545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-7.3890719153774626E-2</v>
      </c>
      <c r="H1077" t="s">
        <v>29</v>
      </c>
      <c r="I1077">
        <f>VLOOKUP(Table4[[#This Row],[Visitor]],'NHL Model'!$A$6:$B$38,2,FALSE)</f>
        <v>-1.6840122346544992</v>
      </c>
      <c r="J1077">
        <f>($B$1+Table4[[#This Row],[Home Differential]])-Table4[[#This Row],[Away Differential]]</f>
        <v>1.7695411770255518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0.78833304090220513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0.35254565315374792</v>
      </c>
      <c r="H1078" t="s">
        <v>27</v>
      </c>
      <c r="I1078">
        <f>VLOOKUP(Table4[[#This Row],[Visitor]],'NHL Model'!$A$6:$B$38,2,FALSE)</f>
        <v>-0.54160534998918008</v>
      </c>
      <c r="J1078">
        <f>($B$1+Table4[[#This Row],[Home Differential]])-Table4[[#This Row],[Away Differential]]</f>
        <v>1.0535706646677552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0.7812903530380112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0.42254821659882374</v>
      </c>
      <c r="H1079" t="s">
        <v>14</v>
      </c>
      <c r="I1079">
        <f>VLOOKUP(Table4[[#This Row],[Visitor]],'NHL Model'!$A$6:$B$38,2,FALSE)</f>
        <v>-0.2200802314358897</v>
      </c>
      <c r="J1079">
        <f>($B$1+Table4[[#This Row],[Home Differential]])-Table4[[#This Row],[Away Differential]]</f>
        <v>0.80204810955954065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0.70314234729037506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-1.1167763879247272</v>
      </c>
      <c r="H1080" t="s">
        <v>35</v>
      </c>
      <c r="I1080">
        <f>VLOOKUP(Table4[[#This Row],[Visitor]],'NHL Model'!$A$6:$B$38,2,FALSE)</f>
        <v>-1.5594075795597986</v>
      </c>
      <c r="J1080">
        <f>($B$1+Table4[[#This Row],[Home Differential]])-Table4[[#This Row],[Away Differential]]</f>
        <v>0.60205085315989848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0.6236412939583218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1.4583704516548168</v>
      </c>
      <c r="H1081" t="s">
        <v>39</v>
      </c>
      <c r="I1081">
        <f>VLOOKUP(Table4[[#This Row],[Visitor]],'NHL Model'!$A$6:$B$38,2,FALSE)</f>
        <v>1.9153995907683643E-3</v>
      </c>
      <c r="J1081">
        <f>($B$1+Table4[[#This Row],[Home Differential]])-Table4[[#This Row],[Away Differential]]</f>
        <v>1.6158747135888756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0.76994364169906271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-0.50599078340071213</v>
      </c>
      <c r="H1082" t="s">
        <v>24</v>
      </c>
      <c r="I1082">
        <f>VLOOKUP(Table4[[#This Row],[Visitor]],'NHL Model'!$A$6:$B$38,2,FALSE)</f>
        <v>2.0731927685773251E-2</v>
      </c>
      <c r="J1082">
        <f>($B$1+Table4[[#This Row],[Home Differential]])-Table4[[#This Row],[Away Differential]]</f>
        <v>-0.36730304956165827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0.51185791066878028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0.21430145909042725</v>
      </c>
      <c r="H1083" t="s">
        <v>36</v>
      </c>
      <c r="I1083">
        <f>VLOOKUP(Table4[[#This Row],[Visitor]],'NHL Model'!$A$6:$B$38,2,FALSE)</f>
        <v>-0.34257283900844787</v>
      </c>
      <c r="J1083">
        <f>($B$1+Table4[[#This Row],[Home Differential]])-Table4[[#This Row],[Away Differential]]</f>
        <v>0.71629395962370235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0.63951277923286065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-0.12487089668223171</v>
      </c>
      <c r="H1084" t="s">
        <v>40</v>
      </c>
      <c r="I1084">
        <f>VLOOKUP(Table4[[#This Row],[Visitor]],'NHL Model'!$A$6:$B$38,2,FALSE)</f>
        <v>-7.3890719153774626E-2</v>
      </c>
      <c r="J1084">
        <f>($B$1+Table4[[#This Row],[Home Differential]])-Table4[[#This Row],[Away Differential]]</f>
        <v>0.10843948399637006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0.54138099320194832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-0.72083617366747277</v>
      </c>
      <c r="H1085" t="s">
        <v>15</v>
      </c>
      <c r="I1085">
        <f>VLOOKUP(Table4[[#This Row],[Visitor]],'NHL Model'!$A$6:$B$38,2,FALSE)</f>
        <v>-0.50599078340071213</v>
      </c>
      <c r="J1085">
        <f>($B$1+Table4[[#This Row],[Home Differential]])-Table4[[#This Row],[Away Differential]]</f>
        <v>-5.5425728741933522E-2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0.5441239873947944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-0.67114180037169746</v>
      </c>
      <c r="H1086" t="s">
        <v>18</v>
      </c>
      <c r="I1086">
        <f>VLOOKUP(Table4[[#This Row],[Visitor]],'NHL Model'!$A$6:$B$38,2,FALSE)</f>
        <v>-0.75480422558713034</v>
      </c>
      <c r="J1086">
        <f>($B$1+Table4[[#This Row],[Home Differential]])-Table4[[#This Row],[Away Differential]]</f>
        <v>0.24308208674025999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0.55931818101032349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-0.8561868317598319</v>
      </c>
      <c r="H1087" t="s">
        <v>11</v>
      </c>
      <c r="I1087">
        <f>VLOOKUP(Table4[[#This Row],[Visitor]],'NHL Model'!$A$6:$B$38,2,FALSE)</f>
        <v>-0.21100886368613675</v>
      </c>
      <c r="J1087">
        <f>($B$1+Table4[[#This Row],[Home Differential]])-Table4[[#This Row],[Away Differential]]</f>
        <v>-0.48575830654886804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0.52043913365649885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-0.31985119938240425</v>
      </c>
      <c r="H1088" t="s">
        <v>27</v>
      </c>
      <c r="I1088">
        <f>VLOOKUP(Table4[[#This Row],[Visitor]],'NHL Model'!$A$6:$B$38,2,FALSE)</f>
        <v>-0.54160534998918008</v>
      </c>
      <c r="J1088">
        <f>($B$1+Table4[[#This Row],[Home Differential]])-Table4[[#This Row],[Away Differential]]</f>
        <v>0.38117381213160295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0.5929554450465101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-0.17681265190927384</v>
      </c>
      <c r="H1089" t="s">
        <v>10</v>
      </c>
      <c r="I1089">
        <f>VLOOKUP(Table4[[#This Row],[Visitor]],'NHL Model'!$A$6:$B$38,2,FALSE)</f>
        <v>-0.13160108676160023</v>
      </c>
      <c r="J1089">
        <f>($B$1+Table4[[#This Row],[Home Differential]])-Table4[[#This Row],[Away Differential]]</f>
        <v>0.11420809637715354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0.55586662141804954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-1.6840122346544992</v>
      </c>
      <c r="H1090" t="s">
        <v>32</v>
      </c>
      <c r="I1090">
        <f>VLOOKUP(Table4[[#This Row],[Visitor]],'NHL Model'!$A$6:$B$38,2,FALSE)</f>
        <v>-0.46055888840939002</v>
      </c>
      <c r="J1090">
        <f>($B$1+Table4[[#This Row],[Home Differential]])-Table4[[#This Row],[Away Differential]]</f>
        <v>-1.064033684720282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0.60782331714694648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-0.34257283900844787</v>
      </c>
      <c r="H1091" t="s">
        <v>30</v>
      </c>
      <c r="I1091">
        <f>VLOOKUP(Table4[[#This Row],[Visitor]],'NHL Model'!$A$6:$B$38,2,FALSE)</f>
        <v>3.2883390994754517E-3</v>
      </c>
      <c r="J1091">
        <f>($B$1+Table4[[#This Row],[Home Differential]])-Table4[[#This Row],[Away Differential]]</f>
        <v>-0.18644151658309618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0.55602229672078851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-0.3479098095875402</v>
      </c>
      <c r="H1092" t="s">
        <v>23</v>
      </c>
      <c r="I1092">
        <f>VLOOKUP(Table4[[#This Row],[Visitor]],'NHL Model'!$A$6:$B$38,2,FALSE)</f>
        <v>-0.49794713300108584</v>
      </c>
      <c r="J1092">
        <f>($B$1+Table4[[#This Row],[Home Differential]])-Table4[[#This Row],[Away Differential]]</f>
        <v>0.30945698493837281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0.58299202053918864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-1.1267952052768424</v>
      </c>
      <c r="H1093" t="s">
        <v>37</v>
      </c>
      <c r="I1093">
        <f>VLOOKUP(Table4[[#This Row],[Visitor]],'NHL Model'!$A$6:$B$38,2,FALSE)</f>
        <v>0.1846559193064522</v>
      </c>
      <c r="J1093">
        <f>($B$1+Table4[[#This Row],[Home Differential]])-Table4[[#This Row],[Away Differential]]</f>
        <v>-1.1520314630584676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0.68636439956230288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-3.2309887002194844E-2</v>
      </c>
      <c r="H1094" t="s">
        <v>55</v>
      </c>
      <c r="I1094">
        <f>VLOOKUP(Table4[[#This Row],[Visitor]],'NHL Model'!$A$6:$B$38,2,FALSE)</f>
        <v>-0.1349739904770427</v>
      </c>
      <c r="J1094">
        <f>($B$1+Table4[[#This Row],[Home Differential]])-Table4[[#This Row],[Away Differential]]</f>
        <v>0.26208376499967501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0.5764105874362403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-1.1167763879247272</v>
      </c>
      <c r="H1095" t="s">
        <v>11</v>
      </c>
      <c r="I1095">
        <f>VLOOKUP(Table4[[#This Row],[Visitor]],'NHL Model'!$A$6:$B$38,2,FALSE)</f>
        <v>-0.21100886368613675</v>
      </c>
      <c r="J1095">
        <f>($B$1+Table4[[#This Row],[Home Differential]])-Table4[[#This Row],[Away Differential]]</f>
        <v>-0.74634786271376341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0.56368808656737757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-0.13160108676160023</v>
      </c>
      <c r="H1096" t="s">
        <v>12</v>
      </c>
      <c r="I1096">
        <f>VLOOKUP(Table4[[#This Row],[Visitor]],'NHL Model'!$A$6:$B$38,2,FALSE)</f>
        <v>1.4583704516548168</v>
      </c>
      <c r="J1096">
        <f>($B$1+Table4[[#This Row],[Home Differential]])-Table4[[#This Row],[Away Differential]]</f>
        <v>-1.4305518768915899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0.75122888446256086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-0.95664361852990654</v>
      </c>
      <c r="H1097" t="s">
        <v>25</v>
      </c>
      <c r="I1097">
        <f>VLOOKUP(Table4[[#This Row],[Visitor]],'NHL Model'!$A$6:$B$38,2,FALSE)</f>
        <v>0.42254821659882374</v>
      </c>
      <c r="J1097">
        <f>($B$1+Table4[[#This Row],[Home Differential]])-Table4[[#This Row],[Away Differential]]</f>
        <v>-1.2197721736039031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0.70208281258998051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-0.1349739904770427</v>
      </c>
      <c r="H1098" t="s">
        <v>31</v>
      </c>
      <c r="I1098">
        <f>VLOOKUP(Table4[[#This Row],[Visitor]],'NHL Model'!$A$6:$B$38,2,FALSE)</f>
        <v>0.35254565315374792</v>
      </c>
      <c r="J1098">
        <f>($B$1+Table4[[#This Row],[Home Differential]])-Table4[[#This Row],[Away Differential]]</f>
        <v>-0.32809998210596347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0.46224870829489523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0.21430145909042725</v>
      </c>
      <c r="H1099" t="s">
        <v>24</v>
      </c>
      <c r="I1099">
        <f>VLOOKUP(Table4[[#This Row],[Visitor]],'NHL Model'!$A$6:$B$38,2,FALSE)</f>
        <v>2.0731927685773251E-2</v>
      </c>
      <c r="J1099">
        <f>($B$1+Table4[[#This Row],[Home Differential]])-Table4[[#This Row],[Away Differential]]</f>
        <v>0.35298919292948117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0.58821033917073851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-0.72083617366747277</v>
      </c>
      <c r="H1100" t="s">
        <v>32</v>
      </c>
      <c r="I1100">
        <f>VLOOKUP(Table4[[#This Row],[Visitor]],'NHL Model'!$A$6:$B$38,2,FALSE)</f>
        <v>-0.46055888840939002</v>
      </c>
      <c r="J1100">
        <f>($B$1+Table4[[#This Row],[Home Differential]])-Table4[[#This Row],[Away Differential]]</f>
        <v>-0.10085762373325563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0.4669659245626665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-0.67114180037169746</v>
      </c>
      <c r="H1101" t="s">
        <v>21</v>
      </c>
      <c r="I1101">
        <f>VLOOKUP(Table4[[#This Row],[Visitor]],'NHL Model'!$A$6:$B$38,2,FALSE)</f>
        <v>-0.12487089668223171</v>
      </c>
      <c r="J1101">
        <f>($B$1+Table4[[#This Row],[Home Differential]])-Table4[[#This Row],[Away Differential]]</f>
        <v>-0.38685124216463862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0.48149812921145579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-0.8561868317598319</v>
      </c>
      <c r="H1102" t="s">
        <v>37</v>
      </c>
      <c r="I1102">
        <f>VLOOKUP(Table4[[#This Row],[Visitor]],'NHL Model'!$A$6:$B$38,2,FALSE)</f>
        <v>0.1846559193064522</v>
      </c>
      <c r="J1102">
        <f>($B$1+Table4[[#This Row],[Home Differential]])-Table4[[#This Row],[Away Differential]]</f>
        <v>-0.88142308954145698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0.64168449111663306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-0.31985119938240425</v>
      </c>
      <c r="H1103" t="s">
        <v>23</v>
      </c>
      <c r="I1103">
        <f>VLOOKUP(Table4[[#This Row],[Visitor]],'NHL Model'!$A$6:$B$38,2,FALSE)</f>
        <v>-0.49794713300108584</v>
      </c>
      <c r="J1103">
        <f>($B$1+Table4[[#This Row],[Home Differential]])-Table4[[#This Row],[Away Differential]]</f>
        <v>0.33751559514350871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0.58689012723883394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-0.17681265190927384</v>
      </c>
      <c r="H1104" t="s">
        <v>39</v>
      </c>
      <c r="I1104">
        <f>VLOOKUP(Table4[[#This Row],[Visitor]],'NHL Model'!$A$6:$B$38,2,FALSE)</f>
        <v>1.9153995907683643E-3</v>
      </c>
      <c r="J1104">
        <f>($B$1+Table4[[#This Row],[Home Differential]])-Table4[[#This Row],[Away Differential]]</f>
        <v>-1.9308389975215057E-2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0.5551686501544304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-0.75480422558713034</v>
      </c>
      <c r="H1105" t="s">
        <v>30</v>
      </c>
      <c r="I1105">
        <f>VLOOKUP(Table4[[#This Row],[Visitor]],'NHL Model'!$A$6:$B$38,2,FALSE)</f>
        <v>3.2883390994754517E-3</v>
      </c>
      <c r="J1105">
        <f>($B$1+Table4[[#This Row],[Home Differential]])-Table4[[#This Row],[Away Differential]]</f>
        <v>-0.59867290316177868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0.61579517362445335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-1.6840122346544992</v>
      </c>
      <c r="H1106" t="s">
        <v>20</v>
      </c>
      <c r="I1106">
        <f>VLOOKUP(Table4[[#This Row],[Visitor]],'NHL Model'!$A$6:$B$38,2,FALSE)</f>
        <v>-3.2309887002194844E-2</v>
      </c>
      <c r="J1106">
        <f>($B$1+Table4[[#This Row],[Home Differential]])-Table4[[#This Row],[Away Differential]]</f>
        <v>-1.4922826861274772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0.66731879070380196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-0.34257283900844787</v>
      </c>
      <c r="H1107" t="s">
        <v>19</v>
      </c>
      <c r="I1107">
        <f>VLOOKUP(Table4[[#This Row],[Visitor]],'NHL Model'!$A$6:$B$38,2,FALSE)</f>
        <v>-0.95664361852990654</v>
      </c>
      <c r="J1107">
        <f>($B$1+Table4[[#This Row],[Home Differential]])-Table4[[#This Row],[Away Differential]]</f>
        <v>0.77349044104628584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0.64995441064500659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-0.2200802314358897</v>
      </c>
      <c r="H1108" t="s">
        <v>40</v>
      </c>
      <c r="I1108">
        <f>VLOOKUP(Table4[[#This Row],[Visitor]],'NHL Model'!$A$6:$B$38,2,FALSE)</f>
        <v>-7.3890719153774626E-2</v>
      </c>
      <c r="J1108">
        <f>($B$1+Table4[[#This Row],[Home Differential]])-Table4[[#This Row],[Away Differential]]</f>
        <v>1.3230149242712069E-2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0.47552223931759502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-0.3479098095875402</v>
      </c>
      <c r="H1109" t="s">
        <v>27</v>
      </c>
      <c r="I1109">
        <f>VLOOKUP(Table4[[#This Row],[Visitor]],'NHL Model'!$A$6:$B$38,2,FALSE)</f>
        <v>-0.54160534998918008</v>
      </c>
      <c r="J1109">
        <f>($B$1+Table4[[#This Row],[Home Differential]])-Table4[[#This Row],[Away Differential]]</f>
        <v>0.35311520192646706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0.58905733834686491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-1.1267952052768424</v>
      </c>
      <c r="H1110" t="s">
        <v>35</v>
      </c>
      <c r="I1110">
        <f>VLOOKUP(Table4[[#This Row],[Visitor]],'NHL Model'!$A$6:$B$38,2,FALSE)</f>
        <v>-1.5594075795597986</v>
      </c>
      <c r="J1110">
        <f>($B$1+Table4[[#This Row],[Home Differential]])-Table4[[#This Row],[Away Differential]]</f>
        <v>0.5920320358077833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0.62224940680648944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0.35254565315374792</v>
      </c>
      <c r="H1111" t="s">
        <v>23</v>
      </c>
      <c r="I1111">
        <f>VLOOKUP(Table4[[#This Row],[Visitor]],'NHL Model'!$A$6:$B$38,2,FALSE)</f>
        <v>-0.49794713300108584</v>
      </c>
      <c r="J1111">
        <f>($B$1+Table4[[#This Row],[Home Differential]])-Table4[[#This Row],[Away Differential]]</f>
        <v>1.0099124476796608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0.77522503523033492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-1.1167763879247272</v>
      </c>
      <c r="H1112" t="s">
        <v>37</v>
      </c>
      <c r="I1112">
        <f>VLOOKUP(Table4[[#This Row],[Visitor]],'NHL Model'!$A$6:$B$38,2,FALSE)</f>
        <v>0.1846559193064522</v>
      </c>
      <c r="J1112">
        <f>($B$1+Table4[[#This Row],[Home Differential]])-Table4[[#This Row],[Away Differential]]</f>
        <v>-1.1420126457063522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0.68497251241047041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-0.13160108676160023</v>
      </c>
      <c r="H1113" t="s">
        <v>29</v>
      </c>
      <c r="I1113">
        <f>VLOOKUP(Table4[[#This Row],[Visitor]],'NHL Model'!$A$6:$B$38,2,FALSE)</f>
        <v>-1.6840122346544992</v>
      </c>
      <c r="J1113">
        <f>($B$1+Table4[[#This Row],[Home Differential]])-Table4[[#This Row],[Away Differential]]</f>
        <v>1.7118308094177261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0.77782001667455969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1.9153995907683643E-3</v>
      </c>
      <c r="H1114" t="s">
        <v>20</v>
      </c>
      <c r="I1114">
        <f>VLOOKUP(Table4[[#This Row],[Visitor]],'NHL Model'!$A$6:$B$38,2,FALSE)</f>
        <v>-3.2309887002194844E-2</v>
      </c>
      <c r="J1114">
        <f>($B$1+Table4[[#This Row],[Home Differential]])-Table4[[#This Row],[Away Differential]]</f>
        <v>0.19364494811779034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0.5693980472250556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3.2883390994754517E-3</v>
      </c>
      <c r="H1115" t="s">
        <v>28</v>
      </c>
      <c r="I1115">
        <f>VLOOKUP(Table4[[#This Row],[Visitor]],'NHL Model'!$A$6:$B$38,2,FALSE)</f>
        <v>-0.72083617366747277</v>
      </c>
      <c r="J1115">
        <f>($B$1+Table4[[#This Row],[Home Differential]])-Table4[[#This Row],[Away Differential]]</f>
        <v>0.88354417429177534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0.66274839844380029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-0.50599078340071213</v>
      </c>
      <c r="H1116" t="s">
        <v>40</v>
      </c>
      <c r="I1116">
        <f>VLOOKUP(Table4[[#This Row],[Visitor]],'NHL Model'!$A$6:$B$38,2,FALSE)</f>
        <v>-7.3890719153774626E-2</v>
      </c>
      <c r="J1116">
        <f>($B$1+Table4[[#This Row],[Home Differential]])-Table4[[#This Row],[Away Differential]]</f>
        <v>-0.27268040272211036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0.56419853908037931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-0.2200802314358897</v>
      </c>
      <c r="H1117" t="s">
        <v>25</v>
      </c>
      <c r="I1117">
        <f>VLOOKUP(Table4[[#This Row],[Visitor]],'NHL Model'!$A$6:$B$38,2,FALSE)</f>
        <v>0.42254821659882374</v>
      </c>
      <c r="J1117">
        <f>($B$1+Table4[[#This Row],[Home Differential]])-Table4[[#This Row],[Away Differential]]</f>
        <v>-0.4832087865098863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0.59975405671243409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-0.1349739904770427</v>
      </c>
      <c r="H1118" t="s">
        <v>13</v>
      </c>
      <c r="I1118">
        <f>VLOOKUP(Table4[[#This Row],[Visitor]],'NHL Model'!$A$6:$B$38,2,FALSE)</f>
        <v>-0.31985119938240425</v>
      </c>
      <c r="J1118">
        <f>($B$1+Table4[[#This Row],[Home Differential]])-Table4[[#This Row],[Away Differential]]</f>
        <v>0.3442968704301887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0.56910882718731826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0.21430145909042725</v>
      </c>
      <c r="H1119" t="s">
        <v>12</v>
      </c>
      <c r="I1119">
        <f>VLOOKUP(Table4[[#This Row],[Visitor]],'NHL Model'!$A$6:$B$38,2,FALSE)</f>
        <v>1.4583704516548168</v>
      </c>
      <c r="J1119">
        <f>($B$1+Table4[[#This Row],[Home Differential]])-Table4[[#This Row],[Away Differential]]</f>
        <v>-1.0846493310395624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0.7031735808836499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-0.50599078340071213</v>
      </c>
      <c r="H1120" t="s">
        <v>36</v>
      </c>
      <c r="I1120">
        <f>VLOOKUP(Table4[[#This Row],[Visitor]],'NHL Model'!$A$6:$B$38,2,FALSE)</f>
        <v>-0.34257283900844787</v>
      </c>
      <c r="J1120">
        <f>($B$1+Table4[[#This Row],[Home Differential]])-Table4[[#This Row],[Away Differential]]</f>
        <v>-3.9982828674371418E-3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0.46055547060665825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-0.12487089668223171</v>
      </c>
      <c r="H1121" t="s">
        <v>19</v>
      </c>
      <c r="I1121">
        <f>VLOOKUP(Table4[[#This Row],[Visitor]],'NHL Model'!$A$6:$B$38,2,FALSE)</f>
        <v>-0.95664361852990654</v>
      </c>
      <c r="J1121">
        <f>($B$1+Table4[[#This Row],[Home Differential]])-Table4[[#This Row],[Away Differential]]</f>
        <v>0.99119238337250193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0.72941964882311039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-1.1167763879247272</v>
      </c>
      <c r="H1122" t="s">
        <v>13</v>
      </c>
      <c r="I1122">
        <f>VLOOKUP(Table4[[#This Row],[Visitor]],'NHL Model'!$A$6:$B$38,2,FALSE)</f>
        <v>-0.31985119938240425</v>
      </c>
      <c r="J1122">
        <f>($B$1+Table4[[#This Row],[Home Differential]])-Table4[[#This Row],[Away Differential]]</f>
        <v>-0.63750552701749585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0.63204517661341442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1.9153995907683643E-3</v>
      </c>
      <c r="H1123" t="s">
        <v>24</v>
      </c>
      <c r="I1123">
        <f>VLOOKUP(Table4[[#This Row],[Visitor]],'NHL Model'!$A$6:$B$38,2,FALSE)</f>
        <v>2.0731927685773251E-2</v>
      </c>
      <c r="J1123">
        <f>($B$1+Table4[[#This Row],[Home Differential]])-Table4[[#This Row],[Away Differential]]</f>
        <v>0.14060313342982225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0.56120027907322778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-0.67114180037169746</v>
      </c>
      <c r="H1124" t="s">
        <v>36</v>
      </c>
      <c r="I1124">
        <f>VLOOKUP(Table4[[#This Row],[Visitor]],'NHL Model'!$A$6:$B$38,2,FALSE)</f>
        <v>-0.34257283900844787</v>
      </c>
      <c r="J1124">
        <f>($B$1+Table4[[#This Row],[Home Differential]])-Table4[[#This Row],[Away Differential]]</f>
        <v>-0.16914929983842247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0.45125338816037286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-0.21100886368613675</v>
      </c>
      <c r="H1125" t="s">
        <v>32</v>
      </c>
      <c r="I1125">
        <f>VLOOKUP(Table4[[#This Row],[Visitor]],'NHL Model'!$A$6:$B$38,2,FALSE)</f>
        <v>-0.46055888840939002</v>
      </c>
      <c r="J1125">
        <f>($B$1+Table4[[#This Row],[Home Differential]])-Table4[[#This Row],[Away Differential]]</f>
        <v>0.40896968624808039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0.6485330268645213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-0.75480422558713034</v>
      </c>
      <c r="H1126" t="s">
        <v>25</v>
      </c>
      <c r="I1126">
        <f>VLOOKUP(Table4[[#This Row],[Visitor]],'NHL Model'!$A$6:$B$38,2,FALSE)</f>
        <v>0.42254821659882374</v>
      </c>
      <c r="J1126">
        <f>($B$1+Table4[[#This Row],[Home Differential]])-Table4[[#This Row],[Away Differential]]</f>
        <v>-1.0179327806611269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0.67404181255005158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-1.6840122346544992</v>
      </c>
      <c r="H1127" t="s">
        <v>33</v>
      </c>
      <c r="I1127">
        <f>VLOOKUP(Table4[[#This Row],[Visitor]],'NHL Model'!$A$6:$B$38,2,FALSE)</f>
        <v>-0.3479098095875402</v>
      </c>
      <c r="J1127">
        <f>($B$1+Table4[[#This Row],[Home Differential]])-Table4[[#This Row],[Away Differential]]</f>
        <v>-1.176682763542132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0.62347334847971525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3.2883390994754517E-3</v>
      </c>
      <c r="H1128" t="s">
        <v>10</v>
      </c>
      <c r="I1128">
        <f>VLOOKUP(Table4[[#This Row],[Visitor]],'NHL Model'!$A$6:$B$38,2,FALSE)</f>
        <v>-0.13160108676160023</v>
      </c>
      <c r="J1128">
        <f>($B$1+Table4[[#This Row],[Home Differential]])-Table4[[#This Row],[Away Differential]]</f>
        <v>0.29430908738590283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0.58088756417078258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-0.54160534998918008</v>
      </c>
      <c r="H1129" t="s">
        <v>28</v>
      </c>
      <c r="I1129">
        <f>VLOOKUP(Table4[[#This Row],[Visitor]],'NHL Model'!$A$6:$B$38,2,FALSE)</f>
        <v>-0.72083617366747277</v>
      </c>
      <c r="J1129">
        <f>($B$1+Table4[[#This Row],[Home Differential]])-Table4[[#This Row],[Away Differential]]</f>
        <v>0.3386504852031198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0.61929386024847854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-0.2200802314358897</v>
      </c>
      <c r="H1130" t="s">
        <v>12</v>
      </c>
      <c r="I1130">
        <f>VLOOKUP(Table4[[#This Row],[Visitor]],'NHL Model'!$A$6:$B$38,2,FALSE)</f>
        <v>1.4583704516548168</v>
      </c>
      <c r="J1130">
        <f>($B$1+Table4[[#This Row],[Home Differential]])-Table4[[#This Row],[Away Differential]]</f>
        <v>-1.5190310215658793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0.76352105232519429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-1.5594075795597986</v>
      </c>
      <c r="H1131" t="s">
        <v>22</v>
      </c>
      <c r="I1131">
        <f>VLOOKUP(Table4[[#This Row],[Visitor]],'NHL Model'!$A$6:$B$38,2,FALSE)</f>
        <v>0.21430145909042725</v>
      </c>
      <c r="J1131">
        <f>($B$1+Table4[[#This Row],[Home Differential]])-Table4[[#This Row],[Away Differential]]</f>
        <v>-1.6142893771253988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0.70503808051385752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0.1846559193064522</v>
      </c>
      <c r="H1132" t="s">
        <v>34</v>
      </c>
      <c r="I1132">
        <f>VLOOKUP(Table4[[#This Row],[Visitor]],'NHL Model'!$A$6:$B$38,2,FALSE)</f>
        <v>-0.17681265190927384</v>
      </c>
      <c r="J1132">
        <f>($B$1+Table4[[#This Row],[Home Differential]])-Table4[[#This Row],[Away Differential]]</f>
        <v>0.52088823274055318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0.61082712945009932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-0.1349739904770427</v>
      </c>
      <c r="H1133" t="s">
        <v>17</v>
      </c>
      <c r="I1133">
        <f>VLOOKUP(Table4[[#This Row],[Visitor]],'NHL Model'!$A$6:$B$38,2,FALSE)</f>
        <v>-0.8561868317598319</v>
      </c>
      <c r="J1133">
        <f>($B$1+Table4[[#This Row],[Home Differential]])-Table4[[#This Row],[Away Differential]]</f>
        <v>0.88063250280761629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0.72579216367485122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-1.1267952052768424</v>
      </c>
      <c r="H1134" t="s">
        <v>31</v>
      </c>
      <c r="I1134">
        <f>VLOOKUP(Table4[[#This Row],[Visitor]],'NHL Model'!$A$6:$B$38,2,FALSE)</f>
        <v>0.35254565315374792</v>
      </c>
      <c r="J1134">
        <f>($B$1+Table4[[#This Row],[Home Differential]])-Table4[[#This Row],[Away Differential]]</f>
        <v>-1.3199211969057631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0.66414230673577834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-7.3890719153774626E-2</v>
      </c>
      <c r="H1135" t="s">
        <v>20</v>
      </c>
      <c r="I1135">
        <f>VLOOKUP(Table4[[#This Row],[Visitor]],'NHL Model'!$A$6:$B$38,2,FALSE)</f>
        <v>-3.2309887002194844E-2</v>
      </c>
      <c r="J1135">
        <f>($B$1+Table4[[#This Row],[Home Differential]])-Table4[[#This Row],[Away Differential]]</f>
        <v>0.11783882937324736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0.55886650852118502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-0.49794713300108584</v>
      </c>
      <c r="H1136" t="s">
        <v>21</v>
      </c>
      <c r="I1136">
        <f>VLOOKUP(Table4[[#This Row],[Visitor]],'NHL Model'!$A$6:$B$38,2,FALSE)</f>
        <v>-0.12487089668223171</v>
      </c>
      <c r="J1136">
        <f>($B$1+Table4[[#This Row],[Home Differential]])-Table4[[#This Row],[Away Differential]]</f>
        <v>-0.213656574794027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0.4756661086008972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-0.95664361852990654</v>
      </c>
      <c r="H1137" t="s">
        <v>15</v>
      </c>
      <c r="I1137">
        <f>VLOOKUP(Table4[[#This Row],[Visitor]],'NHL Model'!$A$6:$B$38,2,FALSE)</f>
        <v>-0.50599078340071213</v>
      </c>
      <c r="J1137">
        <f>($B$1+Table4[[#This Row],[Home Differential]])-Table4[[#This Row],[Away Differential]]</f>
        <v>-0.29123317360436729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0.58393849667191922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-1.1167763879247272</v>
      </c>
      <c r="H1138" t="s">
        <v>31</v>
      </c>
      <c r="I1138">
        <f>VLOOKUP(Table4[[#This Row],[Visitor]],'NHL Model'!$A$6:$B$38,2,FALSE)</f>
        <v>0.35254565315374792</v>
      </c>
      <c r="J1138">
        <f>($B$1+Table4[[#This Row],[Home Differential]])-Table4[[#This Row],[Away Differential]]</f>
        <v>-1.309902379553648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0.66275041958394598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-0.21100886368613675</v>
      </c>
      <c r="H1139" t="s">
        <v>34</v>
      </c>
      <c r="I1139">
        <f>VLOOKUP(Table4[[#This Row],[Visitor]],'NHL Model'!$A$6:$B$38,2,FALSE)</f>
        <v>-0.17681265190927384</v>
      </c>
      <c r="J1139">
        <f>($B$1+Table4[[#This Row],[Home Differential]])-Table4[[#This Row],[Away Differential]]</f>
        <v>0.12522344974796423</v>
      </c>
      <c r="K1139" t="str">
        <f>IF(Table4[[#This Row],[HomeIce Differential]]&gt;0,Table4[[#This Row],[Home]],Table4[[#This Row],[Visitor]])</f>
        <v>Florida Panthers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0.58882552604772365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-0.75480422558713034</v>
      </c>
      <c r="H1140" t="s">
        <v>28</v>
      </c>
      <c r="I1140">
        <f>VLOOKUP(Table4[[#This Row],[Visitor]],'NHL Model'!$A$6:$B$38,2,FALSE)</f>
        <v>-0.72083617366747277</v>
      </c>
      <c r="J1140">
        <f>($B$1+Table4[[#This Row],[Home Differential]])-Table4[[#This Row],[Away Differential]]</f>
        <v>0.12545160960516955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0.55742865224998495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-1.6840122346544992</v>
      </c>
      <c r="H1141" t="s">
        <v>24</v>
      </c>
      <c r="I1141">
        <f>VLOOKUP(Table4[[#This Row],[Visitor]],'NHL Model'!$A$6:$B$38,2,FALSE)</f>
        <v>2.0731927685773251E-2</v>
      </c>
      <c r="J1141">
        <f>($B$1+Table4[[#This Row],[Home Differential]])-Table4[[#This Row],[Away Differential]]</f>
        <v>-1.5453245008154453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0.675517239405514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3.2883390994754517E-3</v>
      </c>
      <c r="H1142" t="s">
        <v>39</v>
      </c>
      <c r="I1142">
        <f>VLOOKUP(Table4[[#This Row],[Visitor]],'NHL Model'!$A$6:$B$38,2,FALSE)</f>
        <v>1.9153995907683643E-3</v>
      </c>
      <c r="J1142">
        <f>($B$1+Table4[[#This Row],[Home Differential]])-Table4[[#This Row],[Away Differential]]</f>
        <v>0.16079260103353424</v>
      </c>
      <c r="K1142" t="str">
        <f>IF(Table4[[#This Row],[HomeIce Differential]]&gt;0,Table4[[#This Row],[Home]],Table4[[#This Row],[Visitor]])</f>
        <v>New York Islanders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0.46985229259830269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-0.34257283900844787</v>
      </c>
      <c r="H1143" t="s">
        <v>14</v>
      </c>
      <c r="I1143">
        <f>VLOOKUP(Table4[[#This Row],[Visitor]],'NHL Model'!$A$6:$B$38,2,FALSE)</f>
        <v>-0.2200802314358897</v>
      </c>
      <c r="J1143">
        <f>($B$1+Table4[[#This Row],[Home Differential]])-Table4[[#This Row],[Away Differential]]</f>
        <v>3.6927053952268973E-2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0.54762565476746006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-0.54160534998918008</v>
      </c>
      <c r="H1144" t="s">
        <v>10</v>
      </c>
      <c r="I1144">
        <f>VLOOKUP(Table4[[#This Row],[Visitor]],'NHL Model'!$A$6:$B$38,2,FALSE)</f>
        <v>-0.13160108676160023</v>
      </c>
      <c r="J1144">
        <f>($B$1+Table4[[#This Row],[Home Differential]])-Table4[[#This Row],[Away Differential]]</f>
        <v>-0.25058460170275276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0.46256697402453922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-1.5594075795597986</v>
      </c>
      <c r="H1145" t="s">
        <v>33</v>
      </c>
      <c r="I1145">
        <f>VLOOKUP(Table4[[#This Row],[Visitor]],'NHL Model'!$A$6:$B$38,2,FALSE)</f>
        <v>-0.3479098095875402</v>
      </c>
      <c r="J1145">
        <f>($B$1+Table4[[#This Row],[Home Differential]])-Table4[[#This Row],[Away Differential]]</f>
        <v>-1.0520781084474313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0.60616236132530754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0.1846559193064522</v>
      </c>
      <c r="H1146" t="s">
        <v>32</v>
      </c>
      <c r="I1146">
        <f>VLOOKUP(Table4[[#This Row],[Visitor]],'NHL Model'!$A$6:$B$38,2,FALSE)</f>
        <v>-0.46055888840939002</v>
      </c>
      <c r="J1146">
        <f>($B$1+Table4[[#This Row],[Home Differential]])-Table4[[#This Row],[Away Differential]]</f>
        <v>0.80463446924066928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0.67089111821247327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-0.1349739904770427</v>
      </c>
      <c r="H1147" t="s">
        <v>22</v>
      </c>
      <c r="I1147">
        <f>VLOOKUP(Table4[[#This Row],[Visitor]],'NHL Model'!$A$6:$B$38,2,FALSE)</f>
        <v>0.21430145909042725</v>
      </c>
      <c r="J1147">
        <f>($B$1+Table4[[#This Row],[Home Differential]])-Table4[[#This Row],[Away Differential]]</f>
        <v>-0.1898557880426428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0.44304281694370318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-1.1267952052768424</v>
      </c>
      <c r="H1148" t="s">
        <v>13</v>
      </c>
      <c r="I1148">
        <f>VLOOKUP(Table4[[#This Row],[Visitor]],'NHL Model'!$A$6:$B$38,2,FALSE)</f>
        <v>-0.31985119938240425</v>
      </c>
      <c r="J1148">
        <f>($B$1+Table4[[#This Row],[Home Differential]])-Table4[[#This Row],[Away Differential]]</f>
        <v>-0.64752434436961104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0.63343706376524689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-3.2309887002194844E-2</v>
      </c>
      <c r="H1149" t="s">
        <v>17</v>
      </c>
      <c r="I1149">
        <f>VLOOKUP(Table4[[#This Row],[Visitor]],'NHL Model'!$A$6:$B$38,2,FALSE)</f>
        <v>-0.8561868317598319</v>
      </c>
      <c r="J1149">
        <f>($B$1+Table4[[#This Row],[Home Differential]])-Table4[[#This Row],[Away Differential]]</f>
        <v>0.98329660628246418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0.67660673357180445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-7.3890719153774626E-2</v>
      </c>
      <c r="H1150" t="s">
        <v>12</v>
      </c>
      <c r="I1150">
        <f>VLOOKUP(Table4[[#This Row],[Visitor]],'NHL Model'!$A$6:$B$38,2,FALSE)</f>
        <v>1.4583704516548168</v>
      </c>
      <c r="J1150">
        <f>($B$1+Table4[[#This Row],[Home Differential]])-Table4[[#This Row],[Away Differential]]</f>
        <v>-1.3728415092837642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0.74072515159395158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-0.49794713300108584</v>
      </c>
      <c r="H1151" t="s">
        <v>26</v>
      </c>
      <c r="I1151">
        <f>VLOOKUP(Table4[[#This Row],[Visitor]],'NHL Model'!$A$6:$B$38,2,FALSE)</f>
        <v>-0.67114180037169746</v>
      </c>
      <c r="J1151">
        <f>($B$1+Table4[[#This Row],[Home Differential]])-Table4[[#This Row],[Away Differential]]</f>
        <v>0.33261432889543874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0.57954254093079272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-0.50599078340071213</v>
      </c>
      <c r="H1152" t="s">
        <v>10</v>
      </c>
      <c r="I1152">
        <f>VLOOKUP(Table4[[#This Row],[Visitor]],'NHL Model'!$A$6:$B$38,2,FALSE)</f>
        <v>-0.13160108676160023</v>
      </c>
      <c r="J1152">
        <f>($B$1+Table4[[#This Row],[Home Differential]])-Table4[[#This Row],[Away Differential]]</f>
        <v>-0.21497003511428478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0.48986520458338967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-0.12487089668223171</v>
      </c>
      <c r="H1153" t="s">
        <v>34</v>
      </c>
      <c r="I1153">
        <f>VLOOKUP(Table4[[#This Row],[Visitor]],'NHL Model'!$A$6:$B$38,2,FALSE)</f>
        <v>-0.17681265190927384</v>
      </c>
      <c r="J1153">
        <f>($B$1+Table4[[#This Row],[Home Differential]])-Table4[[#This Row],[Away Differential]]</f>
        <v>0.21136141675186926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0.60079244043930968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-0.49794713300108584</v>
      </c>
      <c r="H1154" t="s">
        <v>32</v>
      </c>
      <c r="I1154">
        <f>VLOOKUP(Table4[[#This Row],[Visitor]],'NHL Model'!$A$6:$B$38,2,FALSE)</f>
        <v>-0.46055888840939002</v>
      </c>
      <c r="J1154">
        <f>($B$1+Table4[[#This Row],[Home Differential]])-Table4[[#This Row],[Away Differential]]</f>
        <v>0.1220314169331313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0.57097011464663128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0.42254821659882374</v>
      </c>
      <c r="H1155" t="s">
        <v>24</v>
      </c>
      <c r="I1155">
        <f>VLOOKUP(Table4[[#This Row],[Visitor]],'NHL Model'!$A$6:$B$38,2,FALSE)</f>
        <v>2.0731927685773251E-2</v>
      </c>
      <c r="J1155">
        <f>($B$1+Table4[[#This Row],[Home Differential]])-Table4[[#This Row],[Away Differential]]</f>
        <v>0.56123595043787766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0.66888008100763852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-0.72083617366747277</v>
      </c>
      <c r="H1156" t="s">
        <v>33</v>
      </c>
      <c r="I1156">
        <f>VLOOKUP(Table4[[#This Row],[Visitor]],'NHL Model'!$A$6:$B$38,2,FALSE)</f>
        <v>-0.3479098095875402</v>
      </c>
      <c r="J1156">
        <f>($B$1+Table4[[#This Row],[Home Differential]])-Table4[[#This Row],[Away Differential]]</f>
        <v>-0.21350670255510545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0.4826159558954351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-1.1167763879247272</v>
      </c>
      <c r="H1157" t="s">
        <v>38</v>
      </c>
      <c r="I1157">
        <f>VLOOKUP(Table4[[#This Row],[Visitor]],'NHL Model'!$A$6:$B$38,2,FALSE)</f>
        <v>-1.1267952052768424</v>
      </c>
      <c r="J1157">
        <f>($B$1+Table4[[#This Row],[Home Differential]])-Table4[[#This Row],[Away Differential]]</f>
        <v>0.1694384788769423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0.54277039805981986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1.4583704516548168</v>
      </c>
      <c r="H1158" t="s">
        <v>40</v>
      </c>
      <c r="I1158">
        <f>VLOOKUP(Table4[[#This Row],[Visitor]],'NHL Model'!$A$6:$B$38,2,FALSE)</f>
        <v>-7.3890719153774626E-2</v>
      </c>
      <c r="J1158">
        <f>($B$1+Table4[[#This Row],[Home Differential]])-Table4[[#This Row],[Away Differential]]</f>
        <v>1.6916808323334185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0.80644920637695927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-0.67114180037169746</v>
      </c>
      <c r="H1159" t="s">
        <v>27</v>
      </c>
      <c r="I1159">
        <f>VLOOKUP(Table4[[#This Row],[Visitor]],'NHL Model'!$A$6:$B$38,2,FALSE)</f>
        <v>-0.54160534998918008</v>
      </c>
      <c r="J1159">
        <f>($B$1+Table4[[#This Row],[Home Differential]])-Table4[[#This Row],[Away Differential]]</f>
        <v>2.988321114230974E-2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0.57639765937295073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-0.8561868317598319</v>
      </c>
      <c r="H1160" t="s">
        <v>31</v>
      </c>
      <c r="I1160">
        <f>VLOOKUP(Table4[[#This Row],[Visitor]],'NHL Model'!$A$6:$B$38,2,FALSE)</f>
        <v>0.35254565315374792</v>
      </c>
      <c r="J1160">
        <f>($B$1+Table4[[#This Row],[Home Differential]])-Table4[[#This Row],[Away Differential]]</f>
        <v>-1.0493128233887528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0.61946239829010841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-0.31985119938240425</v>
      </c>
      <c r="H1161" t="s">
        <v>55</v>
      </c>
      <c r="I1161">
        <f>VLOOKUP(Table4[[#This Row],[Visitor]],'NHL Model'!$A$6:$B$38,2,FALSE)</f>
        <v>-0.1349739904770427</v>
      </c>
      <c r="J1161">
        <f>($B$1+Table4[[#This Row],[Home Differential]])-Table4[[#This Row],[Away Differential]]</f>
        <v>-2.5457547380534407E-2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0.46353674808820122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-1.6840122346544992</v>
      </c>
      <c r="H1162" t="s">
        <v>18</v>
      </c>
      <c r="I1162">
        <f>VLOOKUP(Table4[[#This Row],[Visitor]],'NHL Model'!$A$6:$B$38,2,FALSE)</f>
        <v>-0.75480422558713034</v>
      </c>
      <c r="J1162">
        <f>($B$1+Table4[[#This Row],[Home Differential]])-Table4[[#This Row],[Away Differential]]</f>
        <v>-0.76978834754254177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0.61404400110060275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3.2883390994754517E-3</v>
      </c>
      <c r="H1163" t="s">
        <v>11</v>
      </c>
      <c r="I1163">
        <f>VLOOKUP(Table4[[#This Row],[Visitor]],'NHL Model'!$A$6:$B$38,2,FALSE)</f>
        <v>-0.21100886368613675</v>
      </c>
      <c r="J1163">
        <f>($B$1+Table4[[#This Row],[Home Differential]])-Table4[[#This Row],[Away Differential]]</f>
        <v>0.37371686431043938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0.59191947148801716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-0.2200802314358897</v>
      </c>
      <c r="H1164" t="s">
        <v>39</v>
      </c>
      <c r="I1164">
        <f>VLOOKUP(Table4[[#This Row],[Visitor]],'NHL Model'!$A$6:$B$38,2,FALSE)</f>
        <v>1.9153995907683643E-3</v>
      </c>
      <c r="J1164">
        <f>($B$1+Table4[[#This Row],[Home Differential]])-Table4[[#This Row],[Away Differential]]</f>
        <v>-6.2575969501830919E-2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0.56117969775789522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-1.5594075795597986</v>
      </c>
      <c r="H1165" t="s">
        <v>19</v>
      </c>
      <c r="I1165">
        <f>VLOOKUP(Table4[[#This Row],[Visitor]],'NHL Model'!$A$6:$B$38,2,FALSE)</f>
        <v>-0.95664361852990654</v>
      </c>
      <c r="J1165">
        <f>($B$1+Table4[[#This Row],[Home Differential]])-Table4[[#This Row],[Away Differential]]</f>
        <v>-0.44334429950506493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0.52159262242553595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0.1846559193064522</v>
      </c>
      <c r="H1166" t="s">
        <v>36</v>
      </c>
      <c r="I1166">
        <f>VLOOKUP(Table4[[#This Row],[Visitor]],'NHL Model'!$A$6:$B$38,2,FALSE)</f>
        <v>-0.34257283900844787</v>
      </c>
      <c r="J1166">
        <f>($B$1+Table4[[#This Row],[Home Differential]])-Table4[[#This Row],[Away Differential]]</f>
        <v>0.68664841983972713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0.65449963601602779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-3.2309887002194844E-2</v>
      </c>
      <c r="H1167" t="s">
        <v>22</v>
      </c>
      <c r="I1167">
        <f>VLOOKUP(Table4[[#This Row],[Visitor]],'NHL Model'!$A$6:$B$38,2,FALSE)</f>
        <v>0.21430145909042725</v>
      </c>
      <c r="J1167">
        <f>($B$1+Table4[[#This Row],[Home Differential]])-Table4[[#This Row],[Away Differential]]</f>
        <v>-8.7191684567794941E-2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0.49288253528724513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0.42254821659882374</v>
      </c>
      <c r="H1168" t="s">
        <v>18</v>
      </c>
      <c r="I1168">
        <f>VLOOKUP(Table4[[#This Row],[Visitor]],'NHL Model'!$A$6:$B$38,2,FALSE)</f>
        <v>-0.75480422558713034</v>
      </c>
      <c r="J1168">
        <f>($B$1+Table4[[#This Row],[Home Differential]])-Table4[[#This Row],[Away Differential]]</f>
        <v>1.3367721037107811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0.7311686722511771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-0.72083617366747277</v>
      </c>
      <c r="H1169" t="s">
        <v>21</v>
      </c>
      <c r="I1169">
        <f>VLOOKUP(Table4[[#This Row],[Visitor]],'NHL Model'!$A$6:$B$38,2,FALSE)</f>
        <v>-0.12487089668223171</v>
      </c>
      <c r="J1169">
        <f>($B$1+Table4[[#This Row],[Home Differential]])-Table4[[#This Row],[Away Differential]]</f>
        <v>-0.43654561546041393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0.51360214781019486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2.0731927685773251E-2</v>
      </c>
      <c r="H1170" t="s">
        <v>10</v>
      </c>
      <c r="I1170">
        <f>VLOOKUP(Table4[[#This Row],[Visitor]],'NHL Model'!$A$6:$B$38,2,FALSE)</f>
        <v>-0.13160108676160023</v>
      </c>
      <c r="J1170">
        <f>($B$1+Table4[[#This Row],[Home Differential]])-Table4[[#This Row],[Away Differential]]</f>
        <v>0.31175267597220063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0.70228953787109738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-0.50599078340071213</v>
      </c>
      <c r="H1171" t="s">
        <v>11</v>
      </c>
      <c r="I1171">
        <f>VLOOKUP(Table4[[#This Row],[Visitor]],'NHL Model'!$A$6:$B$38,2,FALSE)</f>
        <v>-0.21100886368613675</v>
      </c>
      <c r="J1171">
        <f>($B$1+Table4[[#This Row],[Home Differential]])-Table4[[#This Row],[Away Differential]]</f>
        <v>-0.13556225818974826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0.47883329726615509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-0.54160534998918008</v>
      </c>
      <c r="H1172" t="s">
        <v>39</v>
      </c>
      <c r="I1172">
        <f>VLOOKUP(Table4[[#This Row],[Visitor]],'NHL Model'!$A$6:$B$38,2,FALSE)</f>
        <v>1.9153995907683643E-3</v>
      </c>
      <c r="J1172">
        <f>($B$1+Table4[[#This Row],[Home Differential]])-Table4[[#This Row],[Away Differential]]</f>
        <v>-0.38410108805512133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0.57336212356001282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0.1846559193064522</v>
      </c>
      <c r="H1173" t="s">
        <v>29</v>
      </c>
      <c r="I1173">
        <f>VLOOKUP(Table4[[#This Row],[Visitor]],'NHL Model'!$A$6:$B$38,2,FALSE)</f>
        <v>-1.6840122346544992</v>
      </c>
      <c r="J1173">
        <f>($B$1+Table4[[#This Row],[Home Differential]])-Table4[[#This Row],[Away Differential]]</f>
        <v>2.0280878154857787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0.84086217703663801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0.35254565315374792</v>
      </c>
      <c r="H1174" t="s">
        <v>19</v>
      </c>
      <c r="I1174">
        <f>VLOOKUP(Table4[[#This Row],[Visitor]],'NHL Model'!$A$6:$B$38,2,FALSE)</f>
        <v>-0.95664361852990654</v>
      </c>
      <c r="J1174">
        <f>($B$1+Table4[[#This Row],[Home Differential]])-Table4[[#This Row],[Away Differential]]</f>
        <v>1.4686089332084817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0.83895049526813614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1.4583704516548168</v>
      </c>
      <c r="H1175" t="s">
        <v>16</v>
      </c>
      <c r="I1175">
        <f>VLOOKUP(Table4[[#This Row],[Visitor]],'NHL Model'!$A$6:$B$38,2,FALSE)</f>
        <v>-1.1167763879247272</v>
      </c>
      <c r="J1175">
        <f>($B$1+Table4[[#This Row],[Home Differential]])-Table4[[#This Row],[Away Differential]]</f>
        <v>2.7345665011043714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3.2883390994754517E-3</v>
      </c>
      <c r="H1176" t="s">
        <v>14</v>
      </c>
      <c r="I1176">
        <f>VLOOKUP(Table4[[#This Row],[Visitor]],'NHL Model'!$A$6:$B$38,2,FALSE)</f>
        <v>-0.2200802314358897</v>
      </c>
      <c r="J1176">
        <f>($B$1+Table4[[#This Row],[Home Differential]])-Table4[[#This Row],[Away Differential]]</f>
        <v>0.3827882320601923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0.59317973203341601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-0.3479098095875402</v>
      </c>
      <c r="H1177" t="s">
        <v>35</v>
      </c>
      <c r="I1177">
        <f>VLOOKUP(Table4[[#This Row],[Visitor]],'NHL Model'!$A$6:$B$38,2,FALSE)</f>
        <v>-1.5594075795597986</v>
      </c>
      <c r="J1177">
        <f>($B$1+Table4[[#This Row],[Home Differential]])-Table4[[#This Row],[Away Differential]]</f>
        <v>1.3709174314970856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0.73045784467974384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-3.2309887002194844E-2</v>
      </c>
      <c r="H1178" t="s">
        <v>38</v>
      </c>
      <c r="I1178">
        <f>VLOOKUP(Table4[[#This Row],[Visitor]],'NHL Model'!$A$6:$B$38,2,FALSE)</f>
        <v>-1.1267952052768424</v>
      </c>
      <c r="J1178">
        <f>($B$1+Table4[[#This Row],[Home Differential]])-Table4[[#This Row],[Away Differential]]</f>
        <v>1.2539049797994748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0.69343239100532861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-0.12487089668223171</v>
      </c>
      <c r="H1179" t="s">
        <v>39</v>
      </c>
      <c r="I1179">
        <f>VLOOKUP(Table4[[#This Row],[Visitor]],'NHL Model'!$A$6:$B$38,2,FALSE)</f>
        <v>1.9153995907683643E-3</v>
      </c>
      <c r="J1179">
        <f>($B$1+Table4[[#This Row],[Home Differential]])-Table4[[#This Row],[Away Differential]]</f>
        <v>3.2633365251827071E-2</v>
      </c>
      <c r="K1179" t="str">
        <f>IF(Table4[[#This Row],[HomeIce Differential]]&gt;0,Table4[[#This Row],[Home]],Table4[[#This Row],[Visitor]])</f>
        <v>Boston Bruins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0.50453366502439356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-0.49794713300108584</v>
      </c>
      <c r="H1180" t="s">
        <v>30</v>
      </c>
      <c r="I1180">
        <f>VLOOKUP(Table4[[#This Row],[Visitor]],'NHL Model'!$A$6:$B$38,2,FALSE)</f>
        <v>3.2883390994754517E-3</v>
      </c>
      <c r="J1180">
        <f>($B$1+Table4[[#This Row],[Home Differential]])-Table4[[#This Row],[Away Differential]]</f>
        <v>-0.34181581057573418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0.56600606303724355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-0.72083617366747277</v>
      </c>
      <c r="H1181" t="s">
        <v>25</v>
      </c>
      <c r="I1181">
        <f>VLOOKUP(Table4[[#This Row],[Visitor]],'NHL Model'!$A$6:$B$38,2,FALSE)</f>
        <v>0.42254821659882374</v>
      </c>
      <c r="J1181">
        <f>($B$1+Table4[[#This Row],[Home Differential]])-Table4[[#This Row],[Away Differential]]</f>
        <v>-0.98396472874146945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0.66224699927043673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-0.13160108676160023</v>
      </c>
      <c r="H1182" t="s">
        <v>40</v>
      </c>
      <c r="I1182">
        <f>VLOOKUP(Table4[[#This Row],[Visitor]],'NHL Model'!$A$6:$B$38,2,FALSE)</f>
        <v>-7.3890719153774626E-2</v>
      </c>
      <c r="J1182">
        <f>($B$1+Table4[[#This Row],[Home Differential]])-Table4[[#This Row],[Away Differential]]</f>
        <v>0.10170929391700154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0.48781440718022845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-0.8561868317598319</v>
      </c>
      <c r="H1183" t="s">
        <v>32</v>
      </c>
      <c r="I1183">
        <f>VLOOKUP(Table4[[#This Row],[Visitor]],'NHL Model'!$A$6:$B$38,2,FALSE)</f>
        <v>-0.46055888840939002</v>
      </c>
      <c r="J1183">
        <f>($B$1+Table4[[#This Row],[Home Differential]])-Table4[[#This Row],[Away Differential]]</f>
        <v>-0.23620828182561476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0.48576982480055653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-0.21100886368613675</v>
      </c>
      <c r="H1184" t="s">
        <v>36</v>
      </c>
      <c r="I1184">
        <f>VLOOKUP(Table4[[#This Row],[Visitor]],'NHL Model'!$A$6:$B$38,2,FALSE)</f>
        <v>-0.34257283900844787</v>
      </c>
      <c r="J1184">
        <f>($B$1+Table4[[#This Row],[Home Differential]])-Table4[[#This Row],[Away Differential]]</f>
        <v>0.29098363684713824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0.63214154466807582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-0.50599078340071213</v>
      </c>
      <c r="H1185" t="s">
        <v>24</v>
      </c>
      <c r="I1185">
        <f>VLOOKUP(Table4[[#This Row],[Visitor]],'NHL Model'!$A$6:$B$38,2,FALSE)</f>
        <v>2.0731927685773251E-2</v>
      </c>
      <c r="J1185">
        <f>($B$1+Table4[[#This Row],[Home Differential]])-Table4[[#This Row],[Away Differential]]</f>
        <v>-0.36730304956165827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0.51185791066878028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-0.2200802314358897</v>
      </c>
      <c r="H1186" t="s">
        <v>26</v>
      </c>
      <c r="I1186">
        <f>VLOOKUP(Table4[[#This Row],[Visitor]],'NHL Model'!$A$6:$B$38,2,FALSE)</f>
        <v>-0.67114180037169746</v>
      </c>
      <c r="J1186">
        <f>($B$1+Table4[[#This Row],[Home Differential]])-Table4[[#This Row],[Away Differential]]</f>
        <v>0.61048123046063485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0.60404327266797408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0.1846559193064522</v>
      </c>
      <c r="H1187" t="s">
        <v>18</v>
      </c>
      <c r="I1187">
        <f>VLOOKUP(Table4[[#This Row],[Visitor]],'NHL Model'!$A$6:$B$38,2,FALSE)</f>
        <v>-0.75480422558713034</v>
      </c>
      <c r="J1187">
        <f>($B$1+Table4[[#This Row],[Home Differential]])-Table4[[#This Row],[Away Differential]]</f>
        <v>1.0988798064184095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0.66485951638086271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0.21430145909042725</v>
      </c>
      <c r="H1188" t="s">
        <v>27</v>
      </c>
      <c r="I1188">
        <f>VLOOKUP(Table4[[#This Row],[Visitor]],'NHL Model'!$A$6:$B$38,2,FALSE)</f>
        <v>-0.54160534998918008</v>
      </c>
      <c r="J1188">
        <f>($B$1+Table4[[#This Row],[Home Differential]])-Table4[[#This Row],[Away Differential]]</f>
        <v>0.91532647060443451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0.66716382676618413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1.4583704516548168</v>
      </c>
      <c r="H1189" t="s">
        <v>38</v>
      </c>
      <c r="I1189">
        <f>VLOOKUP(Table4[[#This Row],[Visitor]],'NHL Model'!$A$6:$B$38,2,FALSE)</f>
        <v>-1.1267952052768424</v>
      </c>
      <c r="J1189">
        <f>($B$1+Table4[[#This Row],[Home Differential]])-Table4[[#This Row],[Away Differential]]</f>
        <v>2.7445853184564863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0.99668241806997138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-0.31985119938240425</v>
      </c>
      <c r="H1190" t="s">
        <v>35</v>
      </c>
      <c r="I1190">
        <f>VLOOKUP(Table4[[#This Row],[Visitor]],'NHL Model'!$A$6:$B$38,2,FALSE)</f>
        <v>-1.5594075795597986</v>
      </c>
      <c r="J1190">
        <f>($B$1+Table4[[#This Row],[Home Differential]])-Table4[[#This Row],[Away Differential]]</f>
        <v>1.3989760417022215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0.73435595137938914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-0.3479098095875402</v>
      </c>
      <c r="H1191" t="s">
        <v>31</v>
      </c>
      <c r="I1191">
        <f>VLOOKUP(Table4[[#This Row],[Visitor]],'NHL Model'!$A$6:$B$38,2,FALSE)</f>
        <v>0.35254565315374792</v>
      </c>
      <c r="J1191">
        <f>($B$1+Table4[[#This Row],[Home Differential]])-Table4[[#This Row],[Away Differential]]</f>
        <v>-0.541035801216461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0.55593386886252394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0.42254821659882374</v>
      </c>
      <c r="H1192" t="s">
        <v>28</v>
      </c>
      <c r="I1192">
        <f>VLOOKUP(Table4[[#This Row],[Visitor]],'NHL Model'!$A$6:$B$38,2,FALSE)</f>
        <v>-0.72083617366747277</v>
      </c>
      <c r="J1192">
        <f>($B$1+Table4[[#This Row],[Home Differential]])-Table4[[#This Row],[Away Differential]]</f>
        <v>1.3028040517911237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0.77271101370075934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1.9153995907683643E-3</v>
      </c>
      <c r="H1193" t="s">
        <v>40</v>
      </c>
      <c r="I1193">
        <f>VLOOKUP(Table4[[#This Row],[Visitor]],'NHL Model'!$A$6:$B$38,2,FALSE)</f>
        <v>-7.3890719153774626E-2</v>
      </c>
      <c r="J1193">
        <f>($B$1+Table4[[#This Row],[Home Differential]])-Table4[[#This Row],[Away Differential]]</f>
        <v>0.23522578026937013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0.50886975657156486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-0.8561868317598319</v>
      </c>
      <c r="H1194" t="s">
        <v>10</v>
      </c>
      <c r="I1194">
        <f>VLOOKUP(Table4[[#This Row],[Visitor]],'NHL Model'!$A$6:$B$38,2,FALSE)</f>
        <v>-0.13160108676160023</v>
      </c>
      <c r="J1194">
        <f>($B$1+Table4[[#This Row],[Home Differential]])-Table4[[#This Row],[Away Differential]]</f>
        <v>-0.56516608347340458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0.53147104097373343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-0.21100886368613675</v>
      </c>
      <c r="H1195" t="s">
        <v>21</v>
      </c>
      <c r="I1195">
        <f>VLOOKUP(Table4[[#This Row],[Visitor]],'NHL Model'!$A$6:$B$38,2,FALSE)</f>
        <v>-0.12487089668223171</v>
      </c>
      <c r="J1195">
        <f>($B$1+Table4[[#This Row],[Home Differential]])-Table4[[#This Row],[Away Differential]]</f>
        <v>7.3281694520922105E-2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0.60189680361699294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-0.31985119938240425</v>
      </c>
      <c r="H1196" t="s">
        <v>29</v>
      </c>
      <c r="I1196">
        <f>VLOOKUP(Table4[[#This Row],[Visitor]],'NHL Model'!$A$6:$B$38,2,FALSE)</f>
        <v>-1.6840122346544992</v>
      </c>
      <c r="J1196">
        <f>($B$1+Table4[[#This Row],[Home Differential]])-Table4[[#This Row],[Away Differential]]</f>
        <v>1.5235806967969221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0.75166693853379674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-0.17681265190927384</v>
      </c>
      <c r="H1197" t="s">
        <v>38</v>
      </c>
      <c r="I1197">
        <f>VLOOKUP(Table4[[#This Row],[Visitor]],'NHL Model'!$A$6:$B$38,2,FALSE)</f>
        <v>-1.1267952052768424</v>
      </c>
      <c r="J1197">
        <f>($B$1+Table4[[#This Row],[Home Differential]])-Table4[[#This Row],[Away Differential]]</f>
        <v>1.1094022148923957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0.67335701336248155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2.0731927685773251E-2</v>
      </c>
      <c r="H1198" t="s">
        <v>22</v>
      </c>
      <c r="I1198">
        <f>VLOOKUP(Table4[[#This Row],[Visitor]],'NHL Model'!$A$6:$B$38,2,FALSE)</f>
        <v>0.21430145909042725</v>
      </c>
      <c r="J1198">
        <f>($B$1+Table4[[#This Row],[Home Differential]])-Table4[[#This Row],[Away Differential]]</f>
        <v>-3.414986987982685E-2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0.36474434890385982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-0.50599078340071213</v>
      </c>
      <c r="H1199" t="s">
        <v>18</v>
      </c>
      <c r="I1199">
        <f>VLOOKUP(Table4[[#This Row],[Visitor]],'NHL Model'!$A$6:$B$38,2,FALSE)</f>
        <v>-0.75480422558713034</v>
      </c>
      <c r="J1199">
        <f>($B$1+Table4[[#This Row],[Home Differential]])-Table4[[#This Row],[Away Differential]]</f>
        <v>0.40823310371124533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0.54961532763613108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-0.34257283900844787</v>
      </c>
      <c r="H1200" t="s">
        <v>23</v>
      </c>
      <c r="I1200">
        <f>VLOOKUP(Table4[[#This Row],[Visitor]],'NHL Model'!$A$6:$B$38,2,FALSE)</f>
        <v>-0.49794713300108584</v>
      </c>
      <c r="J1200">
        <f>($B$1+Table4[[#This Row],[Home Differential]])-Table4[[#This Row],[Away Differential]]</f>
        <v>0.31479395551746514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0.58622895060720537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-0.54160534998918008</v>
      </c>
      <c r="H1201" t="s">
        <v>26</v>
      </c>
      <c r="I1201">
        <f>VLOOKUP(Table4[[#This Row],[Visitor]],'NHL Model'!$A$6:$B$38,2,FALSE)</f>
        <v>-0.67114180037169746</v>
      </c>
      <c r="J1201">
        <f>($B$1+Table4[[#This Row],[Home Differential]])-Table4[[#This Row],[Away Differential]]</f>
        <v>0.28895611190734449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0.5918680277208177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-0.46055888840939002</v>
      </c>
      <c r="H1202" t="s">
        <v>55</v>
      </c>
      <c r="I1202">
        <f>VLOOKUP(Table4[[#This Row],[Visitor]],'NHL Model'!$A$6:$B$38,2,FALSE)</f>
        <v>-0.1349739904770427</v>
      </c>
      <c r="J1202">
        <f>($B$1+Table4[[#This Row],[Home Differential]])-Table4[[#This Row],[Away Differential]]</f>
        <v>-0.16616523640752015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0.45704715027155851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-0.3479098095875402</v>
      </c>
      <c r="H1203" t="s">
        <v>19</v>
      </c>
      <c r="I1203">
        <f>VLOOKUP(Table4[[#This Row],[Visitor]],'NHL Model'!$A$6:$B$38,2,FALSE)</f>
        <v>-0.95664361852990654</v>
      </c>
      <c r="J1203">
        <f>($B$1+Table4[[#This Row],[Home Differential]])-Table4[[#This Row],[Away Differential]]</f>
        <v>0.76815347046719351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0.64671748057698986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0.1846559193064522</v>
      </c>
      <c r="H1204" t="s">
        <v>14</v>
      </c>
      <c r="I1204">
        <f>VLOOKUP(Table4[[#This Row],[Visitor]],'NHL Model'!$A$6:$B$38,2,FALSE)</f>
        <v>-0.2200802314358897</v>
      </c>
      <c r="J1204">
        <f>($B$1+Table4[[#This Row],[Home Differential]])-Table4[[#This Row],[Away Differential]]</f>
        <v>0.56415581226716904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0.63748206990192979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-3.2309887002194844E-2</v>
      </c>
      <c r="H1205" t="s">
        <v>16</v>
      </c>
      <c r="I1205">
        <f>VLOOKUP(Table4[[#This Row],[Visitor]],'NHL Model'!$A$6:$B$38,2,FALSE)</f>
        <v>-1.1167763879247272</v>
      </c>
      <c r="J1205">
        <f>($B$1+Table4[[#This Row],[Home Differential]])-Table4[[#This Row],[Away Differential]]</f>
        <v>1.2438861624473596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0.71280973462272701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0.35254565315374792</v>
      </c>
      <c r="H1206" t="s">
        <v>35</v>
      </c>
      <c r="I1206">
        <f>VLOOKUP(Table4[[#This Row],[Visitor]],'NHL Model'!$A$6:$B$38,2,FALSE)</f>
        <v>-1.5594075795597986</v>
      </c>
      <c r="J1206">
        <f>($B$1+Table4[[#This Row],[Home Differential]])-Table4[[#This Row],[Away Differential]]</f>
        <v>2.0713728942383738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0.92269085937089024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3.2883390994754517E-3</v>
      </c>
      <c r="H1207" t="s">
        <v>27</v>
      </c>
      <c r="I1207">
        <f>VLOOKUP(Table4[[#This Row],[Visitor]],'NHL Model'!$A$6:$B$38,2,FALSE)</f>
        <v>-0.54160534998918008</v>
      </c>
      <c r="J1207">
        <f>($B$1+Table4[[#This Row],[Home Differential]])-Table4[[#This Row],[Away Differential]]</f>
        <v>0.70431335061348266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0.63784834568083748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0.35254565315374792</v>
      </c>
      <c r="H1208" t="s">
        <v>16</v>
      </c>
      <c r="I1208">
        <f>VLOOKUP(Table4[[#This Row],[Visitor]],'NHL Model'!$A$6:$B$38,2,FALSE)</f>
        <v>-1.1167763879247272</v>
      </c>
      <c r="J1208">
        <f>($B$1+Table4[[#This Row],[Home Differential]])-Table4[[#This Row],[Away Differential]]</f>
        <v>1.6287417026033024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0.86119730708978659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0.42254821659882374</v>
      </c>
      <c r="H1209" t="s">
        <v>30</v>
      </c>
      <c r="I1209">
        <f>VLOOKUP(Table4[[#This Row],[Visitor]],'NHL Model'!$A$6:$B$38,2,FALSE)</f>
        <v>3.2883390994754517E-3</v>
      </c>
      <c r="J1209">
        <f>($B$1+Table4[[#This Row],[Home Differential]])-Table4[[#This Row],[Away Differential]]</f>
        <v>0.57867953902417546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0.60039438060281647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-0.72083617366747277</v>
      </c>
      <c r="H1210" t="s">
        <v>40</v>
      </c>
      <c r="I1210">
        <f>VLOOKUP(Table4[[#This Row],[Visitor]],'NHL Model'!$A$6:$B$38,2,FALSE)</f>
        <v>-7.3890719153774626E-2</v>
      </c>
      <c r="J1210">
        <f>($B$1+Table4[[#This Row],[Home Differential]])-Table4[[#This Row],[Away Differential]]</f>
        <v>-0.487525792988871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0.5869614068498743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1.9153995907683643E-3</v>
      </c>
      <c r="H1211" t="s">
        <v>12</v>
      </c>
      <c r="I1211">
        <f>VLOOKUP(Table4[[#This Row],[Visitor]],'NHL Model'!$A$6:$B$38,2,FALSE)</f>
        <v>1.4583704516548168</v>
      </c>
      <c r="J1211">
        <f>($B$1+Table4[[#This Row],[Home Differential]])-Table4[[#This Row],[Away Differential]]</f>
        <v>-1.2970353905392213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0.730193612890081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-0.8561868317598319</v>
      </c>
      <c r="H1212" t="s">
        <v>20</v>
      </c>
      <c r="I1212">
        <f>VLOOKUP(Table4[[#This Row],[Visitor]],'NHL Model'!$A$6:$B$38,2,FALSE)</f>
        <v>-3.2309887002194844E-2</v>
      </c>
      <c r="J1212">
        <f>($B$1+Table4[[#This Row],[Home Differential]])-Table4[[#This Row],[Away Differential]]</f>
        <v>-0.66445728323280995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0.54526529835741189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-0.31985119938240425</v>
      </c>
      <c r="H1213" t="s">
        <v>19</v>
      </c>
      <c r="I1213">
        <f>VLOOKUP(Table4[[#This Row],[Visitor]],'NHL Model'!$A$6:$B$38,2,FALSE)</f>
        <v>-0.95664361852990654</v>
      </c>
      <c r="J1213">
        <f>($B$1+Table4[[#This Row],[Home Differential]])-Table4[[#This Row],[Away Differential]]</f>
        <v>0.7962120806723294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0.65061558727663504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2.0731927685773251E-2</v>
      </c>
      <c r="H1214" t="s">
        <v>18</v>
      </c>
      <c r="I1214">
        <f>VLOOKUP(Table4[[#This Row],[Visitor]],'NHL Model'!$A$6:$B$38,2,FALSE)</f>
        <v>-0.75480422558713034</v>
      </c>
      <c r="J1214">
        <f>($B$1+Table4[[#This Row],[Home Differential]])-Table4[[#This Row],[Away Differential]]</f>
        <v>0.93495581479773071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0.74527549375991742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-0.50599078340071213</v>
      </c>
      <c r="H1215" t="s">
        <v>26</v>
      </c>
      <c r="I1215">
        <f>VLOOKUP(Table4[[#This Row],[Visitor]],'NHL Model'!$A$6:$B$38,2,FALSE)</f>
        <v>-0.67114180037169746</v>
      </c>
      <c r="J1215">
        <f>($B$1+Table4[[#This Row],[Home Differential]])-Table4[[#This Row],[Away Differential]]</f>
        <v>0.32457067849581245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0.5643224942699997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-0.34257283900844787</v>
      </c>
      <c r="H1216" t="s">
        <v>34</v>
      </c>
      <c r="I1216">
        <f>VLOOKUP(Table4[[#This Row],[Visitor]],'NHL Model'!$A$6:$B$38,2,FALSE)</f>
        <v>-0.17681265190927384</v>
      </c>
      <c r="J1216">
        <f>($B$1+Table4[[#This Row],[Home Differential]])-Table4[[#This Row],[Away Differential]]</f>
        <v>-6.3405255743468891E-3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0.47914174160556205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-0.2200802314358897</v>
      </c>
      <c r="H1217" t="s">
        <v>11</v>
      </c>
      <c r="I1217">
        <f>VLOOKUP(Table4[[#This Row],[Visitor]],'NHL Model'!$A$6:$B$38,2,FALSE)</f>
        <v>-0.21100886368613675</v>
      </c>
      <c r="J1217">
        <f>($B$1+Table4[[#This Row],[Home Differential]])-Table4[[#This Row],[Away Differential]]</f>
        <v>0.15034829377507419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0.56088748113181941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-0.46055888840939002</v>
      </c>
      <c r="H1218" t="s">
        <v>10</v>
      </c>
      <c r="I1218">
        <f>VLOOKUP(Table4[[#This Row],[Visitor]],'NHL Model'!$A$6:$B$38,2,FALSE)</f>
        <v>-0.13160108676160023</v>
      </c>
      <c r="J1218">
        <f>($B$1+Table4[[#This Row],[Home Differential]])-Table4[[#This Row],[Away Differential]]</f>
        <v>-0.16953814012296262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0.45751573864690215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-0.3479098095875402</v>
      </c>
      <c r="H1219" t="s">
        <v>29</v>
      </c>
      <c r="I1219">
        <f>VLOOKUP(Table4[[#This Row],[Visitor]],'NHL Model'!$A$6:$B$38,2,FALSE)</f>
        <v>-1.6840122346544992</v>
      </c>
      <c r="J1219">
        <f>($B$1+Table4[[#This Row],[Home Differential]])-Table4[[#This Row],[Away Differential]]</f>
        <v>1.4955220865917862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0.74776883183415155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0.1846559193064522</v>
      </c>
      <c r="H1220" t="s">
        <v>21</v>
      </c>
      <c r="I1220">
        <f>VLOOKUP(Table4[[#This Row],[Visitor]],'NHL Model'!$A$6:$B$38,2,FALSE)</f>
        <v>-0.12487089668223171</v>
      </c>
      <c r="J1220">
        <f>($B$1+Table4[[#This Row],[Home Differential]])-Table4[[#This Row],[Away Differential]]</f>
        <v>0.46894647751351104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0.62425489496494491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-1.1267952052768424</v>
      </c>
      <c r="H1221" t="s">
        <v>55</v>
      </c>
      <c r="I1221">
        <f>VLOOKUP(Table4[[#This Row],[Visitor]],'NHL Model'!$A$6:$B$38,2,FALSE)</f>
        <v>-0.1349739904770427</v>
      </c>
      <c r="J1221">
        <f>($B$1+Table4[[#This Row],[Home Differential]])-Table4[[#This Row],[Away Differential]]</f>
        <v>-0.83240155327497256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0.57564329266110092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0.21430145909042725</v>
      </c>
      <c r="H1222" t="s">
        <v>23</v>
      </c>
      <c r="I1222">
        <f>VLOOKUP(Table4[[#This Row],[Visitor]],'NHL Model'!$A$6:$B$38,2,FALSE)</f>
        <v>-0.49794713300108584</v>
      </c>
      <c r="J1222">
        <f>($B$1+Table4[[#This Row],[Home Differential]])-Table4[[#This Row],[Away Differential]]</f>
        <v>0.87166825361634026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0.66109850895850797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1.4583704516548168</v>
      </c>
      <c r="H1223" t="s">
        <v>35</v>
      </c>
      <c r="I1223">
        <f>VLOOKUP(Table4[[#This Row],[Visitor]],'NHL Model'!$A$6:$B$38,2,FALSE)</f>
        <v>-1.5594075795597986</v>
      </c>
      <c r="J1223">
        <f>($B$1+Table4[[#This Row],[Home Differential]])-Table4[[#This Row],[Away Differential]]</f>
        <v>3.1771976927394423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-0.67114180037169746</v>
      </c>
      <c r="H1224" t="s">
        <v>34</v>
      </c>
      <c r="I1224">
        <f>VLOOKUP(Table4[[#This Row],[Visitor]],'NHL Model'!$A$6:$B$38,2,FALSE)</f>
        <v>-0.17681265190927384</v>
      </c>
      <c r="J1224">
        <f>($B$1+Table4[[#This Row],[Home Differential]])-Table4[[#This Row],[Away Differential]]</f>
        <v>-0.33490948693759648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0.49480392975519877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-0.75480422558713034</v>
      </c>
      <c r="H1225" t="s">
        <v>24</v>
      </c>
      <c r="I1225">
        <f>VLOOKUP(Table4[[#This Row],[Visitor]],'NHL Model'!$A$6:$B$38,2,FALSE)</f>
        <v>2.0731927685773251E-2</v>
      </c>
      <c r="J1225">
        <f>($B$1+Table4[[#This Row],[Home Differential]])-Table4[[#This Row],[Away Differential]]</f>
        <v>-0.61611649174807648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0.54642488810842338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-0.50599078340071213</v>
      </c>
      <c r="H1226" t="s">
        <v>22</v>
      </c>
      <c r="I1226">
        <f>VLOOKUP(Table4[[#This Row],[Visitor]],'NHL Model'!$A$6:$B$38,2,FALSE)</f>
        <v>0.21430145909042725</v>
      </c>
      <c r="J1226">
        <f>($B$1+Table4[[#This Row],[Home Differential]])-Table4[[#This Row],[Away Differential]]</f>
        <v>-0.56087258096631221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0.5586897389315314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-0.34257283900844787</v>
      </c>
      <c r="H1227" t="s">
        <v>25</v>
      </c>
      <c r="I1227">
        <f>VLOOKUP(Table4[[#This Row],[Visitor]],'NHL Model'!$A$6:$B$38,2,FALSE)</f>
        <v>0.42254821659882374</v>
      </c>
      <c r="J1227">
        <f>($B$1+Table4[[#This Row],[Home Differential]])-Table4[[#This Row],[Away Differential]]</f>
        <v>-0.6057013940824445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0.61426893564638674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-0.54160534998918008</v>
      </c>
      <c r="H1228" t="s">
        <v>21</v>
      </c>
      <c r="I1228">
        <f>VLOOKUP(Table4[[#This Row],[Visitor]],'NHL Model'!$A$6:$B$38,2,FALSE)</f>
        <v>-0.12487089668223171</v>
      </c>
      <c r="J1228">
        <f>($B$1+Table4[[#This Row],[Home Differential]])-Table4[[#This Row],[Away Differential]]</f>
        <v>-0.25731479178212124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0.46350198109889068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-0.2200802314358897</v>
      </c>
      <c r="H1229" t="s">
        <v>11</v>
      </c>
      <c r="I1229">
        <f>VLOOKUP(Table4[[#This Row],[Visitor]],'NHL Model'!$A$6:$B$38,2,FALSE)</f>
        <v>-0.21100886368613675</v>
      </c>
      <c r="J1229">
        <f>($B$1+Table4[[#This Row],[Home Differential]])-Table4[[#This Row],[Away Differential]]</f>
        <v>0.15034829377507419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0.56088748113181941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-0.49794713300108584</v>
      </c>
      <c r="H1230" t="s">
        <v>37</v>
      </c>
      <c r="I1230">
        <f>VLOOKUP(Table4[[#This Row],[Visitor]],'NHL Model'!$A$6:$B$38,2,FALSE)</f>
        <v>0.1846559193064522</v>
      </c>
      <c r="J1230">
        <f>($B$1+Table4[[#This Row],[Home Differential]])-Table4[[#This Row],[Away Differential]]</f>
        <v>-0.52318339078271092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0.5848795730285542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-0.31985119938240425</v>
      </c>
      <c r="H1231" t="s">
        <v>29</v>
      </c>
      <c r="I1231">
        <f>VLOOKUP(Table4[[#This Row],[Visitor]],'NHL Model'!$A$6:$B$38,2,FALSE)</f>
        <v>-1.6840122346544992</v>
      </c>
      <c r="J1231">
        <f>($B$1+Table4[[#This Row],[Home Differential]])-Table4[[#This Row],[Away Differential]]</f>
        <v>1.5235806967969221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0.75166693853379674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-0.3479098095875402</v>
      </c>
      <c r="H1232" t="s">
        <v>10</v>
      </c>
      <c r="I1232">
        <f>VLOOKUP(Table4[[#This Row],[Visitor]],'NHL Model'!$A$6:$B$38,2,FALSE)</f>
        <v>-0.13160108676160023</v>
      </c>
      <c r="J1232">
        <f>($B$1+Table4[[#This Row],[Home Differential]])-Table4[[#This Row],[Away Differential]]</f>
        <v>-5.688906130111282E-2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0.4679034431631901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-7.3890719153774626E-2</v>
      </c>
      <c r="H1233" t="s">
        <v>32</v>
      </c>
      <c r="I1233">
        <f>VLOOKUP(Table4[[#This Row],[Visitor]],'NHL Model'!$A$6:$B$38,2,FALSE)</f>
        <v>-0.46055888840939002</v>
      </c>
      <c r="J1233">
        <f>($B$1+Table4[[#This Row],[Home Differential]])-Table4[[#This Row],[Away Differential]]</f>
        <v>0.54608783078044254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0.6183619820780405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0.35254565315374792</v>
      </c>
      <c r="H1234" t="s">
        <v>29</v>
      </c>
      <c r="I1234">
        <f>VLOOKUP(Table4[[#This Row],[Visitor]],'NHL Model'!$A$6:$B$38,2,FALSE)</f>
        <v>-1.6840122346544992</v>
      </c>
      <c r="J1234">
        <f>($B$1+Table4[[#This Row],[Home Differential]])-Table4[[#This Row],[Away Differential]]</f>
        <v>2.1959775493330742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0.94000184652529772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0.42254821659882374</v>
      </c>
      <c r="H1235" t="s">
        <v>21</v>
      </c>
      <c r="I1235">
        <f>VLOOKUP(Table4[[#This Row],[Visitor]],'NHL Model'!$A$6:$B$38,2,FALSE)</f>
        <v>-0.12487089668223171</v>
      </c>
      <c r="J1235">
        <f>($B$1+Table4[[#This Row],[Home Differential]])-Table4[[#This Row],[Away Differential]]</f>
        <v>0.70683877480588264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0.68991517235339017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1.9153995907683643E-3</v>
      </c>
      <c r="H1236" t="s">
        <v>16</v>
      </c>
      <c r="I1236">
        <f>VLOOKUP(Table4[[#This Row],[Visitor]],'NHL Model'!$A$6:$B$38,2,FALSE)</f>
        <v>-1.1167763879247272</v>
      </c>
      <c r="J1236">
        <f>($B$1+Table4[[#This Row],[Home Differential]])-Table4[[#This Row],[Away Differential]]</f>
        <v>1.2781114490403227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0.72006004017056435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-0.67114180037169746</v>
      </c>
      <c r="H1237" t="s">
        <v>28</v>
      </c>
      <c r="I1237">
        <f>VLOOKUP(Table4[[#This Row],[Visitor]],'NHL Model'!$A$6:$B$38,2,FALSE)</f>
        <v>-0.72083617366747277</v>
      </c>
      <c r="J1237">
        <f>($B$1+Table4[[#This Row],[Home Differential]])-Table4[[#This Row],[Away Differential]]</f>
        <v>0.20911403482060242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0.60129771213591343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-0.17681265190927384</v>
      </c>
      <c r="H1238" t="s">
        <v>32</v>
      </c>
      <c r="I1238">
        <f>VLOOKUP(Table4[[#This Row],[Visitor]],'NHL Model'!$A$6:$B$38,2,FALSE)</f>
        <v>-0.46055888840939002</v>
      </c>
      <c r="J1238">
        <f>($B$1+Table4[[#This Row],[Home Differential]])-Table4[[#This Row],[Away Differential]]</f>
        <v>0.44316589802494333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0.60156783759122645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-0.75480422558713034</v>
      </c>
      <c r="H1239" t="s">
        <v>11</v>
      </c>
      <c r="I1239">
        <f>VLOOKUP(Table4[[#This Row],[Visitor]],'NHL Model'!$A$6:$B$38,2,FALSE)</f>
        <v>-0.21100886368613675</v>
      </c>
      <c r="J1239">
        <f>($B$1+Table4[[#This Row],[Home Differential]])-Table4[[#This Row],[Away Differential]]</f>
        <v>-0.38437570037616647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0.51340027470579819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2.0731927685773251E-2</v>
      </c>
      <c r="H1240" t="s">
        <v>27</v>
      </c>
      <c r="I1240">
        <f>VLOOKUP(Table4[[#This Row],[Visitor]],'NHL Model'!$A$6:$B$38,2,FALSE)</f>
        <v>-0.54160534998918008</v>
      </c>
      <c r="J1240">
        <f>($B$1+Table4[[#This Row],[Home Differential]])-Table4[[#This Row],[Away Differential]]</f>
        <v>0.72175693919978046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0.75925031938115239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-0.34257283900844787</v>
      </c>
      <c r="H1241" t="s">
        <v>37</v>
      </c>
      <c r="I1241">
        <f>VLOOKUP(Table4[[#This Row],[Visitor]],'NHL Model'!$A$6:$B$38,2,FALSE)</f>
        <v>0.1846559193064522</v>
      </c>
      <c r="J1241">
        <f>($B$1+Table4[[#This Row],[Home Differential]])-Table4[[#This Row],[Away Differential]]</f>
        <v>-0.3678090967900729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0.57490824516121108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-1.5594075795597986</v>
      </c>
      <c r="H1242" t="s">
        <v>12</v>
      </c>
      <c r="I1242">
        <f>VLOOKUP(Table4[[#This Row],[Visitor]],'NHL Model'!$A$6:$B$38,2,FALSE)</f>
        <v>1.4583704516548168</v>
      </c>
      <c r="J1242">
        <f>($B$1+Table4[[#This Row],[Home Differential]])-Table4[[#This Row],[Away Differential]]</f>
        <v>-2.8583583696897881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0.94959017230549481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-0.1349739904770427</v>
      </c>
      <c r="H1243" t="s">
        <v>17</v>
      </c>
      <c r="I1243">
        <f>VLOOKUP(Table4[[#This Row],[Visitor]],'NHL Model'!$A$6:$B$38,2,FALSE)</f>
        <v>-0.8561868317598319</v>
      </c>
      <c r="J1243">
        <f>($B$1+Table4[[#This Row],[Home Differential]])-Table4[[#This Row],[Away Differential]]</f>
        <v>0.88063250280761629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0.72579216367485122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-1.1267952052768424</v>
      </c>
      <c r="H1244" t="s">
        <v>20</v>
      </c>
      <c r="I1244">
        <f>VLOOKUP(Table4[[#This Row],[Visitor]],'NHL Model'!$A$6:$B$38,2,FALSE)</f>
        <v>-3.2309887002194844E-2</v>
      </c>
      <c r="J1244">
        <f>($B$1+Table4[[#This Row],[Home Differential]])-Table4[[#This Row],[Away Differential]]</f>
        <v>-0.93506565674982045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0.58990613842012307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-0.50599078340071213</v>
      </c>
      <c r="H1245" t="s">
        <v>23</v>
      </c>
      <c r="I1245">
        <f>VLOOKUP(Table4[[#This Row],[Visitor]],'NHL Model'!$A$6:$B$38,2,FALSE)</f>
        <v>-0.49794713300108584</v>
      </c>
      <c r="J1245">
        <f>($B$1+Table4[[#This Row],[Home Differential]])-Table4[[#This Row],[Away Differential]]</f>
        <v>0.15137601112520083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0.56103025911898907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-0.3479098095875402</v>
      </c>
      <c r="H1246" t="s">
        <v>17</v>
      </c>
      <c r="I1246">
        <f>VLOOKUP(Table4[[#This Row],[Visitor]],'NHL Model'!$A$6:$B$38,2,FALSE)</f>
        <v>-0.8561868317598319</v>
      </c>
      <c r="J1246">
        <f>($B$1+Table4[[#This Row],[Home Differential]])-Table4[[#This Row],[Away Differential]]</f>
        <v>0.66769668369711888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0.63276129134771764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-0.95664361852990654</v>
      </c>
      <c r="H1247" t="s">
        <v>22</v>
      </c>
      <c r="I1247">
        <f>VLOOKUP(Table4[[#This Row],[Visitor]],'NHL Model'!$A$6:$B$38,2,FALSE)</f>
        <v>0.21430145909042725</v>
      </c>
      <c r="J1247">
        <f>($B$1+Table4[[#This Row],[Home Differential]])-Table4[[#This Row],[Away Differential]]</f>
        <v>-1.0115254160955067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0.62129771641110354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0.35254565315374792</v>
      </c>
      <c r="H1248" t="s">
        <v>33</v>
      </c>
      <c r="I1248">
        <f>VLOOKUP(Table4[[#This Row],[Visitor]],'NHL Model'!$A$6:$B$38,2,FALSE)</f>
        <v>-0.3479098095875402</v>
      </c>
      <c r="J1248">
        <f>($B$1+Table4[[#This Row],[Home Differential]])-Table4[[#This Row],[Away Differential]]</f>
        <v>0.85987512426611534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0.75438075636836455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-0.49794713300108584</v>
      </c>
      <c r="H1249" t="s">
        <v>28</v>
      </c>
      <c r="I1249">
        <f>VLOOKUP(Table4[[#This Row],[Visitor]],'NHL Model'!$A$6:$B$38,2,FALSE)</f>
        <v>-0.72083617366747277</v>
      </c>
      <c r="J1249">
        <f>($B$1+Table4[[#This Row],[Home Differential]])-Table4[[#This Row],[Away Differential]]</f>
        <v>0.38230870219121404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0.60712973274647208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-0.13160108676160023</v>
      </c>
      <c r="H1250" t="s">
        <v>25</v>
      </c>
      <c r="I1250">
        <f>VLOOKUP(Table4[[#This Row],[Visitor]],'NHL Model'!$A$6:$B$38,2,FALSE)</f>
        <v>0.42254821659882374</v>
      </c>
      <c r="J1250">
        <f>($B$1+Table4[[#This Row],[Home Differential]])-Table4[[#This Row],[Away Differential]]</f>
        <v>-0.39472964183559683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0.58746188884980066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1.4583704516548168</v>
      </c>
      <c r="H1251" t="s">
        <v>16</v>
      </c>
      <c r="I1251">
        <f>VLOOKUP(Table4[[#This Row],[Visitor]],'NHL Model'!$A$6:$B$38,2,FALSE)</f>
        <v>-1.1167763879247272</v>
      </c>
      <c r="J1251">
        <f>($B$1+Table4[[#This Row],[Home Differential]])-Table4[[#This Row],[Away Differential]]</f>
        <v>2.7345665011043714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1.9153995907683643E-3</v>
      </c>
      <c r="H1252" t="s">
        <v>34</v>
      </c>
      <c r="I1252">
        <f>VLOOKUP(Table4[[#This Row],[Visitor]],'NHL Model'!$A$6:$B$38,2,FALSE)</f>
        <v>-0.17681265190927384</v>
      </c>
      <c r="J1252">
        <f>($B$1+Table4[[#This Row],[Home Differential]])-Table4[[#This Row],[Away Differential]]</f>
        <v>0.33814771302486935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0.56871707609834543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-0.67114180037169746</v>
      </c>
      <c r="H1253" t="s">
        <v>27</v>
      </c>
      <c r="I1253">
        <f>VLOOKUP(Table4[[#This Row],[Visitor]],'NHL Model'!$A$6:$B$38,2,FALSE)</f>
        <v>-0.54160534998918008</v>
      </c>
      <c r="J1253">
        <f>($B$1+Table4[[#This Row],[Home Differential]])-Table4[[#This Row],[Away Differential]]</f>
        <v>2.988321114230974E-2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0.57639765937295073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-0.31985119938240425</v>
      </c>
      <c r="H1254" t="s">
        <v>38</v>
      </c>
      <c r="I1254">
        <f>VLOOKUP(Table4[[#This Row],[Visitor]],'NHL Model'!$A$6:$B$38,2,FALSE)</f>
        <v>-1.1267952052768424</v>
      </c>
      <c r="J1254">
        <f>($B$1+Table4[[#This Row],[Home Differential]])-Table4[[#This Row],[Away Differential]]</f>
        <v>0.96636366741926527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0.65348505548088709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-0.75480422558713034</v>
      </c>
      <c r="H1255" t="s">
        <v>37</v>
      </c>
      <c r="I1255">
        <f>VLOOKUP(Table4[[#This Row],[Visitor]],'NHL Model'!$A$6:$B$38,2,FALSE)</f>
        <v>0.1846559193064522</v>
      </c>
      <c r="J1255">
        <f>($B$1+Table4[[#This Row],[Home Differential]])-Table4[[#This Row],[Away Differential]]</f>
        <v>-0.78004048336875542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0.63468470054889115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2.0731927685773251E-2</v>
      </c>
      <c r="H1256" t="s">
        <v>14</v>
      </c>
      <c r="I1256">
        <f>VLOOKUP(Table4[[#This Row],[Visitor]],'NHL Model'!$A$6:$B$38,2,FALSE)</f>
        <v>-0.2200802314358897</v>
      </c>
      <c r="J1256">
        <f>($B$1+Table4[[#This Row],[Home Differential]])-Table4[[#This Row],[Away Differential]]</f>
        <v>0.4002318206464901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0.71458170573373081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3.2883390994754517E-3</v>
      </c>
      <c r="H1257" t="s">
        <v>19</v>
      </c>
      <c r="I1257">
        <f>VLOOKUP(Table4[[#This Row],[Visitor]],'NHL Model'!$A$6:$B$38,2,FALSE)</f>
        <v>-0.95664361852990654</v>
      </c>
      <c r="J1257">
        <f>($B$1+Table4[[#This Row],[Home Differential]])-Table4[[#This Row],[Away Differential]]</f>
        <v>1.1193516191542092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0.69550848791096243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-0.34257283900844787</v>
      </c>
      <c r="H1258" t="s">
        <v>11</v>
      </c>
      <c r="I1258">
        <f>VLOOKUP(Table4[[#This Row],[Visitor]],'NHL Model'!$A$6:$B$38,2,FALSE)</f>
        <v>-0.21100886368613675</v>
      </c>
      <c r="J1258">
        <f>($B$1+Table4[[#This Row],[Home Differential]])-Table4[[#This Row],[Away Differential]]</f>
        <v>2.7855686202516022E-2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0.54636539422206121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-0.46055888840939002</v>
      </c>
      <c r="H1259" t="s">
        <v>20</v>
      </c>
      <c r="I1259">
        <f>VLOOKUP(Table4[[#This Row],[Visitor]],'NHL Model'!$A$6:$B$38,2,FALSE)</f>
        <v>-3.2309887002194844E-2</v>
      </c>
      <c r="J1259">
        <f>($B$1+Table4[[#This Row],[Home Differential]])-Table4[[#This Row],[Away Differential]]</f>
        <v>-0.26882933988236801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0.47130999603058066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-1.5594075795597986</v>
      </c>
      <c r="H1260" t="s">
        <v>40</v>
      </c>
      <c r="I1260">
        <f>VLOOKUP(Table4[[#This Row],[Visitor]],'NHL Model'!$A$6:$B$38,2,FALSE)</f>
        <v>-7.3890719153774626E-2</v>
      </c>
      <c r="J1260">
        <f>($B$1+Table4[[#This Row],[Home Differential]])-Table4[[#This Row],[Away Differential]]</f>
        <v>-1.3260971988811969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0.71054688066270544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-0.1349739904770427</v>
      </c>
      <c r="H1261" t="s">
        <v>29</v>
      </c>
      <c r="I1261">
        <f>VLOOKUP(Table4[[#This Row],[Visitor]],'NHL Model'!$A$6:$B$38,2,FALSE)</f>
        <v>-1.6840122346544992</v>
      </c>
      <c r="J1261">
        <f>($B$1+Table4[[#This Row],[Home Differential]])-Table4[[#This Row],[Away Differential]]</f>
        <v>1.7084579057022837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0.84079970416128502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-0.12487089668223171</v>
      </c>
      <c r="H1262" t="s">
        <v>37</v>
      </c>
      <c r="I1262">
        <f>VLOOKUP(Table4[[#This Row],[Visitor]],'NHL Model'!$A$6:$B$38,2,FALSE)</f>
        <v>0.1846559193064522</v>
      </c>
      <c r="J1262">
        <f>($B$1+Table4[[#This Row],[Home Differential]])-Table4[[#This Row],[Away Differential]]</f>
        <v>-0.15010715446385675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0.4945381908269203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-0.13160108676160023</v>
      </c>
      <c r="H1263" t="s">
        <v>35</v>
      </c>
      <c r="I1263">
        <f>VLOOKUP(Table4[[#This Row],[Visitor]],'NHL Model'!$A$6:$B$38,2,FALSE)</f>
        <v>-1.5594075795597986</v>
      </c>
      <c r="J1263">
        <f>($B$1+Table4[[#This Row],[Home Differential]])-Table4[[#This Row],[Away Differential]]</f>
        <v>1.5872261543230255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0.76050902952015209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1.4583704516548168</v>
      </c>
      <c r="H1264" t="s">
        <v>20</v>
      </c>
      <c r="I1264">
        <f>VLOOKUP(Table4[[#This Row],[Visitor]],'NHL Model'!$A$6:$B$38,2,FALSE)</f>
        <v>-3.2309887002194844E-2</v>
      </c>
      <c r="J1264">
        <f>($B$1+Table4[[#This Row],[Home Differential]])-Table4[[#This Row],[Away Differential]]</f>
        <v>1.6501000001818389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0.86416455750864984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1.9153995907683643E-3</v>
      </c>
      <c r="H1265" t="s">
        <v>15</v>
      </c>
      <c r="I1265">
        <f>VLOOKUP(Table4[[#This Row],[Visitor]],'NHL Model'!$A$6:$B$38,2,FALSE)</f>
        <v>-0.50599078340071213</v>
      </c>
      <c r="J1265">
        <f>($B$1+Table4[[#This Row],[Home Differential]])-Table4[[#This Row],[Away Differential]]</f>
        <v>0.66732584451630761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0.55172616510762496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-0.67114180037169746</v>
      </c>
      <c r="H1266" t="s">
        <v>24</v>
      </c>
      <c r="I1266">
        <f>VLOOKUP(Table4[[#This Row],[Visitor]],'NHL Model'!$A$6:$B$38,2,FALSE)</f>
        <v>2.0731927685773251E-2</v>
      </c>
      <c r="J1266">
        <f>($B$1+Table4[[#This Row],[Home Differential]])-Table4[[#This Row],[Away Differential]]</f>
        <v>-0.5324540665326436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0.50254382951466348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-0.31985119938240425</v>
      </c>
      <c r="H1267" t="s">
        <v>17</v>
      </c>
      <c r="I1267">
        <f>VLOOKUP(Table4[[#This Row],[Visitor]],'NHL Model'!$A$6:$B$38,2,FALSE)</f>
        <v>-0.8561868317598319</v>
      </c>
      <c r="J1267">
        <f>($B$1+Table4[[#This Row],[Home Differential]])-Table4[[#This Row],[Away Differential]]</f>
        <v>0.69575529390225477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0.63665939804736293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-0.75480422558713034</v>
      </c>
      <c r="H1268" t="s">
        <v>28</v>
      </c>
      <c r="I1268">
        <f>VLOOKUP(Table4[[#This Row],[Visitor]],'NHL Model'!$A$6:$B$38,2,FALSE)</f>
        <v>-0.72083617366747277</v>
      </c>
      <c r="J1268">
        <f>($B$1+Table4[[#This Row],[Home Differential]])-Table4[[#This Row],[Away Differential]]</f>
        <v>0.12545160960516955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0.55742865224998495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-1.6840122346544992</v>
      </c>
      <c r="H1269" t="s">
        <v>34</v>
      </c>
      <c r="I1269">
        <f>VLOOKUP(Table4[[#This Row],[Visitor]],'NHL Model'!$A$6:$B$38,2,FALSE)</f>
        <v>-0.17681265190927384</v>
      </c>
      <c r="J1269">
        <f>($B$1+Table4[[#This Row],[Home Differential]])-Table4[[#This Row],[Away Differential]]</f>
        <v>-1.3477799212203982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0.66801264383018555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3.2883390994754517E-3</v>
      </c>
      <c r="H1270" t="s">
        <v>36</v>
      </c>
      <c r="I1270">
        <f>VLOOKUP(Table4[[#This Row],[Visitor]],'NHL Model'!$A$6:$B$38,2,FALSE)</f>
        <v>-0.34257283900844787</v>
      </c>
      <c r="J1270">
        <f>($B$1+Table4[[#This Row],[Home Differential]])-Table4[[#This Row],[Away Differential]]</f>
        <v>0.5052808396327505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0.610197298147514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-0.2200802314358897</v>
      </c>
      <c r="H1271" t="s">
        <v>22</v>
      </c>
      <c r="I1271">
        <f>VLOOKUP(Table4[[#This Row],[Visitor]],'NHL Model'!$A$6:$B$38,2,FALSE)</f>
        <v>0.21430145909042725</v>
      </c>
      <c r="J1271">
        <f>($B$1+Table4[[#This Row],[Home Differential]])-Table4[[#This Row],[Away Differential]]</f>
        <v>-0.2749620290014898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0.51896896053355701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-0.46055888840939002</v>
      </c>
      <c r="H1272" t="s">
        <v>16</v>
      </c>
      <c r="I1272">
        <f>VLOOKUP(Table4[[#This Row],[Visitor]],'NHL Model'!$A$6:$B$38,2,FALSE)</f>
        <v>-1.1167763879247272</v>
      </c>
      <c r="J1272">
        <f>($B$1+Table4[[#This Row],[Home Differential]])-Table4[[#This Row],[Away Differential]]</f>
        <v>0.81563716104016437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0.6793519969149282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-0.3479098095875402</v>
      </c>
      <c r="H1273" t="s">
        <v>38</v>
      </c>
      <c r="I1273">
        <f>VLOOKUP(Table4[[#This Row],[Visitor]],'NHL Model'!$A$6:$B$38,2,FALSE)</f>
        <v>-1.1267952052768424</v>
      </c>
      <c r="J1273">
        <f>($B$1+Table4[[#This Row],[Home Differential]])-Table4[[#This Row],[Away Differential]]</f>
        <v>0.93830505721412938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0.6495869487812419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-0.95664361852990654</v>
      </c>
      <c r="H1274" t="s">
        <v>11</v>
      </c>
      <c r="I1274">
        <f>VLOOKUP(Table4[[#This Row],[Visitor]],'NHL Model'!$A$6:$B$38,2,FALSE)</f>
        <v>-0.21100886368613675</v>
      </c>
      <c r="J1274">
        <f>($B$1+Table4[[#This Row],[Home Differential]])-Table4[[#This Row],[Away Differential]]</f>
        <v>-0.58621509331894273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0.54144127474572712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-0.1349739904770427</v>
      </c>
      <c r="H1275" t="s">
        <v>25</v>
      </c>
      <c r="I1275">
        <f>VLOOKUP(Table4[[#This Row],[Visitor]],'NHL Model'!$A$6:$B$38,2,FALSE)</f>
        <v>0.42254821659882374</v>
      </c>
      <c r="J1275">
        <f>($B$1+Table4[[#This Row],[Home Differential]])-Table4[[#This Row],[Away Differential]]</f>
        <v>-0.3981025455510393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0.52314356542722962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-7.3890719153774626E-2</v>
      </c>
      <c r="H1276" t="s">
        <v>27</v>
      </c>
      <c r="I1276">
        <f>VLOOKUP(Table4[[#This Row],[Visitor]],'NHL Model'!$A$6:$B$38,2,FALSE)</f>
        <v>-0.54160534998918008</v>
      </c>
      <c r="J1276">
        <f>($B$1+Table4[[#This Row],[Home Differential]])-Table4[[#This Row],[Away Differential]]</f>
        <v>0.62713429236023255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0.62962154741491849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0.35254565315374792</v>
      </c>
      <c r="H1277" t="s">
        <v>38</v>
      </c>
      <c r="I1277">
        <f>VLOOKUP(Table4[[#This Row],[Visitor]],'NHL Model'!$A$6:$B$38,2,FALSE)</f>
        <v>-1.1267952052768424</v>
      </c>
      <c r="J1277">
        <f>($B$1+Table4[[#This Row],[Home Differential]])-Table4[[#This Row],[Away Differential]]</f>
        <v>1.6387605199554174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0.84305317470559937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-0.72083617366747277</v>
      </c>
      <c r="H1278" t="s">
        <v>21</v>
      </c>
      <c r="I1278">
        <f>VLOOKUP(Table4[[#This Row],[Visitor]],'NHL Model'!$A$6:$B$38,2,FALSE)</f>
        <v>-0.12487089668223171</v>
      </c>
      <c r="J1278">
        <f>($B$1+Table4[[#This Row],[Home Differential]])-Table4[[#This Row],[Away Differential]]</f>
        <v>-0.43654561546041393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0.51360214781019486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-1.1167763879247272</v>
      </c>
      <c r="H1279" t="s">
        <v>55</v>
      </c>
      <c r="I1279">
        <f>VLOOKUP(Table4[[#This Row],[Visitor]],'NHL Model'!$A$6:$B$38,2,FALSE)</f>
        <v>-0.1349739904770427</v>
      </c>
      <c r="J1279">
        <f>($B$1+Table4[[#This Row],[Home Differential]])-Table4[[#This Row],[Away Differential]]</f>
        <v>-0.82238273592285738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0.57425140550926856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2.0731927685773251E-2</v>
      </c>
      <c r="H1280" t="s">
        <v>36</v>
      </c>
      <c r="I1280">
        <f>VLOOKUP(Table4[[#This Row],[Visitor]],'NHL Model'!$A$6:$B$38,2,FALSE)</f>
        <v>-0.34257283900844787</v>
      </c>
      <c r="J1280">
        <f>($B$1+Table4[[#This Row],[Home Differential]])-Table4[[#This Row],[Away Differential]]</f>
        <v>0.5227244282190483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0.7315992718478288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3.2883390994754517E-3</v>
      </c>
      <c r="H1281" t="s">
        <v>18</v>
      </c>
      <c r="I1281">
        <f>VLOOKUP(Table4[[#This Row],[Visitor]],'NHL Model'!$A$6:$B$38,2,FALSE)</f>
        <v>-0.75480422558713034</v>
      </c>
      <c r="J1281">
        <f>($B$1+Table4[[#This Row],[Home Differential]])-Table4[[#This Row],[Away Differential]]</f>
        <v>0.91751222621143291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0.62036809639030321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0.21430145909042725</v>
      </c>
      <c r="H1282" t="s">
        <v>14</v>
      </c>
      <c r="I1282">
        <f>VLOOKUP(Table4[[#This Row],[Visitor]],'NHL Model'!$A$6:$B$38,2,FALSE)</f>
        <v>-0.2200802314358897</v>
      </c>
      <c r="J1282">
        <f>($B$1+Table4[[#This Row],[Home Differential]])-Table4[[#This Row],[Away Differential]]</f>
        <v>0.59380135205114415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0.62249521311876266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-0.13160108676160023</v>
      </c>
      <c r="H1283" t="s">
        <v>23</v>
      </c>
      <c r="I1283">
        <f>VLOOKUP(Table4[[#This Row],[Visitor]],'NHL Model'!$A$6:$B$38,2,FALSE)</f>
        <v>-0.49794713300108584</v>
      </c>
      <c r="J1283">
        <f>($B$1+Table4[[#This Row],[Home Differential]])-Table4[[#This Row],[Away Differential]]</f>
        <v>0.52576570776431275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0.61304320537959689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-0.8561868317598319</v>
      </c>
      <c r="H1284" t="s">
        <v>12</v>
      </c>
      <c r="I1284">
        <f>VLOOKUP(Table4[[#This Row],[Visitor]],'NHL Model'!$A$6:$B$38,2,FALSE)</f>
        <v>1.4583704516548168</v>
      </c>
      <c r="J1284">
        <f>($B$1+Table4[[#This Row],[Home Differential]])-Table4[[#This Row],[Away Differential]]</f>
        <v>-2.1551376218898217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0.84486197658271012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-0.21100886368613675</v>
      </c>
      <c r="H1285" t="s">
        <v>15</v>
      </c>
      <c r="I1285">
        <f>VLOOKUP(Table4[[#This Row],[Visitor]],'NHL Model'!$A$6:$B$38,2,FALSE)</f>
        <v>-0.50599078340071213</v>
      </c>
      <c r="J1285">
        <f>($B$1+Table4[[#This Row],[Home Differential]])-Table4[[#This Row],[Away Differential]]</f>
        <v>0.45440158123940255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0.57221968971150039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-1.6840122346544992</v>
      </c>
      <c r="H1286" t="s">
        <v>33</v>
      </c>
      <c r="I1286">
        <f>VLOOKUP(Table4[[#This Row],[Visitor]],'NHL Model'!$A$6:$B$38,2,FALSE)</f>
        <v>-0.3479098095875402</v>
      </c>
      <c r="J1286">
        <f>($B$1+Table4[[#This Row],[Home Differential]])-Table4[[#This Row],[Away Differential]]</f>
        <v>-1.176682763542132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0.62347334847971525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-0.54160534998918008</v>
      </c>
      <c r="H1287" t="s">
        <v>25</v>
      </c>
      <c r="I1287">
        <f>VLOOKUP(Table4[[#This Row],[Visitor]],'NHL Model'!$A$6:$B$38,2,FALSE)</f>
        <v>0.42254821659882374</v>
      </c>
      <c r="J1287">
        <f>($B$1+Table4[[#This Row],[Home Differential]])-Table4[[#This Row],[Away Differential]]</f>
        <v>-0.80473390506317677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0.61179950125199944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-0.46055888840939002</v>
      </c>
      <c r="H1288" t="s">
        <v>13</v>
      </c>
      <c r="I1288">
        <f>VLOOKUP(Table4[[#This Row],[Visitor]],'NHL Model'!$A$6:$B$38,2,FALSE)</f>
        <v>-0.31985119938240425</v>
      </c>
      <c r="J1288">
        <f>($B$1+Table4[[#This Row],[Home Differential]])-Table4[[#This Row],[Away Differential]]</f>
        <v>1.87119724978414E-2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0.48535822433445941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-1.5594075795597986</v>
      </c>
      <c r="H1289" t="s">
        <v>34</v>
      </c>
      <c r="I1289">
        <f>VLOOKUP(Table4[[#This Row],[Visitor]],'NHL Model'!$A$6:$B$38,2,FALSE)</f>
        <v>-0.17681265190927384</v>
      </c>
      <c r="J1289">
        <f>($B$1+Table4[[#This Row],[Home Differential]])-Table4[[#This Row],[Away Differential]]</f>
        <v>-1.2231752661256976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0.65070165667577795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0.1846559193064522</v>
      </c>
      <c r="H1290" t="s">
        <v>26</v>
      </c>
      <c r="I1290">
        <f>VLOOKUP(Table4[[#This Row],[Visitor]],'NHL Model'!$A$6:$B$38,2,FALSE)</f>
        <v>-0.67114180037169746</v>
      </c>
      <c r="J1290">
        <f>($B$1+Table4[[#This Row],[Home Differential]])-Table4[[#This Row],[Away Differential]]</f>
        <v>1.0152173812029768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0.67950293881355073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-0.95664361852990654</v>
      </c>
      <c r="H1291" t="s">
        <v>39</v>
      </c>
      <c r="I1291">
        <f>VLOOKUP(Table4[[#This Row],[Visitor]],'NHL Model'!$A$6:$B$38,2,FALSE)</f>
        <v>1.9153995907683643E-3</v>
      </c>
      <c r="J1291">
        <f>($B$1+Table4[[#This Row],[Home Differential]])-Table4[[#This Row],[Away Differential]]</f>
        <v>-0.79913935659584778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0.66350845363544164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-3.2309887002194844E-2</v>
      </c>
      <c r="H1292" t="s">
        <v>40</v>
      </c>
      <c r="I1292">
        <f>VLOOKUP(Table4[[#This Row],[Visitor]],'NHL Model'!$A$6:$B$38,2,FALSE)</f>
        <v>-7.3890719153774626E-2</v>
      </c>
      <c r="J1292">
        <f>($B$1+Table4[[#This Row],[Home Differential]])-Table4[[#This Row],[Away Differential]]</f>
        <v>0.20100049367640693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0.50160866456390696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-0.12487089668223171</v>
      </c>
      <c r="H1293" t="s">
        <v>24</v>
      </c>
      <c r="I1293">
        <f>VLOOKUP(Table4[[#This Row],[Visitor]],'NHL Model'!$A$6:$B$38,2,FALSE)</f>
        <v>2.0731927685773251E-2</v>
      </c>
      <c r="J1293">
        <f>($B$1+Table4[[#This Row],[Home Differential]])-Table4[[#This Row],[Away Differential]]</f>
        <v>1.3816837156822182E-2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0.59282862666282743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-0.72083617366747277</v>
      </c>
      <c r="H1294" t="s">
        <v>22</v>
      </c>
      <c r="I1294">
        <f>VLOOKUP(Table4[[#This Row],[Visitor]],'NHL Model'!$A$6:$B$38,2,FALSE)</f>
        <v>0.21430145909042725</v>
      </c>
      <c r="J1294">
        <f>($B$1+Table4[[#This Row],[Home Differential]])-Table4[[#This Row],[Away Differential]]</f>
        <v>-0.77571797123307284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0.58145260670102639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-1.1167763879247272</v>
      </c>
      <c r="H1295" t="s">
        <v>12</v>
      </c>
      <c r="I1295">
        <f>VLOOKUP(Table4[[#This Row],[Visitor]],'NHL Model'!$A$6:$B$38,2,FALSE)</f>
        <v>1.4583704516548168</v>
      </c>
      <c r="J1295">
        <f>($B$1+Table4[[#This Row],[Home Differential]])-Table4[[#This Row],[Away Differential]]</f>
        <v>-2.4157271780547172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0.88809662002439116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-0.17681265190927384</v>
      </c>
      <c r="H1296" t="s">
        <v>31</v>
      </c>
      <c r="I1296">
        <f>VLOOKUP(Table4[[#This Row],[Visitor]],'NHL Model'!$A$6:$B$38,2,FALSE)</f>
        <v>0.35254565315374792</v>
      </c>
      <c r="J1296">
        <f>($B$1+Table4[[#This Row],[Home Differential]])-Table4[[#This Row],[Away Differential]]</f>
        <v>-0.36993864353819461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0.53216380428128429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3.2883390994754517E-3</v>
      </c>
      <c r="H1297" t="s">
        <v>25</v>
      </c>
      <c r="I1297">
        <f>VLOOKUP(Table4[[#This Row],[Visitor]],'NHL Model'!$A$6:$B$38,2,FALSE)</f>
        <v>0.42254821659882374</v>
      </c>
      <c r="J1297">
        <f>($B$1+Table4[[#This Row],[Home Differential]])-Table4[[#This Row],[Away Differential]]</f>
        <v>-0.25984021597452112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0.56872206635623634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-0.54160534998918008</v>
      </c>
      <c r="H1298" t="s">
        <v>18</v>
      </c>
      <c r="I1298">
        <f>VLOOKUP(Table4[[#This Row],[Visitor]],'NHL Model'!$A$6:$B$38,2,FALSE)</f>
        <v>-0.75480422558713034</v>
      </c>
      <c r="J1298">
        <f>($B$1+Table4[[#This Row],[Home Differential]])-Table4[[#This Row],[Away Differential]]</f>
        <v>0.37261853712277737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0.5773143291228886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-1.5594075795597986</v>
      </c>
      <c r="H1299" t="s">
        <v>14</v>
      </c>
      <c r="I1299">
        <f>VLOOKUP(Table4[[#This Row],[Visitor]],'NHL Model'!$A$6:$B$38,2,FALSE)</f>
        <v>-0.2200802314358897</v>
      </c>
      <c r="J1299">
        <f>($B$1+Table4[[#This Row],[Home Differential]])-Table4[[#This Row],[Away Differential]]</f>
        <v>-1.1799076865990819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0.62392137830308236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-0.1349739904770427</v>
      </c>
      <c r="H1300" t="s">
        <v>40</v>
      </c>
      <c r="I1300">
        <f>VLOOKUP(Table4[[#This Row],[Visitor]],'NHL Model'!$A$6:$B$38,2,FALSE)</f>
        <v>-7.3890719153774626E-2</v>
      </c>
      <c r="J1300">
        <f>($B$1+Table4[[#This Row],[Home Differential]])-Table4[[#This Row],[Away Differential]]</f>
        <v>9.8336390201559071E-2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0.55212314674010765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-1.1267952052768424</v>
      </c>
      <c r="H1301" t="s">
        <v>13</v>
      </c>
      <c r="I1301">
        <f>VLOOKUP(Table4[[#This Row],[Visitor]],'NHL Model'!$A$6:$B$38,2,FALSE)</f>
        <v>-0.31985119938240425</v>
      </c>
      <c r="J1301">
        <f>($B$1+Table4[[#This Row],[Home Differential]])-Table4[[#This Row],[Away Differential]]</f>
        <v>-0.64752434436961104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0.63343706376524689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-0.49794713300108584</v>
      </c>
      <c r="H1302" t="s">
        <v>39</v>
      </c>
      <c r="I1302">
        <f>VLOOKUP(Table4[[#This Row],[Visitor]],'NHL Model'!$A$6:$B$38,2,FALSE)</f>
        <v>1.9153995907683643E-3</v>
      </c>
      <c r="J1302">
        <f>($B$1+Table4[[#This Row],[Home Differential]])-Table4[[#This Row],[Away Differential]]</f>
        <v>-0.34044287106702709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0.58575834421387507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-0.13160108676160023</v>
      </c>
      <c r="H1303" t="s">
        <v>33</v>
      </c>
      <c r="I1303">
        <f>VLOOKUP(Table4[[#This Row],[Visitor]],'NHL Model'!$A$6:$B$38,2,FALSE)</f>
        <v>-0.3479098095875402</v>
      </c>
      <c r="J1303">
        <f>($B$1+Table4[[#This Row],[Home Differential]])-Table4[[#This Row],[Away Differential]]</f>
        <v>0.37572838435076711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0.5921989265176264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-0.21100886368613675</v>
      </c>
      <c r="H1304" t="s">
        <v>26</v>
      </c>
      <c r="I1304">
        <f>VLOOKUP(Table4[[#This Row],[Visitor]],'NHL Model'!$A$6:$B$38,2,FALSE)</f>
        <v>-0.67114180037169746</v>
      </c>
      <c r="J1304">
        <f>($B$1+Table4[[#This Row],[Home Differential]])-Table4[[#This Row],[Away Differential]]</f>
        <v>0.61955259821038788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0.65750133541117517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-0.34257283900844787</v>
      </c>
      <c r="H1305" t="s">
        <v>19</v>
      </c>
      <c r="I1305">
        <f>VLOOKUP(Table4[[#This Row],[Visitor]],'NHL Model'!$A$6:$B$38,2,FALSE)</f>
        <v>-0.95664361852990654</v>
      </c>
      <c r="J1305">
        <f>($B$1+Table4[[#This Row],[Home Differential]])-Table4[[#This Row],[Away Differential]]</f>
        <v>0.77349044104628584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0.64995441064500659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0.1846559193064522</v>
      </c>
      <c r="H1306" t="s">
        <v>15</v>
      </c>
      <c r="I1306">
        <f>VLOOKUP(Table4[[#This Row],[Visitor]],'NHL Model'!$A$6:$B$38,2,FALSE)</f>
        <v>-0.50599078340071213</v>
      </c>
      <c r="J1306">
        <f>($B$1+Table4[[#This Row],[Home Differential]])-Table4[[#This Row],[Away Differential]]</f>
        <v>0.85006636423199144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0.59382557232980593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-3.2309887002194844E-2</v>
      </c>
      <c r="H1307" t="s">
        <v>32</v>
      </c>
      <c r="I1307">
        <f>VLOOKUP(Table4[[#This Row],[Visitor]],'NHL Model'!$A$6:$B$38,2,FALSE)</f>
        <v>-0.46055888840939002</v>
      </c>
      <c r="J1307">
        <f>($B$1+Table4[[#This Row],[Home Differential]])-Table4[[#This Row],[Away Differential]]</f>
        <v>0.58766866293202236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0.62164321523407362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-1.1167763879247272</v>
      </c>
      <c r="H1308" t="s">
        <v>13</v>
      </c>
      <c r="I1308">
        <f>VLOOKUP(Table4[[#This Row],[Visitor]],'NHL Model'!$A$6:$B$38,2,FALSE)</f>
        <v>-0.31985119938240425</v>
      </c>
      <c r="J1308">
        <f>($B$1+Table4[[#This Row],[Home Differential]])-Table4[[#This Row],[Away Differential]]</f>
        <v>-0.63750552701749585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0.63204517661341442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1.4583704516548168</v>
      </c>
      <c r="H1309" t="s">
        <v>32</v>
      </c>
      <c r="I1309">
        <f>VLOOKUP(Table4[[#This Row],[Visitor]],'NHL Model'!$A$6:$B$38,2,FALSE)</f>
        <v>-0.46055888840939002</v>
      </c>
      <c r="J1309">
        <f>($B$1+Table4[[#This Row],[Home Differential]])-Table4[[#This Row],[Away Differential]]</f>
        <v>2.078349001589034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0.9236600310655052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-0.8561868317598319</v>
      </c>
      <c r="H1310" t="s">
        <v>38</v>
      </c>
      <c r="I1310">
        <f>VLOOKUP(Table4[[#This Row],[Visitor]],'NHL Model'!$A$6:$B$38,2,FALSE)</f>
        <v>-1.1267952052768424</v>
      </c>
      <c r="J1310">
        <f>($B$1+Table4[[#This Row],[Home Differential]])-Table4[[#This Row],[Away Differential]]</f>
        <v>0.43002803504183762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0.58605841935365732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-1.6840122346544992</v>
      </c>
      <c r="H1311" t="s">
        <v>31</v>
      </c>
      <c r="I1311">
        <f>VLOOKUP(Table4[[#This Row],[Visitor]],'NHL Model'!$A$6:$B$38,2,FALSE)</f>
        <v>0.35254565315374792</v>
      </c>
      <c r="J1311">
        <f>($B$1+Table4[[#This Row],[Home Differential]])-Table4[[#This Row],[Away Differential]]</f>
        <v>-1.87713822628342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0.74155495901945723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-0.1349739904770427</v>
      </c>
      <c r="H1312" t="s">
        <v>35</v>
      </c>
      <c r="I1312">
        <f>VLOOKUP(Table4[[#This Row],[Visitor]],'NHL Model'!$A$6:$B$38,2,FALSE)</f>
        <v>-1.5594075795597986</v>
      </c>
      <c r="J1312">
        <f>($B$1+Table4[[#This Row],[Home Differential]])-Table4[[#This Row],[Away Differential]]</f>
        <v>1.5838532506075831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0.82348871700687742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-7.3890719153774626E-2</v>
      </c>
      <c r="H1313" t="s">
        <v>33</v>
      </c>
      <c r="I1313">
        <f>VLOOKUP(Table4[[#This Row],[Visitor]],'NHL Model'!$A$6:$B$38,2,FALSE)</f>
        <v>-0.3479098095875402</v>
      </c>
      <c r="J1313">
        <f>($B$1+Table4[[#This Row],[Home Differential]])-Table4[[#This Row],[Away Differential]]</f>
        <v>0.43343875195859272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0.60271195074527184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1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0" priority="9" operator="containsText" text="NO">
      <formula>NOT(ISERROR(SEARCH("NO",M2)))</formula>
    </cfRule>
    <cfRule type="containsText" dxfId="29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8" priority="3" operator="containsText" text="YES">
      <formula>NOT(ISERROR(SEARCH("YES",R1)))</formula>
    </cfRule>
    <cfRule type="containsText" dxfId="27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22</v>
      </c>
      <c r="C2">
        <f>COUNTIF(NHL2025_26Results[Winning Team],Standings!A2)</f>
        <v>14</v>
      </c>
      <c r="D2">
        <f>COUNTIFS('NHL2025-26Results'!$H:$H,A2,'NHL2025-26Results'!$F:$F,"")</f>
        <v>7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29</v>
      </c>
      <c r="G2">
        <f>COUNTIFS('NHL2025-26Results'!$D:$D,A2,'NHL2025-26Results'!$G:$G,A2)</f>
        <v>8</v>
      </c>
      <c r="H2">
        <f>COUNTIFS('NHL2025-26Results'!$D:$D,A2,'NHL2025-26Results'!$H:$H,A2,'NHL2025-26Results'!$F:$F,"")</f>
        <v>2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3.8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24</v>
      </c>
      <c r="C3">
        <f>COUNTIF(NHL2025_26Results[Winning Team],Standings!A3)</f>
        <v>13</v>
      </c>
      <c r="D3">
        <f>COUNTIFS('NHL2025-26Results'!$H:$H,A3,'NHL2025-26Results'!$F:$F,"")</f>
        <v>11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26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5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0.41666666666666669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2.8333333333333335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22</v>
      </c>
      <c r="C4">
        <f>COUNTIF(NHL2025_26Results[Winning Team],Standings!A4)</f>
        <v>9</v>
      </c>
      <c r="D4">
        <f>COUNTIFS('NHL2025-26Results'!$H:$H,A4,'NHL2025-26Results'!$F:$F,"")</f>
        <v>9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22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4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0.5714285714285714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24</v>
      </c>
      <c r="C5">
        <f>COUNTIF(NHL2025_26Results[Winning Team],Standings!A5)</f>
        <v>8</v>
      </c>
      <c r="D5">
        <f>COUNTIFS('NHL2025-26Results'!$H:$H,A5,'NHL2025-26Results'!$F:$F,"")</f>
        <v>13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19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4</v>
      </c>
      <c r="K5">
        <f>COUNTIFS('NHL2025-26Results'!$B:$B,A5,'NHL2025-26Results'!$H:$H,A5,'NHL2025-26Results'!$F:$F,"")</f>
        <v>9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2.6923076923076925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22</v>
      </c>
      <c r="C6">
        <f>COUNTIF(NHL2025_26Results[Winning Team],Standings!A6)</f>
        <v>14</v>
      </c>
      <c r="D6">
        <f>COUNTIFS('NHL2025-26Results'!$H:$H,A6,'NHL2025-26Results'!$F:$F,"")</f>
        <v>6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30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22</v>
      </c>
      <c r="C7">
        <f>COUNTIF(NHL2025_26Results[Winning Team],Standings!A7)</f>
        <v>10</v>
      </c>
      <c r="D7">
        <f>COUNTIFS('NHL2025-26Results'!$H:$H,A7,'NHL2025-26Results'!$F:$F,"")</f>
        <v>8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24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4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0.45454545454545453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2.3636363636363638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22</v>
      </c>
      <c r="C8">
        <f>COUNTIF(NHL2025_26Results[Winning Team],Standings!A8)</f>
        <v>16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37</v>
      </c>
      <c r="G8">
        <f>COUNTIFS('NHL2025-26Results'!$D:$D,A8,'NHL2025-26Results'!$G:$G,A8)</f>
        <v>8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0.8</v>
      </c>
      <c r="N8" s="11">
        <f>Table1[[#This Row],[AwayWins]]/SUM(Table1[[#This Row],[AwayWins]:[AwayOTL]])</f>
        <v>0.66666666666666663</v>
      </c>
      <c r="O8" s="14">
        <f>SUMIFS('NHL2025-26Results'!$E:$E,'NHL2025-26Results'!$D:$D,A8,'NHL2025-26Results'!$E:$E,"&gt;0")/COUNTIFS('NHL2025-26Results'!$D:$D,A8,'NHL2025-26Results'!$E:$E,"&gt;0")</f>
        <v>4.5</v>
      </c>
      <c r="P8" s="14">
        <f>SUMIFS('NHL2025-26Results'!$C:$C,'NHL2025-26Results'!$B:$B,A8,'NHL2025-26Results'!$C:$C,"&gt;0")/COUNTIFS('NHL2025-26Results'!$B:$B,A8,'NHL2025-26Results'!$C:$C,"&gt;0")</f>
        <v>3.5833333333333335</v>
      </c>
      <c r="Q8" s="14">
        <f>SUMIFS('NHL2025-26Results'!$C:$C,'NHL2025-26Results'!$D:$D,A8,'NHL2025-26Results'!$C:$C,"&gt;0")/COUNTIFS('NHL2025-26Results'!$D:$D,A8,'NHL2025-26Results'!$C:$C,"&gt;0")</f>
        <v>2.6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23</v>
      </c>
      <c r="C9">
        <f>COUNTIF(NHL2025_26Results[Winning Team],Standings!A9)</f>
        <v>11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3</v>
      </c>
      <c r="F9" s="3">
        <f>(Table1[[#This Row],[W]]*2)+Table1[[#This Row],[OTL]]</f>
        <v>25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2.8888888888888888</v>
      </c>
      <c r="P9" s="14">
        <f>SUMIFS('NHL2025-26Results'!$C:$C,'NHL2025-26Results'!$B:$B,A9,'NHL2025-26Results'!$C:$C,"&gt;0")/COUNTIFS('NHL2025-26Results'!$B:$B,A9,'NHL2025-26Results'!$C:$C,"&gt;0")</f>
        <v>3.0714285714285716</v>
      </c>
      <c r="Q9" s="14">
        <f>SUMIFS('NHL2025-26Results'!$C:$C,'NHL2025-26Results'!$D:$D,A9,'NHL2025-26Results'!$C:$C,"&gt;0")/COUNTIFS('NHL2025-26Results'!$D:$D,A9,'NHL2025-26Results'!$C:$C,"&gt;0")</f>
        <v>3.1111111111111112</v>
      </c>
      <c r="R9" s="14">
        <f>SUMIFS('NHL2025-26Results'!$E:$E,'NHL2025-26Results'!$B:$B,A9,'NHL2025-26Results'!$E:$E,"&gt;0")/COUNTIFS('NHL2025-26Results'!$B:$B,A9,'NHL2025-26Results'!$E:$E,"&gt;0")</f>
        <v>3.4285714285714284</v>
      </c>
    </row>
    <row r="10" spans="1:18" x14ac:dyDescent="0.2">
      <c r="A10" s="4" t="s">
        <v>39</v>
      </c>
      <c r="B10">
        <f>SUM(Table1[[#This Row],[W]:[OTL]])</f>
        <v>23</v>
      </c>
      <c r="C10">
        <f>COUNTIF(NHL2025_26Results[Winning Team],Standings!A10)</f>
        <v>14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32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8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</v>
      </c>
      <c r="P10" s="14">
        <f>SUMIFS('NHL2025-26Results'!$C:$C,'NHL2025-26Results'!$B:$B,A10,'NHL2025-26Results'!$C:$C,"&gt;0")/COUNTIFS('NHL2025-26Results'!$B:$B,A10,'NHL2025-26Results'!$C:$C,"&gt;0")</f>
        <v>3.9166666666666665</v>
      </c>
      <c r="Q10" s="14">
        <f>SUMIFS('NHL2025-26Results'!$C:$C,'NHL2025-26Results'!$D:$D,A10,'NHL2025-26Results'!$C:$C,"&gt;0")/COUNTIFS('NHL2025-26Results'!$D:$D,A10,'NHL2025-26Results'!$C:$C,"&gt;0")</f>
        <v>3.2</v>
      </c>
      <c r="R10" s="14">
        <f>SUMIFS('NHL2025-26Results'!$E:$E,'NHL2025-26Results'!$B:$B,A10,'NHL2025-26Results'!$E:$E,"&gt;0")/COUNTIFS('NHL2025-26Results'!$B:$B,A10,'NHL2025-26Results'!$E:$E,"&gt;0")</f>
        <v>3</v>
      </c>
    </row>
    <row r="11" spans="1:18" x14ac:dyDescent="0.2">
      <c r="A11" s="4" t="s">
        <v>26</v>
      </c>
      <c r="B11">
        <f>SUM(Table1[[#This Row],[W]:[OTL]])</f>
        <v>23</v>
      </c>
      <c r="C11">
        <f>COUNTIF(NHL2025_26Results[Winning Team],Standings!A11)</f>
        <v>13</v>
      </c>
      <c r="D11">
        <f>COUNTIFS('NHL2025-26Results'!$H:$H,A11,'NHL2025-26Results'!$F:$F,"")</f>
        <v>9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27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4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0.61538461538461542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3.5833333333333335</v>
      </c>
      <c r="P11" s="14">
        <f>SUMIFS('NHL2025-26Results'!$C:$C,'NHL2025-26Results'!$B:$B,A11,'NHL2025-26Results'!$C:$C,"&gt;0")/COUNTIFS('NHL2025-26Results'!$B:$B,A11,'NHL2025-26Results'!$C:$C,"&gt;0")</f>
        <v>2.8888888888888888</v>
      </c>
      <c r="Q11" s="14">
        <f>SUMIFS('NHL2025-26Results'!$C:$C,'NHL2025-26Results'!$D:$D,A11,'NHL2025-26Results'!$C:$C,"&gt;0")/COUNTIFS('NHL2025-26Results'!$D:$D,A11,'NHL2025-26Results'!$C:$C,"&gt;0")</f>
        <v>3.3076923076923075</v>
      </c>
      <c r="R11" s="14">
        <f>SUMIFS('NHL2025-26Results'!$E:$E,'NHL2025-26Results'!$B:$B,A11,'NHL2025-26Results'!$E:$E,"&gt;0")/COUNTIFS('NHL2025-26Results'!$B:$B,A11,'NHL2025-26Results'!$E:$E,"&gt;0")</f>
        <v>3.1</v>
      </c>
    </row>
    <row r="12" spans="1:18" x14ac:dyDescent="0.2">
      <c r="A12" s="4" t="s">
        <v>17</v>
      </c>
      <c r="B12">
        <f>SUM(Table1[[#This Row],[W]:[OTL]])</f>
        <v>25</v>
      </c>
      <c r="C12">
        <f>COUNTIF(NHL2025_26Results[Winning Team],Standings!A12)</f>
        <v>10</v>
      </c>
      <c r="D12">
        <f>COUNTIFS('NHL2025-26Results'!$H:$H,A12,'NHL2025-26Results'!$F:$F,"")</f>
        <v>10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25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5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0.3125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2.75</v>
      </c>
      <c r="Q12" s="14">
        <f>SUMIFS('NHL2025-26Results'!$C:$C,'NHL2025-26Results'!$D:$D,A12,'NHL2025-26Results'!$C:$C,"&gt;0")/COUNTIFS('NHL2025-26Results'!$D:$D,A12,'NHL2025-26Results'!$C:$C,"&gt;0")</f>
        <v>4.4444444444444446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22</v>
      </c>
      <c r="C13">
        <f>COUNTIF(NHL2025_26Results[Winning Team],Standings!A13)</f>
        <v>12</v>
      </c>
      <c r="D13">
        <f>COUNTIFS('NHL2025-26Results'!$H:$H,A13,'NHL2025-26Results'!$F:$F,"")</f>
        <v>9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3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0.66666666666666663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3.3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23</v>
      </c>
      <c r="C14">
        <f>COUNTIF(NHL2025_26Results[Winning Team],Standings!A14)</f>
        <v>11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6</v>
      </c>
      <c r="F14" s="3">
        <f>(Table1[[#This Row],[W]]*2)+Table1[[#This Row],[OTL]]</f>
        <v>28</v>
      </c>
      <c r="G14">
        <f>COUNTIFS('NHL2025-26Results'!$D:$D,A14,'NHL2025-26Results'!$G:$G,A14)</f>
        <v>2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3</v>
      </c>
      <c r="M14" s="11">
        <f>Table1[[#This Row],[HomeWins]]/SUM(Table1[[#This Row],[HomeWins]:[HomeOTL]])</f>
        <v>0.22222222222222221</v>
      </c>
      <c r="N14" s="11">
        <f>Table1[[#This Row],[AwayWins]]/SUM(Table1[[#This Row],[AwayWins]:[AwayOTL]])</f>
        <v>0.6428571428571429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3.1428571428571428</v>
      </c>
      <c r="Q14" s="14">
        <f>SUMIFS('NHL2025-26Results'!$C:$C,'NHL2025-26Results'!$D:$D,A14,'NHL2025-26Results'!$C:$C,"&gt;0")/COUNTIFS('NHL2025-26Results'!$D:$D,A14,'NHL2025-26Results'!$C:$C,"&gt;0")</f>
        <v>3.5</v>
      </c>
      <c r="R14" s="14">
        <f>SUMIFS('NHL2025-26Results'!$E:$E,'NHL2025-26Results'!$B:$B,A14,'NHL2025-26Results'!$E:$E,"&gt;0")/COUNTIFS('NHL2025-26Results'!$B:$B,A14,'NHL2025-26Results'!$E:$E,"&gt;0")</f>
        <v>2.7692307692307692</v>
      </c>
    </row>
    <row r="15" spans="1:18" x14ac:dyDescent="0.2">
      <c r="A15" s="4" t="s">
        <v>34</v>
      </c>
      <c r="B15">
        <f>SUM(Table1[[#This Row],[W]:[OTL]])</f>
        <v>23</v>
      </c>
      <c r="C15">
        <f>COUNTIF(NHL2025_26Results[Winning Team],Standings!A15)</f>
        <v>12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28</v>
      </c>
      <c r="G15">
        <f>COUNTIFS('NHL2025-26Results'!$D:$D,A15,'NHL2025-26Results'!$G:$G,A15)</f>
        <v>7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5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0.5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2.9</v>
      </c>
      <c r="Q15" s="14">
        <f>SUMIFS('NHL2025-26Results'!$C:$C,'NHL2025-26Results'!$D:$D,A15,'NHL2025-26Results'!$C:$C,"&gt;0")/COUNTIFS('NHL2025-26Results'!$D:$D,A15,'NHL2025-26Results'!$C:$C,"&gt;0")</f>
        <v>3.7272727272727271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21</v>
      </c>
      <c r="C16">
        <f>COUNTIF(NHL2025_26Results[Winning Team],Standings!A16)</f>
        <v>11</v>
      </c>
      <c r="D16">
        <f>COUNTIFS('NHL2025-26Results'!$H:$H,A16,'NHL2025-26Results'!$F:$F,"")</f>
        <v>7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25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3.4444444444444446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3.2222222222222223</v>
      </c>
    </row>
    <row r="17" spans="1:18" x14ac:dyDescent="0.2">
      <c r="A17" s="4" t="s">
        <v>29</v>
      </c>
      <c r="B17">
        <f>SUM(Table1[[#This Row],[W]:[OTL]])</f>
        <v>22</v>
      </c>
      <c r="C17">
        <f>COUNTIF(NHL2025_26Results[Winning Team],Standings!A17)</f>
        <v>6</v>
      </c>
      <c r="D17">
        <f>COUNTIFS('NHL2025-26Results'!$H:$H,A17,'NHL2025-26Results'!$F:$F,"")</f>
        <v>12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7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0.35714285714285715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2.6923076923076925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3.5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22</v>
      </c>
      <c r="C18">
        <f>COUNTIF(NHL2025_26Results[Winning Team],Standings!A18)</f>
        <v>14</v>
      </c>
      <c r="D18">
        <f>COUNTIFS('NHL2025-26Results'!$H:$H,A18,'NHL2025-26Results'!$F:$F,"")</f>
        <v>7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29</v>
      </c>
      <c r="G18">
        <f>COUNTIFS('NHL2025-26Results'!$D:$D,A18,'NHL2025-26Results'!$G:$G,A18)</f>
        <v>8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0.88888888888888884</v>
      </c>
      <c r="N18" s="11">
        <f>Table1[[#This Row],[AwayWins]]/SUM(Table1[[#This Row],[AwayWins]:[AwayOTL]])</f>
        <v>0.46153846153846156</v>
      </c>
      <c r="O18" s="14">
        <f>SUMIFS('NHL2025-26Results'!$E:$E,'NHL2025-26Results'!$D:$D,A18,'NHL2025-26Results'!$E:$E,"&gt;0")/COUNTIFS('NHL2025-26Results'!$D:$D,A18,'NHL2025-26Results'!$E:$E,"&gt;0")</f>
        <v>3.4444444444444446</v>
      </c>
      <c r="P18" s="14">
        <f>SUMIFS('NHL2025-26Results'!$C:$C,'NHL2025-26Results'!$B:$B,A18,'NHL2025-26Results'!$C:$C,"&gt;0")/COUNTIFS('NHL2025-26Results'!$B:$B,A18,'NHL2025-26Results'!$C:$C,"&gt;0")</f>
        <v>3.1666666666666665</v>
      </c>
      <c r="Q18" s="14">
        <f>SUMIFS('NHL2025-26Results'!$C:$C,'NHL2025-26Results'!$D:$D,A18,'NHL2025-26Results'!$C:$C,"&gt;0")/COUNTIFS('NHL2025-26Results'!$D:$D,A18,'NHL2025-26Results'!$C:$C,"&gt;0")</f>
        <v>2.1111111111111112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23</v>
      </c>
      <c r="C19">
        <f>COUNTIF(NHL2025_26Results[Winning Team],Standings!A19)</f>
        <v>13</v>
      </c>
      <c r="D19">
        <f>COUNTIFS('NHL2025-26Results'!$H:$H,A19,'NHL2025-26Results'!$F:$F,"")</f>
        <v>8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28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4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2.9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3.2222222222222223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24</v>
      </c>
      <c r="C20">
        <f>COUNTIF(NHL2025_26Results[Winning Team],Standings!A20)</f>
        <v>11</v>
      </c>
      <c r="D20">
        <f>COUNTIFS('NHL2025-26Results'!$H:$H,A20,'NHL2025-26Results'!$F:$F,"")</f>
        <v>11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24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</v>
      </c>
      <c r="N20" s="11">
        <f>Table1[[#This Row],[AwayWins]]/SUM(Table1[[#This Row],[AwayWins]:[AwayOTL]])</f>
        <v>0.6428571428571429</v>
      </c>
      <c r="O20" s="14">
        <f>SUMIFS('NHL2025-26Results'!$E:$E,'NHL2025-26Results'!$D:$D,A20,'NHL2025-26Results'!$E:$E,"&gt;0")/COUNTIFS('NHL2025-26Results'!$D:$D,A20,'NHL2025-26Results'!$E:$E,"&gt;0")</f>
        <v>3.2</v>
      </c>
      <c r="P20" s="14">
        <f>SUMIFS('NHL2025-26Results'!$C:$C,'NHL2025-26Results'!$B:$B,A20,'NHL2025-26Results'!$C:$C,"&gt;0")/COUNTIFS('NHL2025-26Results'!$B:$B,A20,'NHL2025-26Results'!$C:$C,"&gt;0")</f>
        <v>3.2142857142857144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2.75</v>
      </c>
    </row>
    <row r="21" spans="1:18" x14ac:dyDescent="0.2">
      <c r="A21" s="4" t="s">
        <v>36</v>
      </c>
      <c r="B21">
        <f>SUM(Table1[[#This Row],[W]:[OTL]])</f>
        <v>22</v>
      </c>
      <c r="C21">
        <f>COUNTIF(NHL2025_26Results[Winning Team],Standings!A21)</f>
        <v>11</v>
      </c>
      <c r="D21">
        <f>COUNTIFS('NHL2025-26Results'!$H:$H,A21,'NHL2025-26Results'!$F:$F,"")</f>
        <v>7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26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5</v>
      </c>
      <c r="K21">
        <f>COUNTIFS('NHL2025-26Results'!$B:$B,A21,'NHL2025-26Results'!$H:$H,A21,'NHL2025-26Results'!$F:$F,"")</f>
        <v>4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0.45454545454545453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3.2727272727272729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3.7272727272727271</v>
      </c>
    </row>
    <row r="22" spans="1:18" x14ac:dyDescent="0.2">
      <c r="A22" s="4" t="s">
        <v>27</v>
      </c>
      <c r="B22">
        <f>SUM(Table1[[#This Row],[W]:[OTL]])</f>
        <v>21</v>
      </c>
      <c r="C22">
        <f>COUNTIF(NHL2025_26Results[Winning Team],Standings!A22)</f>
        <v>11</v>
      </c>
      <c r="D22">
        <f>COUNTIFS('NHL2025-26Results'!$H:$H,A22,'NHL2025-26Results'!$F:$F,"")</f>
        <v>7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25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0.375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3.25</v>
      </c>
    </row>
    <row r="23" spans="1:18" x14ac:dyDescent="0.2">
      <c r="A23" s="4" t="s">
        <v>14</v>
      </c>
      <c r="B23">
        <f>SUM(Table1[[#This Row],[W]:[OTL]])</f>
        <v>21</v>
      </c>
      <c r="C23">
        <f>COUNTIF(NHL2025_26Results[Winning Team],Standings!A23)</f>
        <v>10</v>
      </c>
      <c r="D23">
        <f>COUNTIFS('NHL2025-26Results'!$H:$H,A23,'NHL2025-26Results'!$F:$F,"")</f>
        <v>6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25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3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3.6666666666666665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3.5555555555555554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23</v>
      </c>
      <c r="C24">
        <f>COUNTIF(NHL2025_26Results[Winning Team],Standings!A24)</f>
        <v>11</v>
      </c>
      <c r="D24">
        <f>COUNTIFS('NHL2025-26Results'!$H:$H,A24,'NHL2025-26Results'!$F:$F,"")</f>
        <v>9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25</v>
      </c>
      <c r="G24">
        <f>COUNTIFS('NHL2025-26Results'!$D:$D,A24,'NHL2025-26Results'!$G:$G,A24)</f>
        <v>7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3.0769230769230771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2.9285714285714284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22</v>
      </c>
      <c r="C25">
        <f>COUNTIF(NHL2025_26Results[Winning Team],Standings!A25)</f>
        <v>11</v>
      </c>
      <c r="D25">
        <f>COUNTIFS('NHL2025-26Results'!$H:$H,A25,'NHL2025-26Results'!$F:$F,"")</f>
        <v>5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23</v>
      </c>
      <c r="C26">
        <f>COUNTIF(NHL2025_26Results[Winning Team],Standings!A26)</f>
        <v>7</v>
      </c>
      <c r="D26">
        <f>COUNTIFS('NHL2025-26Results'!$H:$H,A26,'NHL2025-26Results'!$F:$F,"")</f>
        <v>10</v>
      </c>
      <c r="E26">
        <f>COUNTIFS('NHL2025-26Results'!$F:$F,"OT",'NHL2025-26Results'!$H:$H,A26) + COUNTIFS('NHL2025-26Results'!$F:$F,"SO",'NHL2025-26Results'!$H:$H,A26)</f>
        <v>6</v>
      </c>
      <c r="F26" s="3">
        <f>(Table1[[#This Row],[W]]*2)+Table1[[#This Row],[OTL]]</f>
        <v>20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2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0.36363636363636365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2.7272727272727271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3.5</v>
      </c>
    </row>
    <row r="27" spans="1:18" x14ac:dyDescent="0.2">
      <c r="A27" s="4" t="s">
        <v>37</v>
      </c>
      <c r="B27">
        <f>SUM(Table1[[#This Row],[W]:[OTL]])</f>
        <v>22</v>
      </c>
      <c r="C27">
        <f>COUNTIF(NHL2025_26Results[Winning Team],Standings!A27)</f>
        <v>13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28</v>
      </c>
      <c r="G27">
        <f>COUNTIFS('NHL2025-26Results'!$D:$D,A27,'NHL2025-26Results'!$G:$G,A27)</f>
        <v>7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6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0.58333333333333337</v>
      </c>
      <c r="N27" s="11">
        <f>Table1[[#This Row],[AwayWins]]/SUM(Table1[[#This Row],[AwayWins]:[AwayOTL]])</f>
        <v>0.6</v>
      </c>
      <c r="O27" s="14">
        <f>SUMIFS('NHL2025-26Results'!$E:$E,'NHL2025-26Results'!$D:$D,A27,'NHL2025-26Results'!$E:$E,"&gt;0")/COUNTIFS('NHL2025-26Results'!$D:$D,A27,'NHL2025-26Results'!$E:$E,"&gt;0")</f>
        <v>2.9166666666666665</v>
      </c>
      <c r="P27" s="14">
        <f>SUMIFS('NHL2025-26Results'!$C:$C,'NHL2025-26Results'!$B:$B,A27,'NHL2025-26Results'!$C:$C,"&gt;0")/COUNTIFS('NHL2025-26Results'!$B:$B,A27,'NHL2025-26Results'!$C:$C,"&gt;0")</f>
        <v>3.4</v>
      </c>
      <c r="Q27" s="14">
        <f>SUMIFS('NHL2025-26Results'!$C:$C,'NHL2025-26Results'!$D:$D,A27,'NHL2025-26Results'!$C:$C,"&gt;0")/COUNTIFS('NHL2025-26Results'!$D:$D,A27,'NHL2025-26Results'!$C:$C,"&gt;0")</f>
        <v>3.1818181818181817</v>
      </c>
      <c r="R27" s="14">
        <f>SUMIFS('NHL2025-26Results'!$E:$E,'NHL2025-26Results'!$B:$B,A27,'NHL2025-26Results'!$E:$E,"&gt;0")/COUNTIFS('NHL2025-26Results'!$B:$B,A27,'NHL2025-26Results'!$E:$E,"&gt;0")</f>
        <v>2.5</v>
      </c>
    </row>
    <row r="28" spans="1:18" x14ac:dyDescent="0.2">
      <c r="A28" s="4" t="s">
        <v>19</v>
      </c>
      <c r="B28">
        <f>SUM(Table1[[#This Row],[W]:[OTL]])</f>
        <v>22</v>
      </c>
      <c r="C28">
        <f>COUNTIF(NHL2025_26Results[Winning Team],Standings!A28)</f>
        <v>9</v>
      </c>
      <c r="D28">
        <f>COUNTIFS('NHL2025-26Results'!$H:$H,A28,'NHL2025-26Results'!$F:$F,"")</f>
        <v>10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21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6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0.14285714285714285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4.5714285714285712</v>
      </c>
    </row>
    <row r="29" spans="1:18" x14ac:dyDescent="0.2">
      <c r="A29" t="s">
        <v>55</v>
      </c>
      <c r="B29">
        <f>SUM(Table1[[#This Row],[W]:[OTL]])</f>
        <v>23</v>
      </c>
      <c r="C29">
        <f>COUNTIF(NHL2025_26Results[Winning Team],Standings!A29)</f>
        <v>12</v>
      </c>
      <c r="D29">
        <f>COUNTIFS('NHL2025-26Results'!$H:$H,A29,'NHL2025-26Results'!$F:$F,"")</f>
        <v>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2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0.7</v>
      </c>
      <c r="N29" s="11">
        <f>Table1[[#This Row],[AwayWins]]/SUM(Table1[[#This Row],[AwayWins]:[AwayOTL]])</f>
        <v>0.38461538461538464</v>
      </c>
      <c r="O29" s="14">
        <f>SUMIFS('NHL2025-26Results'!$E:$E,'NHL2025-26Results'!$D:$D,A29,'NHL2025-26Results'!$E:$E,"&gt;0")/COUNTIFS('NHL2025-26Results'!$D:$D,A29,'NHL2025-26Results'!$E:$E,"&gt;0")</f>
        <v>3.4</v>
      </c>
      <c r="P29" s="14">
        <f>SUMIFS('NHL2025-26Results'!$C:$C,'NHL2025-26Results'!$B:$B,A29,'NHL2025-26Results'!$C:$C,"&gt;0")/COUNTIFS('NHL2025-26Results'!$B:$B,A29,'NHL2025-26Results'!$C:$C,"&gt;0")</f>
        <v>2.8461538461538463</v>
      </c>
      <c r="Q29" s="14">
        <f>SUMIFS('NHL2025-26Results'!$C:$C,'NHL2025-26Results'!$D:$D,A29,'NHL2025-26Results'!$C:$C,"&gt;0")/COUNTIFS('NHL2025-26Results'!$D:$D,A29,'NHL2025-26Results'!$C:$C,"&gt;0")</f>
        <v>2.5</v>
      </c>
      <c r="R29" s="14">
        <f>SUMIFS('NHL2025-26Results'!$E:$E,'NHL2025-26Results'!$B:$B,A29,'NHL2025-26Results'!$E:$E,"&gt;0")/COUNTIFS('NHL2025-26Results'!$B:$B,A29,'NHL2025-26Results'!$E:$E,"&gt;0")</f>
        <v>3.3076923076923075</v>
      </c>
    </row>
    <row r="30" spans="1:18" x14ac:dyDescent="0.2">
      <c r="A30" s="4" t="s">
        <v>38</v>
      </c>
      <c r="B30">
        <f>SUM(Table1[[#This Row],[W]:[OTL]])</f>
        <v>23</v>
      </c>
      <c r="C30">
        <f>COUNTIF(NHL2025_26Results[Winning Team],Standings!A30)</f>
        <v>9</v>
      </c>
      <c r="D30">
        <f>COUNTIFS('NHL2025-26Results'!$H:$H,A30,'NHL2025-26Results'!$F:$F,"")</f>
        <v>12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3.3333333333333335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3.6666666666666665</v>
      </c>
    </row>
    <row r="31" spans="1:18" x14ac:dyDescent="0.2">
      <c r="A31" s="4" t="s">
        <v>20</v>
      </c>
      <c r="B31">
        <f>SUM(Table1[[#This Row],[W]:[OTL]])</f>
        <v>22</v>
      </c>
      <c r="C31">
        <f>COUNTIF(NHL2025_26Results[Winning Team],Standings!A31)</f>
        <v>10</v>
      </c>
      <c r="D31">
        <f>COUNTIFS('NHL2025-26Results'!$H:$H,A31,'NHL2025-26Results'!$F:$F,"")</f>
        <v>5</v>
      </c>
      <c r="E31">
        <f>COUNTIFS('NHL2025-26Results'!$F:$F,"OT",'NHL2025-26Results'!$H:$H,A31) + COUNTIFS('NHL2025-26Results'!$F:$F,"SO",'NHL2025-26Results'!$H:$H,A31)</f>
        <v>7</v>
      </c>
      <c r="F31" s="3">
        <f>(Table1[[#This Row],[W]]*2)+Table1[[#This Row],[OTL]]</f>
        <v>27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23</v>
      </c>
      <c r="C32">
        <f>COUNTIF(NHL2025_26Results[Winning Team],Standings!A32)</f>
        <v>12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26</v>
      </c>
      <c r="G32">
        <f>COUNTIFS('NHL2025-26Results'!$D:$D,A32,'NHL2025-26Results'!$G:$G,A32)</f>
        <v>7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5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0.53846153846153844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3.3076923076923075</v>
      </c>
      <c r="P32" s="14">
        <f>SUMIFS('NHL2025-26Results'!$C:$C,'NHL2025-26Results'!$B:$B,A32,'NHL2025-26Results'!$C:$C,"&gt;0")/COUNTIFS('NHL2025-26Results'!$B:$B,A32,'NHL2025-26Results'!$C:$C,"&gt;0")</f>
        <v>3.6666666666666665</v>
      </c>
      <c r="Q32" s="14">
        <f>SUMIFS('NHL2025-26Results'!$C:$C,'NHL2025-26Results'!$D:$D,A32,'NHL2025-26Results'!$C:$C,"&gt;0")/COUNTIFS('NHL2025-26Results'!$D:$D,A32,'NHL2025-26Results'!$C:$C,"&gt;0")</f>
        <v>2.7692307692307692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21</v>
      </c>
      <c r="C33">
        <f>COUNTIF(NHL2025_26Results[Winning Team],Standings!A33)</f>
        <v>12</v>
      </c>
      <c r="D33">
        <f>COUNTIFS('NHL2025-26Results'!$H:$H,A33,'NHL2025-26Results'!$F:$F,"")</f>
        <v>9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60"/>
  <sheetViews>
    <sheetView tabSelected="1" zoomScale="59" workbookViewId="0">
      <selection activeCell="Q34" sqref="Q34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7" width="18" bestFit="1" customWidth="1"/>
    <col min="8" max="8" width="19.1640625" bestFit="1" customWidth="1"/>
    <col min="9" max="9" width="18.1640625" style="13" bestFit="1" customWidth="1"/>
    <col min="10" max="10" width="10.33203125" bestFit="1" customWidth="1"/>
    <col min="11" max="11" width="15.1640625" style="18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style="13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20" t="s">
        <v>216</v>
      </c>
      <c r="B2" s="20" t="s">
        <v>289</v>
      </c>
      <c r="C2" s="20" t="s">
        <v>55</v>
      </c>
      <c r="D2" s="20" t="s">
        <v>31</v>
      </c>
      <c r="E2" s="20" t="s">
        <v>290</v>
      </c>
      <c r="F2" s="20" t="s">
        <v>31</v>
      </c>
      <c r="G2" s="20">
        <v>4</v>
      </c>
      <c r="H2" s="20">
        <v>5</v>
      </c>
      <c r="I2" s="13">
        <v>0.96</v>
      </c>
      <c r="J2" s="20" t="s">
        <v>249</v>
      </c>
      <c r="L2" s="20" t="s">
        <v>248</v>
      </c>
      <c r="M2" s="20" t="s">
        <v>291</v>
      </c>
      <c r="N2" s="20" t="s">
        <v>31</v>
      </c>
      <c r="O2" s="20">
        <v>2</v>
      </c>
      <c r="P2" s="20">
        <v>4</v>
      </c>
      <c r="Q2" s="13">
        <v>0.75549999999999995</v>
      </c>
      <c r="R2" s="20" t="s">
        <v>249</v>
      </c>
      <c r="S2" s="20">
        <v>0.8</v>
      </c>
      <c r="T2" s="20" t="s">
        <v>248</v>
      </c>
      <c r="U2" s="20" t="s">
        <v>31</v>
      </c>
      <c r="V2" s="20">
        <v>2</v>
      </c>
      <c r="W2" s="20">
        <v>3</v>
      </c>
      <c r="X2" s="20" t="s">
        <v>379</v>
      </c>
      <c r="Y2" s="20" t="s">
        <v>292</v>
      </c>
      <c r="Z2" s="20" t="s">
        <v>60</v>
      </c>
      <c r="AA2" s="20" t="s">
        <v>380</v>
      </c>
    </row>
    <row r="3" spans="1:27" x14ac:dyDescent="0.2">
      <c r="A3" s="20" t="s">
        <v>216</v>
      </c>
      <c r="B3" s="20" t="s">
        <v>293</v>
      </c>
      <c r="C3" s="20" t="s">
        <v>25</v>
      </c>
      <c r="D3" s="20" t="s">
        <v>21</v>
      </c>
      <c r="E3" s="20" t="s">
        <v>294</v>
      </c>
      <c r="F3" s="20" t="s">
        <v>21</v>
      </c>
      <c r="G3" s="20">
        <v>3</v>
      </c>
      <c r="H3" s="20">
        <v>4</v>
      </c>
      <c r="I3" s="13">
        <v>0.54630000000000001</v>
      </c>
      <c r="J3" s="20" t="s">
        <v>249</v>
      </c>
      <c r="L3" s="20" t="s">
        <v>249</v>
      </c>
      <c r="M3" s="20" t="s">
        <v>381</v>
      </c>
      <c r="N3" s="20" t="s">
        <v>25</v>
      </c>
      <c r="O3" s="20">
        <v>2</v>
      </c>
      <c r="P3" s="20">
        <v>3</v>
      </c>
      <c r="Q3" s="13">
        <v>0.54330000000000001</v>
      </c>
      <c r="R3" s="20" t="s">
        <v>249</v>
      </c>
      <c r="S3" s="20">
        <v>-0.47</v>
      </c>
      <c r="T3" s="20" t="s">
        <v>248</v>
      </c>
      <c r="U3" s="20" t="s">
        <v>25</v>
      </c>
      <c r="V3" s="20">
        <v>3</v>
      </c>
      <c r="W3" s="20">
        <v>1</v>
      </c>
      <c r="X3" s="20" t="s">
        <v>379</v>
      </c>
      <c r="Y3" s="20" t="s">
        <v>292</v>
      </c>
      <c r="Z3" s="20" t="s">
        <v>60</v>
      </c>
      <c r="AA3" s="20" t="s">
        <v>380</v>
      </c>
    </row>
    <row r="4" spans="1:27" x14ac:dyDescent="0.2">
      <c r="A4" s="20" t="s">
        <v>216</v>
      </c>
      <c r="B4" s="20" t="s">
        <v>293</v>
      </c>
      <c r="C4" s="20" t="s">
        <v>17</v>
      </c>
      <c r="D4" s="20" t="s">
        <v>23</v>
      </c>
      <c r="E4" s="20" t="s">
        <v>295</v>
      </c>
      <c r="F4" s="20" t="s">
        <v>23</v>
      </c>
      <c r="G4" s="20">
        <v>3</v>
      </c>
      <c r="H4" s="20">
        <v>4</v>
      </c>
      <c r="I4" s="13">
        <v>0.55500000000000005</v>
      </c>
      <c r="J4" s="20" t="s">
        <v>249</v>
      </c>
      <c r="L4" s="20" t="s">
        <v>248</v>
      </c>
      <c r="M4" s="20" t="s">
        <v>296</v>
      </c>
      <c r="N4" s="20" t="s">
        <v>17</v>
      </c>
      <c r="O4" s="20">
        <v>2</v>
      </c>
      <c r="P4" s="20">
        <v>3</v>
      </c>
      <c r="Q4" s="13">
        <v>0.47189999999999999</v>
      </c>
      <c r="R4" s="20" t="s">
        <v>248</v>
      </c>
      <c r="S4" s="20">
        <v>-0.09</v>
      </c>
      <c r="T4" s="20" t="s">
        <v>249</v>
      </c>
      <c r="U4" s="20" t="s">
        <v>23</v>
      </c>
      <c r="V4" s="20">
        <v>1</v>
      </c>
      <c r="W4" s="20">
        <v>5</v>
      </c>
      <c r="X4" s="20" t="s">
        <v>379</v>
      </c>
      <c r="Y4" s="20" t="s">
        <v>292</v>
      </c>
      <c r="Z4" s="20" t="s">
        <v>60</v>
      </c>
      <c r="AA4" s="20" t="s">
        <v>380</v>
      </c>
    </row>
    <row r="5" spans="1:27" x14ac:dyDescent="0.2">
      <c r="A5" s="20" t="s">
        <v>216</v>
      </c>
      <c r="B5" s="20" t="s">
        <v>297</v>
      </c>
      <c r="C5" s="20" t="s">
        <v>18</v>
      </c>
      <c r="D5" s="20" t="s">
        <v>28</v>
      </c>
      <c r="E5" s="20" t="s">
        <v>298</v>
      </c>
      <c r="F5" s="20" t="s">
        <v>18</v>
      </c>
      <c r="G5" s="20">
        <v>4</v>
      </c>
      <c r="H5" s="20">
        <v>3</v>
      </c>
      <c r="I5" s="13">
        <v>0.7097</v>
      </c>
      <c r="J5" s="20" t="s">
        <v>249</v>
      </c>
      <c r="L5" s="20" t="s">
        <v>249</v>
      </c>
      <c r="M5" s="20" t="s">
        <v>382</v>
      </c>
      <c r="N5" s="20" t="s">
        <v>28</v>
      </c>
      <c r="O5" s="20">
        <v>2</v>
      </c>
      <c r="P5" s="20">
        <v>3</v>
      </c>
      <c r="Q5" s="13">
        <v>0.50209999999999999</v>
      </c>
      <c r="R5" s="20" t="s">
        <v>248</v>
      </c>
      <c r="S5" s="20">
        <v>0.28000000000000003</v>
      </c>
      <c r="T5" s="20" t="s">
        <v>248</v>
      </c>
      <c r="U5" s="20" t="s">
        <v>28</v>
      </c>
      <c r="V5" s="20">
        <v>3</v>
      </c>
      <c r="W5" s="20">
        <v>4</v>
      </c>
      <c r="X5" s="20" t="s">
        <v>379</v>
      </c>
      <c r="Y5" s="20" t="s">
        <v>292</v>
      </c>
      <c r="Z5" s="20" t="s">
        <v>60</v>
      </c>
      <c r="AA5" s="20" t="s">
        <v>380</v>
      </c>
    </row>
    <row r="6" spans="1:27" x14ac:dyDescent="0.2">
      <c r="A6" s="20" t="s">
        <v>216</v>
      </c>
      <c r="B6" s="20" t="s">
        <v>293</v>
      </c>
      <c r="C6" s="20" t="s">
        <v>38</v>
      </c>
      <c r="D6" s="20" t="s">
        <v>11</v>
      </c>
      <c r="E6" s="20" t="s">
        <v>299</v>
      </c>
      <c r="F6" s="20" t="s">
        <v>38</v>
      </c>
      <c r="G6" s="20">
        <v>5</v>
      </c>
      <c r="H6" s="20">
        <v>4</v>
      </c>
      <c r="I6" s="13">
        <v>0.5766</v>
      </c>
      <c r="J6" s="20" t="s">
        <v>249</v>
      </c>
      <c r="L6" s="20" t="s">
        <v>249</v>
      </c>
      <c r="M6" s="20" t="s">
        <v>383</v>
      </c>
      <c r="N6" s="20" t="s">
        <v>11</v>
      </c>
      <c r="O6" s="20">
        <v>2</v>
      </c>
      <c r="P6" s="20">
        <v>4</v>
      </c>
      <c r="Q6" s="13">
        <v>0.62919999999999998</v>
      </c>
      <c r="R6" s="20" t="s">
        <v>249</v>
      </c>
      <c r="S6" s="20">
        <v>0.56999999999999995</v>
      </c>
      <c r="T6" s="20" t="s">
        <v>248</v>
      </c>
      <c r="U6" s="20" t="s">
        <v>11</v>
      </c>
      <c r="V6" s="20">
        <v>5</v>
      </c>
      <c r="W6" s="20">
        <v>8</v>
      </c>
      <c r="X6" s="20" t="s">
        <v>379</v>
      </c>
      <c r="Y6" s="20" t="s">
        <v>292</v>
      </c>
      <c r="Z6" s="20" t="s">
        <v>60</v>
      </c>
      <c r="AA6" s="20" t="s">
        <v>380</v>
      </c>
    </row>
    <row r="7" spans="1:27" x14ac:dyDescent="0.2">
      <c r="A7" s="20" t="s">
        <v>216</v>
      </c>
      <c r="B7" s="20" t="s">
        <v>293</v>
      </c>
      <c r="C7" s="20" t="s">
        <v>13</v>
      </c>
      <c r="D7" s="20" t="s">
        <v>22</v>
      </c>
      <c r="E7" s="20" t="s">
        <v>300</v>
      </c>
      <c r="F7" s="20" t="s">
        <v>13</v>
      </c>
      <c r="G7" s="20">
        <v>4</v>
      </c>
      <c r="H7" s="20">
        <v>1</v>
      </c>
      <c r="I7" s="13">
        <v>0.84499999999999997</v>
      </c>
      <c r="J7" s="20" t="s">
        <v>249</v>
      </c>
      <c r="L7" s="20" t="s">
        <v>249</v>
      </c>
      <c r="M7" s="20" t="s">
        <v>384</v>
      </c>
      <c r="N7" s="20" t="s">
        <v>22</v>
      </c>
      <c r="O7" s="20">
        <v>2</v>
      </c>
      <c r="P7" s="20">
        <v>3</v>
      </c>
      <c r="Q7" s="13">
        <v>0.44309999999999999</v>
      </c>
      <c r="R7" s="20" t="s">
        <v>248</v>
      </c>
      <c r="S7" s="20">
        <v>0.18</v>
      </c>
      <c r="T7" s="20" t="s">
        <v>248</v>
      </c>
      <c r="U7" s="20" t="s">
        <v>22</v>
      </c>
      <c r="V7" s="20">
        <v>1</v>
      </c>
      <c r="W7" s="20">
        <v>2</v>
      </c>
      <c r="X7" s="20" t="s">
        <v>379</v>
      </c>
      <c r="Y7" s="20" t="s">
        <v>292</v>
      </c>
      <c r="Z7" s="20" t="s">
        <v>60</v>
      </c>
      <c r="AA7" s="20" t="s">
        <v>380</v>
      </c>
    </row>
    <row r="8" spans="1:27" x14ac:dyDescent="0.2">
      <c r="A8" s="20" t="s">
        <v>217</v>
      </c>
      <c r="B8" s="20" t="s">
        <v>301</v>
      </c>
      <c r="C8" s="20" t="s">
        <v>16</v>
      </c>
      <c r="D8" s="20" t="s">
        <v>10</v>
      </c>
      <c r="E8" s="20" t="s">
        <v>302</v>
      </c>
      <c r="F8" s="20" t="s">
        <v>10</v>
      </c>
      <c r="G8" s="20">
        <v>4</v>
      </c>
      <c r="H8" s="20">
        <v>5</v>
      </c>
      <c r="I8" s="13">
        <v>0.66520000000000001</v>
      </c>
      <c r="J8" s="20" t="s">
        <v>249</v>
      </c>
      <c r="L8" s="20" t="s">
        <v>248</v>
      </c>
      <c r="M8" s="20" t="s">
        <v>303</v>
      </c>
      <c r="N8" s="20" t="s">
        <v>10</v>
      </c>
      <c r="O8" s="20">
        <v>2</v>
      </c>
      <c r="P8" s="20">
        <v>5</v>
      </c>
      <c r="Q8" s="13">
        <v>0.80840000000000001</v>
      </c>
      <c r="R8" s="20" t="s">
        <v>249</v>
      </c>
      <c r="S8" s="20">
        <v>1.87</v>
      </c>
      <c r="T8" s="20" t="s">
        <v>248</v>
      </c>
      <c r="U8" s="20" t="s">
        <v>10</v>
      </c>
      <c r="V8" s="20">
        <v>2</v>
      </c>
      <c r="W8" s="20">
        <v>5</v>
      </c>
      <c r="X8" s="20" t="s">
        <v>379</v>
      </c>
      <c r="Y8" s="20" t="s">
        <v>292</v>
      </c>
      <c r="Z8" s="20" t="s">
        <v>60</v>
      </c>
      <c r="AA8" s="20" t="s">
        <v>380</v>
      </c>
    </row>
    <row r="9" spans="1:27" x14ac:dyDescent="0.2">
      <c r="A9" s="20" t="s">
        <v>217</v>
      </c>
      <c r="B9" s="20" t="s">
        <v>304</v>
      </c>
      <c r="C9" s="20" t="s">
        <v>30</v>
      </c>
      <c r="D9" s="20" t="s">
        <v>39</v>
      </c>
      <c r="E9" s="20" t="s">
        <v>305</v>
      </c>
      <c r="F9" s="20" t="s">
        <v>39</v>
      </c>
      <c r="G9" s="20">
        <v>3</v>
      </c>
      <c r="H9" s="20">
        <v>4</v>
      </c>
      <c r="I9" s="13">
        <v>0.60160000000000002</v>
      </c>
      <c r="J9" s="20" t="s">
        <v>249</v>
      </c>
      <c r="L9" s="20" t="s">
        <v>249</v>
      </c>
      <c r="M9" s="20" t="s">
        <v>385</v>
      </c>
      <c r="N9" s="20" t="s">
        <v>39</v>
      </c>
      <c r="O9" s="20">
        <v>2</v>
      </c>
      <c r="P9" s="20">
        <v>3</v>
      </c>
      <c r="Q9" s="13">
        <v>0.58560000000000001</v>
      </c>
      <c r="R9" s="20" t="s">
        <v>249</v>
      </c>
      <c r="S9" s="20">
        <v>0.43</v>
      </c>
      <c r="T9" s="20" t="s">
        <v>249</v>
      </c>
      <c r="U9" s="20" t="s">
        <v>30</v>
      </c>
      <c r="V9" s="20">
        <v>3</v>
      </c>
      <c r="W9" s="20">
        <v>2</v>
      </c>
      <c r="X9" s="20" t="s">
        <v>379</v>
      </c>
      <c r="Y9" s="20" t="s">
        <v>292</v>
      </c>
      <c r="Z9" s="20" t="s">
        <v>60</v>
      </c>
      <c r="AA9" s="20" t="s">
        <v>380</v>
      </c>
    </row>
    <row r="10" spans="1:27" x14ac:dyDescent="0.2">
      <c r="A10" s="20" t="s">
        <v>217</v>
      </c>
      <c r="B10" s="20" t="s">
        <v>293</v>
      </c>
      <c r="C10" s="20" t="s">
        <v>32</v>
      </c>
      <c r="D10" s="20" t="s">
        <v>26</v>
      </c>
      <c r="E10" s="20" t="s">
        <v>306</v>
      </c>
      <c r="F10" s="20" t="s">
        <v>26</v>
      </c>
      <c r="G10" s="20">
        <v>3</v>
      </c>
      <c r="H10" s="20">
        <v>4</v>
      </c>
      <c r="I10" s="13">
        <v>0.51580000000000004</v>
      </c>
      <c r="J10" s="20" t="s">
        <v>249</v>
      </c>
      <c r="L10" s="20" t="s">
        <v>248</v>
      </c>
      <c r="M10" s="20" t="s">
        <v>307</v>
      </c>
      <c r="N10" s="20" t="s">
        <v>26</v>
      </c>
      <c r="O10" s="20">
        <v>2</v>
      </c>
      <c r="P10" s="20">
        <v>3</v>
      </c>
      <c r="Q10" s="13">
        <v>0.57440000000000002</v>
      </c>
      <c r="R10" s="20" t="s">
        <v>248</v>
      </c>
      <c r="S10" s="20">
        <v>0.06</v>
      </c>
      <c r="T10" s="20" t="s">
        <v>248</v>
      </c>
      <c r="U10" s="20" t="s">
        <v>26</v>
      </c>
      <c r="V10" s="20">
        <v>2</v>
      </c>
      <c r="W10" s="20">
        <v>4</v>
      </c>
      <c r="X10" s="20" t="s">
        <v>379</v>
      </c>
      <c r="Y10" s="20" t="s">
        <v>292</v>
      </c>
      <c r="Z10" s="20" t="s">
        <v>60</v>
      </c>
      <c r="AA10" s="20" t="s">
        <v>380</v>
      </c>
    </row>
    <row r="11" spans="1:27" x14ac:dyDescent="0.2">
      <c r="A11" s="20" t="s">
        <v>217</v>
      </c>
      <c r="B11" s="20" t="s">
        <v>289</v>
      </c>
      <c r="C11" s="20" t="s">
        <v>55</v>
      </c>
      <c r="D11" s="20" t="s">
        <v>33</v>
      </c>
      <c r="E11" s="20" t="s">
        <v>308</v>
      </c>
      <c r="F11" s="20" t="s">
        <v>33</v>
      </c>
      <c r="G11" s="20">
        <v>3</v>
      </c>
      <c r="H11" s="20">
        <v>4</v>
      </c>
      <c r="I11" s="13">
        <v>0.51419999999999999</v>
      </c>
      <c r="J11" s="20" t="s">
        <v>249</v>
      </c>
      <c r="L11" s="20" t="s">
        <v>248</v>
      </c>
      <c r="M11" s="20" t="s">
        <v>309</v>
      </c>
      <c r="N11" s="20" t="s">
        <v>55</v>
      </c>
      <c r="O11" s="20">
        <v>2</v>
      </c>
      <c r="P11" s="20">
        <v>3</v>
      </c>
      <c r="Q11" s="13">
        <v>0.47210000000000002</v>
      </c>
      <c r="R11" s="20" t="s">
        <v>248</v>
      </c>
      <c r="S11" s="20">
        <v>-0.08</v>
      </c>
      <c r="T11" s="20" t="s">
        <v>249</v>
      </c>
      <c r="U11" s="20" t="s">
        <v>33</v>
      </c>
      <c r="V11" s="20">
        <v>2</v>
      </c>
      <c r="W11" s="20">
        <v>3</v>
      </c>
      <c r="X11" s="20" t="s">
        <v>379</v>
      </c>
      <c r="Y11" s="20" t="s">
        <v>292</v>
      </c>
      <c r="Z11" s="20" t="s">
        <v>60</v>
      </c>
      <c r="AA11" s="20" t="s">
        <v>380</v>
      </c>
    </row>
    <row r="12" spans="1:27" x14ac:dyDescent="0.2">
      <c r="A12" s="20" t="s">
        <v>217</v>
      </c>
      <c r="B12" s="20" t="s">
        <v>293</v>
      </c>
      <c r="C12" s="20" t="s">
        <v>24</v>
      </c>
      <c r="D12" s="20" t="s">
        <v>37</v>
      </c>
      <c r="E12" s="20" t="s">
        <v>310</v>
      </c>
      <c r="F12" s="20" t="s">
        <v>24</v>
      </c>
      <c r="G12" s="20">
        <v>4</v>
      </c>
      <c r="H12" s="20">
        <v>3</v>
      </c>
      <c r="I12" s="13">
        <v>0.66</v>
      </c>
      <c r="J12" s="20" t="s">
        <v>249</v>
      </c>
      <c r="L12" s="20" t="s">
        <v>249</v>
      </c>
      <c r="M12" s="20" t="s">
        <v>386</v>
      </c>
      <c r="N12" s="20" t="s">
        <v>24</v>
      </c>
      <c r="O12" s="20">
        <v>2</v>
      </c>
      <c r="P12" s="20">
        <v>3</v>
      </c>
      <c r="Q12" s="13">
        <v>0.59699999999999998</v>
      </c>
      <c r="R12" s="20" t="s">
        <v>249</v>
      </c>
      <c r="S12" s="20">
        <v>-0.49</v>
      </c>
      <c r="T12" s="20" t="s">
        <v>249</v>
      </c>
      <c r="U12" s="20" t="s">
        <v>37</v>
      </c>
      <c r="V12" s="20">
        <v>1</v>
      </c>
      <c r="W12" s="20">
        <v>5</v>
      </c>
      <c r="X12" s="20" t="s">
        <v>379</v>
      </c>
      <c r="Y12" s="20" t="s">
        <v>292</v>
      </c>
      <c r="Z12" s="20" t="s">
        <v>60</v>
      </c>
      <c r="AA12" s="20" t="s">
        <v>380</v>
      </c>
    </row>
    <row r="13" spans="1:27" x14ac:dyDescent="0.2">
      <c r="A13" s="20" t="s">
        <v>217</v>
      </c>
      <c r="B13" s="20" t="s">
        <v>293</v>
      </c>
      <c r="C13" s="20" t="s">
        <v>35</v>
      </c>
      <c r="D13" s="20" t="s">
        <v>19</v>
      </c>
      <c r="E13" s="20" t="s">
        <v>311</v>
      </c>
      <c r="F13" s="20" t="s">
        <v>19</v>
      </c>
      <c r="G13" s="20">
        <v>3</v>
      </c>
      <c r="H13" s="20">
        <v>4</v>
      </c>
      <c r="I13" s="13">
        <v>0.5917</v>
      </c>
      <c r="J13" s="20" t="s">
        <v>249</v>
      </c>
      <c r="L13" s="20" t="s">
        <v>248</v>
      </c>
      <c r="M13" s="20" t="s">
        <v>312</v>
      </c>
      <c r="N13" s="20" t="s">
        <v>19</v>
      </c>
      <c r="O13" s="20">
        <v>2</v>
      </c>
      <c r="P13" s="20">
        <v>4</v>
      </c>
      <c r="Q13" s="13">
        <v>0.7107</v>
      </c>
      <c r="R13" s="20" t="s">
        <v>249</v>
      </c>
      <c r="S13" s="20">
        <v>1.19</v>
      </c>
      <c r="T13" s="20" t="s">
        <v>248</v>
      </c>
      <c r="U13" s="20" t="s">
        <v>19</v>
      </c>
      <c r="V13" s="20">
        <v>2</v>
      </c>
      <c r="W13" s="20">
        <v>3</v>
      </c>
      <c r="X13" s="20" t="s">
        <v>379</v>
      </c>
      <c r="Y13" s="20" t="s">
        <v>292</v>
      </c>
      <c r="Z13" s="20" t="s">
        <v>60</v>
      </c>
      <c r="AA13" s="20" t="s">
        <v>380</v>
      </c>
    </row>
    <row r="14" spans="1:27" x14ac:dyDescent="0.2">
      <c r="A14" s="20" t="s">
        <v>217</v>
      </c>
      <c r="B14" s="20" t="s">
        <v>289</v>
      </c>
      <c r="C14" s="20" t="s">
        <v>15</v>
      </c>
      <c r="D14" s="20" t="s">
        <v>20</v>
      </c>
      <c r="E14" s="20" t="s">
        <v>313</v>
      </c>
      <c r="F14" s="20" t="s">
        <v>15</v>
      </c>
      <c r="G14" s="20">
        <v>5</v>
      </c>
      <c r="H14" s="20">
        <v>4</v>
      </c>
      <c r="I14" s="13">
        <v>0.55930000000000002</v>
      </c>
      <c r="J14" s="20" t="s">
        <v>249</v>
      </c>
      <c r="L14" s="20" t="s">
        <v>249</v>
      </c>
      <c r="M14" s="20" t="s">
        <v>387</v>
      </c>
      <c r="N14" s="20" t="s">
        <v>20</v>
      </c>
      <c r="O14" s="20">
        <v>2</v>
      </c>
      <c r="P14" s="20">
        <v>4</v>
      </c>
      <c r="Q14" s="13">
        <v>0.47089999999999999</v>
      </c>
      <c r="R14" s="20" t="s">
        <v>249</v>
      </c>
      <c r="S14" s="20">
        <v>0.51</v>
      </c>
      <c r="T14" s="20" t="s">
        <v>248</v>
      </c>
      <c r="U14" s="20" t="s">
        <v>20</v>
      </c>
      <c r="V14" s="20">
        <v>2</v>
      </c>
      <c r="W14" s="20">
        <v>3</v>
      </c>
      <c r="X14" s="20" t="s">
        <v>379</v>
      </c>
      <c r="Y14" s="20" t="s">
        <v>292</v>
      </c>
      <c r="Z14" s="20" t="s">
        <v>60</v>
      </c>
      <c r="AA14" s="20" t="s">
        <v>380</v>
      </c>
    </row>
    <row r="15" spans="1:27" x14ac:dyDescent="0.2">
      <c r="A15" s="20" t="s">
        <v>217</v>
      </c>
      <c r="B15" s="20" t="s">
        <v>304</v>
      </c>
      <c r="C15" s="20" t="s">
        <v>28</v>
      </c>
      <c r="D15" s="20" t="s">
        <v>40</v>
      </c>
      <c r="E15" s="20" t="s">
        <v>314</v>
      </c>
      <c r="F15" s="20" t="s">
        <v>40</v>
      </c>
      <c r="G15" s="20">
        <v>3</v>
      </c>
      <c r="H15" s="20">
        <v>4</v>
      </c>
      <c r="I15" s="13">
        <v>0.67559999999999998</v>
      </c>
      <c r="J15" s="20" t="s">
        <v>249</v>
      </c>
      <c r="L15" s="20" t="s">
        <v>248</v>
      </c>
      <c r="M15" s="20" t="s">
        <v>315</v>
      </c>
      <c r="N15" s="20" t="s">
        <v>40</v>
      </c>
      <c r="O15" s="20">
        <v>2</v>
      </c>
      <c r="P15" s="20">
        <v>4</v>
      </c>
      <c r="Q15" s="13">
        <v>0.64970000000000006</v>
      </c>
      <c r="R15" s="20" t="s">
        <v>249</v>
      </c>
      <c r="S15" s="20">
        <v>0.66</v>
      </c>
      <c r="T15" s="20" t="s">
        <v>248</v>
      </c>
      <c r="U15" s="20" t="s">
        <v>40</v>
      </c>
      <c r="V15" s="20">
        <v>2</v>
      </c>
      <c r="W15" s="20">
        <v>5</v>
      </c>
      <c r="X15" s="20" t="s">
        <v>379</v>
      </c>
      <c r="Y15" s="20" t="s">
        <v>292</v>
      </c>
      <c r="Z15" s="20" t="s">
        <v>60</v>
      </c>
      <c r="AA15" s="20" t="s">
        <v>380</v>
      </c>
    </row>
    <row r="16" spans="1:27" x14ac:dyDescent="0.2">
      <c r="A16" s="20" t="s">
        <v>218</v>
      </c>
      <c r="B16" s="20" t="s">
        <v>289</v>
      </c>
      <c r="C16" s="20" t="s">
        <v>21</v>
      </c>
      <c r="D16" s="20" t="s">
        <v>31</v>
      </c>
      <c r="E16" s="20" t="s">
        <v>316</v>
      </c>
      <c r="F16" s="20" t="s">
        <v>31</v>
      </c>
      <c r="G16" s="20">
        <v>4</v>
      </c>
      <c r="H16" s="20">
        <v>5</v>
      </c>
      <c r="I16" s="13">
        <v>0.84830000000000005</v>
      </c>
      <c r="J16" s="20" t="s">
        <v>249</v>
      </c>
      <c r="L16" s="20" t="s">
        <v>248</v>
      </c>
      <c r="M16" s="20" t="s">
        <v>291</v>
      </c>
      <c r="N16" s="20" t="s">
        <v>31</v>
      </c>
      <c r="O16" s="20">
        <v>2</v>
      </c>
      <c r="P16" s="20">
        <v>4</v>
      </c>
      <c r="Q16" s="13">
        <v>0.76080000000000003</v>
      </c>
      <c r="R16" s="20" t="s">
        <v>249</v>
      </c>
      <c r="S16" s="20">
        <v>0.77</v>
      </c>
      <c r="T16" s="20" t="s">
        <v>248</v>
      </c>
      <c r="U16" s="20" t="s">
        <v>31</v>
      </c>
      <c r="V16" s="20">
        <v>3</v>
      </c>
      <c r="W16" s="20">
        <v>4</v>
      </c>
      <c r="X16" s="20" t="s">
        <v>379</v>
      </c>
      <c r="Y16" s="20" t="s">
        <v>292</v>
      </c>
      <c r="Z16" s="20" t="s">
        <v>60</v>
      </c>
      <c r="AA16" s="20" t="s">
        <v>380</v>
      </c>
    </row>
    <row r="17" spans="1:27" x14ac:dyDescent="0.2">
      <c r="A17" s="20" t="s">
        <v>218</v>
      </c>
      <c r="B17" s="20" t="s">
        <v>297</v>
      </c>
      <c r="C17" s="20" t="s">
        <v>16</v>
      </c>
      <c r="D17" s="20" t="s">
        <v>23</v>
      </c>
      <c r="E17" s="20" t="s">
        <v>317</v>
      </c>
      <c r="F17" s="20" t="s">
        <v>23</v>
      </c>
      <c r="G17" s="20">
        <v>3</v>
      </c>
      <c r="H17" s="20">
        <v>4</v>
      </c>
      <c r="I17" s="13">
        <v>0.82420000000000004</v>
      </c>
      <c r="J17" s="20" t="s">
        <v>249</v>
      </c>
      <c r="L17" s="20" t="s">
        <v>249</v>
      </c>
      <c r="M17" s="20" t="s">
        <v>388</v>
      </c>
      <c r="N17" s="20" t="s">
        <v>23</v>
      </c>
      <c r="O17" s="20">
        <v>2</v>
      </c>
      <c r="P17" s="20">
        <v>4</v>
      </c>
      <c r="Q17" s="13">
        <v>0.68479999999999996</v>
      </c>
      <c r="R17" s="20" t="s">
        <v>249</v>
      </c>
      <c r="S17" s="20">
        <v>0.99</v>
      </c>
      <c r="T17" s="20" t="s">
        <v>249</v>
      </c>
      <c r="U17" s="20" t="s">
        <v>16</v>
      </c>
      <c r="V17" s="20">
        <v>6</v>
      </c>
      <c r="W17" s="20">
        <v>2</v>
      </c>
      <c r="X17" s="20" t="s">
        <v>379</v>
      </c>
      <c r="Y17" s="20" t="s">
        <v>292</v>
      </c>
      <c r="Z17" s="20" t="s">
        <v>60</v>
      </c>
      <c r="AA17" s="20" t="s">
        <v>380</v>
      </c>
    </row>
    <row r="18" spans="1:27" x14ac:dyDescent="0.2">
      <c r="A18" s="20" t="s">
        <v>218</v>
      </c>
      <c r="B18" s="20" t="s">
        <v>318</v>
      </c>
      <c r="C18" s="20" t="s">
        <v>25</v>
      </c>
      <c r="D18" s="20" t="s">
        <v>34</v>
      </c>
      <c r="E18" s="20" t="s">
        <v>319</v>
      </c>
      <c r="F18" s="20" t="s">
        <v>25</v>
      </c>
      <c r="G18" s="20">
        <v>5</v>
      </c>
      <c r="H18" s="20">
        <v>4</v>
      </c>
      <c r="I18" s="13">
        <v>0.62329999999999997</v>
      </c>
      <c r="J18" s="20" t="s">
        <v>249</v>
      </c>
      <c r="L18" s="20" t="s">
        <v>249</v>
      </c>
      <c r="M18" s="20" t="s">
        <v>389</v>
      </c>
      <c r="N18" s="20" t="s">
        <v>25</v>
      </c>
      <c r="O18" s="20">
        <v>2</v>
      </c>
      <c r="P18" s="20">
        <v>4</v>
      </c>
      <c r="Q18" s="13">
        <v>0.72150000000000003</v>
      </c>
      <c r="R18" s="20" t="s">
        <v>249</v>
      </c>
      <c r="S18" s="20">
        <v>-1.0900000000000001</v>
      </c>
      <c r="T18" s="20" t="s">
        <v>249</v>
      </c>
      <c r="U18" s="20" t="s">
        <v>34</v>
      </c>
      <c r="V18" s="20">
        <v>3</v>
      </c>
      <c r="W18" s="20">
        <v>4</v>
      </c>
      <c r="X18" s="20" t="s">
        <v>379</v>
      </c>
      <c r="Y18" s="20" t="s">
        <v>292</v>
      </c>
      <c r="Z18" s="20" t="s">
        <v>60</v>
      </c>
      <c r="AA18" s="20" t="s">
        <v>380</v>
      </c>
    </row>
    <row r="19" spans="1:27" x14ac:dyDescent="0.2">
      <c r="A19" s="20" t="s">
        <v>218</v>
      </c>
      <c r="B19" s="20" t="s">
        <v>293</v>
      </c>
      <c r="C19" s="20" t="s">
        <v>17</v>
      </c>
      <c r="D19" s="20" t="s">
        <v>22</v>
      </c>
      <c r="E19" s="20" t="s">
        <v>320</v>
      </c>
      <c r="F19" s="20" t="s">
        <v>22</v>
      </c>
      <c r="G19" s="20">
        <v>3</v>
      </c>
      <c r="H19" s="20">
        <v>4</v>
      </c>
      <c r="I19" s="13">
        <v>0.54659999999999997</v>
      </c>
      <c r="J19" s="20" t="s">
        <v>249</v>
      </c>
      <c r="L19" s="20" t="s">
        <v>248</v>
      </c>
      <c r="M19" s="20" t="s">
        <v>321</v>
      </c>
      <c r="N19" s="20" t="s">
        <v>22</v>
      </c>
      <c r="O19" s="20">
        <v>2</v>
      </c>
      <c r="P19" s="20">
        <v>4</v>
      </c>
      <c r="Q19" s="13">
        <v>0.68869999999999998</v>
      </c>
      <c r="R19" s="20" t="s">
        <v>249</v>
      </c>
      <c r="S19" s="20">
        <v>1.03</v>
      </c>
      <c r="T19" s="20" t="s">
        <v>248</v>
      </c>
      <c r="U19" s="20" t="s">
        <v>22</v>
      </c>
      <c r="V19" s="20">
        <v>4</v>
      </c>
      <c r="W19" s="20">
        <v>7</v>
      </c>
      <c r="X19" s="20" t="s">
        <v>379</v>
      </c>
      <c r="Y19" s="20" t="s">
        <v>292</v>
      </c>
      <c r="Z19" s="20" t="s">
        <v>60</v>
      </c>
      <c r="AA19" s="20" t="s">
        <v>380</v>
      </c>
    </row>
    <row r="20" spans="1:27" x14ac:dyDescent="0.2">
      <c r="A20" s="20" t="s">
        <v>219</v>
      </c>
      <c r="B20" s="20" t="s">
        <v>322</v>
      </c>
      <c r="C20" s="20" t="s">
        <v>36</v>
      </c>
      <c r="D20" s="20" t="s">
        <v>31</v>
      </c>
      <c r="E20" s="20" t="s">
        <v>323</v>
      </c>
      <c r="F20" s="20" t="s">
        <v>31</v>
      </c>
      <c r="G20" s="20">
        <v>3</v>
      </c>
      <c r="H20" s="20">
        <v>4</v>
      </c>
      <c r="I20" s="13">
        <v>0.79971067821067798</v>
      </c>
      <c r="J20" s="20" t="s">
        <v>248</v>
      </c>
      <c r="K20" s="18">
        <v>0.53300000000000003</v>
      </c>
      <c r="L20" s="20" t="s">
        <v>249</v>
      </c>
      <c r="M20" s="20" t="s">
        <v>390</v>
      </c>
      <c r="N20" s="20" t="s">
        <v>31</v>
      </c>
      <c r="O20" s="20">
        <v>2</v>
      </c>
      <c r="P20" s="20">
        <v>4</v>
      </c>
      <c r="Q20" s="13">
        <v>0.82141601872248204</v>
      </c>
      <c r="R20" s="20" t="s">
        <v>249</v>
      </c>
      <c r="S20" s="20">
        <v>1.21</v>
      </c>
      <c r="T20" s="20" t="s">
        <v>249</v>
      </c>
      <c r="U20" s="20" t="s">
        <v>36</v>
      </c>
      <c r="V20" s="20">
        <v>3</v>
      </c>
      <c r="W20" s="20">
        <v>2</v>
      </c>
      <c r="X20" s="20" t="s">
        <v>379</v>
      </c>
      <c r="Y20" s="20" t="s">
        <v>292</v>
      </c>
      <c r="Z20" s="20" t="s">
        <v>60</v>
      </c>
      <c r="AA20" s="20" t="s">
        <v>380</v>
      </c>
    </row>
    <row r="21" spans="1:27" x14ac:dyDescent="0.2">
      <c r="A21" s="20" t="s">
        <v>219</v>
      </c>
      <c r="B21" s="20" t="s">
        <v>324</v>
      </c>
      <c r="C21" s="20" t="s">
        <v>32</v>
      </c>
      <c r="D21" s="20" t="s">
        <v>10</v>
      </c>
      <c r="E21" s="20" t="s">
        <v>325</v>
      </c>
      <c r="F21" s="20" t="s">
        <v>10</v>
      </c>
      <c r="G21" s="20">
        <v>3</v>
      </c>
      <c r="H21" s="20">
        <v>4</v>
      </c>
      <c r="I21" s="13">
        <v>0.81409746588693999</v>
      </c>
      <c r="J21" s="20" t="s">
        <v>248</v>
      </c>
      <c r="K21" s="18">
        <v>0.50700000000000001</v>
      </c>
      <c r="L21" s="20" t="s">
        <v>249</v>
      </c>
      <c r="M21" s="20" t="s">
        <v>391</v>
      </c>
      <c r="N21" s="20" t="s">
        <v>10</v>
      </c>
      <c r="O21" s="20">
        <v>2</v>
      </c>
      <c r="P21" s="20">
        <v>4</v>
      </c>
      <c r="Q21" s="13">
        <v>0.68955873942591095</v>
      </c>
      <c r="R21" s="20" t="s">
        <v>249</v>
      </c>
      <c r="S21" s="20">
        <v>1.04</v>
      </c>
      <c r="T21" s="20" t="s">
        <v>249</v>
      </c>
      <c r="U21" s="20" t="s">
        <v>32</v>
      </c>
      <c r="V21" s="20">
        <v>3</v>
      </c>
      <c r="W21" s="20">
        <v>2</v>
      </c>
      <c r="X21" s="20" t="s">
        <v>379</v>
      </c>
      <c r="Y21" s="20" t="s">
        <v>292</v>
      </c>
      <c r="Z21" s="20" t="s">
        <v>60</v>
      </c>
      <c r="AA21" s="20" t="s">
        <v>380</v>
      </c>
    </row>
    <row r="22" spans="1:27" x14ac:dyDescent="0.2">
      <c r="A22" s="20" t="s">
        <v>219</v>
      </c>
      <c r="B22" s="20" t="s">
        <v>326</v>
      </c>
      <c r="C22" s="20" t="s">
        <v>15</v>
      </c>
      <c r="D22" s="20" t="s">
        <v>12</v>
      </c>
      <c r="E22" s="20" t="s">
        <v>327</v>
      </c>
      <c r="F22" s="20" t="s">
        <v>12</v>
      </c>
      <c r="G22" s="20">
        <v>3</v>
      </c>
      <c r="H22" s="20">
        <v>4</v>
      </c>
      <c r="I22" s="13">
        <v>0.68089417989418</v>
      </c>
      <c r="J22" s="20" t="s">
        <v>249</v>
      </c>
      <c r="K22" s="18">
        <v>0.28699999999999998</v>
      </c>
      <c r="L22" s="20" t="s">
        <v>248</v>
      </c>
      <c r="M22" s="20" t="s">
        <v>361</v>
      </c>
      <c r="N22" s="20" t="s">
        <v>12</v>
      </c>
      <c r="O22" s="20">
        <v>1</v>
      </c>
      <c r="P22" s="20">
        <v>5</v>
      </c>
      <c r="Q22" s="13">
        <v>0.79009355708149598</v>
      </c>
      <c r="R22" s="20" t="s">
        <v>249</v>
      </c>
      <c r="S22" s="20">
        <v>2.04</v>
      </c>
      <c r="T22" s="20" t="s">
        <v>248</v>
      </c>
      <c r="U22" s="20" t="s">
        <v>12</v>
      </c>
      <c r="V22" s="20">
        <v>3</v>
      </c>
      <c r="W22" s="20">
        <v>6</v>
      </c>
      <c r="X22" s="20" t="s">
        <v>379</v>
      </c>
      <c r="Y22" s="20" t="s">
        <v>292</v>
      </c>
      <c r="Z22" s="20" t="s">
        <v>60</v>
      </c>
      <c r="AA22" s="20" t="s">
        <v>380</v>
      </c>
    </row>
    <row r="23" spans="1:27" x14ac:dyDescent="0.2">
      <c r="A23" s="20" t="s">
        <v>219</v>
      </c>
      <c r="B23" s="20" t="s">
        <v>328</v>
      </c>
      <c r="C23" s="20" t="s">
        <v>30</v>
      </c>
      <c r="D23" s="20" t="s">
        <v>26</v>
      </c>
      <c r="E23" s="20" t="s">
        <v>329</v>
      </c>
      <c r="F23" s="20" t="s">
        <v>26</v>
      </c>
      <c r="G23" s="20">
        <v>3</v>
      </c>
      <c r="H23" s="20">
        <v>4</v>
      </c>
      <c r="I23" s="13">
        <v>0.507202173213117</v>
      </c>
      <c r="J23" s="20" t="s">
        <v>249</v>
      </c>
      <c r="K23" s="18">
        <v>0.44</v>
      </c>
      <c r="L23" s="20" t="s">
        <v>249</v>
      </c>
      <c r="M23" s="20" t="s">
        <v>392</v>
      </c>
      <c r="N23" s="20" t="s">
        <v>30</v>
      </c>
      <c r="O23" s="20">
        <v>2</v>
      </c>
      <c r="P23" s="20">
        <v>3</v>
      </c>
      <c r="Q23" s="13">
        <v>0.50783942088355705</v>
      </c>
      <c r="R23" s="20" t="s">
        <v>248</v>
      </c>
      <c r="S23" s="20">
        <v>-0.21</v>
      </c>
      <c r="T23" s="20" t="s">
        <v>248</v>
      </c>
      <c r="U23" s="20" t="s">
        <v>30</v>
      </c>
      <c r="V23" s="20">
        <v>5</v>
      </c>
      <c r="W23" s="20">
        <v>0</v>
      </c>
      <c r="X23" s="20" t="s">
        <v>379</v>
      </c>
      <c r="Y23" s="20" t="s">
        <v>292</v>
      </c>
      <c r="Z23" s="20" t="s">
        <v>60</v>
      </c>
      <c r="AA23" s="20" t="s">
        <v>380</v>
      </c>
    </row>
    <row r="24" spans="1:27" x14ac:dyDescent="0.2">
      <c r="A24" s="20" t="s">
        <v>219</v>
      </c>
      <c r="B24" s="20" t="s">
        <v>328</v>
      </c>
      <c r="C24" s="20" t="s">
        <v>24</v>
      </c>
      <c r="D24" s="20" t="s">
        <v>11</v>
      </c>
      <c r="E24" s="20" t="s">
        <v>330</v>
      </c>
      <c r="F24" s="20" t="s">
        <v>11</v>
      </c>
      <c r="G24" s="20">
        <v>3</v>
      </c>
      <c r="H24" s="20">
        <v>4</v>
      </c>
      <c r="I24" s="13">
        <v>0.61979461279461301</v>
      </c>
      <c r="J24" s="20" t="s">
        <v>249</v>
      </c>
      <c r="K24" s="18">
        <v>0.38100000000000001</v>
      </c>
      <c r="L24" s="20" t="s">
        <v>248</v>
      </c>
      <c r="M24" s="20" t="s">
        <v>393</v>
      </c>
      <c r="N24" s="20" t="s">
        <v>24</v>
      </c>
      <c r="O24" s="20">
        <v>2</v>
      </c>
      <c r="P24" s="20">
        <v>3</v>
      </c>
      <c r="Q24" s="13">
        <v>0.47717133510972898</v>
      </c>
      <c r="R24" s="20" t="s">
        <v>248</v>
      </c>
      <c r="S24" s="20">
        <v>-0.28000000000000003</v>
      </c>
      <c r="T24" s="20" t="s">
        <v>249</v>
      </c>
      <c r="U24" s="20" t="s">
        <v>11</v>
      </c>
      <c r="V24" s="20">
        <v>0</v>
      </c>
      <c r="W24" s="20">
        <v>1</v>
      </c>
      <c r="X24" s="20" t="s">
        <v>379</v>
      </c>
      <c r="Y24" s="20" t="s">
        <v>292</v>
      </c>
      <c r="Z24" s="20" t="s">
        <v>60</v>
      </c>
      <c r="AA24" s="20" t="s">
        <v>380</v>
      </c>
    </row>
    <row r="25" spans="1:27" x14ac:dyDescent="0.2">
      <c r="A25" s="20" t="s">
        <v>219</v>
      </c>
      <c r="B25" s="20" t="s">
        <v>328</v>
      </c>
      <c r="C25" s="20" t="s">
        <v>22</v>
      </c>
      <c r="D25" s="20" t="s">
        <v>18</v>
      </c>
      <c r="E25" s="20" t="s">
        <v>331</v>
      </c>
      <c r="F25" s="20" t="s">
        <v>18</v>
      </c>
      <c r="G25" s="20">
        <v>3</v>
      </c>
      <c r="H25" s="20">
        <v>4</v>
      </c>
      <c r="I25" s="13">
        <v>0.75639782537151001</v>
      </c>
      <c r="J25" s="20" t="s">
        <v>248</v>
      </c>
      <c r="K25" s="18">
        <v>0.63100000000000001</v>
      </c>
      <c r="L25" s="20" t="s">
        <v>249</v>
      </c>
      <c r="M25" s="20" t="s">
        <v>394</v>
      </c>
      <c r="N25" s="20" t="s">
        <v>22</v>
      </c>
      <c r="O25" s="20">
        <v>2</v>
      </c>
      <c r="P25" s="20">
        <v>3</v>
      </c>
      <c r="Q25" s="13">
        <v>0.52653488689618599</v>
      </c>
      <c r="R25" s="20" t="s">
        <v>249</v>
      </c>
      <c r="S25" s="20">
        <v>-0.48</v>
      </c>
      <c r="T25" s="20" t="s">
        <v>248</v>
      </c>
      <c r="U25" s="20" t="s">
        <v>22</v>
      </c>
      <c r="V25" s="20">
        <v>8</v>
      </c>
      <c r="W25" s="20">
        <v>4</v>
      </c>
      <c r="X25" s="20" t="s">
        <v>379</v>
      </c>
      <c r="Y25" s="20" t="s">
        <v>292</v>
      </c>
      <c r="Z25" s="20" t="s">
        <v>60</v>
      </c>
      <c r="AA25" s="20" t="s">
        <v>380</v>
      </c>
    </row>
    <row r="26" spans="1:27" x14ac:dyDescent="0.2">
      <c r="A26" s="20" t="s">
        <v>219</v>
      </c>
      <c r="B26" s="20" t="s">
        <v>328</v>
      </c>
      <c r="C26" s="20" t="s">
        <v>35</v>
      </c>
      <c r="D26" s="20" t="s">
        <v>27</v>
      </c>
      <c r="E26" s="20" t="s">
        <v>332</v>
      </c>
      <c r="F26" s="20" t="s">
        <v>27</v>
      </c>
      <c r="G26" s="20">
        <v>3</v>
      </c>
      <c r="H26" s="20">
        <v>4</v>
      </c>
      <c r="I26" s="13">
        <v>0.78318759018758999</v>
      </c>
      <c r="J26" s="20" t="s">
        <v>249</v>
      </c>
      <c r="K26" s="18">
        <v>0.42499999999999999</v>
      </c>
      <c r="L26" s="20" t="s">
        <v>248</v>
      </c>
      <c r="M26" s="20" t="s">
        <v>395</v>
      </c>
      <c r="N26" s="20" t="s">
        <v>27</v>
      </c>
      <c r="O26" s="20">
        <v>2</v>
      </c>
      <c r="P26" s="20">
        <v>4</v>
      </c>
      <c r="Q26" s="13">
        <v>0.72316153141538597</v>
      </c>
      <c r="R26" s="20" t="s">
        <v>249</v>
      </c>
      <c r="S26" s="20">
        <v>1.31</v>
      </c>
      <c r="T26" s="20" t="s">
        <v>248</v>
      </c>
      <c r="U26" s="20" t="s">
        <v>27</v>
      </c>
      <c r="V26" s="20">
        <v>2</v>
      </c>
      <c r="W26" s="20">
        <v>3</v>
      </c>
      <c r="X26" s="20" t="s">
        <v>379</v>
      </c>
      <c r="Y26" s="20" t="s">
        <v>292</v>
      </c>
      <c r="Z26" s="20" t="s">
        <v>60</v>
      </c>
      <c r="AA26" s="20" t="s">
        <v>380</v>
      </c>
    </row>
    <row r="27" spans="1:27" x14ac:dyDescent="0.2">
      <c r="A27" s="20" t="s">
        <v>219</v>
      </c>
      <c r="B27" s="20" t="s">
        <v>322</v>
      </c>
      <c r="C27" s="20" t="s">
        <v>13</v>
      </c>
      <c r="D27" s="20" t="s">
        <v>33</v>
      </c>
      <c r="E27" s="20" t="s">
        <v>333</v>
      </c>
      <c r="F27" s="20" t="s">
        <v>13</v>
      </c>
      <c r="G27" s="20">
        <v>5</v>
      </c>
      <c r="H27" s="20">
        <v>4</v>
      </c>
      <c r="I27" s="13">
        <v>0.68822126022125996</v>
      </c>
      <c r="J27" s="20" t="s">
        <v>249</v>
      </c>
      <c r="K27" s="18">
        <v>0.28199999999999997</v>
      </c>
      <c r="L27" s="20" t="s">
        <v>249</v>
      </c>
      <c r="M27" s="20" t="s">
        <v>396</v>
      </c>
      <c r="N27" s="20" t="s">
        <v>13</v>
      </c>
      <c r="O27" s="20">
        <v>2</v>
      </c>
      <c r="P27" s="20">
        <v>3</v>
      </c>
      <c r="Q27" s="13">
        <v>0.56836235759955001</v>
      </c>
      <c r="R27" s="20" t="s">
        <v>248</v>
      </c>
      <c r="S27" s="20">
        <v>-0.05</v>
      </c>
      <c r="T27" s="20" t="s">
        <v>249</v>
      </c>
      <c r="U27" s="20" t="s">
        <v>33</v>
      </c>
      <c r="V27" s="20">
        <v>3</v>
      </c>
      <c r="W27" s="20">
        <v>4</v>
      </c>
      <c r="X27" s="20" t="s">
        <v>379</v>
      </c>
      <c r="Y27" s="20" t="s">
        <v>292</v>
      </c>
      <c r="Z27" s="20" t="s">
        <v>60</v>
      </c>
      <c r="AA27" s="20" t="s">
        <v>380</v>
      </c>
    </row>
    <row r="28" spans="1:27" x14ac:dyDescent="0.2">
      <c r="A28" s="20" t="s">
        <v>219</v>
      </c>
      <c r="B28" s="20" t="s">
        <v>334</v>
      </c>
      <c r="C28" s="20" t="s">
        <v>17</v>
      </c>
      <c r="D28" s="20" t="s">
        <v>37</v>
      </c>
      <c r="E28" s="20" t="s">
        <v>335</v>
      </c>
      <c r="F28" s="20" t="s">
        <v>37</v>
      </c>
      <c r="G28" s="20">
        <v>3</v>
      </c>
      <c r="H28" s="20">
        <v>4</v>
      </c>
      <c r="I28" s="13">
        <v>0.77119047619047598</v>
      </c>
      <c r="J28" s="20" t="s">
        <v>248</v>
      </c>
      <c r="K28" s="18">
        <v>0.61599999999999999</v>
      </c>
      <c r="L28" s="20" t="s">
        <v>248</v>
      </c>
      <c r="M28" s="20" t="s">
        <v>397</v>
      </c>
      <c r="N28" s="20" t="s">
        <v>37</v>
      </c>
      <c r="O28" s="20">
        <v>2</v>
      </c>
      <c r="P28" s="20">
        <v>4</v>
      </c>
      <c r="Q28" s="13">
        <v>0.711970082114465</v>
      </c>
      <c r="R28" s="20" t="s">
        <v>249</v>
      </c>
      <c r="S28" s="20">
        <v>1.25</v>
      </c>
      <c r="T28" s="20" t="s">
        <v>248</v>
      </c>
      <c r="U28" s="20" t="s">
        <v>37</v>
      </c>
      <c r="V28" s="20">
        <v>1</v>
      </c>
      <c r="W28" s="20">
        <v>2</v>
      </c>
      <c r="X28" s="20" t="s">
        <v>379</v>
      </c>
      <c r="Y28" s="20" t="s">
        <v>292</v>
      </c>
      <c r="Z28" s="20" t="s">
        <v>60</v>
      </c>
      <c r="AA28" s="20" t="s">
        <v>380</v>
      </c>
    </row>
    <row r="29" spans="1:27" x14ac:dyDescent="0.2">
      <c r="A29" s="20" t="s">
        <v>219</v>
      </c>
      <c r="B29" s="20" t="s">
        <v>328</v>
      </c>
      <c r="C29" s="20" t="s">
        <v>28</v>
      </c>
      <c r="D29" s="20" t="s">
        <v>19</v>
      </c>
      <c r="E29" s="20" t="s">
        <v>336</v>
      </c>
      <c r="F29" s="20" t="s">
        <v>19</v>
      </c>
      <c r="G29" s="20">
        <v>3</v>
      </c>
      <c r="H29" s="20">
        <v>4</v>
      </c>
      <c r="I29" s="13">
        <v>0.56100667919398595</v>
      </c>
      <c r="J29" s="20" t="s">
        <v>249</v>
      </c>
      <c r="K29" s="18">
        <v>0.11600000000000001</v>
      </c>
      <c r="L29" s="20" t="s">
        <v>249</v>
      </c>
      <c r="M29" s="20" t="s">
        <v>398</v>
      </c>
      <c r="N29" s="20" t="s">
        <v>19</v>
      </c>
      <c r="O29" s="20">
        <v>2</v>
      </c>
      <c r="P29" s="20">
        <v>3</v>
      </c>
      <c r="Q29" s="13">
        <v>0.55864324773890295</v>
      </c>
      <c r="R29" s="20" t="s">
        <v>248</v>
      </c>
      <c r="S29" s="20">
        <v>0.03</v>
      </c>
      <c r="T29" s="20" t="s">
        <v>249</v>
      </c>
      <c r="U29" s="20" t="s">
        <v>28</v>
      </c>
      <c r="V29" s="20">
        <v>3</v>
      </c>
      <c r="W29" s="20">
        <v>2</v>
      </c>
      <c r="X29" s="20" t="s">
        <v>379</v>
      </c>
      <c r="Y29" s="20" t="s">
        <v>292</v>
      </c>
      <c r="Z29" s="20" t="s">
        <v>60</v>
      </c>
      <c r="AA29" s="20" t="s">
        <v>380</v>
      </c>
    </row>
    <row r="30" spans="1:27" x14ac:dyDescent="0.2">
      <c r="A30" s="20" t="s">
        <v>219</v>
      </c>
      <c r="B30" s="20" t="s">
        <v>326</v>
      </c>
      <c r="C30" s="20" t="s">
        <v>20</v>
      </c>
      <c r="D30" s="20" t="s">
        <v>55</v>
      </c>
      <c r="E30" s="20" t="s">
        <v>337</v>
      </c>
      <c r="F30" s="20" t="s">
        <v>55</v>
      </c>
      <c r="G30" s="20">
        <v>3</v>
      </c>
      <c r="H30" s="20">
        <v>4</v>
      </c>
      <c r="I30" s="13">
        <v>0.67815371762740195</v>
      </c>
      <c r="J30" s="20" t="s">
        <v>248</v>
      </c>
      <c r="K30" s="18">
        <v>0.54</v>
      </c>
      <c r="L30" s="20" t="s">
        <v>249</v>
      </c>
      <c r="M30" s="20" t="s">
        <v>399</v>
      </c>
      <c r="N30" s="20" t="s">
        <v>20</v>
      </c>
      <c r="O30" s="20">
        <v>2</v>
      </c>
      <c r="P30" s="20">
        <v>3</v>
      </c>
      <c r="Q30" s="13">
        <v>0.41674861628270699</v>
      </c>
      <c r="R30" s="20" t="s">
        <v>248</v>
      </c>
      <c r="S30" s="20">
        <v>-0.04</v>
      </c>
      <c r="T30" s="20" t="s">
        <v>248</v>
      </c>
      <c r="U30" s="20" t="s">
        <v>20</v>
      </c>
      <c r="V30" s="20">
        <v>4</v>
      </c>
      <c r="W30" s="20">
        <v>1</v>
      </c>
      <c r="X30" s="20" t="s">
        <v>379</v>
      </c>
      <c r="Y30" s="20" t="s">
        <v>292</v>
      </c>
      <c r="Z30" s="20" t="s">
        <v>60</v>
      </c>
      <c r="AA30" s="20" t="s">
        <v>380</v>
      </c>
    </row>
    <row r="31" spans="1:27" x14ac:dyDescent="0.2">
      <c r="A31" s="20" t="s">
        <v>219</v>
      </c>
      <c r="B31" s="20" t="s">
        <v>322</v>
      </c>
      <c r="C31" s="20" t="s">
        <v>39</v>
      </c>
      <c r="D31" s="20" t="s">
        <v>38</v>
      </c>
      <c r="E31" s="20" t="s">
        <v>338</v>
      </c>
      <c r="F31" s="20" t="s">
        <v>39</v>
      </c>
      <c r="G31" s="20">
        <v>5</v>
      </c>
      <c r="H31" s="20">
        <v>4</v>
      </c>
      <c r="I31" s="13">
        <v>0.73677777777777798</v>
      </c>
      <c r="J31" s="20" t="s">
        <v>249</v>
      </c>
      <c r="K31" s="18">
        <v>0.39100000000000001</v>
      </c>
      <c r="L31" s="20" t="s">
        <v>248</v>
      </c>
      <c r="M31" s="20" t="s">
        <v>400</v>
      </c>
      <c r="N31" s="20" t="s">
        <v>39</v>
      </c>
      <c r="O31" s="20">
        <v>2</v>
      </c>
      <c r="P31" s="20">
        <v>4</v>
      </c>
      <c r="Q31" s="13">
        <v>0.65070700646466895</v>
      </c>
      <c r="R31" s="20" t="s">
        <v>249</v>
      </c>
      <c r="S31" s="20">
        <v>-0.71</v>
      </c>
      <c r="T31" s="20" t="s">
        <v>248</v>
      </c>
      <c r="U31" s="20" t="s">
        <v>39</v>
      </c>
      <c r="V31" s="20">
        <v>4</v>
      </c>
      <c r="W31" s="20">
        <v>2</v>
      </c>
      <c r="X31" s="20" t="s">
        <v>379</v>
      </c>
      <c r="Y31" s="20" t="s">
        <v>292</v>
      </c>
      <c r="Z31" s="20" t="s">
        <v>60</v>
      </c>
      <c r="AA31" s="20" t="s">
        <v>380</v>
      </c>
    </row>
    <row r="32" spans="1:27" x14ac:dyDescent="0.2">
      <c r="A32" s="20" t="s">
        <v>220</v>
      </c>
      <c r="B32" s="20" t="s">
        <v>328</v>
      </c>
      <c r="C32" s="20" t="s">
        <v>10</v>
      </c>
      <c r="D32" s="20" t="s">
        <v>23</v>
      </c>
      <c r="E32" s="20" t="s">
        <v>339</v>
      </c>
      <c r="F32" s="20" t="s">
        <v>10</v>
      </c>
      <c r="G32" s="20">
        <v>4</v>
      </c>
      <c r="H32" s="20">
        <v>3</v>
      </c>
      <c r="I32" s="13">
        <v>0.58904761904761893</v>
      </c>
      <c r="J32" s="20" t="s">
        <v>248</v>
      </c>
      <c r="K32" s="18">
        <v>0.58099999999999996</v>
      </c>
      <c r="L32" s="20" t="s">
        <v>249</v>
      </c>
      <c r="M32" s="20" t="s">
        <v>401</v>
      </c>
      <c r="N32" s="20" t="s">
        <v>10</v>
      </c>
      <c r="O32" s="20">
        <v>2</v>
      </c>
      <c r="P32" s="20">
        <v>4</v>
      </c>
      <c r="Q32" s="13">
        <v>0.62127138852721631</v>
      </c>
      <c r="R32" s="20" t="s">
        <v>249</v>
      </c>
      <c r="S32" s="20">
        <v>-1.01</v>
      </c>
      <c r="T32" s="20" t="s">
        <v>249</v>
      </c>
      <c r="U32" s="20" t="s">
        <v>23</v>
      </c>
      <c r="V32" s="20">
        <v>3</v>
      </c>
      <c r="W32" s="20">
        <v>9</v>
      </c>
      <c r="X32" s="20" t="s">
        <v>379</v>
      </c>
      <c r="Y32" s="20" t="s">
        <v>292</v>
      </c>
      <c r="Z32" s="20" t="s">
        <v>60</v>
      </c>
      <c r="AA32" s="20" t="s">
        <v>380</v>
      </c>
    </row>
    <row r="33" spans="1:27" x14ac:dyDescent="0.2">
      <c r="A33" s="20" t="s">
        <v>220</v>
      </c>
      <c r="B33" s="20" t="s">
        <v>340</v>
      </c>
      <c r="C33" s="20" t="s">
        <v>21</v>
      </c>
      <c r="D33" s="20" t="s">
        <v>13</v>
      </c>
      <c r="E33" s="20" t="s">
        <v>341</v>
      </c>
      <c r="F33" s="20" t="s">
        <v>13</v>
      </c>
      <c r="G33" s="20">
        <v>3</v>
      </c>
      <c r="H33" s="20">
        <v>4</v>
      </c>
      <c r="I33" s="13">
        <v>0.54508201058201067</v>
      </c>
      <c r="J33" s="20" t="s">
        <v>248</v>
      </c>
      <c r="K33" s="18">
        <v>0.63700000000000001</v>
      </c>
      <c r="L33" s="20" t="s">
        <v>249</v>
      </c>
      <c r="M33" s="20" t="s">
        <v>402</v>
      </c>
      <c r="N33" s="20" t="s">
        <v>13</v>
      </c>
      <c r="O33" s="20">
        <v>2</v>
      </c>
      <c r="P33" s="20">
        <v>3</v>
      </c>
      <c r="Q33" s="13">
        <v>0.54352487978663888</v>
      </c>
      <c r="R33" s="20" t="s">
        <v>248</v>
      </c>
      <c r="S33" s="20">
        <v>0.03</v>
      </c>
      <c r="T33" s="20" t="s">
        <v>249</v>
      </c>
      <c r="U33" s="20" t="s">
        <v>21</v>
      </c>
      <c r="V33" s="20">
        <v>2</v>
      </c>
      <c r="W33" s="20">
        <v>1</v>
      </c>
      <c r="X33" s="20" t="s">
        <v>379</v>
      </c>
      <c r="Y33" s="20" t="s">
        <v>292</v>
      </c>
      <c r="Z33" s="20" t="s">
        <v>60</v>
      </c>
      <c r="AA33" s="20" t="s">
        <v>380</v>
      </c>
    </row>
    <row r="34" spans="1:27" x14ac:dyDescent="0.2">
      <c r="A34" s="20" t="s">
        <v>220</v>
      </c>
      <c r="B34" s="20" t="s">
        <v>328</v>
      </c>
      <c r="C34" s="20" t="s">
        <v>34</v>
      </c>
      <c r="D34" s="20" t="s">
        <v>14</v>
      </c>
      <c r="E34" s="20" t="s">
        <v>342</v>
      </c>
      <c r="F34" s="20" t="s">
        <v>34</v>
      </c>
      <c r="G34" s="20">
        <v>3</v>
      </c>
      <c r="H34" s="20">
        <v>2</v>
      </c>
      <c r="I34" s="13">
        <v>0.51067724867724873</v>
      </c>
      <c r="J34" s="20" t="s">
        <v>249</v>
      </c>
      <c r="K34" s="18">
        <v>0.44400000000000001</v>
      </c>
      <c r="L34" s="20" t="s">
        <v>248</v>
      </c>
      <c r="M34" s="20" t="s">
        <v>343</v>
      </c>
      <c r="N34" s="20" t="s">
        <v>14</v>
      </c>
      <c r="O34" s="20">
        <v>2</v>
      </c>
      <c r="P34" s="20">
        <v>4</v>
      </c>
      <c r="Q34" s="13">
        <v>0.69427003530691833</v>
      </c>
      <c r="R34" s="20" t="s">
        <v>249</v>
      </c>
      <c r="S34" s="20">
        <v>0.85</v>
      </c>
      <c r="T34" s="20" t="s">
        <v>249</v>
      </c>
      <c r="U34" s="20" t="s">
        <v>34</v>
      </c>
      <c r="V34" s="20">
        <v>5</v>
      </c>
      <c r="W34" s="20">
        <v>0</v>
      </c>
      <c r="X34" s="20" t="s">
        <v>379</v>
      </c>
      <c r="Y34" s="20" t="s">
        <v>292</v>
      </c>
      <c r="Z34" s="20" t="s">
        <v>60</v>
      </c>
      <c r="AA34" s="20" t="s">
        <v>380</v>
      </c>
    </row>
    <row r="35" spans="1:27" x14ac:dyDescent="0.2">
      <c r="A35" s="20" t="s">
        <v>220</v>
      </c>
      <c r="B35" s="20" t="s">
        <v>324</v>
      </c>
      <c r="C35" s="20" t="s">
        <v>25</v>
      </c>
      <c r="D35" s="20" t="s">
        <v>40</v>
      </c>
      <c r="E35" s="20" t="s">
        <v>344</v>
      </c>
      <c r="F35" s="20" t="s">
        <v>40</v>
      </c>
      <c r="G35" s="20">
        <v>3</v>
      </c>
      <c r="H35" s="20">
        <v>4</v>
      </c>
      <c r="I35" s="13">
        <v>0.75196825396825406</v>
      </c>
      <c r="J35" s="20" t="s">
        <v>248</v>
      </c>
      <c r="K35" s="18">
        <v>0.64800000000000002</v>
      </c>
      <c r="L35" s="20" t="s">
        <v>249</v>
      </c>
      <c r="M35" s="20" t="s">
        <v>403</v>
      </c>
      <c r="N35" s="20" t="s">
        <v>25</v>
      </c>
      <c r="O35" s="20">
        <v>2</v>
      </c>
      <c r="P35" s="20">
        <v>3</v>
      </c>
      <c r="Q35" s="13">
        <v>0.52384786307493458</v>
      </c>
      <c r="R35" s="20" t="s">
        <v>248</v>
      </c>
      <c r="S35" s="20">
        <v>-0.26</v>
      </c>
      <c r="T35" s="20" t="s">
        <v>248</v>
      </c>
      <c r="U35" s="20" t="s">
        <v>25</v>
      </c>
      <c r="V35" s="20">
        <v>4</v>
      </c>
      <c r="W35" s="20">
        <v>3</v>
      </c>
      <c r="X35" s="20" t="s">
        <v>379</v>
      </c>
      <c r="Y35" s="20" t="s">
        <v>292</v>
      </c>
      <c r="Z35" s="20" t="s">
        <v>60</v>
      </c>
      <c r="AA35" s="20" t="s">
        <v>380</v>
      </c>
    </row>
    <row r="36" spans="1:27" x14ac:dyDescent="0.2">
      <c r="A36" s="20" t="s">
        <v>221</v>
      </c>
      <c r="B36" s="20" t="s">
        <v>322</v>
      </c>
      <c r="C36" s="20" t="s">
        <v>20</v>
      </c>
      <c r="D36" s="20" t="s">
        <v>31</v>
      </c>
      <c r="E36" s="20" t="s">
        <v>345</v>
      </c>
      <c r="F36" s="20" t="s">
        <v>31</v>
      </c>
      <c r="G36" s="20">
        <v>3</v>
      </c>
      <c r="H36" s="20">
        <v>4</v>
      </c>
      <c r="I36" s="13">
        <v>0.7439365079365079</v>
      </c>
      <c r="J36" s="20" t="s">
        <v>248</v>
      </c>
      <c r="K36" s="18">
        <v>0.59399999999999997</v>
      </c>
      <c r="L36" s="20" t="s">
        <v>248</v>
      </c>
      <c r="M36" s="20" t="s">
        <v>291</v>
      </c>
      <c r="N36" s="20" t="s">
        <v>31</v>
      </c>
      <c r="O36" s="20">
        <v>2</v>
      </c>
      <c r="P36" s="20">
        <v>3</v>
      </c>
      <c r="Q36" s="13">
        <v>0.63411411850668342</v>
      </c>
      <c r="R36" s="20" t="s">
        <v>249</v>
      </c>
      <c r="S36" s="20">
        <v>0.35</v>
      </c>
      <c r="T36" s="20" t="s">
        <v>248</v>
      </c>
      <c r="U36" s="20" t="s">
        <v>31</v>
      </c>
      <c r="V36" s="20">
        <v>3</v>
      </c>
      <c r="W36" s="20">
        <v>4</v>
      </c>
      <c r="X36" s="20" t="s">
        <v>379</v>
      </c>
      <c r="Y36" s="20" t="s">
        <v>292</v>
      </c>
      <c r="Z36" s="20" t="s">
        <v>60</v>
      </c>
      <c r="AA36" s="20" t="s">
        <v>380</v>
      </c>
    </row>
    <row r="37" spans="1:27" x14ac:dyDescent="0.2">
      <c r="A37" s="20" t="s">
        <v>221</v>
      </c>
      <c r="B37" s="20" t="s">
        <v>322</v>
      </c>
      <c r="C37" s="20" t="s">
        <v>39</v>
      </c>
      <c r="D37" s="20" t="s">
        <v>16</v>
      </c>
      <c r="E37" s="20" t="s">
        <v>346</v>
      </c>
      <c r="F37" s="20" t="s">
        <v>39</v>
      </c>
      <c r="G37" s="20">
        <v>5</v>
      </c>
      <c r="H37" s="20">
        <v>4</v>
      </c>
      <c r="I37" s="13">
        <v>0.59559788359788357</v>
      </c>
      <c r="J37" s="20" t="s">
        <v>249</v>
      </c>
      <c r="K37" s="18">
        <v>0.39600000000000002</v>
      </c>
      <c r="L37" s="20" t="s">
        <v>249</v>
      </c>
      <c r="M37" s="20" t="s">
        <v>404</v>
      </c>
      <c r="N37" s="20" t="s">
        <v>39</v>
      </c>
      <c r="O37" s="20">
        <v>2</v>
      </c>
      <c r="P37" s="20">
        <v>4</v>
      </c>
      <c r="Q37" s="13">
        <v>0.75479145950448245</v>
      </c>
      <c r="R37" s="20" t="s">
        <v>249</v>
      </c>
      <c r="S37" s="20">
        <v>-1.31</v>
      </c>
      <c r="T37" s="20" t="s">
        <v>249</v>
      </c>
      <c r="U37" s="20" t="s">
        <v>16</v>
      </c>
      <c r="V37" s="20">
        <v>2</v>
      </c>
      <c r="W37" s="20">
        <v>3</v>
      </c>
      <c r="X37" s="20" t="s">
        <v>379</v>
      </c>
      <c r="Y37" s="20" t="s">
        <v>292</v>
      </c>
      <c r="Z37" s="20" t="s">
        <v>60</v>
      </c>
      <c r="AA37" s="20" t="s">
        <v>380</v>
      </c>
    </row>
    <row r="38" spans="1:27" x14ac:dyDescent="0.2">
      <c r="A38" s="20" t="s">
        <v>221</v>
      </c>
      <c r="B38" s="20" t="s">
        <v>347</v>
      </c>
      <c r="C38" s="20" t="s">
        <v>28</v>
      </c>
      <c r="D38" s="20" t="s">
        <v>26</v>
      </c>
      <c r="E38" s="20" t="s">
        <v>348</v>
      </c>
      <c r="F38" s="20" t="s">
        <v>26</v>
      </c>
      <c r="G38" s="20">
        <v>2</v>
      </c>
      <c r="H38" s="20">
        <v>3</v>
      </c>
      <c r="I38" s="13">
        <v>0.70020214957327953</v>
      </c>
      <c r="J38" s="20" t="s">
        <v>249</v>
      </c>
      <c r="K38" s="18">
        <v>0.36799999999999999</v>
      </c>
      <c r="L38" s="20" t="s">
        <v>248</v>
      </c>
      <c r="M38" s="20" t="s">
        <v>307</v>
      </c>
      <c r="N38" s="20" t="s">
        <v>28</v>
      </c>
      <c r="O38" s="20">
        <v>2</v>
      </c>
      <c r="P38" s="20">
        <v>3</v>
      </c>
      <c r="Q38" s="13">
        <v>0.46548155836437699</v>
      </c>
      <c r="R38" s="20" t="s">
        <v>248</v>
      </c>
      <c r="S38" s="20">
        <v>-0.03</v>
      </c>
      <c r="T38" s="20" t="s">
        <v>249</v>
      </c>
      <c r="U38" s="20" t="s">
        <v>26</v>
      </c>
      <c r="V38" s="20">
        <v>3</v>
      </c>
      <c r="W38" s="20">
        <v>4</v>
      </c>
      <c r="X38" s="20" t="s">
        <v>379</v>
      </c>
      <c r="Y38" s="20" t="s">
        <v>292</v>
      </c>
      <c r="Z38" s="20" t="s">
        <v>60</v>
      </c>
      <c r="AA38" s="20" t="s">
        <v>380</v>
      </c>
    </row>
    <row r="39" spans="1:27" x14ac:dyDescent="0.2">
      <c r="A39" s="20" t="s">
        <v>221</v>
      </c>
      <c r="B39" s="20" t="s">
        <v>328</v>
      </c>
      <c r="C39" s="20" t="s">
        <v>17</v>
      </c>
      <c r="D39" s="20" t="s">
        <v>11</v>
      </c>
      <c r="E39" s="20" t="s">
        <v>349</v>
      </c>
      <c r="F39" s="20" t="s">
        <v>11</v>
      </c>
      <c r="G39" s="20">
        <v>3</v>
      </c>
      <c r="H39" s="20">
        <v>4</v>
      </c>
      <c r="I39" s="13">
        <v>0.71271640211640208</v>
      </c>
      <c r="J39" s="20" t="s">
        <v>249</v>
      </c>
      <c r="K39" s="18">
        <v>0.317</v>
      </c>
      <c r="L39" s="20" t="s">
        <v>249</v>
      </c>
      <c r="M39" s="20" t="s">
        <v>405</v>
      </c>
      <c r="N39" s="20" t="s">
        <v>11</v>
      </c>
      <c r="O39" s="20">
        <v>2</v>
      </c>
      <c r="P39" s="20">
        <v>4</v>
      </c>
      <c r="Q39" s="13">
        <v>0.7567456775048037</v>
      </c>
      <c r="R39" s="20" t="s">
        <v>249</v>
      </c>
      <c r="S39" s="20">
        <v>1</v>
      </c>
      <c r="T39" s="20" t="s">
        <v>249</v>
      </c>
      <c r="U39" s="20" t="s">
        <v>17</v>
      </c>
      <c r="V39" s="20">
        <v>6</v>
      </c>
      <c r="W39" s="20">
        <v>3</v>
      </c>
      <c r="X39" s="20" t="s">
        <v>379</v>
      </c>
      <c r="Y39" s="20" t="s">
        <v>292</v>
      </c>
      <c r="Z39" s="20" t="s">
        <v>60</v>
      </c>
      <c r="AA39" s="20" t="s">
        <v>380</v>
      </c>
    </row>
    <row r="40" spans="1:27" x14ac:dyDescent="0.2">
      <c r="A40" s="20" t="s">
        <v>221</v>
      </c>
      <c r="B40" s="20" t="s">
        <v>328</v>
      </c>
      <c r="C40" s="20" t="s">
        <v>19</v>
      </c>
      <c r="D40" s="20" t="s">
        <v>18</v>
      </c>
      <c r="E40" s="20" t="s">
        <v>350</v>
      </c>
      <c r="F40" s="20" t="s">
        <v>18</v>
      </c>
      <c r="G40" s="20">
        <v>4</v>
      </c>
      <c r="H40" s="20">
        <v>5</v>
      </c>
      <c r="I40" s="13">
        <v>0.53974867724867714</v>
      </c>
      <c r="J40" s="20" t="s">
        <v>249</v>
      </c>
      <c r="K40" s="18">
        <v>0.46300000000000002</v>
      </c>
      <c r="L40" s="20" t="s">
        <v>248</v>
      </c>
      <c r="M40" s="20" t="s">
        <v>360</v>
      </c>
      <c r="N40" s="20" t="s">
        <v>18</v>
      </c>
      <c r="O40" s="20">
        <v>2</v>
      </c>
      <c r="P40" s="20">
        <v>3</v>
      </c>
      <c r="Q40" s="13">
        <v>0.55269401670466733</v>
      </c>
      <c r="R40" s="20" t="s">
        <v>248</v>
      </c>
      <c r="S40" s="20">
        <v>0.09</v>
      </c>
      <c r="T40" s="20" t="s">
        <v>248</v>
      </c>
      <c r="U40" s="20" t="s">
        <v>18</v>
      </c>
      <c r="V40" s="20">
        <v>2</v>
      </c>
      <c r="W40" s="20">
        <v>5</v>
      </c>
      <c r="X40" s="20" t="s">
        <v>379</v>
      </c>
      <c r="Y40" s="20" t="s">
        <v>292</v>
      </c>
      <c r="Z40" s="20" t="s">
        <v>60</v>
      </c>
      <c r="AA40" s="20" t="s">
        <v>380</v>
      </c>
    </row>
    <row r="41" spans="1:27" x14ac:dyDescent="0.2">
      <c r="A41" s="20" t="s">
        <v>221</v>
      </c>
      <c r="B41" s="20" t="s">
        <v>324</v>
      </c>
      <c r="C41" s="20" t="s">
        <v>12</v>
      </c>
      <c r="D41" s="20" t="s">
        <v>29</v>
      </c>
      <c r="E41" s="20" t="s">
        <v>351</v>
      </c>
      <c r="F41" s="20" t="s">
        <v>12</v>
      </c>
      <c r="G41" s="20">
        <v>4</v>
      </c>
      <c r="H41" s="20">
        <v>3</v>
      </c>
      <c r="I41" s="13">
        <v>0.79329100529100538</v>
      </c>
      <c r="J41" s="20" t="s">
        <v>249</v>
      </c>
      <c r="K41" s="18">
        <v>0.34200000000000003</v>
      </c>
      <c r="L41" s="20" t="s">
        <v>248</v>
      </c>
      <c r="M41" s="20" t="s">
        <v>361</v>
      </c>
      <c r="N41" s="20" t="s">
        <v>12</v>
      </c>
      <c r="O41" s="20">
        <v>1</v>
      </c>
      <c r="P41" s="20">
        <v>6</v>
      </c>
      <c r="Q41" s="13">
        <v>0.93629488580979003</v>
      </c>
      <c r="R41" s="20" t="s">
        <v>249</v>
      </c>
      <c r="S41" s="20">
        <v>-2.83</v>
      </c>
      <c r="T41" s="20" t="s">
        <v>248</v>
      </c>
      <c r="U41" s="20" t="s">
        <v>12</v>
      </c>
      <c r="V41" s="20">
        <v>3</v>
      </c>
      <c r="W41" s="20">
        <v>0</v>
      </c>
      <c r="X41" s="20" t="s">
        <v>379</v>
      </c>
      <c r="Y41" s="20" t="s">
        <v>292</v>
      </c>
      <c r="Z41" s="20" t="s">
        <v>60</v>
      </c>
      <c r="AA41" s="20" t="s">
        <v>380</v>
      </c>
    </row>
    <row r="42" spans="1:27" x14ac:dyDescent="0.2">
      <c r="A42" s="20" t="s">
        <v>221</v>
      </c>
      <c r="B42" s="20" t="s">
        <v>352</v>
      </c>
      <c r="C42" s="20" t="s">
        <v>35</v>
      </c>
      <c r="D42" s="20" t="s">
        <v>30</v>
      </c>
      <c r="E42" s="20" t="s">
        <v>353</v>
      </c>
      <c r="F42" s="20" t="s">
        <v>30</v>
      </c>
      <c r="G42" s="20">
        <v>3</v>
      </c>
      <c r="H42" s="20">
        <v>4</v>
      </c>
      <c r="I42" s="13">
        <v>0.82961190476190472</v>
      </c>
      <c r="J42" s="20" t="s">
        <v>249</v>
      </c>
      <c r="K42" s="18">
        <v>0.44800000000000001</v>
      </c>
      <c r="L42" s="20" t="s">
        <v>249</v>
      </c>
      <c r="M42" s="20" t="s">
        <v>406</v>
      </c>
      <c r="N42" s="20" t="s">
        <v>30</v>
      </c>
      <c r="O42" s="20">
        <v>1</v>
      </c>
      <c r="P42" s="20">
        <v>5</v>
      </c>
      <c r="Q42" s="13">
        <v>0.83238050643354911</v>
      </c>
      <c r="R42" s="20" t="s">
        <v>249</v>
      </c>
      <c r="S42" s="20">
        <v>2.02</v>
      </c>
      <c r="T42" s="20" t="s">
        <v>249</v>
      </c>
      <c r="U42" s="20" t="s">
        <v>35</v>
      </c>
      <c r="V42" s="20">
        <v>2</v>
      </c>
      <c r="W42" s="20">
        <v>1</v>
      </c>
      <c r="X42" s="20" t="s">
        <v>379</v>
      </c>
      <c r="Y42" s="20" t="s">
        <v>292</v>
      </c>
      <c r="Z42" s="20" t="s">
        <v>60</v>
      </c>
      <c r="AA42" s="20" t="s">
        <v>380</v>
      </c>
    </row>
    <row r="43" spans="1:27" x14ac:dyDescent="0.2">
      <c r="A43" s="20" t="s">
        <v>221</v>
      </c>
      <c r="B43" s="20" t="s">
        <v>328</v>
      </c>
      <c r="C43" s="20" t="s">
        <v>24</v>
      </c>
      <c r="D43" s="20" t="s">
        <v>27</v>
      </c>
      <c r="E43" s="20" t="s">
        <v>354</v>
      </c>
      <c r="F43" s="20" t="s">
        <v>24</v>
      </c>
      <c r="G43" s="20">
        <v>4</v>
      </c>
      <c r="H43" s="20">
        <v>3</v>
      </c>
      <c r="I43" s="13">
        <v>0.63601404151404162</v>
      </c>
      <c r="J43" s="20" t="s">
        <v>249</v>
      </c>
      <c r="K43" s="18">
        <v>0.44</v>
      </c>
      <c r="L43" s="20" t="s">
        <v>249</v>
      </c>
      <c r="M43" s="20" t="s">
        <v>407</v>
      </c>
      <c r="N43" s="20" t="s">
        <v>24</v>
      </c>
      <c r="O43" s="20">
        <v>2</v>
      </c>
      <c r="P43" s="20">
        <v>4</v>
      </c>
      <c r="Q43" s="13">
        <v>0.55265687829531895</v>
      </c>
      <c r="R43" s="20" t="s">
        <v>249</v>
      </c>
      <c r="S43" s="20">
        <v>-0.63</v>
      </c>
      <c r="T43" s="20" t="s">
        <v>249</v>
      </c>
      <c r="U43" s="20" t="s">
        <v>27</v>
      </c>
      <c r="V43" s="20">
        <v>3</v>
      </c>
      <c r="W43" s="20">
        <v>6</v>
      </c>
      <c r="X43" s="20" t="s">
        <v>379</v>
      </c>
      <c r="Y43" s="20" t="s">
        <v>292</v>
      </c>
      <c r="Z43" s="20" t="s">
        <v>60</v>
      </c>
      <c r="AA43" s="20" t="s">
        <v>380</v>
      </c>
    </row>
    <row r="44" spans="1:27" x14ac:dyDescent="0.2">
      <c r="A44" s="20" t="s">
        <v>221</v>
      </c>
      <c r="B44" s="20" t="s">
        <v>328</v>
      </c>
      <c r="C44" s="20" t="s">
        <v>32</v>
      </c>
      <c r="D44" s="20" t="s">
        <v>14</v>
      </c>
      <c r="E44" s="20" t="s">
        <v>355</v>
      </c>
      <c r="F44" s="20" t="s">
        <v>14</v>
      </c>
      <c r="G44" s="20">
        <v>3</v>
      </c>
      <c r="H44" s="20">
        <v>4</v>
      </c>
      <c r="I44" s="13">
        <v>0.53547883597883605</v>
      </c>
      <c r="J44" s="20" t="s">
        <v>249</v>
      </c>
      <c r="K44" s="18">
        <v>0.40500000000000003</v>
      </c>
      <c r="L44" s="20" t="s">
        <v>249</v>
      </c>
      <c r="M44" s="20" t="s">
        <v>408</v>
      </c>
      <c r="N44" s="20" t="s">
        <v>14</v>
      </c>
      <c r="O44" s="20">
        <v>2</v>
      </c>
      <c r="P44" s="20">
        <v>4</v>
      </c>
      <c r="Q44" s="13">
        <v>0.62760419841259008</v>
      </c>
      <c r="R44" s="20" t="s">
        <v>249</v>
      </c>
      <c r="S44" s="20">
        <v>0.56000000000000005</v>
      </c>
      <c r="T44" s="20" t="s">
        <v>249</v>
      </c>
      <c r="U44" s="20" t="s">
        <v>32</v>
      </c>
      <c r="V44" s="20">
        <v>3</v>
      </c>
      <c r="W44" s="20">
        <v>2</v>
      </c>
      <c r="X44" s="20" t="s">
        <v>379</v>
      </c>
      <c r="Y44" s="20" t="s">
        <v>292</v>
      </c>
      <c r="Z44" s="20" t="s">
        <v>60</v>
      </c>
      <c r="AA44" s="20" t="s">
        <v>380</v>
      </c>
    </row>
    <row r="45" spans="1:27" x14ac:dyDescent="0.2">
      <c r="A45" s="20" t="s">
        <v>221</v>
      </c>
      <c r="B45" s="20" t="s">
        <v>328</v>
      </c>
      <c r="C45" s="20" t="s">
        <v>36</v>
      </c>
      <c r="D45" s="20" t="s">
        <v>33</v>
      </c>
      <c r="E45" s="20" t="s">
        <v>356</v>
      </c>
      <c r="F45" s="20" t="s">
        <v>33</v>
      </c>
      <c r="G45" s="20">
        <v>4</v>
      </c>
      <c r="H45" s="20">
        <v>5</v>
      </c>
      <c r="I45" s="13">
        <v>0.57873187202660858</v>
      </c>
      <c r="J45" s="20" t="s">
        <v>248</v>
      </c>
      <c r="K45" s="18">
        <v>0.627</v>
      </c>
      <c r="L45" s="20" t="s">
        <v>249</v>
      </c>
      <c r="M45" s="20" t="s">
        <v>409</v>
      </c>
      <c r="N45" s="20" t="s">
        <v>33</v>
      </c>
      <c r="O45" s="20">
        <v>2</v>
      </c>
      <c r="P45" s="20">
        <v>3</v>
      </c>
      <c r="Q45" s="13">
        <v>0.5625647207386173</v>
      </c>
      <c r="R45" s="20" t="s">
        <v>248</v>
      </c>
      <c r="S45" s="20">
        <v>0.16</v>
      </c>
      <c r="T45" s="20" t="s">
        <v>249</v>
      </c>
      <c r="U45" s="20" t="s">
        <v>36</v>
      </c>
      <c r="V45" s="20">
        <v>3</v>
      </c>
      <c r="W45" s="20">
        <v>2</v>
      </c>
      <c r="X45" s="20" t="s">
        <v>379</v>
      </c>
      <c r="Y45" s="20" t="s">
        <v>292</v>
      </c>
      <c r="Z45" s="20" t="s">
        <v>60</v>
      </c>
      <c r="AA45" s="20" t="s">
        <v>380</v>
      </c>
    </row>
    <row r="46" spans="1:27" x14ac:dyDescent="0.2">
      <c r="A46" s="20" t="s">
        <v>221</v>
      </c>
      <c r="B46" s="20" t="s">
        <v>326</v>
      </c>
      <c r="C46" s="20" t="s">
        <v>15</v>
      </c>
      <c r="D46" s="20" t="s">
        <v>55</v>
      </c>
      <c r="E46" s="20" t="s">
        <v>357</v>
      </c>
      <c r="F46" s="20" t="s">
        <v>55</v>
      </c>
      <c r="G46" s="20">
        <v>3</v>
      </c>
      <c r="H46" s="20">
        <v>4</v>
      </c>
      <c r="I46" s="13">
        <v>0.6337840563691628</v>
      </c>
      <c r="J46" s="20" t="s">
        <v>249</v>
      </c>
      <c r="K46" s="18">
        <v>0.313</v>
      </c>
      <c r="L46" s="20" t="s">
        <v>248</v>
      </c>
      <c r="M46" s="20" t="s">
        <v>362</v>
      </c>
      <c r="N46" s="20" t="s">
        <v>55</v>
      </c>
      <c r="O46" s="20">
        <v>2</v>
      </c>
      <c r="P46" s="20">
        <v>3</v>
      </c>
      <c r="Q46" s="13">
        <v>0.51017063196028578</v>
      </c>
      <c r="R46" s="20" t="s">
        <v>248</v>
      </c>
      <c r="S46" s="20">
        <v>0.25</v>
      </c>
      <c r="T46" s="20" t="s">
        <v>248</v>
      </c>
      <c r="U46" s="20" t="s">
        <v>55</v>
      </c>
      <c r="V46" s="20">
        <v>2</v>
      </c>
      <c r="W46" s="20">
        <v>3</v>
      </c>
      <c r="X46" s="20" t="s">
        <v>379</v>
      </c>
      <c r="Y46" s="20" t="s">
        <v>292</v>
      </c>
      <c r="Z46" s="20" t="s">
        <v>60</v>
      </c>
      <c r="AA46" s="20" t="s">
        <v>380</v>
      </c>
    </row>
    <row r="47" spans="1:27" x14ac:dyDescent="0.2">
      <c r="A47" s="20" t="s">
        <v>221</v>
      </c>
      <c r="B47" s="20" t="s">
        <v>328</v>
      </c>
      <c r="C47" s="20" t="s">
        <v>37</v>
      </c>
      <c r="D47" s="20" t="s">
        <v>22</v>
      </c>
      <c r="E47" s="20" t="s">
        <v>358</v>
      </c>
      <c r="F47" s="20" t="s">
        <v>22</v>
      </c>
      <c r="G47" s="20">
        <v>3</v>
      </c>
      <c r="H47" s="20">
        <v>4</v>
      </c>
      <c r="I47" s="13">
        <v>0.64363278171788785</v>
      </c>
      <c r="J47" s="20" t="s">
        <v>248</v>
      </c>
      <c r="K47" s="18">
        <v>0.54700000000000004</v>
      </c>
      <c r="L47" s="20" t="s">
        <v>249</v>
      </c>
      <c r="M47" s="20" t="s">
        <v>410</v>
      </c>
      <c r="N47" s="20" t="s">
        <v>22</v>
      </c>
      <c r="O47" s="20">
        <v>2</v>
      </c>
      <c r="P47" s="20">
        <v>3</v>
      </c>
      <c r="Q47" s="13">
        <v>0.5417979763641656</v>
      </c>
      <c r="R47" s="20" t="s">
        <v>249</v>
      </c>
      <c r="S47" s="20">
        <v>0.32</v>
      </c>
      <c r="T47" s="20" t="s">
        <v>249</v>
      </c>
      <c r="U47" s="20" t="s">
        <v>37</v>
      </c>
      <c r="V47" s="20">
        <v>5</v>
      </c>
      <c r="W47" s="20">
        <v>3</v>
      </c>
      <c r="X47" s="20" t="s">
        <v>379</v>
      </c>
      <c r="Y47" s="20" t="s">
        <v>292</v>
      </c>
      <c r="Z47" s="20" t="s">
        <v>60</v>
      </c>
      <c r="AA47" s="20" t="s">
        <v>380</v>
      </c>
    </row>
    <row r="48" spans="1:27" x14ac:dyDescent="0.2">
      <c r="A48" s="20" t="s">
        <v>222</v>
      </c>
      <c r="B48" s="20" t="s">
        <v>347</v>
      </c>
      <c r="C48" s="20" t="s">
        <v>25</v>
      </c>
      <c r="D48" s="20" t="s">
        <v>23</v>
      </c>
      <c r="E48" s="20" t="s">
        <v>363</v>
      </c>
      <c r="F48" s="20" t="s">
        <v>25</v>
      </c>
      <c r="G48" s="20">
        <v>4</v>
      </c>
      <c r="H48" s="20">
        <v>3</v>
      </c>
      <c r="I48" s="13">
        <v>0.746</v>
      </c>
      <c r="J48" s="20" t="s">
        <v>249</v>
      </c>
      <c r="K48" s="18">
        <v>0.33900000000000002</v>
      </c>
      <c r="L48" s="20" t="s">
        <v>249</v>
      </c>
      <c r="M48" s="20" t="s">
        <v>411</v>
      </c>
      <c r="N48" s="20" t="s">
        <v>25</v>
      </c>
      <c r="O48" s="20">
        <v>4</v>
      </c>
      <c r="P48" s="20">
        <v>2</v>
      </c>
      <c r="Q48" s="13">
        <v>0.70099999999999996</v>
      </c>
      <c r="R48" s="20" t="s">
        <v>249</v>
      </c>
      <c r="S48" s="20">
        <v>-1.1599999999999999</v>
      </c>
      <c r="T48" s="20" t="s">
        <v>249</v>
      </c>
      <c r="U48" s="20" t="s">
        <v>23</v>
      </c>
      <c r="V48" s="20">
        <v>1</v>
      </c>
      <c r="W48" s="20">
        <v>4</v>
      </c>
      <c r="X48" s="20" t="s">
        <v>379</v>
      </c>
      <c r="Y48" s="20" t="s">
        <v>292</v>
      </c>
      <c r="Z48" s="20" t="s">
        <v>359</v>
      </c>
      <c r="AA48" s="20" t="s">
        <v>380</v>
      </c>
    </row>
    <row r="49" spans="1:27" x14ac:dyDescent="0.2">
      <c r="A49" s="20" t="s">
        <v>222</v>
      </c>
      <c r="B49" s="20" t="s">
        <v>328</v>
      </c>
      <c r="C49" s="20" t="s">
        <v>12</v>
      </c>
      <c r="D49" s="20" t="s">
        <v>10</v>
      </c>
      <c r="E49" s="20" t="s">
        <v>364</v>
      </c>
      <c r="F49" s="20" t="s">
        <v>12</v>
      </c>
      <c r="G49" s="20">
        <v>5</v>
      </c>
      <c r="H49" s="20">
        <v>4</v>
      </c>
      <c r="I49" s="13">
        <v>0.65200000000000002</v>
      </c>
      <c r="J49" s="20" t="s">
        <v>248</v>
      </c>
      <c r="K49" s="18">
        <v>0.53400000000000003</v>
      </c>
      <c r="L49" s="20" t="s">
        <v>248</v>
      </c>
      <c r="M49" s="20" t="s">
        <v>361</v>
      </c>
      <c r="N49" s="20" t="s">
        <v>12</v>
      </c>
      <c r="O49" s="20">
        <v>4</v>
      </c>
      <c r="P49" s="20">
        <v>2</v>
      </c>
      <c r="Q49" s="13">
        <v>0.73299999999999998</v>
      </c>
      <c r="R49" s="20" t="s">
        <v>249</v>
      </c>
      <c r="S49" s="20">
        <v>-1.5</v>
      </c>
      <c r="T49" s="20" t="s">
        <v>248</v>
      </c>
      <c r="U49" s="20" t="s">
        <v>12</v>
      </c>
      <c r="V49" s="20">
        <v>1</v>
      </c>
      <c r="W49" s="20">
        <v>0</v>
      </c>
      <c r="X49" s="20" t="s">
        <v>379</v>
      </c>
      <c r="Y49" s="20" t="s">
        <v>292</v>
      </c>
      <c r="Z49" s="20" t="s">
        <v>359</v>
      </c>
      <c r="AA49" s="20" t="s">
        <v>380</v>
      </c>
    </row>
    <row r="50" spans="1:27" x14ac:dyDescent="0.2">
      <c r="A50" s="20" t="s">
        <v>222</v>
      </c>
      <c r="B50" s="20" t="s">
        <v>365</v>
      </c>
      <c r="C50" s="20" t="s">
        <v>32</v>
      </c>
      <c r="D50" s="20" t="s">
        <v>30</v>
      </c>
      <c r="E50" s="20" t="s">
        <v>366</v>
      </c>
      <c r="F50" s="20" t="s">
        <v>32</v>
      </c>
      <c r="G50" s="20">
        <v>5</v>
      </c>
      <c r="H50" s="20">
        <v>4</v>
      </c>
      <c r="I50" s="13">
        <v>0.57899999999999996</v>
      </c>
      <c r="J50" s="20" t="s">
        <v>249</v>
      </c>
      <c r="K50" s="18">
        <v>0.48799999999999999</v>
      </c>
      <c r="L50" s="20" t="s">
        <v>249</v>
      </c>
      <c r="M50" s="20" t="s">
        <v>412</v>
      </c>
      <c r="N50" s="20" t="s">
        <v>30</v>
      </c>
      <c r="O50" s="20">
        <v>2</v>
      </c>
      <c r="P50" s="20">
        <v>4</v>
      </c>
      <c r="Q50" s="13">
        <v>0.61299999999999999</v>
      </c>
      <c r="R50" s="20" t="s">
        <v>249</v>
      </c>
      <c r="S50" s="20">
        <v>0.56999999999999995</v>
      </c>
      <c r="T50" s="20" t="s">
        <v>248</v>
      </c>
      <c r="U50" s="20" t="s">
        <v>30</v>
      </c>
      <c r="V50" s="20">
        <v>0</v>
      </c>
      <c r="W50" s="20">
        <v>1</v>
      </c>
      <c r="X50" s="20" t="s">
        <v>379</v>
      </c>
      <c r="Y50" s="20" t="s">
        <v>292</v>
      </c>
      <c r="Z50" s="20" t="s">
        <v>359</v>
      </c>
      <c r="AA50" s="20" t="s">
        <v>380</v>
      </c>
    </row>
    <row r="51" spans="1:27" x14ac:dyDescent="0.2">
      <c r="A51" s="20" t="s">
        <v>222</v>
      </c>
      <c r="B51" s="20" t="s">
        <v>324</v>
      </c>
      <c r="C51" s="20" t="s">
        <v>21</v>
      </c>
      <c r="D51" s="20" t="s">
        <v>33</v>
      </c>
      <c r="E51" s="20" t="s">
        <v>367</v>
      </c>
      <c r="F51" s="20" t="s">
        <v>33</v>
      </c>
      <c r="G51" s="20">
        <v>3</v>
      </c>
      <c r="H51" s="20">
        <v>4</v>
      </c>
      <c r="I51" s="13">
        <v>0.51900000000000002</v>
      </c>
      <c r="J51" s="20" t="s">
        <v>249</v>
      </c>
      <c r="K51" s="18">
        <v>0.27900000000000003</v>
      </c>
      <c r="L51" s="20" t="s">
        <v>248</v>
      </c>
      <c r="M51" s="20" t="s">
        <v>309</v>
      </c>
      <c r="N51" s="20" t="s">
        <v>21</v>
      </c>
      <c r="O51" s="20">
        <v>3</v>
      </c>
      <c r="P51" s="20">
        <v>2</v>
      </c>
      <c r="Q51" s="13">
        <v>0.49399999999999999</v>
      </c>
      <c r="R51" s="20" t="s">
        <v>248</v>
      </c>
      <c r="S51" s="20">
        <v>-0.26</v>
      </c>
      <c r="T51" s="20" t="s">
        <v>249</v>
      </c>
      <c r="U51" s="20" t="s">
        <v>33</v>
      </c>
      <c r="V51" s="20">
        <v>1</v>
      </c>
      <c r="W51" s="20">
        <v>3</v>
      </c>
      <c r="X51" s="20" t="s">
        <v>379</v>
      </c>
      <c r="Y51" s="20" t="s">
        <v>292</v>
      </c>
      <c r="Z51" s="20" t="s">
        <v>359</v>
      </c>
      <c r="AA51" s="20" t="s">
        <v>380</v>
      </c>
    </row>
    <row r="52" spans="1:27" x14ac:dyDescent="0.2">
      <c r="A52" s="20" t="s">
        <v>222</v>
      </c>
      <c r="B52" s="20" t="s">
        <v>326</v>
      </c>
      <c r="C52" s="20" t="s">
        <v>16</v>
      </c>
      <c r="D52" s="20" t="s">
        <v>38</v>
      </c>
      <c r="E52" s="20" t="s">
        <v>368</v>
      </c>
      <c r="F52" s="20" t="s">
        <v>16</v>
      </c>
      <c r="G52" s="20">
        <v>4</v>
      </c>
      <c r="H52" s="20">
        <v>2</v>
      </c>
      <c r="I52" s="13">
        <v>0.53600000000000003</v>
      </c>
      <c r="J52" s="20" t="s">
        <v>249</v>
      </c>
      <c r="K52" s="18">
        <v>0.182</v>
      </c>
      <c r="L52" s="20" t="s">
        <v>248</v>
      </c>
      <c r="M52" s="20" t="s">
        <v>372</v>
      </c>
      <c r="N52" s="20" t="s">
        <v>38</v>
      </c>
      <c r="O52" s="20">
        <v>2</v>
      </c>
      <c r="P52" s="20">
        <v>3</v>
      </c>
      <c r="Q52" s="13">
        <v>0.59</v>
      </c>
      <c r="R52" s="20" t="s">
        <v>249</v>
      </c>
      <c r="S52" s="20">
        <v>0.39</v>
      </c>
      <c r="T52" s="20" t="s">
        <v>249</v>
      </c>
      <c r="U52" s="20" t="s">
        <v>16</v>
      </c>
      <c r="V52" s="20">
        <v>5</v>
      </c>
      <c r="W52" s="20">
        <v>2</v>
      </c>
      <c r="X52" s="20" t="s">
        <v>379</v>
      </c>
      <c r="Y52" s="20" t="s">
        <v>292</v>
      </c>
      <c r="Z52" s="20" t="s">
        <v>359</v>
      </c>
      <c r="AA52" s="20" t="s">
        <v>380</v>
      </c>
    </row>
    <row r="53" spans="1:27" x14ac:dyDescent="0.2">
      <c r="A53" s="20" t="s">
        <v>222</v>
      </c>
      <c r="B53" s="20" t="s">
        <v>369</v>
      </c>
      <c r="C53" s="20" t="s">
        <v>34</v>
      </c>
      <c r="D53" s="20" t="s">
        <v>40</v>
      </c>
      <c r="E53" s="20" t="s">
        <v>370</v>
      </c>
      <c r="F53" s="20" t="s">
        <v>40</v>
      </c>
      <c r="G53" s="20">
        <v>3</v>
      </c>
      <c r="H53" s="20">
        <v>4</v>
      </c>
      <c r="I53" s="13">
        <v>0.78</v>
      </c>
      <c r="J53" s="20" t="s">
        <v>249</v>
      </c>
      <c r="K53" s="18">
        <v>0.24199999999999999</v>
      </c>
      <c r="L53" s="20" t="s">
        <v>249</v>
      </c>
      <c r="M53" s="20" t="s">
        <v>413</v>
      </c>
      <c r="N53" s="20" t="s">
        <v>40</v>
      </c>
      <c r="O53" s="20">
        <v>2</v>
      </c>
      <c r="P53" s="20">
        <v>4</v>
      </c>
      <c r="Q53" s="13">
        <v>0.63400000000000001</v>
      </c>
      <c r="R53" s="20" t="s">
        <v>249</v>
      </c>
      <c r="S53" s="20">
        <v>0.53</v>
      </c>
      <c r="T53" s="20" t="s">
        <v>249</v>
      </c>
      <c r="U53" s="20" t="s">
        <v>34</v>
      </c>
      <c r="V53" s="20">
        <v>3</v>
      </c>
      <c r="W53" s="20">
        <v>0</v>
      </c>
      <c r="X53" s="20" t="s">
        <v>379</v>
      </c>
      <c r="Y53" s="20" t="s">
        <v>292</v>
      </c>
      <c r="Z53" s="20" t="s">
        <v>359</v>
      </c>
      <c r="AA53" s="20" t="s">
        <v>380</v>
      </c>
    </row>
    <row r="54" spans="1:27" x14ac:dyDescent="0.2">
      <c r="A54" s="20" t="s">
        <v>223</v>
      </c>
      <c r="B54" s="20" t="s">
        <v>326</v>
      </c>
      <c r="C54" s="20" t="s">
        <v>36</v>
      </c>
      <c r="D54" s="20" t="s">
        <v>13</v>
      </c>
      <c r="E54" s="20" t="s">
        <v>373</v>
      </c>
      <c r="F54" s="20" t="s">
        <v>36</v>
      </c>
      <c r="G54" s="20">
        <v>5</v>
      </c>
      <c r="H54" s="20">
        <v>4</v>
      </c>
      <c r="I54" s="13">
        <v>0.60899999999999999</v>
      </c>
      <c r="J54" s="20" t="s">
        <v>249</v>
      </c>
      <c r="K54" s="18">
        <v>0.40400000000000003</v>
      </c>
      <c r="L54" s="20" t="s">
        <v>249</v>
      </c>
      <c r="M54" s="20" t="s">
        <v>414</v>
      </c>
      <c r="N54" s="20" t="s">
        <v>13</v>
      </c>
      <c r="O54" s="20">
        <v>2</v>
      </c>
      <c r="P54" s="20">
        <v>3</v>
      </c>
      <c r="Q54" s="13">
        <v>0.53200000000000003</v>
      </c>
      <c r="R54" s="20" t="s">
        <v>248</v>
      </c>
      <c r="S54" s="20">
        <v>0.09</v>
      </c>
      <c r="T54" s="20" t="s">
        <v>249</v>
      </c>
      <c r="U54" s="20" t="s">
        <v>60</v>
      </c>
      <c r="V54" s="20"/>
      <c r="W54" s="20"/>
      <c r="X54" s="20" t="s">
        <v>379</v>
      </c>
      <c r="Y54" s="20" t="s">
        <v>292</v>
      </c>
      <c r="Z54" s="20" t="s">
        <v>371</v>
      </c>
      <c r="AA54" s="20" t="s">
        <v>380</v>
      </c>
    </row>
    <row r="55" spans="1:27" x14ac:dyDescent="0.2">
      <c r="A55" s="20" t="s">
        <v>223</v>
      </c>
      <c r="B55" s="20" t="s">
        <v>328</v>
      </c>
      <c r="C55" s="20" t="s">
        <v>26</v>
      </c>
      <c r="D55" s="20" t="s">
        <v>24</v>
      </c>
      <c r="E55" s="20" t="s">
        <v>374</v>
      </c>
      <c r="F55" s="20" t="s">
        <v>24</v>
      </c>
      <c r="G55" s="20">
        <v>3</v>
      </c>
      <c r="H55" s="20">
        <v>4</v>
      </c>
      <c r="I55" s="13">
        <v>0.77800000000000002</v>
      </c>
      <c r="J55" s="20" t="s">
        <v>249</v>
      </c>
      <c r="K55" s="18">
        <v>0.39800000000000002</v>
      </c>
      <c r="L55" s="20" t="s">
        <v>249</v>
      </c>
      <c r="M55" s="20" t="s">
        <v>415</v>
      </c>
      <c r="N55" s="20" t="s">
        <v>24</v>
      </c>
      <c r="O55" s="20">
        <v>2</v>
      </c>
      <c r="P55" s="20">
        <v>4</v>
      </c>
      <c r="Q55" s="13">
        <v>0.71599999999999997</v>
      </c>
      <c r="R55" s="20" t="s">
        <v>249</v>
      </c>
      <c r="S55" s="20">
        <v>0.78</v>
      </c>
      <c r="T55" s="20" t="s">
        <v>249</v>
      </c>
      <c r="U55" s="20" t="s">
        <v>60</v>
      </c>
      <c r="V55" s="20"/>
      <c r="W55" s="20"/>
      <c r="X55" s="20" t="s">
        <v>379</v>
      </c>
      <c r="Y55" s="20" t="s">
        <v>292</v>
      </c>
      <c r="Z55" s="20" t="s">
        <v>371</v>
      </c>
      <c r="AA55" s="20" t="s">
        <v>380</v>
      </c>
    </row>
    <row r="56" spans="1:27" x14ac:dyDescent="0.2">
      <c r="A56" s="20" t="s">
        <v>223</v>
      </c>
      <c r="B56" s="20" t="s">
        <v>324</v>
      </c>
      <c r="C56" s="20" t="s">
        <v>11</v>
      </c>
      <c r="D56" s="20" t="s">
        <v>29</v>
      </c>
      <c r="E56" s="20" t="s">
        <v>375</v>
      </c>
      <c r="F56" s="20" t="s">
        <v>11</v>
      </c>
      <c r="G56" s="20">
        <v>5</v>
      </c>
      <c r="H56" s="20">
        <v>4</v>
      </c>
      <c r="I56" s="13">
        <v>0.50600000000000001</v>
      </c>
      <c r="J56" s="20" t="s">
        <v>249</v>
      </c>
      <c r="K56" s="18">
        <v>0.22700000000000001</v>
      </c>
      <c r="L56" s="20" t="s">
        <v>249</v>
      </c>
      <c r="M56" s="20" t="s">
        <v>416</v>
      </c>
      <c r="N56" s="20" t="s">
        <v>11</v>
      </c>
      <c r="O56" s="20">
        <v>4</v>
      </c>
      <c r="P56" s="20">
        <v>2</v>
      </c>
      <c r="Q56" s="13">
        <v>0.59099999999999997</v>
      </c>
      <c r="R56" s="20" t="s">
        <v>249</v>
      </c>
      <c r="S56" s="20">
        <v>-0.98</v>
      </c>
      <c r="T56" s="20" t="s">
        <v>249</v>
      </c>
      <c r="U56" s="20" t="s">
        <v>60</v>
      </c>
      <c r="V56" s="20"/>
      <c r="W56" s="20"/>
      <c r="X56" s="20" t="s">
        <v>379</v>
      </c>
      <c r="Y56" s="20" t="s">
        <v>292</v>
      </c>
      <c r="Z56" s="20" t="s">
        <v>371</v>
      </c>
      <c r="AA56" s="20" t="s">
        <v>380</v>
      </c>
    </row>
    <row r="57" spans="1:27" x14ac:dyDescent="0.2">
      <c r="A57" s="20" t="s">
        <v>223</v>
      </c>
      <c r="B57" s="20" t="s">
        <v>328</v>
      </c>
      <c r="C57" s="20" t="s">
        <v>35</v>
      </c>
      <c r="D57" s="20" t="s">
        <v>15</v>
      </c>
      <c r="E57" s="20" t="s">
        <v>376</v>
      </c>
      <c r="F57" s="20" t="s">
        <v>15</v>
      </c>
      <c r="G57" s="20">
        <v>3</v>
      </c>
      <c r="H57" s="20">
        <v>4</v>
      </c>
      <c r="I57" s="13">
        <v>0.63800000000000001</v>
      </c>
      <c r="J57" s="20" t="s">
        <v>249</v>
      </c>
      <c r="K57" s="18">
        <v>0.35499999999999998</v>
      </c>
      <c r="L57" s="20" t="s">
        <v>249</v>
      </c>
      <c r="M57" s="20" t="s">
        <v>417</v>
      </c>
      <c r="N57" s="20" t="s">
        <v>15</v>
      </c>
      <c r="O57" s="20">
        <v>2</v>
      </c>
      <c r="P57" s="20">
        <v>4</v>
      </c>
      <c r="Q57" s="13">
        <v>0.7</v>
      </c>
      <c r="R57" s="20" t="s">
        <v>249</v>
      </c>
      <c r="S57" s="20">
        <v>1.2</v>
      </c>
      <c r="T57" s="20" t="s">
        <v>249</v>
      </c>
      <c r="U57" s="20" t="s">
        <v>60</v>
      </c>
      <c r="V57" s="20"/>
      <c r="W57" s="20"/>
      <c r="X57" s="20" t="s">
        <v>379</v>
      </c>
      <c r="Y57" s="20" t="s">
        <v>292</v>
      </c>
      <c r="Z57" s="20" t="s">
        <v>371</v>
      </c>
      <c r="AA57" s="20" t="s">
        <v>380</v>
      </c>
    </row>
    <row r="58" spans="1:27" x14ac:dyDescent="0.2">
      <c r="A58" s="20" t="s">
        <v>223</v>
      </c>
      <c r="B58" s="20" t="s">
        <v>328</v>
      </c>
      <c r="C58" s="20" t="s">
        <v>27</v>
      </c>
      <c r="D58" s="20" t="s">
        <v>37</v>
      </c>
      <c r="E58" s="20" t="s">
        <v>377</v>
      </c>
      <c r="F58" s="20" t="s">
        <v>37</v>
      </c>
      <c r="G58" s="20">
        <v>2</v>
      </c>
      <c r="H58" s="20">
        <v>3</v>
      </c>
      <c r="I58" s="13">
        <v>0.71899999999999997</v>
      </c>
      <c r="J58" s="20" t="s">
        <v>248</v>
      </c>
      <c r="K58" s="18">
        <v>0.501</v>
      </c>
      <c r="L58" s="20" t="s">
        <v>249</v>
      </c>
      <c r="M58" s="20" t="s">
        <v>418</v>
      </c>
      <c r="N58" s="20" t="s">
        <v>37</v>
      </c>
      <c r="O58" s="20">
        <v>2</v>
      </c>
      <c r="P58" s="20">
        <v>4</v>
      </c>
      <c r="Q58" s="13">
        <v>0.627</v>
      </c>
      <c r="R58" s="20" t="s">
        <v>249</v>
      </c>
      <c r="S58" s="20">
        <v>0.63</v>
      </c>
      <c r="T58" s="20" t="s">
        <v>249</v>
      </c>
      <c r="U58" s="20" t="s">
        <v>60</v>
      </c>
      <c r="V58" s="20"/>
      <c r="W58" s="20"/>
      <c r="X58" s="20" t="s">
        <v>379</v>
      </c>
      <c r="Y58" s="20" t="s">
        <v>292</v>
      </c>
      <c r="Z58" s="20" t="s">
        <v>371</v>
      </c>
      <c r="AA58" s="20" t="s">
        <v>380</v>
      </c>
    </row>
    <row r="59" spans="1:27" x14ac:dyDescent="0.2">
      <c r="A59" s="20" t="s">
        <v>223</v>
      </c>
      <c r="B59" s="20" t="s">
        <v>326</v>
      </c>
      <c r="C59" s="20" t="s">
        <v>20</v>
      </c>
      <c r="D59" s="20" t="s">
        <v>55</v>
      </c>
      <c r="E59" s="20" t="s">
        <v>337</v>
      </c>
      <c r="F59" s="20" t="s">
        <v>55</v>
      </c>
      <c r="G59" s="20">
        <v>3</v>
      </c>
      <c r="H59" s="20">
        <v>4</v>
      </c>
      <c r="I59" s="13">
        <v>0.754</v>
      </c>
      <c r="J59" s="20" t="s">
        <v>249</v>
      </c>
      <c r="K59" s="18">
        <v>0.438</v>
      </c>
      <c r="L59" s="20" t="s">
        <v>249</v>
      </c>
      <c r="M59" s="20" t="s">
        <v>419</v>
      </c>
      <c r="N59" s="20" t="s">
        <v>20</v>
      </c>
      <c r="O59" s="20">
        <v>3</v>
      </c>
      <c r="P59" s="20">
        <v>2</v>
      </c>
      <c r="Q59" s="13">
        <v>0.46800000000000003</v>
      </c>
      <c r="R59" s="20" t="s">
        <v>248</v>
      </c>
      <c r="S59" s="20">
        <v>-0.28999999999999998</v>
      </c>
      <c r="T59" s="20" t="s">
        <v>249</v>
      </c>
      <c r="U59" s="20" t="s">
        <v>60</v>
      </c>
      <c r="V59" s="20"/>
      <c r="W59" s="20"/>
      <c r="X59" s="20" t="s">
        <v>379</v>
      </c>
      <c r="Y59" s="20" t="s">
        <v>292</v>
      </c>
      <c r="Z59" s="20" t="s">
        <v>371</v>
      </c>
      <c r="AA59" s="20" t="s">
        <v>380</v>
      </c>
    </row>
    <row r="60" spans="1:27" x14ac:dyDescent="0.2">
      <c r="A60" s="20" t="s">
        <v>223</v>
      </c>
      <c r="B60" s="20" t="s">
        <v>328</v>
      </c>
      <c r="C60" s="20" t="s">
        <v>28</v>
      </c>
      <c r="D60" s="20" t="s">
        <v>22</v>
      </c>
      <c r="E60" s="20" t="s">
        <v>378</v>
      </c>
      <c r="F60" s="20" t="s">
        <v>22</v>
      </c>
      <c r="G60" s="20">
        <v>3</v>
      </c>
      <c r="H60" s="20">
        <v>4</v>
      </c>
      <c r="I60" s="13">
        <v>0.59399999999999997</v>
      </c>
      <c r="J60" s="20" t="s">
        <v>249</v>
      </c>
      <c r="K60" s="18">
        <v>0.48699999999999999</v>
      </c>
      <c r="L60" s="20" t="s">
        <v>249</v>
      </c>
      <c r="M60" s="20" t="s">
        <v>420</v>
      </c>
      <c r="N60" s="20" t="s">
        <v>22</v>
      </c>
      <c r="O60" s="20">
        <v>2</v>
      </c>
      <c r="P60" s="20">
        <v>4</v>
      </c>
      <c r="Q60" s="13">
        <v>0.64500000000000002</v>
      </c>
      <c r="R60" s="20" t="s">
        <v>249</v>
      </c>
      <c r="S60" s="20">
        <v>0.8</v>
      </c>
      <c r="T60" s="20" t="s">
        <v>249</v>
      </c>
      <c r="U60" s="20" t="s">
        <v>60</v>
      </c>
      <c r="V60" s="20"/>
      <c r="W60" s="20"/>
      <c r="X60" s="20" t="s">
        <v>379</v>
      </c>
      <c r="Y60" s="20" t="s">
        <v>292</v>
      </c>
      <c r="Z60" s="20" t="s">
        <v>371</v>
      </c>
      <c r="AA60" s="20" t="s">
        <v>380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2025-11-26T21:57:46Z</dcterms:modified>
</cp:coreProperties>
</file>