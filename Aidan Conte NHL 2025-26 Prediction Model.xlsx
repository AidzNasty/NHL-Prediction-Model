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098" documentId="14_{BC0C37BD-5950-BD49-823D-87212FE79B51}" xr6:coauthVersionLast="47" xr6:coauthVersionMax="47" xr10:uidLastSave="{35155B66-DBDF-654F-845B-B599E6583836}"/>
  <bookViews>
    <workbookView xWindow="0" yWindow="680" windowWidth="29400" windowHeight="17040" activeTab="2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1" r:id="rId5"/>
    <sheet name="Sheet2" sheetId="9" r:id="rId6"/>
  </sheets>
  <definedNames>
    <definedName name="ExternalData_1" localSheetId="0" hidden="1">'NHL2025-26Results'!$A$1:$J$1313</definedName>
    <definedName name="ExternalData_3" localSheetId="4" hidden="1">'ML Prediction Model'!$A$1:$AA$105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7"/>
    <pivotCache cacheId="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3" i="4" l="1"/>
  <c r="M402" i="4"/>
  <c r="G397" i="1"/>
  <c r="H397" i="1" s="1"/>
  <c r="I397" i="1"/>
  <c r="G398" i="1"/>
  <c r="H398" i="1"/>
  <c r="I398" i="1"/>
  <c r="J398" i="1" s="1"/>
  <c r="G399" i="1"/>
  <c r="H399" i="1"/>
  <c r="I399" i="1"/>
  <c r="J399" i="1" s="1"/>
  <c r="G400" i="1"/>
  <c r="H400" i="1"/>
  <c r="I400" i="1"/>
  <c r="J400" i="1" s="1"/>
  <c r="G401" i="1"/>
  <c r="H401" i="1"/>
  <c r="I401" i="1"/>
  <c r="J401" i="1" s="1"/>
  <c r="G402" i="1"/>
  <c r="H402" i="1"/>
  <c r="I402" i="1"/>
  <c r="J402" i="1" s="1"/>
  <c r="G403" i="1"/>
  <c r="H403" i="1"/>
  <c r="I403" i="1"/>
  <c r="J403" i="1" s="1"/>
  <c r="G404" i="1"/>
  <c r="H404" i="1"/>
  <c r="I404" i="1"/>
  <c r="J404" i="1" s="1"/>
  <c r="G405" i="1"/>
  <c r="H405" i="1"/>
  <c r="I405" i="1"/>
  <c r="J405" i="1" s="1"/>
  <c r="G406" i="1"/>
  <c r="H406" i="1"/>
  <c r="I406" i="1"/>
  <c r="J406" i="1" s="1"/>
  <c r="G407" i="1"/>
  <c r="H407" i="1"/>
  <c r="I407" i="1"/>
  <c r="J407" i="1" s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H384" i="1" s="1"/>
  <c r="I384" i="1"/>
  <c r="G385" i="1"/>
  <c r="I385" i="1"/>
  <c r="G386" i="1"/>
  <c r="I386" i="1"/>
  <c r="G387" i="1"/>
  <c r="I387" i="1"/>
  <c r="G388" i="1"/>
  <c r="H388" i="1" s="1"/>
  <c r="I388" i="1"/>
  <c r="G389" i="1"/>
  <c r="I389" i="1"/>
  <c r="G390" i="1"/>
  <c r="I390" i="1"/>
  <c r="G391" i="1"/>
  <c r="I391" i="1"/>
  <c r="G392" i="1"/>
  <c r="H392" i="1" s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V3" i="4"/>
  <c r="V4" i="4"/>
  <c r="E373" i="1"/>
  <c r="E372" i="1"/>
  <c r="E371" i="1"/>
  <c r="E370" i="1"/>
  <c r="H370" i="1" s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H377" i="1" s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H376" i="1" s="1"/>
  <c r="E377" i="1"/>
  <c r="E378" i="1"/>
  <c r="H378" i="1" s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J397" i="1" l="1"/>
  <c r="H389" i="1"/>
  <c r="H395" i="1"/>
  <c r="J395" i="1" s="1"/>
  <c r="H387" i="1"/>
  <c r="J387" i="1" s="1"/>
  <c r="H380" i="1"/>
  <c r="H366" i="1"/>
  <c r="H394" i="1"/>
  <c r="J394" i="1" s="1"/>
  <c r="H390" i="1"/>
  <c r="J390" i="1" s="1"/>
  <c r="H386" i="1"/>
  <c r="J386" i="1" s="1"/>
  <c r="H382" i="1"/>
  <c r="J384" i="1"/>
  <c r="H385" i="1"/>
  <c r="J385" i="1" s="1"/>
  <c r="H391" i="1"/>
  <c r="J396" i="1"/>
  <c r="H393" i="1"/>
  <c r="J393" i="1" s="1"/>
  <c r="J378" i="1"/>
  <c r="H371" i="1"/>
  <c r="J371" i="1" s="1"/>
  <c r="J392" i="1"/>
  <c r="H383" i="1"/>
  <c r="J383" i="1" s="1"/>
  <c r="J382" i="1"/>
  <c r="J388" i="1"/>
  <c r="J391" i="1"/>
  <c r="J389" i="1"/>
  <c r="H365" i="1"/>
  <c r="H372" i="1"/>
  <c r="H368" i="1"/>
  <c r="J368" i="1" s="1"/>
  <c r="H375" i="1"/>
  <c r="J375" i="1" s="1"/>
  <c r="H369" i="1"/>
  <c r="H381" i="1"/>
  <c r="J381" i="1" s="1"/>
  <c r="J370" i="1"/>
  <c r="H367" i="1"/>
  <c r="J367" i="1" s="1"/>
  <c r="H361" i="1"/>
  <c r="J361" i="1" s="1"/>
  <c r="J380" i="1"/>
  <c r="J372" i="1"/>
  <c r="H374" i="1"/>
  <c r="J374" i="1" s="1"/>
  <c r="H379" i="1"/>
  <c r="J379" i="1" s="1"/>
  <c r="V5" i="4"/>
  <c r="V6" i="4" s="1"/>
  <c r="J376" i="1"/>
  <c r="J377" i="1"/>
  <c r="J373" i="1"/>
  <c r="J366" i="1"/>
  <c r="J369" i="1"/>
  <c r="H362" i="1"/>
  <c r="J362" i="1" s="1"/>
  <c r="H360" i="1"/>
  <c r="J360" i="1" s="1"/>
  <c r="H364" i="1"/>
  <c r="J364" i="1" s="1"/>
  <c r="H363" i="1"/>
  <c r="J363" i="1" s="1"/>
  <c r="J365" i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H346" i="1" s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58" i="1" l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H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H333" i="1" s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H314" i="1" s="1"/>
  <c r="E313" i="1"/>
  <c r="E312" i="1"/>
  <c r="V8" i="4"/>
  <c r="E310" i="1"/>
  <c r="E309" i="1"/>
  <c r="E308" i="1"/>
  <c r="E307" i="1"/>
  <c r="G307" i="1"/>
  <c r="H307" i="1" s="1"/>
  <c r="I307" i="1"/>
  <c r="G308" i="1"/>
  <c r="I308" i="1"/>
  <c r="G309" i="1"/>
  <c r="I309" i="1"/>
  <c r="G310" i="1"/>
  <c r="I310" i="1"/>
  <c r="G311" i="1"/>
  <c r="I311" i="1"/>
  <c r="I312" i="1"/>
  <c r="E311" i="1"/>
  <c r="H334" i="1" l="1"/>
  <c r="H340" i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H338" i="1"/>
  <c r="J338" i="1" s="1"/>
  <c r="H323" i="1"/>
  <c r="J323" i="1" s="1"/>
  <c r="J340" i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1" i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H116" i="1" s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H83" i="1" s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5" i="1"/>
  <c r="H111" i="1"/>
  <c r="H101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F4" i="5" l="1"/>
  <c r="H223" i="1"/>
  <c r="H85" i="1"/>
  <c r="H92" i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H78" i="1"/>
  <c r="H102" i="1"/>
  <c r="J102" i="1" s="1"/>
  <c r="H110" i="1"/>
  <c r="H118" i="1"/>
  <c r="H125" i="1"/>
  <c r="H117" i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L341" i="4" s="1"/>
  <c r="H150" i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223" i="1"/>
  <c r="J85" i="1"/>
  <c r="J123" i="1"/>
  <c r="J125" i="1"/>
  <c r="J126" i="1"/>
  <c r="J109" i="1"/>
  <c r="J166" i="1"/>
  <c r="J87" i="1"/>
  <c r="J96" i="1"/>
  <c r="J111" i="1"/>
  <c r="J95" i="1"/>
  <c r="J78" i="1"/>
  <c r="J92" i="1"/>
  <c r="J91" i="1"/>
  <c r="J88" i="1"/>
  <c r="J121" i="1"/>
  <c r="J130" i="1"/>
  <c r="J105" i="1"/>
  <c r="J15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N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K329" i="4"/>
  <c r="M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N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N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N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N1068" i="4" s="1"/>
  <c r="L1308" i="4"/>
  <c r="N1308" i="4" s="1"/>
  <c r="K446" i="4"/>
  <c r="M446" i="4" s="1"/>
  <c r="N446" i="4" s="1"/>
  <c r="K198" i="4"/>
  <c r="M198" i="4" s="1"/>
  <c r="K485" i="4"/>
  <c r="M485" i="4" s="1"/>
  <c r="N485" i="4" s="1"/>
  <c r="L1156" i="4"/>
  <c r="N1156" i="4" s="1"/>
  <c r="L173" i="4"/>
  <c r="N173" i="4" s="1"/>
  <c r="K1066" i="4"/>
  <c r="M1066" i="4" s="1"/>
  <c r="N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N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N1088" i="4" s="1"/>
  <c r="K1128" i="4"/>
  <c r="M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N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N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N838" i="4" s="1"/>
  <c r="K729" i="4"/>
  <c r="M729" i="4" s="1"/>
  <c r="N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N382" i="4" s="1"/>
  <c r="L787" i="4"/>
  <c r="N787" i="4" s="1"/>
  <c r="K406" i="4"/>
  <c r="M406" i="4" s="1"/>
  <c r="N406" i="4" s="1"/>
  <c r="K569" i="4"/>
  <c r="M569" i="4" s="1"/>
  <c r="N569" i="4" s="1"/>
  <c r="K1289" i="4"/>
  <c r="M1289" i="4" s="1"/>
  <c r="N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N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N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N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N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N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398" i="4" l="1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3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<sst xmlns="http://schemas.openxmlformats.org/spreadsheetml/2006/main" count="14082" uniqueCount="493">
  <si>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</si>
  <si>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</si>
  <si>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</si>
  <si>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</si>
  <si>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</si>
  <si>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</si>
  <si>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</si>
  <si>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</si>
  <si>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</si>
  <si>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</si>
  <si>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</si>
  <si>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</si>
  <si>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</si>
  <si>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</si>
  <si>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</si>
  <si>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</si>
  <si>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</si>
  <si>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</si>
  <si>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</si>
  <si>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</si>
  <si>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</si>
  <si>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</si>
  <si>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</si>
  <si>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</si>
  <si>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</si>
  <si>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</si>
  <si>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</si>
  <si>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</si>
  <si>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</si>
  <si>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</si>
  <si>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</si>
  <si>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</si>
  <si>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</si>
  <si>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</si>
  <si>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</si>
  <si>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</si>
  <si>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</si>
  <si>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</si>
  <si>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</si>
  <si>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</si>
  <si>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</si>
  <si>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</si>
  <si>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</si>
  <si>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</si>
  <si>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</si>
  <si>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</si>
  <si>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</si>
  <si>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</si>
  <si>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</si>
  <si>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</si>
  <si>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</si>
  <si>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</si>
  <si>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</si>
  <si>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</si>
  <si>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</si>
  <si>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</si>
  <si>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</si>
  <si>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</si>
  <si>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</si>
  <si>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</si>
  <si>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</si>
  <si>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</si>
  <si>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</si>
  <si>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</si>
  <si>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</si>
  <si>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</si>
  <si>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</si>
  <si>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</si>
  <si>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</si>
  <si>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</si>
  <si>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</si>
  <si>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</si>
  <si>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</si>
  <si>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</si>
  <si>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</si>
  <si>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</si>
  <si>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</si>
  <si>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</si>
  <si>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</si>
  <si>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</si>
  <si>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</si>
  <si>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</si>
  <si>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</si>
  <si>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</si>
  <si>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</si>
  <si>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</si>
  <si>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</si>
  <si>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</si>
  <si>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</si>
  <si>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</si>
  <si>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</si>
  <si>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</si>
  <si>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</si>
  <si>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</si>
  <si>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</si>
  <si>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</si>
  <si>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</si>
  <si>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</si>
  <si>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</si>
  <si>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</si>
  <si>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</si>
  <si>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</si>
  <si>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</si>
  <si>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</si>
  <si>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</si>
  <si>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</si>
  <si>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</si>
  <si>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</si>
  <si>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</si>
  <si>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</si>
  <si>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</si>
  <si>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</si>
  <si>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</si>
  <si>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</si>
  <si>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</si>
  <si>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</si>
  <si>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</si>
  <si>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</si>
  <si>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</si>
  <si>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</si>
  <si>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</si>
  <si>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</si>
  <si>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</si>
  <si>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</si>
  <si>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</si>
  <si>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</si>
  <si>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</si>
  <si>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</si>
  <si>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</si>
  <si>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</si>
  <si>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</si>
  <si>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</si>
  <si>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</si>
  <si>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</si>
  <si>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</si>
  <si>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</si>
  <si>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</si>
  <si>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</si>
  <si>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</si>
  <si>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</si>
  <si>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</si>
  <si>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</si>
  <si>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</si>
  <si>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</si>
  <si>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</si>
  <si>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</si>
  <si>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</si>
  <si>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</si>
  <si>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</si>
  <si>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</si>
  <si>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</si>
  <si>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</si>
  <si>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</si>
  <si>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</si>
  <si>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</si>
  <si>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</si>
  <si>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</si>
  <si>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</si>
  <si>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</si>
  <si>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</si>
  <si>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</si>
  <si>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</si>
  <si>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</si>
  <si>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</si>
  <si>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</si>
  <si>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</si>
  <si>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</si>
  <si>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</si>
  <si>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</si>
  <si>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</si>
  <si>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</si>
  <si>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</si>
  <si>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</si>
  <si>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</si>
  <si>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</si>
  <si>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</si>
  <si>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</si>
  <si>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</si>
  <si>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</si>
  <si>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</si>
  <si>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</si>
  <si>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</si>
  <si>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</si>
  <si>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</si>
  <si>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</si>
  <si>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</si>
  <si>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</si>
  <si>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</si>
  <si>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</si>
  <si>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</si>
  <si>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</si>
  <si>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</si>
  <si>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</si>
  <si>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</si>
  <si>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</si>
  <si>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</si>
  <si>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</si>
  <si>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</si>
  <si>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</si>
  <si>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</si>
  <si>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</si>
  <si>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</si>
  <si>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</si>
  <si>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</si>
  <si>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</si>
  <si>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</si>
  <si>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</si>
  <si>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</si>
  <si>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</si>
  <si>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</si>
  <si>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</si>
  <si>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</si>
  <si>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</si>
  <si>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</si>
  <si>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</si>
  <si>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</si>
  <si>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</si>
  <si>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</si>
  <si>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</si>
  <si>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</si>
  <si>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</si>
  <si>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</si>
  <si>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</si>
  <si>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</si>
  <si>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</si>
  <si>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</si>
  <si>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</si>
  <si>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</si>
  <si>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</si>
  <si>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</si>
  <si>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</si>
  <si>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</si>
  <si>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</si>
  <si>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</si>
  <si>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</si>
  <si>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</si>
  <si>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</si>
  <si>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</si>
  <si>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</si>
  <si>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</si>
  <si>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</si>
  <si>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</si>
  <si>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</si>
  <si>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</si>
  <si>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</si>
  <si>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</si>
  <si>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</si>
  <si>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</si>
  <si>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</si>
  <si>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</si>
  <si>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</si>
  <si>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</si>
  <si>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</si>
  <si>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</si>
  <si>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</si>
  <si>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</si>
  <si>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</si>
  <si>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</si>
  <si>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</si>
  <si>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</si>
  <si>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</si>
  <si>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</si>
  <si>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</si>
  <si>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</si>
  <si>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excel_confidence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</si>
  <si>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</si>
  <si>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</si>
  <si>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</si>
  <si>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</si>
  <si>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</si>
  <si>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</si>
  <si>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</si>
  <si>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</si>
  <si>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matchup</t>
  </si>
  <si>
    <t>ml_winner</t>
  </si>
  <si>
    <t>ml_away_score</t>
  </si>
  <si>
    <t>ml_home_score</t>
  </si>
  <si>
    <t>ml_ot</t>
  </si>
  <si>
    <t>ml_ot_prob</t>
  </si>
  <si>
    <t>ml_result</t>
  </si>
  <si>
    <t>excel_winner</t>
  </si>
  <si>
    <t>excel_away_score</t>
  </si>
  <si>
    <t>excel_home_score</t>
  </si>
  <si>
    <t>excel_ot</t>
  </si>
  <si>
    <t>excel_homeice</t>
  </si>
  <si>
    <t>actual_ot</t>
  </si>
  <si>
    <t>game_status</t>
  </si>
  <si>
    <t>recorded_at</t>
  </si>
  <si>
    <t>updated_at</t>
  </si>
  <si>
    <t>10:00:00 PM</t>
  </si>
  <si>
    <t>Utah Mammoth @ Anaheim Ducks</t>
  </si>
  <si>
    <t>✓ Won by Anaheim Ducks</t>
  </si>
  <si>
    <t>COMPLETED</t>
  </si>
  <si>
    <t>7:00:00 PM</t>
  </si>
  <si>
    <t>Carolina Hurricanes @ Boston Bruins</t>
  </si>
  <si>
    <t>Edmonton Oilers @ Buffalo Sabres</t>
  </si>
  <si>
    <t>✓ Won by Buffalo Sabres</t>
  </si>
  <si>
    <t>7:30:00 PM</t>
  </si>
  <si>
    <t>Montreal Canadiens @ Columbus Blue Jackets</t>
  </si>
  <si>
    <t>Vancouver Canucks @ Florida Panthers</t>
  </si>
  <si>
    <t>Los Angeles Kings @ Washington Capitals</t>
  </si>
  <si>
    <t>8:30:00 PM</t>
  </si>
  <si>
    <t>Calgary Flames @ Chicago Blackhawks</t>
  </si>
  <si>
    <t>✓ Won by Chicago Blackhawks</t>
  </si>
  <si>
    <t>8:00:00 PM</t>
  </si>
  <si>
    <t>New York Islanders @ Dallas Stars</t>
  </si>
  <si>
    <t>Seattle Kraken @ Detroit Red Wings</t>
  </si>
  <si>
    <t>✓ Won by Detroit Red Wings</t>
  </si>
  <si>
    <t>Utah Mammoth @ San Jose Sharks</t>
  </si>
  <si>
    <t>✓ Won by San Jose Sharks</t>
  </si>
  <si>
    <t>New Jersey Devils @ Tampa Bay Lightning</t>
  </si>
  <si>
    <t>St. Louis Blues @ Toronto Maple Leafs</t>
  </si>
  <si>
    <t>✓ Won by Toronto Maple Leafs</t>
  </si>
  <si>
    <t>New York Rangers @ Vegas Golden Knights</t>
  </si>
  <si>
    <t>Columbus Blue Jackets @ Winnipeg Jets</t>
  </si>
  <si>
    <t>✓ Won by Winnipeg Jets</t>
  </si>
  <si>
    <t>Boston Bruins @ Anaheim Ducks</t>
  </si>
  <si>
    <t>Calgary Flames @ Buffalo Sabres</t>
  </si>
  <si>
    <t>9:30:00 PM</t>
  </si>
  <si>
    <t>Carolina Hurricanes @ Minnesota Wild</t>
  </si>
  <si>
    <t>Edmonton Oilers @ Washington Capitals</t>
  </si>
  <si>
    <t>✓ Won by Washington Capitals</t>
  </si>
  <si>
    <t>22:00:00</t>
  </si>
  <si>
    <t>Ottawa Senators @ Anaheim Ducks</t>
  </si>
  <si>
    <t>20:00:00</t>
  </si>
  <si>
    <t>Seattle Kraken @ Chicago Blackhawks</t>
  </si>
  <si>
    <t>21:00:00</t>
  </si>
  <si>
    <t>New York Rangers @ Colorado Avalanche</t>
  </si>
  <si>
    <t>19:00:00</t>
  </si>
  <si>
    <t>New York Islanders @ Detroit Red Wings</t>
  </si>
  <si>
    <t>New Jersey Devils @ Florida Panthers</t>
  </si>
  <si>
    <t>Washington Capitals @ Montreal Canadiens</t>
  </si>
  <si>
    <t>St. Louis Blues @ Philadelphia Flyers</t>
  </si>
  <si>
    <t>Los Angeles Kings @ San Jose Sharks</t>
  </si>
  <si>
    <t>19:30:00</t>
  </si>
  <si>
    <t>Edmonton Oilers @ Tampa Bay Lightning</t>
  </si>
  <si>
    <t>Columbus Blue Jackets @ Toronto Maple Leafs</t>
  </si>
  <si>
    <t>Vegas Golden Knights @ Utah Mammoth</t>
  </si>
  <si>
    <t>Dallas Stars @ Vancouver Canucks</t>
  </si>
  <si>
    <t>Chicago Blackhawks @ Buffalo Sabres</t>
  </si>
  <si>
    <t>22:30:00</t>
  </si>
  <si>
    <t>Boston Bruins @ Los Angeles Kings</t>
  </si>
  <si>
    <t>Minnesota Wild @ Pittsburgh Penguins</t>
  </si>
  <si>
    <t>✓ Won by Minnesota Wild</t>
  </si>
  <si>
    <t>Carolina Hurricanes @ Winnipeg Jets</t>
  </si>
  <si>
    <t>Vegas Golden Knights @ Anaheim Ducks</t>
  </si>
  <si>
    <t>Dallas Stars @ Calgary Flames</t>
  </si>
  <si>
    <t>13:00:00</t>
  </si>
  <si>
    <t>Columbus Blue Jackets @ Detroit Red Wings</t>
  </si>
  <si>
    <t>Edmonton Oilers @ Florida Panthers</t>
  </si>
  <si>
    <t>Toronto Maple Leafs @ Montreal Canadiens</t>
  </si>
  <si>
    <t>Colorado Avalanche @ Nashville Predators</t>
  </si>
  <si>
    <t>15:30:00</t>
  </si>
  <si>
    <t>St. Louis Blues @ New York Islanders</t>
  </si>
  <si>
    <t>New Jersey Devils @ Philadelphia Flyers</t>
  </si>
  <si>
    <t>Seattle Kraken @ Pittsburgh Penguins</t>
  </si>
  <si>
    <t>Ottawa Senators @ San Jose Sharks</t>
  </si>
  <si>
    <t>New York Rangers @ Utah Mammoth</t>
  </si>
  <si>
    <t>Tampa Bay Lightning @ Washington Capitals</t>
  </si>
  <si>
    <t>2025-11-23 11:29:50</t>
  </si>
  <si>
    <t>✓ Won by Montreal Canadiens</t>
  </si>
  <si>
    <t>✓ Won by Colorado Avalanche</t>
  </si>
  <si>
    <t>✓ Won by Utah Mammoth</t>
  </si>
  <si>
    <t>Carolina Hurricanes @ Buffalo Sabres</t>
  </si>
  <si>
    <t>Colorado Avalanche @ Chicago Blackhawks</t>
  </si>
  <si>
    <t>17:00:00</t>
  </si>
  <si>
    <t>Seattle Kraken @ New York Islanders</t>
  </si>
  <si>
    <t>Boston Bruins @ San Jose Sharks</t>
  </si>
  <si>
    <t>Calgary Flames @ Vancouver Canucks</t>
  </si>
  <si>
    <t>16:00:00</t>
  </si>
  <si>
    <t>Minnesota Wild @ Winnipeg Jets</t>
  </si>
  <si>
    <t>2025-11-24 11:01:13</t>
  </si>
  <si>
    <t>✓ Won by Calgary Flames</t>
  </si>
  <si>
    <t>Ottawa Senators @ Los Angeles Kings</t>
  </si>
  <si>
    <t>Detroit Red Wings @ New Jersey Devils</t>
  </si>
  <si>
    <t>Florida Panthers @ Nashville Predators</t>
  </si>
  <si>
    <t>St. Louis Blues @ New York Rangers</t>
  </si>
  <si>
    <t>Philadelphia Flyers @ Tampa Bay Lightning</t>
  </si>
  <si>
    <t>Columbus Blue Jackets @ Washington Capitals</t>
  </si>
  <si>
    <t>False</t>
  </si>
  <si>
    <t>2025-11-24 11:23:07</t>
  </si>
  <si>
    <t>✗ Lost (predicted Boston Bruins, actual Carolina Hurricanes)</t>
  </si>
  <si>
    <t>✗ Lost (predicted Montreal Canadiens, actual Columbus Blue Jackets)</t>
  </si>
  <si>
    <t>✗ Lost (predicted Vancouver Canucks, actual Florida Panthers)</t>
  </si>
  <si>
    <t>✗ Lost (predicted Los Angeles Kings, actual Washington Capitals)</t>
  </si>
  <si>
    <t>✗ Lost (predicted Dallas Stars, actual New York Islanders)</t>
  </si>
  <si>
    <t>✗ Lost (predicted New Jersey Devils, actual Tampa Bay Lightning)</t>
  </si>
  <si>
    <t>✗ Lost (predicted New York Rangers, actual Vegas Golden Knights)</t>
  </si>
  <si>
    <t>✗ Lost (predicted Buffalo Sabres, actual Calgary Flames)</t>
  </si>
  <si>
    <t>✗ Lost (predicted Carolina Hurricanes, actual Minnesota Wild)</t>
  </si>
  <si>
    <t>✗ Lost (predicted Anaheim Ducks, actual Ottawa Senators)</t>
  </si>
  <si>
    <t>✗ Lost (predicted Chicago Blackhawks, actual Seattle Kraken)</t>
  </si>
  <si>
    <t>✗ Lost (predicted Detroit Red Wings, actual New York Islanders)</t>
  </si>
  <si>
    <t>✓ Won by Florida Panthers</t>
  </si>
  <si>
    <t>✗ Lost (predicted Montreal Canadiens, actual Washington Capitals)</t>
  </si>
  <si>
    <t>✓ Won by Philadelphia Flyers</t>
  </si>
  <si>
    <t>✗ Lost (predicted Los Angeles Kings, actual San Jose Sharks)</t>
  </si>
  <si>
    <t>✓ Won by Tampa Bay Lightning</t>
  </si>
  <si>
    <t>✗ Lost (predicted Toronto Maple Leafs, actual Columbus Blue Jackets)</t>
  </si>
  <si>
    <t>✗ Lost (predicted Utah Mammoth, actual Vegas Golden Knights)</t>
  </si>
  <si>
    <t>✓ Won by Dallas Stars</t>
  </si>
  <si>
    <t>✗ Lost (predicted Chicago Blackhawks, actual Buffalo Sabres)</t>
  </si>
  <si>
    <t>✗ Lost (predicted Los Angeles Kings, actual Boston Bruins)</t>
  </si>
  <si>
    <t>✗ Lost (predicted Winnipeg Jets, actual Carolina Hurricanes)</t>
  </si>
  <si>
    <t>✗ Lost (predicted Dallas Stars, actual Calgary Flames)</t>
  </si>
  <si>
    <t>✗ Lost (predicted Florida Panthers, actual Edmonton Oilers)</t>
  </si>
  <si>
    <t>✗ Lost (predicted New York Islanders, actual St. Louis Blues)</t>
  </si>
  <si>
    <t>✗ Lost (predicted New Jersey Devils, actual Philadelphia Flyers)</t>
  </si>
  <si>
    <t>✗ Lost (predicted Pittsburgh Penguins, actual Seattle Kraken)</t>
  </si>
  <si>
    <t>✗ Lost (predicted San Jose Sharks, actual Ottawa Senators)</t>
  </si>
  <si>
    <t>✗ Lost (predicted Washington Capitals, actual Tampa Bay Lightning)</t>
  </si>
  <si>
    <t>✗ Lost (predicted Carolina Hurricanes, actual Buffalo Sabres)</t>
  </si>
  <si>
    <t>✗ Lost (predicted Seattle Kraken, actual New York Islanders)</t>
  </si>
  <si>
    <t>✗ Lost (predicted Winnipeg Jets, actual Minnesota Wild)</t>
  </si>
  <si>
    <t>✗ Lost (predicted Ottawa Senators, actual nan)</t>
  </si>
  <si>
    <t>✗ Lost (predicted New Jersey Devils, actual nan)</t>
  </si>
  <si>
    <t>✗ Lost (predicted Florida Panthers, actual nan)</t>
  </si>
  <si>
    <t>✗ Lost (predicted New York Rangers, actual nan)</t>
  </si>
  <si>
    <t>✗ Lost (predicted Tampa Bay Lightning, actual nan)</t>
  </si>
  <si>
    <t>✗ Lost (predicted Utah Mammoth, actual nan)</t>
  </si>
  <si>
    <t>✗ Lost (predicted Washington Capitals, actual nan)</t>
  </si>
  <si>
    <t>PENDING</t>
  </si>
  <si>
    <t>Vancouver Canucks @ Anaheim Ducks</t>
  </si>
  <si>
    <t>New York Rangers @ Carolina Hurricanes</t>
  </si>
  <si>
    <t>Toronto Maple Leafs @ Columbus Blue Jackets</t>
  </si>
  <si>
    <t>20:30:00</t>
  </si>
  <si>
    <t>Minnesota Wild @ Chicago Blackhawks</t>
  </si>
  <si>
    <t>San Jose Sharks @ Colorado Avalanche</t>
  </si>
  <si>
    <t>Nashville Predators @ Detroit Red Wings</t>
  </si>
  <si>
    <t>Philadelphia Flyers @ Florida Panthers</t>
  </si>
  <si>
    <t>St. Louis Blues @ New Jersey Devils</t>
  </si>
  <si>
    <t>Boston Bruins @ New York Islanders</t>
  </si>
  <si>
    <t>Buffalo Sabres @ Pittsburgh Penguins</t>
  </si>
  <si>
    <t>Dallas Stars @ Seattle Kraken</t>
  </si>
  <si>
    <t>Calgary Flames @ Tampa Bay Lightning</t>
  </si>
  <si>
    <t>21:30:00</t>
  </si>
  <si>
    <t>Montreal Canadiens @ Utah Mammoth</t>
  </si>
  <si>
    <t>Ottawa Senators @ Vegas Golden Knights</t>
  </si>
  <si>
    <t>Winnipeg Jets @ Washington Capitals</t>
  </si>
  <si>
    <t>2025-11-26 15:57:41</t>
  </si>
  <si>
    <t>Los Angeles Kings @ Anaheim Ducks</t>
  </si>
  <si>
    <t>2025-11-28 12:06:59</t>
  </si>
  <si>
    <t>New York Rangers @ Boston Bruins</t>
  </si>
  <si>
    <t>New Jersey Devils @ Buffalo Sabres</t>
  </si>
  <si>
    <t>Winnipeg Jets @ Carolina Hurricanes</t>
  </si>
  <si>
    <t>Pittsburgh Penguins @ Columbus Blue Jackets</t>
  </si>
  <si>
    <t>Nashville Predators @ Chicago Blackhawks</t>
  </si>
  <si>
    <t>Utah Mammoth @ Dallas Stars</t>
  </si>
  <si>
    <t>12:00:00</t>
  </si>
  <si>
    <t>Tampa Bay Lightning @ Detroit Red Wings</t>
  </si>
  <si>
    <t>Calgary Flames @ Florida Panthers</t>
  </si>
  <si>
    <t>Colorado Avalanche @ Minnesota Wild</t>
  </si>
  <si>
    <t>Philadelphia Flyers @ New York Islanders</t>
  </si>
  <si>
    <t>Vancouver Canucks @ San Jose Sharks</t>
  </si>
  <si>
    <t>Ottawa Senators @ St. Louis Blues</t>
  </si>
  <si>
    <t>Montreal Canadiens @ Vegas Golden Knights</t>
  </si>
  <si>
    <t>Toronto Maple Leafs @ Washington Capitals</t>
  </si>
  <si>
    <t>2025-11-29 12:05:06</t>
  </si>
  <si>
    <t>✗ Predicted Boston Bruins, was New York Rangers</t>
  </si>
  <si>
    <t>✓ Won by New Jersey Devils</t>
  </si>
  <si>
    <t>✓ Won by Carolina Hurricanes</t>
  </si>
  <si>
    <t>✓ Won by Pittsburgh Penguins</t>
  </si>
  <si>
    <t>✗ Predicted Chicago Blackhawks, was Nashville Predators</t>
  </si>
  <si>
    <t>✗ Predicted Florida Panthers, was Calgary Flames</t>
  </si>
  <si>
    <t>✗ Predicted Colorado Avalanche, was Minnesota Wild</t>
  </si>
  <si>
    <t>✗ Predicted Ottawa Senators, was St. Louis Blues</t>
  </si>
  <si>
    <t>Detroit Red Wings @ Boston Bruins</t>
  </si>
  <si>
    <t>15:00:00</t>
  </si>
  <si>
    <t>Montreal Canadiens @ Colorado Avalanche</t>
  </si>
  <si>
    <t>Vancouver Canucks @ Los Angeles Kings</t>
  </si>
  <si>
    <t>Buffalo Sabres @ Minnesota Wild</t>
  </si>
  <si>
    <t>Philadelphia Flyers @ New Jersey Devils</t>
  </si>
  <si>
    <t>Winnipeg Jets @ Nashville Predators</t>
  </si>
  <si>
    <t>14:00:00</t>
  </si>
  <si>
    <t>Tampa Bay Lightning @ New York Rangers</t>
  </si>
  <si>
    <t>Toronto Maple Leafs @ Pittsburgh Penguins</t>
  </si>
  <si>
    <t>Edmonton Oilers @ Seattle Kraken</t>
  </si>
  <si>
    <t>Utah Mammoth @ St. Louis Blues</t>
  </si>
  <si>
    <t>San Jose Sharks @ Vegas Golden Knights</t>
  </si>
  <si>
    <t>✓ Won by Boston Bruins</t>
  </si>
  <si>
    <t>2025-11-30 13:20:48</t>
  </si>
  <si>
    <t>✗ Predicted Vancouver Canucks, was Los Angeles Kings</t>
  </si>
  <si>
    <t>✗ Predicted Minnesota Wild, was Buffalo Sabres</t>
  </si>
  <si>
    <t>✗ Predicted New Jersey Devils, was Philadelphia Flyers</t>
  </si>
  <si>
    <t>✗ Predicted Pittsburgh Penguins, was Toronto Maple Leafs</t>
  </si>
  <si>
    <t>✗ Predicted Seattle Kraken, was Edmonton Oilers</t>
  </si>
  <si>
    <t>✗ Predicted Utah Mammoth, was St. Louis Blues</t>
  </si>
  <si>
    <t>✗ Predicted San Jose Sharks, was Vegas Golden Knights</t>
  </si>
  <si>
    <t>Calgary Flames @ Carolina Hurricanes</t>
  </si>
  <si>
    <t>Anaheim Ducks @ Chicago Blackhawks</t>
  </si>
  <si>
    <t>18:00:00</t>
  </si>
  <si>
    <t>Ottawa Senators @ Dallas Stars</t>
  </si>
  <si>
    <t>Washington Capitals @ New York Islanders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</si>
</sst>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8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74AA801-A9EA-E94D-9F3C-64027CACC214}" autoFormatId="16" applyNumberFormats="0" applyBorderFormats="0" applyFontFormats="0" applyPatternFormats="0" applyAlignmentFormats="0" applyWidthHeightFormats="0">
  <queryTableRefresh nextId="28">
    <queryTableFields count="27">
      <queryTableField id="1" name="game_date" tableColumnId="1"/>
      <queryTableField id="2" name="game_time" tableColumnId="2"/>
      <queryTableField id="3" name="away_team" tableColumnId="3"/>
      <queryTableField id="4" name="home_team" tableColumnId="4"/>
      <queryTableField id="5" name="matchup" tableColumnId="5"/>
      <queryTableField id="6" name="ml_winner" tableColumnId="6"/>
      <queryTableField id="7" name="ml_away_score" tableColumnId="7"/>
      <queryTableField id="8" name="ml_home_score" tableColumnId="8"/>
      <queryTableField id="9" name="ml_confidence" tableColumnId="9"/>
      <queryTableField id="10" name="ml_ot" tableColumnId="10"/>
      <queryTableField id="11" name="ml_ot_prob" tableColumnId="11"/>
      <queryTableField id="12" name="ml_correct" tableColumnId="12"/>
      <queryTableField id="13" name="ml_result" tableColumnId="13"/>
      <queryTableField id="14" name="excel_winner" tableColumnId="14"/>
      <queryTableField id="15" name="excel_away_score" tableColumnId="15"/>
      <queryTableField id="16" name="excel_home_score" tableColumnId="16"/>
      <queryTableField id="17" name="excel_confidence" tableColumnId="17"/>
      <queryTableField id="18" name="excel_ot" tableColumnId="18"/>
      <queryTableField id="19" name="excel_homeice" tableColumnId="19"/>
      <queryTableField id="20" name="excel_correct" tableColumnId="20"/>
      <queryTableField id="21" name="actual_winner" tableColumnId="21"/>
      <queryTableField id="22" name="actual_away_score" tableColumnId="22"/>
      <queryTableField id="23" name="actual_home_score" tableColumnId="23"/>
      <queryTableField id="24" name="actual_ot" tableColumnId="24"/>
      <queryTableField id="25" name="game_status" tableColumnId="25"/>
      <queryTableField id="26" name="recorded_at" tableColumnId="26"/>
      <queryTableField id="27" name="updated_a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80"/>
    <tableColumn id="3" xr3:uid="{2C87C5E2-BA51-8A42-89C8-535F9675CB8F}" uniqueName="3" name="Visitor" queryTableFieldId="3" dataDxfId="79"/>
    <tableColumn id="4" xr3:uid="{CE6ABB56-546F-BB46-9A09-2A1A92669C31}" uniqueName="4" name="G" queryTableFieldId="4" dataDxfId="78"/>
    <tableColumn id="5" xr3:uid="{C1234731-C200-EA4C-B756-2CA67776A39C}" uniqueName="5" name="Home" queryTableFieldId="5" dataDxfId="77"/>
    <tableColumn id="6" xr3:uid="{339325E9-BBA1-9A48-8657-C4AC5A969A45}" uniqueName="6" name="G_1" queryTableFieldId="6" dataDxfId="76"/>
    <tableColumn id="11" xr3:uid="{D5C53254-CDEF-7A46-97BA-0F3F94C9C0F8}" uniqueName="11" name="Column1" queryTableFieldId="11" dataDxfId="75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74"/>
    <tableColumn id="10" xr3:uid="{D8B4237A-01AB-6648-9F38-4F24C83C2F02}" uniqueName="10" name="Losing_G" queryTableFieldId="10" dataDxfId="7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2" headerRowBorderDxfId="71" tableBorderDxfId="70">
  <autoFilter ref="D6:J1318" xr:uid="{082AB263-30A0-9143-A4CB-E8E85CF645DA}"/>
  <tableColumns count="7">
    <tableColumn id="1" xr3:uid="{A2DA1977-C625-F248-8922-D45BEAE345E6}" name="Visitor" dataDxfId="69"/>
    <tableColumn id="2" xr3:uid="{7F142366-1AE0-5D45-A506-465FBF578C3A}" name="G" dataDxfId="68"/>
    <tableColumn id="3" xr3:uid="{F73B07A5-94FF-C843-900F-F37684899EAA}" name="Home" dataDxfId="67"/>
    <tableColumn id="4" xr3:uid="{7D6FADB5-28D9-9449-ADC0-599788BF0B16}" name="G_1" dataDxfId="66"/>
    <tableColumn id="5" xr3:uid="{98CF2B62-3F88-D44B-AF59-BE4BB5C0604E}" name="HomeMargin" dataDxfId="65">
      <calculatedColumnFormula>Table3[[#This Row],[G_1]]-Table3[[#This Row],[G]]</calculatedColumnFormula>
    </tableColumn>
    <tableColumn id="6" xr3:uid="{FD0EC919-55F2-CA43-8B92-CA3E6283FCFD}" name="HomeForecast" dataDxfId="64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3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2" dataDxfId="61">
  <autoFilter ref="D1:R1313" xr:uid="{B940C27F-1AFD-1A45-A69A-42FED3D3591C}"/>
  <tableColumns count="15">
    <tableColumn id="1" xr3:uid="{27200A7D-FC6F-7D47-A38B-8116F873A9D8}" name="Date" dataDxfId="60"/>
    <tableColumn id="2" xr3:uid="{E6247AA5-111B-9544-9F6D-FFC524512888}" name="Time" dataDxfId="59"/>
    <tableColumn id="3" xr3:uid="{EDCD8AB3-2C72-284E-B537-7168C3C8687B}" name="Home" dataDxfId="58"/>
    <tableColumn id="4" xr3:uid="{EC6C1412-AAC2-6646-BF48-0D4526947D52}" name="Home Differential" dataDxfId="57">
      <calculatedColumnFormula>VLOOKUP(Table4[[#This Row],[Home]],'NHL Model'!$A$6:$B$38,2,FALSE)</calculatedColumnFormula>
    </tableColumn>
    <tableColumn id="5" xr3:uid="{67F5F1C4-5CC9-B648-BE7C-7E4EF3A85290}" name="Visitor" dataDxfId="56"/>
    <tableColumn id="6" xr3:uid="{84F489BE-33B4-0E4D-959D-E87A85C1D38D}" name="Away Differential" dataDxfId="55">
      <calculatedColumnFormula>VLOOKUP(Table4[[#This Row],[Visitor]],'NHL Model'!$A$6:$B$38,2,FALSE)</calculatedColumnFormula>
    </tableColumn>
    <tableColumn id="7" xr3:uid="{A6F9ABE3-1844-E54D-9016-325B538D2969}" name="HomeIce Differential" dataDxfId="54">
      <calculatedColumnFormula>($B$1+Table4[[#This Row],[Home Differential]])-Table4[[#This Row],[Away Differential]]</calculatedColumnFormula>
    </tableColumn>
    <tableColumn id="8" xr3:uid="{8FFD520F-0CF9-9D4A-93B6-B45373384612}" name="Predicted Winner" dataDxfId="53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2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1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0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9"/>
    <tableColumn id="13" xr3:uid="{F50D85A3-D772-F247-BFBE-86E765FD0BF6}" name="Locked Correct" dataDxfId="48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7">
  <autoFilter ref="A1:R33" xr:uid="{1B34B514-E1CC-0949-A7DD-8D37387465DD}"/>
  <tableColumns count="18">
    <tableColumn id="1" xr3:uid="{C9F77F0F-7B0D-CC44-9D34-395D1E3FA55B}" name="Team" dataDxfId="46"/>
    <tableColumn id="2" xr3:uid="{4080CFDD-7980-DD4D-A4DE-25DB03E50B7C}" name="GP" dataDxfId="45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4">
      <calculatedColumnFormula>COUNTIFS('NHL2025-26Results'!$H:$H,A2,'NHL2025-26Results'!$F:$F,"")</calculatedColumnFormula>
    </tableColumn>
    <tableColumn id="5" xr3:uid="{5EA2DCC3-F71A-5A40-B3F3-8F2F8CB0A7CE}" name="OTL" dataDxfId="43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2">
      <calculatedColumnFormula>(Table1[[#This Row],[W]]*2)+Table1[[#This Row],[OTL]]</calculatedColumnFormula>
    </tableColumn>
    <tableColumn id="7" xr3:uid="{40EA95E8-9958-E040-A5BE-EC17EEDC1CBD}" name="HomeWins" dataDxfId="41">
      <calculatedColumnFormula>COUNTIFS('NHL2025-26Results'!$D:$D,A2,'NHL2025-26Results'!$G:$G,A2)</calculatedColumnFormula>
    </tableColumn>
    <tableColumn id="9" xr3:uid="{F3FA5C24-502A-6446-A4B9-25DB670D2CB7}" name="HomeLoss" dataDxfId="40">
      <calculatedColumnFormula>COUNTIFS('NHL2025-26Results'!$D:$D,A2,'NHL2025-26Results'!$H:$H,A2,'NHL2025-26Results'!$F:$F,"")</calculatedColumnFormula>
    </tableColumn>
    <tableColumn id="8" xr3:uid="{999F1273-113E-7F4B-990E-AC7B23C4A496}" name="HomeOTL" dataDxfId="39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8">
      <calculatedColumnFormula>COUNTIFS('NHL2025-26Results'!$B:$B,A2,'NHL2025-26Results'!$G:$G,A2)</calculatedColumnFormula>
    </tableColumn>
    <tableColumn id="10" xr3:uid="{1A63BDD0-5CF0-0C48-B684-3675FC716427}" name="AwayLoss" dataDxfId="37">
      <calculatedColumnFormula>COUNTIFS('NHL2025-26Results'!$B:$B,A2,'NHL2025-26Results'!$H:$H,A2,'NHL2025-26Results'!$F:$F,"")</calculatedColumnFormula>
    </tableColumn>
    <tableColumn id="12" xr3:uid="{59628040-0BA7-5042-BB5A-1E9D40ABC469}" name="AwayOTL" dataDxfId="36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5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4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3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2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332789-251B-774B-AB2B-8BB4F3AFC4B8}" name="nhl_predictions_daily_migrated" displayName="nhl_predictions_daily_migrated" ref="A1:AA105" tableType="queryTable" totalsRowShown="0">
  <autoFilter ref="A1:AA105" xr:uid="{F2332789-251B-774B-AB2B-8BB4F3AFC4B8}"/>
  <tableColumns count="27">
    <tableColumn id="1" xr3:uid="{A82D8364-7061-A147-9648-1020427F222D}" uniqueName="1" name="game_date" queryTableFieldId="1" dataDxfId="26"/>
    <tableColumn id="2" xr3:uid="{2F0B0F85-AE68-C84D-ABF4-9C9BD4BCDE1A}" uniqueName="2" name="game_time" queryTableFieldId="2" dataDxfId="25"/>
    <tableColumn id="3" xr3:uid="{E190D701-E48A-4849-B026-83F6843A3F7C}" uniqueName="3" name="away_team" queryTableFieldId="3" dataDxfId="24"/>
    <tableColumn id="4" xr3:uid="{D8A87A5E-45E9-434D-B896-A1AC29AE2193}" uniqueName="4" name="home_team" queryTableFieldId="4" dataDxfId="23"/>
    <tableColumn id="5" xr3:uid="{F866A432-CB2E-1344-BB8E-B02DE09CEE39}" uniqueName="5" name="matchup" queryTableFieldId="5" dataDxfId="22"/>
    <tableColumn id="6" xr3:uid="{321205EB-FCDC-FF42-A5BC-028328229DA9}" uniqueName="6" name="ml_winner" queryTableFieldId="6" dataDxfId="21"/>
    <tableColumn id="7" xr3:uid="{1146F8DC-3374-2845-B506-3428513D1030}" uniqueName="7" name="ml_away_score" queryTableFieldId="7" dataDxfId="20"/>
    <tableColumn id="8" xr3:uid="{04F6AA09-904F-E441-9223-5D3EABA2C9DE}" uniqueName="8" name="ml_home_score" queryTableFieldId="8" dataDxfId="19"/>
    <tableColumn id="9" xr3:uid="{A52E9546-F206-504B-B50C-DE483A5979F1}" uniqueName="9" name="ml_confidence" queryTableFieldId="9" dataDxfId="18" dataCellStyle="Percent"/>
    <tableColumn id="10" xr3:uid="{B0863A61-8896-F94A-9BD1-877DA74E944C}" uniqueName="10" name="ml_ot" queryTableFieldId="10" dataDxfId="17"/>
    <tableColumn id="11" xr3:uid="{0CEF2C0B-AEAC-D24C-B808-9E65DA36D85B}" uniqueName="11" name="ml_ot_prob" queryTableFieldId="11" dataDxfId="16"/>
    <tableColumn id="12" xr3:uid="{953F4783-1A2A-2049-B662-B96EC4C98B47}" uniqueName="12" name="ml_correct" queryTableFieldId="12" dataDxfId="15"/>
    <tableColumn id="13" xr3:uid="{01F9271B-BF28-974D-9DD2-7B2DE98B6F67}" uniqueName="13" name="ml_result" queryTableFieldId="13" dataDxfId="14"/>
    <tableColumn id="14" xr3:uid="{53D10B71-CBA8-8D4A-96BA-CDF21FB393EA}" uniqueName="14" name="excel_winner" queryTableFieldId="14" dataDxfId="13"/>
    <tableColumn id="15" xr3:uid="{BFE057F3-C344-6344-BBC6-D1E83F6B5653}" uniqueName="15" name="excel_away_score" queryTableFieldId="15" dataDxfId="12"/>
    <tableColumn id="16" xr3:uid="{95A37C51-0AFC-4B48-BDBD-9F547D067C1A}" uniqueName="16" name="excel_home_score" queryTableFieldId="16" dataDxfId="11"/>
    <tableColumn id="17" xr3:uid="{21361EAA-D669-0647-AB36-316C9A355B06}" uniqueName="17" name="excel_confidence" queryTableFieldId="17" dataDxfId="10" dataCellStyle="Percent"/>
    <tableColumn id="18" xr3:uid="{C0D4B874-D9A3-F047-9F50-E1FD6B0B1717}" uniqueName="18" name="excel_ot" queryTableFieldId="18" dataDxfId="9"/>
    <tableColumn id="19" xr3:uid="{B5C6CD51-366A-5E4F-9D9D-FCD85DB91334}" uniqueName="19" name="excel_homeice" queryTableFieldId="19" dataDxfId="8"/>
    <tableColumn id="20" xr3:uid="{8A0C0F6C-7907-0B40-9DDC-02333190C939}" uniqueName="20" name="excel_correct" queryTableFieldId="20" dataDxfId="7"/>
    <tableColumn id="21" xr3:uid="{4F720508-4E4B-1843-AE1F-4E2016CC6849}" uniqueName="21" name="actual_winner" queryTableFieldId="21" dataDxfId="6"/>
    <tableColumn id="22" xr3:uid="{DF1197C5-5856-EF4D-BC04-6C080F1AD21B}" uniqueName="22" name="actual_away_score" queryTableFieldId="22" dataDxfId="5"/>
    <tableColumn id="23" xr3:uid="{521AC888-C59A-E842-8AF4-8F313E19B6CE}" uniqueName="23" name="actual_home_score" queryTableFieldId="23" dataDxfId="4"/>
    <tableColumn id="24" xr3:uid="{BBF8FDF8-3558-D043-9E29-97FCC0E90C92}" uniqueName="24" name="actual_ot" queryTableFieldId="24" dataDxfId="3"/>
    <tableColumn id="25" xr3:uid="{B3C51976-5727-A24B-9842-AC69798A596C}" uniqueName="25" name="game_status" queryTableFieldId="25" dataDxfId="2"/>
    <tableColumn id="26" xr3:uid="{C7B8AFAB-46A9-D04C-A7AF-56BEE52383BA}" uniqueName="26" name="recorded_at" queryTableFieldId="26" dataDxfId="1"/>
    <tableColumn id="27" xr3:uid="{0C0062D0-5688-D346-83F6-DF5908F6B02E}" uniqueName="27" name="updated_at" queryTableFieldId="2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385" workbookViewId="0">
      <selection activeCell="G403" sqref="G403:H1313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10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10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10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10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10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10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10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10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10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10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10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10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10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4" sqref="J4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4.8629249441422218E-2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2142.2843997648379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0.12352843374450689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-7.8771348142413822E-2</v>
      </c>
      <c r="J7">
        <f>(Table3[[#This Row],[HomeMargin]]-Table3[[#This Row],[HomeForecast]])^2</f>
        <v>1.1637476215730007</v>
      </c>
    </row>
    <row r="8" spans="1:10" x14ac:dyDescent="0.2">
      <c r="A8" s="4" t="s">
        <v>21</v>
      </c>
      <c r="B8">
        <v>-0.29972363155607096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-1.9089151023056976</v>
      </c>
      <c r="J8">
        <f>(Table3[[#This Row],[HomeMargin]]-Table3[[#This Row],[HomeForecast]])^2</f>
        <v>1.1904662539765862</v>
      </c>
    </row>
    <row r="9" spans="1:10" x14ac:dyDescent="0.2">
      <c r="A9" s="4" t="s">
        <v>23</v>
      </c>
      <c r="B9">
        <v>-0.73453218371466944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4.1940457215927485E-2</v>
      </c>
      <c r="J9">
        <f>(Table3[[#This Row],[HomeMargin]]-Table3[[#This Row],[HomeForecast]])^2</f>
        <v>9.2534017452470465</v>
      </c>
    </row>
    <row r="10" spans="1:10" x14ac:dyDescent="0.2">
      <c r="A10" s="4" t="s">
        <v>16</v>
      </c>
      <c r="B10">
        <v>-1.1693700053921123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0.29552336748641361</v>
      </c>
      <c r="J10">
        <f>(Table3[[#This Row],[HomeMargin]]-Table3[[#This Row],[HomeForecast]])^2</f>
        <v>1.6783807957033368</v>
      </c>
    </row>
    <row r="11" spans="1:10" x14ac:dyDescent="0.2">
      <c r="A11" s="4" t="s">
        <v>25</v>
      </c>
      <c r="B11">
        <v>0.35473499802405739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-2.1045901573851333E-2</v>
      </c>
      <c r="J11">
        <f>(Table3[[#This Row],[HomeMargin]]-Table3[[#This Row],[HomeForecast]])^2</f>
        <v>9.1267183394161631</v>
      </c>
    </row>
    <row r="12" spans="1:10" x14ac:dyDescent="0.2">
      <c r="A12" s="4" t="s">
        <v>10</v>
      </c>
      <c r="B12">
        <v>-0.35229536402491796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0.16052506334241895</v>
      </c>
      <c r="J12">
        <f>(Table3[[#This Row],[HomeMargin]]-Table3[[#This Row],[HomeForecast]])^2</f>
        <v>1.3468184226459254</v>
      </c>
    </row>
    <row r="13" spans="1:10" x14ac:dyDescent="0.2">
      <c r="A13" s="4" t="s">
        <v>12</v>
      </c>
      <c r="B13">
        <v>1.5255226246883613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0.59685829989891204</v>
      </c>
      <c r="J13">
        <f>(Table3[[#This Row],[HomeMargin]]-Table3[[#This Row],[HomeForecast]])^2</f>
        <v>6.7436730297538681</v>
      </c>
    </row>
    <row r="14" spans="1:10" x14ac:dyDescent="0.2">
      <c r="A14" s="4" t="s">
        <v>28</v>
      </c>
      <c r="B14">
        <v>-0.81978323318233992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0.10120098191026922</v>
      </c>
      <c r="J14">
        <f>(Table3[[#This Row],[HomeMargin]]-Table3[[#This Row],[HomeForecast]])^2</f>
        <v>0.80783967491906405</v>
      </c>
    </row>
    <row r="15" spans="1:10" x14ac:dyDescent="0.2">
      <c r="A15" s="4" t="s">
        <v>39</v>
      </c>
      <c r="B15">
        <v>0.17994412141822874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-0.27965369707941184</v>
      </c>
      <c r="J15">
        <f>(Table3[[#This Row],[HomeMargin]]-Table3[[#This Row],[HomeForecast]])^2</f>
        <v>13.84097661365489</v>
      </c>
    </row>
    <row r="16" spans="1:10" x14ac:dyDescent="0.2">
      <c r="A16" s="4" t="s">
        <v>26</v>
      </c>
      <c r="B16">
        <v>-0.97739270546148105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0.40125284560815061</v>
      </c>
      <c r="J16">
        <f>(Table3[[#This Row],[HomeMargin]]-Table3[[#This Row],[HomeForecast]])^2</f>
        <v>6.7534867724597349</v>
      </c>
    </row>
    <row r="17" spans="1:10" x14ac:dyDescent="0.2">
      <c r="A17" s="4" t="s">
        <v>17</v>
      </c>
      <c r="B17">
        <v>-0.92247588734712094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1.9636260389956504</v>
      </c>
      <c r="J17">
        <f>(Table3[[#This Row],[HomeMargin]]-Table3[[#This Row],[HomeForecast]])^2</f>
        <v>0.92857514303044664</v>
      </c>
    </row>
    <row r="18" spans="1:10" x14ac:dyDescent="0.2">
      <c r="A18" s="4" t="s">
        <v>11</v>
      </c>
      <c r="B18">
        <v>-0.479695961608754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-0.23872481485190455</v>
      </c>
      <c r="J18">
        <f>(Table3[[#This Row],[HomeMargin]]-Table3[[#This Row],[HomeForecast]])^2</f>
        <v>14.14719101841084</v>
      </c>
    </row>
    <row r="19" spans="1:10" x14ac:dyDescent="0.2">
      <c r="A19" s="4" t="s">
        <v>13</v>
      </c>
      <c r="B19">
        <v>-0.43202172705875852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-0.14539987448704844</v>
      </c>
      <c r="J19">
        <f>(Table3[[#This Row],[HomeMargin]]-Table3[[#This Row],[HomeForecast]])^2</f>
        <v>1.3119408724749462</v>
      </c>
    </row>
    <row r="20" spans="1:10" x14ac:dyDescent="0.2">
      <c r="A20" s="4" t="s">
        <v>34</v>
      </c>
      <c r="B20">
        <v>-0.15703092434902144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-0.60776793841733523</v>
      </c>
      <c r="J20">
        <f>(Table3[[#This Row],[HomeMargin]]-Table3[[#This Row],[HomeForecast]])^2</f>
        <v>2.5849177438027287</v>
      </c>
    </row>
    <row r="21" spans="1:10" x14ac:dyDescent="0.2">
      <c r="A21" s="4" t="s">
        <v>18</v>
      </c>
      <c r="B21">
        <v>-0.69003864116815428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-0.12098580208110324</v>
      </c>
      <c r="J21">
        <f>(Table3[[#This Row],[HomeMargin]]-Table3[[#This Row],[HomeForecast]])^2</f>
        <v>1.2566091684674143</v>
      </c>
    </row>
    <row r="22" spans="1:10" x14ac:dyDescent="0.2">
      <c r="A22" s="4" t="s">
        <v>29</v>
      </c>
      <c r="B22">
        <v>-1.4761804210410974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-0.8267187568119867</v>
      </c>
      <c r="J22">
        <f>(Table3[[#This Row],[HomeMargin]]-Table3[[#This Row],[HomeForecast]])^2</f>
        <v>7.9903389301127046</v>
      </c>
    </row>
    <row r="23" spans="1:10" x14ac:dyDescent="0.2">
      <c r="A23" s="4" t="s">
        <v>24</v>
      </c>
      <c r="B23">
        <v>2.1114018573289962E-3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-0.26553254196384918</v>
      </c>
      <c r="J23">
        <f>(Table3[[#This Row],[HomeMargin]]-Table3[[#This Row],[HomeForecast]])^2</f>
        <v>0.53944244691408494</v>
      </c>
    </row>
    <row r="24" spans="1:10" x14ac:dyDescent="0.2">
      <c r="A24" s="4" t="s">
        <v>30</v>
      </c>
      <c r="B24">
        <v>-0.22994539344581519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-1.224431326790782</v>
      </c>
      <c r="J24">
        <f>(Table3[[#This Row],[HomeMargin]]-Table3[[#This Row],[HomeForecast]])^2</f>
        <v>14.254918806118814</v>
      </c>
    </row>
    <row r="25" spans="1:10" x14ac:dyDescent="0.2">
      <c r="A25" s="4" t="s">
        <v>15</v>
      </c>
      <c r="B25">
        <v>-0.40624923719383538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0.91702736770636917</v>
      </c>
      <c r="J25">
        <f>(Table3[[#This Row],[HomeMargin]]-Table3[[#This Row],[HomeForecast]])^2</f>
        <v>3.6749939285352107</v>
      </c>
    </row>
    <row r="26" spans="1:10" x14ac:dyDescent="0.2">
      <c r="A26" s="4" t="s">
        <v>36</v>
      </c>
      <c r="B26">
        <v>-0.45205624035379666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0.150888273602241</v>
      </c>
      <c r="J26">
        <f>(Table3[[#This Row],[HomeMargin]]-Table3[[#This Row],[HomeForecast]])^2</f>
        <v>14.815661082292737</v>
      </c>
    </row>
    <row r="27" spans="1:10" x14ac:dyDescent="0.2">
      <c r="A27" s="4" t="s">
        <v>27</v>
      </c>
      <c r="B27">
        <v>-0.28566683768028334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-0.3797194446332669</v>
      </c>
      <c r="J27">
        <f>(Table3[[#This Row],[HomeMargin]]-Table3[[#This Row],[HomeForecast]])^2</f>
        <v>0.38474796736606287</v>
      </c>
    </row>
    <row r="28" spans="1:10" x14ac:dyDescent="0.2">
      <c r="A28" s="4" t="s">
        <v>14</v>
      </c>
      <c r="B28">
        <v>-0.39956044496834064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0.4834378016000207</v>
      </c>
      <c r="J28">
        <f>(Table3[[#This Row],[HomeMargin]]-Table3[[#This Row],[HomeForecast]])^2</f>
        <v>2.299960901615778</v>
      </c>
    </row>
    <row r="29" spans="1:10" x14ac:dyDescent="0.2">
      <c r="A29" s="4" t="s">
        <v>33</v>
      </c>
      <c r="B29">
        <v>-0.63428770456303318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0.68903108514576294</v>
      </c>
      <c r="J29">
        <f>(Table3[[#This Row],[HomeMargin]]-Table3[[#This Row],[HomeForecast]])^2</f>
        <v>9.6701666005621731E-2</v>
      </c>
    </row>
    <row r="30" spans="1:10" x14ac:dyDescent="0.2">
      <c r="A30" s="4" t="s">
        <v>32</v>
      </c>
      <c r="B30">
        <v>-0.75181957250890208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0.30935074463053547</v>
      </c>
      <c r="J30">
        <f>(Table3[[#This Row],[HomeMargin]]-Table3[[#This Row],[HomeForecast]])^2</f>
        <v>5.3331008617256073</v>
      </c>
    </row>
    <row r="31" spans="1:10" x14ac:dyDescent="0.2">
      <c r="A31" s="4" t="s">
        <v>35</v>
      </c>
      <c r="B31">
        <v>-1.4300915005812256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0.38637252658465854</v>
      </c>
      <c r="J31">
        <f>(Table3[[#This Row],[HomeMargin]]-Table3[[#This Row],[HomeForecast]])^2</f>
        <v>1.9220287824687297</v>
      </c>
    </row>
    <row r="32" spans="1:10" x14ac:dyDescent="0.2">
      <c r="A32" s="4" t="s">
        <v>37</v>
      </c>
      <c r="B32">
        <v>0.41634187791115029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1.3942077527115548</v>
      </c>
      <c r="J32">
        <f>(Table3[[#This Row],[HomeMargin]]-Table3[[#This Row],[HomeForecast]])^2</f>
        <v>5.7322307631441145</v>
      </c>
    </row>
    <row r="33" spans="1:10" x14ac:dyDescent="0.2">
      <c r="A33" s="4" t="s">
        <v>19</v>
      </c>
      <c r="B33">
        <v>-0.75971379218342783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-0.169049663836631</v>
      </c>
      <c r="J33">
        <f>(Table3[[#This Row],[HomeMargin]]-Table3[[#This Row],[HomeForecast]])^2</f>
        <v>10.042875771863065</v>
      </c>
    </row>
    <row r="34" spans="1:10" x14ac:dyDescent="0.2">
      <c r="A34" t="s">
        <v>55</v>
      </c>
      <c r="B34">
        <v>-0.38947416486586689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0.19326434332559483</v>
      </c>
      <c r="J34">
        <f>(Table3[[#This Row],[HomeMargin]]-Table3[[#This Row],[HomeForecast]])^2</f>
        <v>3.2642937330986945</v>
      </c>
    </row>
    <row r="35" spans="1:10" x14ac:dyDescent="0.2">
      <c r="A35" s="4" t="s">
        <v>38</v>
      </c>
      <c r="B35">
        <v>-1.0671109812312936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2.0989528186464879E-2</v>
      </c>
      <c r="J35">
        <f>(Table3[[#This Row],[HomeMargin]]-Table3[[#This Row],[HomeForecast]])^2</f>
        <v>15.832524334801771</v>
      </c>
    </row>
    <row r="36" spans="1:10" x14ac:dyDescent="0.2">
      <c r="A36" s="4" t="s">
        <v>20</v>
      </c>
      <c r="B36">
        <v>-0.32012591315776179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0.7113815582747407</v>
      </c>
      <c r="J36">
        <f>(Table3[[#This Row],[HomeMargin]]-Table3[[#This Row],[HomeForecast]])^2</f>
        <v>13.77435307110184</v>
      </c>
    </row>
    <row r="37" spans="1:10" x14ac:dyDescent="0.2">
      <c r="A37" s="4" t="s">
        <v>22</v>
      </c>
      <c r="B37">
        <v>0.24850541890141886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-1.0380770067338083</v>
      </c>
      <c r="J37">
        <f>(Table3[[#This Row],[HomeMargin]]-Table3[[#This Row],[HomeForecast]])^2</f>
        <v>1.4498584418064838E-3</v>
      </c>
    </row>
    <row r="38" spans="1:10" x14ac:dyDescent="0.2">
      <c r="A38" s="4" t="s">
        <v>40</v>
      </c>
      <c r="B38">
        <v>-0.24840457265646038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-0.42982156290581186</v>
      </c>
      <c r="J38">
        <f>(Table3[[#This Row],[HomeMargin]]-Table3[[#This Row],[HomeForecast]])^2</f>
        <v>2.4654603243155475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5.5318041666916951E-2</v>
      </c>
      <c r="J39">
        <f>(Table3[[#This Row],[HomeMargin]]-Table3[[#This Row],[HomeForecast]])^2</f>
        <v>25.556240502403032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-0.38306440990971807</v>
      </c>
      <c r="J40">
        <f>(Table3[[#This Row],[HomeMargin]]-Table3[[#This Row],[HomeForecast]])^2</f>
        <v>1.9128671619589166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-0.70918688886611791</v>
      </c>
      <c r="J41">
        <f>(Table3[[#This Row],[HomeMargin]]-Table3[[#This Row],[HomeForecast]])^2</f>
        <v>8.457226560736765E-2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0.46285972549524351</v>
      </c>
      <c r="J42">
        <f>(Table3[[#This Row],[HomeMargin]]-Table3[[#This Row],[HomeForecast]])^2</f>
        <v>6.0656780274665056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0.23224640384372036</v>
      </c>
      <c r="J43">
        <f>(Table3[[#This Row],[HomeMargin]]-Table3[[#This Row],[HomeForecast]])^2</f>
        <v>0.58944558441089967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-0.60612540665383197</v>
      </c>
      <c r="J44">
        <f>(Table3[[#This Row],[HomeMargin]]-Table3[[#This Row],[HomeForecast]])^2</f>
        <v>0.15513719528360922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-0.66743626002579903</v>
      </c>
      <c r="J45">
        <f>(Table3[[#This Row],[HomeMargin]]-Table3[[#This Row],[HomeForecast]])^2</f>
        <v>0.11059864114562795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-2.2114255589616088</v>
      </c>
      <c r="J46">
        <f>(Table3[[#This Row],[HomeMargin]]-Table3[[#This Row],[HomeForecast]])^2</f>
        <v>4.4700766982228697E-2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-0.77326538559824665</v>
      </c>
      <c r="J47">
        <f>(Table3[[#This Row],[HomeMargin]]-Table3[[#This Row],[HomeForecast]])^2</f>
        <v>5.1408585367911777E-2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8.5808050282371151E-2</v>
      </c>
      <c r="J48">
        <f>(Table3[[#This Row],[HomeMargin]]-Table3[[#This Row],[HomeForecast]])^2</f>
        <v>3.664130820363777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0.3236200521511593</v>
      </c>
      <c r="J49">
        <f>(Table3[[#This Row],[HomeMargin]]-Table3[[#This Row],[HomeForecast]])^2</f>
        <v>0.45748983385200048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6.7088428652067406E-2</v>
      </c>
      <c r="J50">
        <f>(Table3[[#This Row],[HomeMargin]]-Table3[[#This Row],[HomeForecast]])^2</f>
        <v>9.4070314291714077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1.0727534301287229</v>
      </c>
      <c r="J51">
        <f>(Table3[[#This Row],[HomeMargin]]-Table3[[#This Row],[HomeForecast]])^2</f>
        <v>16.587320502625275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0.24265837336989288</v>
      </c>
      <c r="J52">
        <f>(Table3[[#This Row],[HomeMargin]]-Table3[[#This Row],[HomeForecast]])^2</f>
        <v>7.6029328459471657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0.26630816271947544</v>
      </c>
      <c r="J53">
        <f>(Table3[[#This Row],[HomeMargin]]-Table3[[#This Row],[HomeForecast]])^2</f>
        <v>1.6035363629699735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0.41160976879135425</v>
      </c>
      <c r="J54">
        <f>(Table3[[#This Row],[HomeMargin]]-Table3[[#This Row],[HomeForecast]])^2</f>
        <v>11.639081214512599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0.57171812815426981</v>
      </c>
      <c r="J55">
        <f>(Table3[[#This Row],[HomeMargin]]-Table3[[#This Row],[HomeForecast]])^2</f>
        <v>0.18342536175168245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-0.80061484279292827</v>
      </c>
      <c r="J56">
        <f>(Table3[[#This Row],[HomeMargin]]-Table3[[#This Row],[HomeForecast]])^2</f>
        <v>1.4385247553286322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0.3856042952086724</v>
      </c>
      <c r="J57">
        <f>(Table3[[#This Row],[HomeMargin]]-Table3[[#This Row],[HomeForecast]])^2</f>
        <v>6.835064901231342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0.11041018078217002</v>
      </c>
      <c r="J58">
        <f>(Table3[[#This Row],[HomeMargin]]-Table3[[#This Row],[HomeForecast]])^2</f>
        <v>0.79137004645601139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0.56485589959470772</v>
      </c>
      <c r="J59">
        <f>(Table3[[#This Row],[HomeMargin]]-Table3[[#This Row],[HomeForecast]])^2</f>
        <v>6.5784857856857775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-0.94039345314566836</v>
      </c>
      <c r="J60">
        <f>(Table3[[#This Row],[HomeMargin]]-Table3[[#This Row],[HomeForecast]])^2</f>
        <v>9.3611922215538872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0.76509587829909176</v>
      </c>
      <c r="J61">
        <f>(Table3[[#This Row],[HomeMargin]]-Table3[[#This Row],[HomeForecast]])^2</f>
        <v>4.9947964331957078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-0.11920720956830921</v>
      </c>
      <c r="J62">
        <f>(Table3[[#This Row],[HomeMargin]]-Table3[[#This Row],[HomeForecast]])^2</f>
        <v>1.2526247779496813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-0.23384669391945057</v>
      </c>
      <c r="J63">
        <f>(Table3[[#This Row],[HomeMargin]]-Table3[[#This Row],[HomeForecast]])^2</f>
        <v>17.925457827612661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-0.44906749441130484</v>
      </c>
      <c r="J64">
        <f>(Table3[[#This Row],[HomeMargin]]-Table3[[#This Row],[HomeForecast]])^2</f>
        <v>11.896066581004675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-1.0291668871148854</v>
      </c>
      <c r="J65">
        <f>(Table3[[#This Row],[HomeMargin]]-Table3[[#This Row],[HomeForecast]])^2</f>
        <v>15.767515610384887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0.82852508996766772</v>
      </c>
      <c r="J66">
        <f>(Table3[[#This Row],[HomeMargin]]-Table3[[#This Row],[HomeForecast]])^2</f>
        <v>1.3723534648352611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-0.18257731483812828</v>
      </c>
      <c r="J67">
        <f>(Table3[[#This Row],[HomeMargin]]-Table3[[#This Row],[HomeForecast]])^2</f>
        <v>7.9378705868647312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-2.2966766084292791</v>
      </c>
      <c r="J68">
        <f>(Table3[[#This Row],[HomeMargin]]-Table3[[#This Row],[HomeForecast]])^2</f>
        <v>0.4946637931305416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1.2956843520909445</v>
      </c>
      <c r="J69">
        <f>(Table3[[#This Row],[HomeMargin]]-Table3[[#This Row],[HomeForecast]])^2</f>
        <v>10.861535348617108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1.6167967351004342E-2</v>
      </c>
      <c r="J70">
        <f>(Table3[[#This Row],[HomeMargin]]-Table3[[#This Row],[HomeForecast]])^2</f>
        <v>4.0649332725722811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0.83477102931436531</v>
      </c>
      <c r="J71">
        <f>(Table3[[#This Row],[HomeMargin]]-Table3[[#This Row],[HomeForecast]])^2</f>
        <v>2.7300612753834327E-2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0.53043661290750521</v>
      </c>
      <c r="J72">
        <f>(Table3[[#This Row],[HomeMargin]]-Table3[[#This Row],[HomeForecast]])^2</f>
        <v>2.1596165486827661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0.74115974334272794</v>
      </c>
      <c r="J73">
        <f>(Table3[[#This Row],[HomeMargin]]-Table3[[#This Row],[HomeForecast]])^2</f>
        <v>1.5846787917809466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0.34839258159652764</v>
      </c>
      <c r="J74">
        <f>(Table3[[#This Row],[HomeMargin]]-Table3[[#This Row],[HomeForecast]])^2</f>
        <v>0.42459222771843791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1.1366984417599257E-2</v>
      </c>
      <c r="J75">
        <f>(Table3[[#This Row],[HomeMargin]]-Table3[[#This Row],[HomeForecast]])^2</f>
        <v>9.0683311148403458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-0.30483530554817023</v>
      </c>
      <c r="J76">
        <f>(Table3[[#This Row],[HomeMargin]]-Table3[[#This Row],[HomeForecast]])^2</f>
        <v>1.702595174604987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2.8226967839731387E-2</v>
      </c>
      <c r="J77">
        <f>(Table3[[#This Row],[HomeMargin]]-Table3[[#This Row],[HomeForecast]])^2</f>
        <v>0.94434282603396258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0.76344486664779776</v>
      </c>
      <c r="J78">
        <f>(Table3[[#This Row],[HomeMargin]]-Table3[[#This Row],[HomeForecast]])^2</f>
        <v>3.1097377977064693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-1.3451053339312091</v>
      </c>
      <c r="J79">
        <f>(Table3[[#This Row],[HomeMargin]]-Table3[[#This Row],[HomeForecast]])^2</f>
        <v>5.4995190272326075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0.29344278913858851</v>
      </c>
      <c r="J80">
        <f>(Table3[[#This Row],[HomeMargin]]-Table3[[#This Row],[HomeForecast]])^2</f>
        <v>7.3254519356659031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0.45416559269186252</v>
      </c>
      <c r="J81">
        <f>(Table3[[#This Row],[HomeMargin]]-Table3[[#This Row],[HomeForecast]])^2</f>
        <v>12.572941644050251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-0.20620697266449323</v>
      </c>
      <c r="J82">
        <f>(Table3[[#This Row],[HomeMargin]]-Table3[[#This Row],[HomeForecast]])^2</f>
        <v>10.279763151562415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-1.1874958616520681</v>
      </c>
      <c r="J83">
        <f>(Table3[[#This Row],[HomeMargin]]-Table3[[#This Row],[HomeForecast]])^2</f>
        <v>4.7851381447449235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1.8738755056858545</v>
      </c>
      <c r="J84">
        <f>(Table3[[#This Row],[HomeMargin]]-Table3[[#This Row],[HomeForecast]])^2</f>
        <v>1.26815637669429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-0.73812747564139369</v>
      </c>
      <c r="J85">
        <f>(Table3[[#This Row],[HomeMargin]]-Table3[[#This Row],[HomeForecast]])^2</f>
        <v>6.8577219013948851E-2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-0.23516015453289668</v>
      </c>
      <c r="J86">
        <f>(Table3[[#This Row],[HomeMargin]]-Table3[[#This Row],[HomeForecast]])^2</f>
        <v>0.5849799892141424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0.97321653864587221</v>
      </c>
      <c r="J87">
        <f>(Table3[[#This Row],[HomeMargin]]-Table3[[#This Row],[HomeForecast]])^2</f>
        <v>1.0542842765103637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-0.17348159746655925</v>
      </c>
      <c r="J88">
        <f>(Table3[[#This Row],[HomeMargin]]-Table3[[#This Row],[HomeForecast]])^2</f>
        <v>0.68313266972643083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-8.000666388983968E-2</v>
      </c>
      <c r="J89">
        <f>(Table3[[#This Row],[HomeMargin]]-Table3[[#This Row],[HomeForecast]])^2</f>
        <v>1.1664143940464609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-0.18609801015327032</v>
      </c>
      <c r="J90">
        <f>(Table3[[#This Row],[HomeMargin]]-Table3[[#This Row],[HomeForecast]])^2</f>
        <v>7.9180444084633832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-1.5614063725580321</v>
      </c>
      <c r="J91">
        <f>(Table3[[#This Row],[HomeMargin]]-Table3[[#This Row],[HomeForecast]])^2</f>
        <v>12.683615350496963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4.0735029766896469E-2</v>
      </c>
      <c r="J92">
        <f>(Table3[[#This Row],[HomeMargin]]-Table3[[#This Row],[HomeForecast]])^2</f>
        <v>1.0831294021839029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0.89787334167577271</v>
      </c>
      <c r="J93">
        <f>(Table3[[#This Row],[HomeMargin]]-Table3[[#This Row],[HomeForecast]])^2</f>
        <v>16.827443120934291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1.2764050978260593</v>
      </c>
      <c r="J94">
        <f>(Table3[[#This Row],[HomeMargin]]-Table3[[#This Row],[HomeForecast]])^2</f>
        <v>2.9707793867999963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-0.42719454832800263</v>
      </c>
      <c r="J95">
        <f>(Table3[[#This Row],[HomeMargin]]-Table3[[#This Row],[HomeForecast]])^2</f>
        <v>2.0368842787771713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-6.2875686729378932E-3</v>
      </c>
      <c r="J96">
        <f>(Table3[[#This Row],[HomeMargin]]-Table3[[#This Row],[HomeForecast]])^2</f>
        <v>4.0251898082115689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-4.1121283868373715E-2</v>
      </c>
      <c r="J97">
        <f>(Table3[[#This Row],[HomeMargin]]-Table3[[#This Row],[HomeForecast]])^2</f>
        <v>1.0839335277237307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1.3642456495741346</v>
      </c>
      <c r="J98">
        <f>(Table3[[#This Row],[HomeMargin]]-Table3[[#This Row],[HomeForecast]])^2</f>
        <v>5.5896574915302208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-0.87233618329422979</v>
      </c>
      <c r="J99">
        <f>(Table3[[#This Row],[HomeMargin]]-Table3[[#This Row],[HomeForecast]])^2</f>
        <v>1.6298050095884493E-2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9.3122791987937381E-2</v>
      </c>
      <c r="J100">
        <f>(Table3[[#This Row],[HomeMargin]]-Table3[[#This Row],[HomeForecast]])^2</f>
        <v>3.6361806864358792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-0.20058906340339172</v>
      </c>
      <c r="J101">
        <f>(Table3[[#This Row],[HomeMargin]]-Table3[[#This Row],[HomeForecast]])^2</f>
        <v>3.2378797187434829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0.51478198427004096</v>
      </c>
      <c r="J102">
        <f>(Table3[[#This Row],[HomeMargin]]-Table3[[#This Row],[HomeForecast]])^2</f>
        <v>6.1763085857087558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-0.62623166174039691</v>
      </c>
      <c r="J103">
        <f>(Table3[[#This Row],[HomeMargin]]-Table3[[#This Row],[HomeForecast]])^2</f>
        <v>13.14955606460852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0.22860157949410526</v>
      </c>
      <c r="J104">
        <f>(Table3[[#This Row],[HomeMargin]]-Table3[[#This Row],[HomeForecast]])^2</f>
        <v>1.5094618411354102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1.0483566040419909</v>
      </c>
      <c r="J105">
        <f>(Table3[[#This Row],[HomeMargin]]-Table3[[#This Row],[HomeForecast]])^2</f>
        <v>25.485904401574381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-1.551079605344182</v>
      </c>
      <c r="J106">
        <f>(Table3[[#This Row],[HomeMargin]]-Table3[[#This Row],[HomeForecast]])^2</f>
        <v>2.0993703100495713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0.45297156055864018</v>
      </c>
      <c r="J107">
        <f>(Table3[[#This Row],[HomeMargin]]-Table3[[#This Row],[HomeForecast]])^2</f>
        <v>0.29924011355764946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0.5190488964347465</v>
      </c>
      <c r="J108">
        <f>(Table3[[#This Row],[HomeMargin]]-Table3[[#This Row],[HomeForecast]])^2</f>
        <v>2.3075095497596214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0.71617978570437513</v>
      </c>
      <c r="J109">
        <f>(Table3[[#This Row],[HomeMargin]]-Table3[[#This Row],[HomeForecast]])^2</f>
        <v>10.783475199816563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-0.94944052408104485</v>
      </c>
      <c r="J110">
        <f>(Table3[[#This Row],[HomeMargin]]-Table3[[#This Row],[HomeForecast]])^2</f>
        <v>2.5562606051994061E-3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-0.71319594459933455</v>
      </c>
      <c r="J111">
        <f>(Table3[[#This Row],[HomeMargin]]-Table3[[#This Row],[HomeForecast]])^2</f>
        <v>5.2294727877969294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-1.8663675401128059</v>
      </c>
      <c r="J112">
        <f>(Table3[[#This Row],[HomeMargin]]-Table3[[#This Row],[HomeForecast]])^2</f>
        <v>8.2160628750123372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1.0489542408517432</v>
      </c>
      <c r="J113">
        <f>(Table3[[#This Row],[HomeMargin]]-Table3[[#This Row],[HomeForecast]])^2</f>
        <v>3.8065795542903977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0.29148977118823383</v>
      </c>
      <c r="J114">
        <f>(Table3[[#This Row],[HomeMargin]]-Table3[[#This Row],[HomeForecast]])^2</f>
        <v>2.9190072019544338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-0.43070211478253584</v>
      </c>
      <c r="J115">
        <f>(Table3[[#This Row],[HomeMargin]]-Table3[[#This Row],[HomeForecast]])^2</f>
        <v>0.324100082113077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0.20777157564777265</v>
      </c>
      <c r="J116">
        <f>(Table3[[#This Row],[HomeMargin]]-Table3[[#This Row],[HomeForecast]])^2</f>
        <v>7.7965395737605219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-0.37462281585915563</v>
      </c>
      <c r="J117">
        <f>(Table3[[#This Row],[HomeMargin]]-Table3[[#This Row],[HomeForecast]])^2</f>
        <v>2.6418509907256205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1.219416876105726</v>
      </c>
      <c r="J118">
        <f>(Table3[[#This Row],[HomeMargin]]-Table3[[#This Row],[HomeForecast]])^2</f>
        <v>4.9258112699428995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0.66059509791840942</v>
      </c>
      <c r="J119">
        <f>(Table3[[#This Row],[HomeMargin]]-Table3[[#This Row],[HomeForecast]])^2</f>
        <v>2.7575760792306516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-0.18380799673754444</v>
      </c>
      <c r="J120">
        <f>(Table3[[#This Row],[HomeMargin]]-Table3[[#This Row],[HomeForecast]])^2</f>
        <v>1.4014013731397579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-3.1506267198991134E-2</v>
      </c>
      <c r="J121">
        <f>(Table3[[#This Row],[HomeMargin]]-Table3[[#This Row],[HomeForecast]])^2</f>
        <v>3.8749675760768496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-0.3604401903683816</v>
      </c>
      <c r="J122">
        <f>(Table3[[#This Row],[HomeMargin]]-Table3[[#This Row],[HomeForecast]])^2</f>
        <v>1.8507975115695583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0.79607656145708805</v>
      </c>
      <c r="J123">
        <f>(Table3[[#This Row],[HomeMargin]]-Table3[[#This Row],[HomeForecast]])^2</f>
        <v>17.672972277130459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0.27666771681062002</v>
      </c>
      <c r="J124">
        <f>(Table3[[#This Row],[HomeMargin]]-Table3[[#This Row],[HomeForecast]])^2</f>
        <v>1.6298804591464413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-0.1177601532320911</v>
      </c>
      <c r="J125">
        <f>(Table3[[#This Row],[HomeMargin]]-Table3[[#This Row],[HomeForecast]])^2</f>
        <v>1.2493877601534278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-0.99198808627393653</v>
      </c>
      <c r="J126">
        <f>(Table3[[#This Row],[HomeMargin]]-Table3[[#This Row],[HomeForecast]])^2</f>
        <v>4.032111845665808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0.81726649137749052</v>
      </c>
      <c r="J127">
        <f>(Table3[[#This Row],[HomeMargin]]-Table3[[#This Row],[HomeForecast]])^2</f>
        <v>3.3024575006834547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0.55204424929386398</v>
      </c>
      <c r="J128">
        <f>(Table3[[#This Row],[HomeMargin]]-Table3[[#This Row],[HomeForecast]])^2</f>
        <v>12.617018348941611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7.3810857910180605E-2</v>
      </c>
      <c r="J129">
        <f>(Table3[[#This Row],[HomeMargin]]-Table3[[#This Row],[HomeForecast]])^2</f>
        <v>3.7102046111047144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-1.0196594026423367</v>
      </c>
      <c r="J130">
        <f>(Table3[[#This Row],[HomeMargin]]-Table3[[#This Row],[HomeForecast]])^2</f>
        <v>8.8824300762582329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0.68502835586178445</v>
      </c>
      <c r="J131">
        <f>(Table3[[#This Row],[HomeMargin]]-Table3[[#This Row],[HomeForecast]])^2</f>
        <v>1.7291504248875618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0.96959468217707423</v>
      </c>
      <c r="J132">
        <f>(Table3[[#This Row],[HomeMargin]]-Table3[[#This Row],[HomeForecast]])^2</f>
        <v>1.0617351189977646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-1.77661700680301</v>
      </c>
      <c r="J133">
        <f>(Table3[[#This Row],[HomeMargin]]-Table3[[#This Row],[HomeForecast]])^2</f>
        <v>7.7096020024677063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-0.12616162716440643</v>
      </c>
      <c r="J134">
        <f>(Table3[[#This Row],[HomeMargin]]-Table3[[#This Row],[HomeForecast]])^2</f>
        <v>1.2682400104975835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0.50132804456116675</v>
      </c>
      <c r="J135">
        <f>(Table3[[#This Row],[HomeMargin]]-Table3[[#This Row],[HomeForecast]])^2</f>
        <v>2.2460176300188563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-0.11094079900956999</v>
      </c>
      <c r="J136">
        <f>(Table3[[#This Row],[HomeMargin]]-Table3[[#This Row],[HomeForecast]])^2</f>
        <v>9.6779526549423007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0.28107248995826767</v>
      </c>
      <c r="J137">
        <f>(Table3[[#This Row],[HomeMargin]]-Table3[[#This Row],[HomeForecast]])^2</f>
        <v>18.327581664277481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-0.99552944454091663</v>
      </c>
      <c r="J138">
        <f>(Table3[[#This Row],[HomeMargin]]-Table3[[#This Row],[HomeForecast]])^2</f>
        <v>3.9821377640297793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-7.0921947930459306E-3</v>
      </c>
      <c r="J139">
        <f>(Table3[[#This Row],[HomeMargin]]-Table3[[#This Row],[HomeForecast]])^2</f>
        <v>1.0142346888130744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0.46885203765542149</v>
      </c>
      <c r="J140">
        <f>(Table3[[#This Row],[HomeMargin]]-Table3[[#This Row],[HomeForecast]])^2</f>
        <v>2.1575263085244836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0.21928556427964108</v>
      </c>
      <c r="J141">
        <f>(Table3[[#This Row],[HomeMargin]]-Table3[[#This Row],[HomeForecast]])^2</f>
        <v>0.60951503014215846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0.34144269360806562</v>
      </c>
      <c r="J142">
        <f>(Table3[[#This Row],[HomeMargin]]-Table3[[#This Row],[HomeForecast]])^2</f>
        <v>0.43369772580220006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2.344764097266383E-2</v>
      </c>
      <c r="J143">
        <f>(Table3[[#This Row],[HomeMargin]]-Table3[[#This Row],[HomeForecast]])^2</f>
        <v>0.9536545099218553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-0.32844309062171706</v>
      </c>
      <c r="J144">
        <f>(Table3[[#This Row],[HomeMargin]]-Table3[[#This Row],[HomeForecast]])^2</f>
        <v>0.45098868253371133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0.74919090869663774</v>
      </c>
      <c r="J145">
        <f>(Table3[[#This Row],[HomeMargin]]-Table3[[#This Row],[HomeForecast]])^2</f>
        <v>45.551577922033346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-0.71449151875685479</v>
      </c>
      <c r="J146">
        <f>(Table3[[#This Row],[HomeMargin]]-Table3[[#This Row],[HomeForecast]])^2</f>
        <v>22.226430280430318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0.12835561247526278</v>
      </c>
      <c r="J147">
        <f>(Table3[[#This Row],[HomeMargin]]-Table3[[#This Row],[HomeForecast]])^2</f>
        <v>4.5298976131549518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0.52588602965543396</v>
      </c>
      <c r="J148">
        <f>(Table3[[#This Row],[HomeMargin]]-Table3[[#This Row],[HomeForecast]])^2</f>
        <v>2.3283281754976239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-1.4747819733896101</v>
      </c>
      <c r="J149">
        <f>(Table3[[#This Row],[HomeMargin]]-Table3[[#This Row],[HomeForecast]])^2</f>
        <v>6.1245458158141721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-1.6074952930179038</v>
      </c>
      <c r="J150">
        <f>(Table3[[#This Row],[HomeMargin]]-Table3[[#This Row],[HomeForecast]])^2</f>
        <v>0.36905053103890884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0.78509704051033435</v>
      </c>
      <c r="J151">
        <f>(Table3[[#This Row],[HomeMargin]]-Table3[[#This Row],[HomeForecast]])^2</f>
        <v>4.6183281997416871E-2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-9.6005844442750399E-2</v>
      </c>
      <c r="J152">
        <f>(Table3[[#This Row],[HomeMargin]]-Table3[[#This Row],[HomeForecast]])^2</f>
        <v>1.2012288110526661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0.18969884165082873</v>
      </c>
      <c r="J153">
        <f>(Table3[[#This Row],[HomeMargin]]-Table3[[#This Row],[HomeForecast]])^2</f>
        <v>1.4153833338253237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-0.10370335935630348</v>
      </c>
      <c r="J154">
        <f>(Table3[[#This Row],[HomeMargin]]-Table3[[#This Row],[HomeForecast]])^2</f>
        <v>26.047787980304815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1.079160305054307</v>
      </c>
      <c r="J155">
        <f>(Table3[[#This Row],[HomeMargin]]-Table3[[#This Row],[HomeForecast]])^2</f>
        <v>3.6896251336790629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-2.1148988668833552E-2</v>
      </c>
      <c r="J156">
        <f>(Table3[[#This Row],[HomeMargin]]-Table3[[#This Row],[HomeForecast]])^2</f>
        <v>9.1273412117347164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0.1338802989090927</v>
      </c>
      <c r="J157">
        <f>(Table3[[#This Row],[HomeMargin]]-Table3[[#This Row],[HomeForecast]])^2</f>
        <v>1.2856845322541732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0.72349016062324134</v>
      </c>
      <c r="J158">
        <f>(Table3[[#This Row],[HomeMargin]]-Table3[[#This Row],[HomeForecast]])^2</f>
        <v>13.864378976258092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0.14839012577030092</v>
      </c>
      <c r="J159">
        <f>(Table3[[#This Row],[HomeMargin]]-Table3[[#This Row],[HomeForecast]])^2</f>
        <v>14.834898623263719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1.5720404722724546</v>
      </c>
      <c r="J160">
        <f>(Table3[[#This Row],[HomeMargin]]-Table3[[#This Row],[HomeForecast]])^2</f>
        <v>5.8949874682829666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-1.9932048041767902E-2</v>
      </c>
      <c r="J161">
        <f>(Table3[[#This Row],[HomeMargin]]-Table3[[#This Row],[HomeForecast]])^2</f>
        <v>1.0402613826226752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-0.48437247303983183</v>
      </c>
      <c r="J162">
        <f>(Table3[[#This Row],[HomeMargin]]-Table3[[#This Row],[HomeForecast]])^2</f>
        <v>12.140851530877713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-0.55459514591183867</v>
      </c>
      <c r="J163">
        <f>(Table3[[#This Row],[HomeMargin]]-Table3[[#This Row],[HomeForecast]])^2</f>
        <v>0.1983854840452963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0.14000289774886115</v>
      </c>
      <c r="J164">
        <f>(Table3[[#This Row],[HomeMargin]]-Table3[[#This Row],[HomeForecast]])^2</f>
        <v>1.2996066068758005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-1.8438930495108254</v>
      </c>
      <c r="J165">
        <f>(Table3[[#This Row],[HomeMargin]]-Table3[[#This Row],[HomeForecast]])^2</f>
        <v>1.3365832809693787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0.16252285672947953</v>
      </c>
      <c r="J166">
        <f>(Table3[[#This Row],[HomeMargin]]-Table3[[#This Row],[HomeForecast]])^2</f>
        <v>0.70136796550055192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-1.3151681899325585E-2</v>
      </c>
      <c r="J167">
        <f>(Table3[[#This Row],[HomeMargin]]-Table3[[#This Row],[HomeForecast]])^2</f>
        <v>0.97386960293812985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-0.15363672806285245</v>
      </c>
      <c r="J168">
        <f>(Table3[[#This Row],[HomeMargin]]-Table3[[#This Row],[HomeForecast]])^2</f>
        <v>0.71633078808415396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-0.40406954567832232</v>
      </c>
      <c r="J169">
        <f>(Table3[[#This Row],[HomeMargin]]-Table3[[#This Row],[HomeForecast]])^2</f>
        <v>6.7388549236747517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0.45828546265010672</v>
      </c>
      <c r="J170">
        <f>(Table3[[#This Row],[HomeMargin]]-Table3[[#This Row],[HomeForecast]])^2</f>
        <v>0.29345463997620891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-0.61223249459603601</v>
      </c>
      <c r="J171">
        <f>(Table3[[#This Row],[HomeMargin]]-Table3[[#This Row],[HomeForecast]])^2</f>
        <v>1.9258986490551413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-1.1440191557489876E-2</v>
      </c>
      <c r="J172">
        <f>(Table3[[#This Row],[HomeMargin]]-Table3[[#This Row],[HomeForecast]])^2</f>
        <v>9.0687720273278103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0.4834378016000207</v>
      </c>
      <c r="J173">
        <f>(Table3[[#This Row],[HomeMargin]]-Table3[[#This Row],[HomeForecast]])^2</f>
        <v>0.26683650481581955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0.63330964091129482</v>
      </c>
      <c r="J174">
        <f>(Table3[[#This Row],[HomeMargin]]-Table3[[#This Row],[HomeForecast]])^2</f>
        <v>11.334603973980835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-0.46759740071186334</v>
      </c>
      <c r="J175">
        <f>(Table3[[#This Row],[HomeMargin]]-Table3[[#This Row],[HomeForecast]])^2</f>
        <v>0.28345252772876428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0.59400022784414475</v>
      </c>
      <c r="J176">
        <f>(Table3[[#This Row],[HomeMargin]]-Table3[[#This Row],[HomeForecast]])^2</f>
        <v>2.5408367263671852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0.29115877006074142</v>
      </c>
      <c r="J177">
        <f>(Table3[[#This Row],[HomeMargin]]-Table3[[#This Row],[HomeForecast]])^2</f>
        <v>10.831726049747735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0.76594301447973789</v>
      </c>
      <c r="J178">
        <f>(Table3[[#This Row],[HomeMargin]]-Table3[[#This Row],[HomeForecast]])^2</f>
        <v>5.4782672470832183E-2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1.2391428328022362</v>
      </c>
      <c r="J179">
        <f>(Table3[[#This Row],[HomeMargin]]-Table3[[#This Row],[HomeForecast]])^2</f>
        <v>3.1006179632717332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-0.58776985697893991</v>
      </c>
      <c r="J180">
        <f>(Table3[[#This Row],[HomeMargin]]-Table3[[#This Row],[HomeForecast]])^2</f>
        <v>12.872092546646684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-0.31435126990850981</v>
      </c>
      <c r="J181">
        <f>(Table3[[#This Row],[HomeMargin]]-Table3[[#This Row],[HomeForecast]])^2</f>
        <v>0.47011418107607317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0.28502700593434377</v>
      </c>
      <c r="J182">
        <f>(Table3[[#This Row],[HomeMargin]]-Table3[[#This Row],[HomeForecast]])^2</f>
        <v>0.51118638224320878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0.1525200408098798</v>
      </c>
      <c r="J183">
        <f>(Table3[[#This Row],[HomeMargin]]-Table3[[#This Row],[HomeForecast]])^2</f>
        <v>8.1081421179893685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1.1495503886474101</v>
      </c>
      <c r="J184">
        <f>(Table3[[#This Row],[HomeMargin]]-Table3[[#This Row],[HomeForecast]])^2</f>
        <v>3.4241637641549509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-1.7970192884047009</v>
      </c>
      <c r="J185">
        <f>(Table3[[#This Row],[HomeMargin]]-Table3[[#This Row],[HomeForecast]])^2</f>
        <v>4.1201169279733975E-2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0.5270800617886563</v>
      </c>
      <c r="J186">
        <f>(Table3[[#This Row],[HomeMargin]]-Table3[[#This Row],[HomeForecast]])^2</f>
        <v>6.386133638689758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-0.60582938013870613</v>
      </c>
      <c r="J187">
        <f>(Table3[[#This Row],[HomeMargin]]-Table3[[#This Row],[HomeForecast]])^2</f>
        <v>2.5786879981166617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-0.93440835317466608</v>
      </c>
      <c r="J188">
        <f>(Table3[[#This Row],[HomeMargin]]-Table3[[#This Row],[HomeForecast]])^2</f>
        <v>3.7419356768319236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0.65893751684030788</v>
      </c>
      <c r="J189">
        <f>(Table3[[#This Row],[HomeMargin]]-Table3[[#This Row],[HomeForecast]])^2</f>
        <v>0.11632361741905527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-0.52155127388078082</v>
      </c>
      <c r="J190">
        <f>(Table3[[#This Row],[HomeMargin]]-Table3[[#This Row],[HomeForecast]])^2</f>
        <v>2.3151182790482268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-0.61101083358556052</v>
      </c>
      <c r="J191">
        <f>(Table3[[#This Row],[HomeMargin]]-Table3[[#This Row],[HomeForecast]])^2</f>
        <v>2.5953559059300422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-0.3855038794746653</v>
      </c>
      <c r="J192">
        <f>(Table3[[#This Row],[HomeMargin]]-Table3[[#This Row],[HomeForecast]])^2</f>
        <v>6.8355899642420246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0.95870930632369433</v>
      </c>
      <c r="J193">
        <f>(Table3[[#This Row],[HomeMargin]]-Table3[[#This Row],[HomeForecast]])^2</f>
        <v>4.1668676960894935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-0.1893531513729354</v>
      </c>
      <c r="J194">
        <f>(Table3[[#This Row],[HomeMargin]]-Table3[[#This Row],[HomeForecast]])^2</f>
        <v>1.4145609186807326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-0.25818116620756282</v>
      </c>
      <c r="J195">
        <f>(Table3[[#This Row],[HomeMargin]]-Table3[[#This Row],[HomeForecast]])^2</f>
        <v>5.0993821794145484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0.52267620394456671</v>
      </c>
      <c r="J196">
        <f>(Table3[[#This Row],[HomeMargin]]-Table3[[#This Row],[HomeForecast]])^2</f>
        <v>12.409247637837302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-0.29694108587364448</v>
      </c>
      <c r="J197">
        <f>(Table3[[#This Row],[HomeMargin]]-Table3[[#This Row],[HomeForecast]])^2</f>
        <v>0.49429183673253008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-2.1111810798099722</v>
      </c>
      <c r="J198">
        <f>(Table3[[#This Row],[HomeMargin]]-Table3[[#This Row],[HomeForecast]])^2</f>
        <v>9.6794477113675441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0.19978512175330249</v>
      </c>
      <c r="J199">
        <f>(Table3[[#This Row],[HomeMargin]]-Table3[[#This Row],[HomeForecast]])^2</f>
        <v>7.8412033643541674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0.17004628132860011</v>
      </c>
      <c r="J200">
        <f>(Table3[[#This Row],[HomeMargin]]-Table3[[#This Row],[HomeForecast]])^2</f>
        <v>8.0086380498220855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0.63846708917794692</v>
      </c>
      <c r="J201">
        <f>(Table3[[#This Row],[HomeMargin]]-Table3[[#This Row],[HomeForecast]])^2</f>
        <v>0.13070604560746657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0.93233241715325121</v>
      </c>
      <c r="J202">
        <f>(Table3[[#This Row],[HomeMargin]]-Table3[[#This Row],[HomeForecast]])^2</f>
        <v>3.7339085703813266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0.39173425033987008</v>
      </c>
      <c r="J203">
        <f>(Table3[[#This Row],[HomeMargin]]-Table3[[#This Row],[HomeForecast]])^2</f>
        <v>1.9369242235690804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-0.75718679333559491</v>
      </c>
      <c r="J204">
        <f>(Table3[[#This Row],[HomeMargin]]-Table3[[#This Row],[HomeForecast]])^2</f>
        <v>1.5445846666594614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-0.3604401903683816</v>
      </c>
      <c r="J205">
        <f>(Table3[[#This Row],[HomeMargin]]-Table3[[#This Row],[HomeForecast]])^2</f>
        <v>0.40903675009603196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-0.3508949590425619</v>
      </c>
      <c r="J206">
        <f>(Table3[[#This Row],[HomeMargin]]-Table3[[#This Row],[HomeForecast]])^2</f>
        <v>5.5267071084517294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-0.45898636379268243</v>
      </c>
      <c r="J207">
        <f>(Table3[[#This Row],[HomeMargin]]-Table3[[#This Row],[HomeForecast]])^2</f>
        <v>2.1286412097329936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-0.31152409777366497</v>
      </c>
      <c r="J208">
        <f>(Table3[[#This Row],[HomeMargin]]-Table3[[#This Row],[HomeForecast]])^2</f>
        <v>1.7200954590410262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0.65185364479468311</v>
      </c>
      <c r="J209">
        <f>(Table3[[#This Row],[HomeMargin]]-Table3[[#This Row],[HomeForecast]])^2</f>
        <v>11.210084015874649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-0.29642876940738033</v>
      </c>
      <c r="J210">
        <f>(Table3[[#This Row],[HomeMargin]]-Table3[[#This Row],[HomeForecast]])^2</f>
        <v>0.4950124765176131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1.1578099962186332</v>
      </c>
      <c r="J211">
        <f>(Table3[[#This Row],[HomeMargin]]-Table3[[#This Row],[HomeForecast]])^2</f>
        <v>2.4903994906525034E-2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1.151049258206772</v>
      </c>
      <c r="J212">
        <f>(Table3[[#This Row],[HomeMargin]]-Table3[[#This Row],[HomeForecast]])^2</f>
        <v>2.2815878404816064E-2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-0.13498790496087593</v>
      </c>
      <c r="J213">
        <f>(Table3[[#This Row],[HomeMargin]]-Table3[[#This Row],[HomeForecast]])^2</f>
        <v>9.8281491642509806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1.367778746133498</v>
      </c>
      <c r="J214">
        <f>(Table3[[#This Row],[HomeMargin]]-Table3[[#This Row],[HomeForecast]])^2</f>
        <v>0.13526120610752801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-0.35574255404644872</v>
      </c>
      <c r="J215">
        <f>(Table3[[#This Row],[HomeMargin]]-Table3[[#This Row],[HomeForecast]])^2</f>
        <v>0.41506765666659307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0.11840748755167799</v>
      </c>
      <c r="J216">
        <f>(Table3[[#This Row],[HomeMargin]]-Table3[[#This Row],[HomeForecast]])^2</f>
        <v>1.250835308211657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-0.71235498577647061</v>
      </c>
      <c r="J217">
        <f>(Table3[[#This Row],[HomeMargin]]-Table3[[#This Row],[HomeForecast]])^2</f>
        <v>5.233319711101772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0.70589604174514142</v>
      </c>
      <c r="J218">
        <f>(Table3[[#This Row],[HomeMargin]]-Table3[[#This Row],[HomeForecast]])^2</f>
        <v>8.6497138261175596E-2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-0.30095752276835019</v>
      </c>
      <c r="J219">
        <f>(Table3[[#This Row],[HomeMargin]]-Table3[[#This Row],[HomeForecast]])^2</f>
        <v>18.498235612657659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-6.8902618504446678E-2</v>
      </c>
      <c r="J220">
        <f>(Table3[[#This Row],[HomeMargin]]-Table3[[#This Row],[HomeForecast]])^2</f>
        <v>24.315721385792305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-0.32161037787613872</v>
      </c>
      <c r="J221">
        <f>(Table3[[#This Row],[HomeMargin]]-Table3[[#This Row],[HomeForecast]])^2</f>
        <v>5.389874746662187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-0.66618636776495332</v>
      </c>
      <c r="J222">
        <f>(Table3[[#This Row],[HomeMargin]]-Table3[[#This Row],[HomeForecast]])^2</f>
        <v>5.4466860700061419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1.7272261689240667</v>
      </c>
      <c r="J223">
        <f>(Table3[[#This Row],[HomeMargin]]-Table3[[#This Row],[HomeForecast]])^2</f>
        <v>10.711048549375441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0.20096185823914792</v>
      </c>
      <c r="J224">
        <f>(Table3[[#This Row],[HomeMargin]]-Table3[[#This Row],[HomeForecast]])^2</f>
        <v>0.63846195198863553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0.74418856630797836</v>
      </c>
      <c r="J225">
        <f>(Table3[[#This Row],[HomeMargin]]-Table3[[#This Row],[HomeForecast]])^2</f>
        <v>14.018948020071397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0.56039517181450105</v>
      </c>
      <c r="J226">
        <f>(Table3[[#This Row],[HomeMargin]]-Table3[[#This Row],[HomeForecast]])^2</f>
        <v>0.19325240496400206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0.10504493711514407</v>
      </c>
      <c r="J227">
        <f>(Table3[[#This Row],[HomeMargin]]-Table3[[#This Row],[HomeForecast]])^2</f>
        <v>4.4312141872741009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9.6303483991417693E-2</v>
      </c>
      <c r="J228">
        <f>(Table3[[#This Row],[HomeMargin]]-Table3[[#This Row],[HomeForecast]])^2</f>
        <v>9.5870952649773926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0.74077929246690544</v>
      </c>
      <c r="J229">
        <f>(Table3[[#This Row],[HomeMargin]]-Table3[[#This Row],[HomeForecast]])^2</f>
        <v>6.7195375213958145E-2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-1.1418843339193918</v>
      </c>
      <c r="J230">
        <f>(Table3[[#This Row],[HomeMargin]]-Table3[[#This Row],[HomeForecast]])^2</f>
        <v>0.7363624963729658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-0.59943661442833729</v>
      </c>
      <c r="J231">
        <f>(Table3[[#This Row],[HomeMargin]]-Table3[[#This Row],[HomeForecast]])^2</f>
        <v>6.7570707124306573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-0.68783854162748992</v>
      </c>
      <c r="J232">
        <f>(Table3[[#This Row],[HomeMargin]]-Table3[[#This Row],[HomeForecast]])^2</f>
        <v>5.3460906095832934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-0.7684453919257721</v>
      </c>
      <c r="J233">
        <f>(Table3[[#This Row],[HomeMargin]]-Table3[[#This Row],[HomeForecast]])^2</f>
        <v>10.442945184965776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-0.52251421882622351</v>
      </c>
      <c r="J234">
        <f>(Table3[[#This Row],[HomeMargin]]-Table3[[#This Row],[HomeForecast]])^2</f>
        <v>6.1379357959182377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-2.4285219655371532E-2</v>
      </c>
      <c r="J235">
        <f>(Table3[[#This Row],[HomeMargin]]-Table3[[#This Row],[HomeForecast]])^2</f>
        <v>8.8548784539614811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-0.33725388246515059</v>
      </c>
      <c r="J236">
        <f>(Table3[[#This Row],[HomeMargin]]-Table3[[#This Row],[HomeForecast]])^2</f>
        <v>1.7882479461681187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1.1378964311801489</v>
      </c>
      <c r="J237">
        <f>(Table3[[#This Row],[HomeMargin]]-Table3[[#This Row],[HomeForecast]])^2</f>
        <v>3.4674297010116257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-2.3993692625940599</v>
      </c>
      <c r="J238">
        <f>(Table3[[#This Row],[HomeMargin]]-Table3[[#This Row],[HomeForecast]])^2</f>
        <v>31.367064656776201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-0.25193522686086517</v>
      </c>
      <c r="J239">
        <f>(Table3[[#This Row],[HomeMargin]]-Table3[[#This Row],[HomeForecast]])^2</f>
        <v>18.078953173420352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0.45030109626709186</v>
      </c>
      <c r="J240">
        <f>(Table3[[#This Row],[HomeMargin]]-Table3[[#This Row],[HomeForecast]])^2</f>
        <v>0.30216888476516096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-1.6074952930179038</v>
      </c>
      <c r="J241">
        <f>(Table3[[#This Row],[HomeMargin]]-Table3[[#This Row],[HomeForecast]])^2</f>
        <v>0.36905053103890884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-0.12767459430659797</v>
      </c>
      <c r="J242">
        <f>(Table3[[#This Row],[HomeMargin]]-Table3[[#This Row],[HomeForecast]])^2</f>
        <v>23.739554858965377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0.21501865211493554</v>
      </c>
      <c r="J243">
        <f>(Table3[[#This Row],[HomeMargin]]-Table3[[#This Row],[HomeForecast]])^2</f>
        <v>1.4762703249871947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-0.10596249351285697</v>
      </c>
      <c r="J244">
        <f>(Table3[[#This Row],[HomeMargin]]-Table3[[#This Row],[HomeForecast]])^2</f>
        <v>4.4350780240828911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-0.62964267863090129</v>
      </c>
      <c r="J245">
        <f>(Table3[[#This Row],[HomeMargin]]-Table3[[#This Row],[HomeForecast]])^2</f>
        <v>0.13716454549169385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0.21646570845115365</v>
      </c>
      <c r="J246">
        <f>(Table3[[#This Row],[HomeMargin]]-Table3[[#This Row],[HomeForecast]])^2</f>
        <v>0.61392598603295256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-0.41136091118593465</v>
      </c>
      <c r="J247">
        <f>(Table3[[#This Row],[HomeMargin]]-Table3[[#This Row],[HomeForecast]])^2</f>
        <v>2.5237741545079837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-0.19869849860753142</v>
      </c>
      <c r="J248">
        <f>(Table3[[#This Row],[HomeMargin]]-Table3[[#This Row],[HomeForecast]])^2</f>
        <v>1.4368780905639502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-0.39502509746084646</v>
      </c>
      <c r="J249">
        <f>(Table3[[#This Row],[HomeMargin]]-Table3[[#This Row],[HomeForecast]])^2</f>
        <v>0.36599463270225829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0.42056225584238949</v>
      </c>
      <c r="J250">
        <f>(Table3[[#This Row],[HomeMargin]]-Table3[[#This Row],[HomeForecast]])^2</f>
        <v>6.6534990759849029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0.98039294336855298</v>
      </c>
      <c r="J251">
        <f>(Table3[[#This Row],[HomeMargin]]-Table3[[#This Row],[HomeForecast]])^2</f>
        <v>3.8443666974877048E-4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-0.57646809199514082</v>
      </c>
      <c r="J252">
        <f>(Table3[[#This Row],[HomeMargin]]-Table3[[#This Row],[HomeForecast]])^2</f>
        <v>11.720570725127393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1.060968330484513</v>
      </c>
      <c r="J253">
        <f>(Table3[[#This Row],[HomeMargin]]-Table3[[#This Row],[HomeForecast]])^2</f>
        <v>0.8817804763530428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-1.3952826046507549E-2</v>
      </c>
      <c r="J254">
        <f>(Table3[[#This Row],[HomeMargin]]-Table3[[#This Row],[HomeForecast]])^2</f>
        <v>4.0560059855407138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8.1090531531840093E-2</v>
      </c>
      <c r="J255">
        <f>(Table3[[#This Row],[HomeMargin]]-Table3[[#This Row],[HomeForecast]])^2</f>
        <v>1.1687567373677963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-1.0658195407660629</v>
      </c>
      <c r="J256">
        <f>(Table3[[#This Row],[HomeMargin]]-Table3[[#This Row],[HomeForecast]])^2</f>
        <v>4.3322119466554145E-3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-2.5440043564782329</v>
      </c>
      <c r="J257">
        <f>(Table3[[#This Row],[HomeMargin]]-Table3[[#This Row],[HomeForecast]])^2</f>
        <v>2.3839494528237619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-5.4063404723358799E-2</v>
      </c>
      <c r="J258">
        <f>(Table3[[#This Row],[HomeMargin]]-Table3[[#This Row],[HomeForecast]])^2</f>
        <v>1.1110496611769993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0.28068604474456638</v>
      </c>
      <c r="J259">
        <f>(Table3[[#This Row],[HomeMargin]]-Table3[[#This Row],[HomeForecast]])^2</f>
        <v>1.6401567452034818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1.1185604332886843</v>
      </c>
      <c r="J260">
        <f>(Table3[[#This Row],[HomeMargin]]-Table3[[#This Row],[HomeForecast]])^2</f>
        <v>3.5398148431868637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0.20819929789241443</v>
      </c>
      <c r="J261">
        <f>(Table3[[#This Row],[HomeMargin]]-Table3[[#This Row],[HomeForecast]])^2</f>
        <v>1.4597455434277229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0.50861941006877909</v>
      </c>
      <c r="J262">
        <f>(Table3[[#This Row],[HomeMargin]]-Table3[[#This Row],[HomeForecast]])^2</f>
        <v>2.2242160640235964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0.15485882856406075</v>
      </c>
      <c r="J263">
        <f>(Table3[[#This Row],[HomeMargin]]-Table3[[#This Row],[HomeForecast]])^2</f>
        <v>9.9531342281685991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1.4506234403852767</v>
      </c>
      <c r="J264">
        <f>(Table3[[#This Row],[HomeMargin]]-Table3[[#This Row],[HomeForecast]])^2</f>
        <v>2.4005677234835563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0.52588602965543396</v>
      </c>
      <c r="J265">
        <f>(Table3[[#This Row],[HomeMargin]]-Table3[[#This Row],[HomeForecast]])^2</f>
        <v>2.3283281754976239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-0.20938766466797354</v>
      </c>
      <c r="J266">
        <f>(Table3[[#This Row],[HomeMargin]]-Table3[[#This Row],[HomeForecast]])^2</f>
        <v>14.368741876771319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-0.58337111233060313</v>
      </c>
      <c r="J267">
        <f>(Table3[[#This Row],[HomeMargin]]-Table3[[#This Row],[HomeForecast]])^2</f>
        <v>0.17357963004063892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0.11659291011486006</v>
      </c>
      <c r="J268">
        <f>(Table3[[#This Row],[HomeMargin]]-Table3[[#This Row],[HomeForecast]])^2</f>
        <v>1.2467797269187721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-0.21209224574769103</v>
      </c>
      <c r="J269">
        <f>(Table3[[#This Row],[HomeMargin]]-Table3[[#This Row],[HomeForecast]])^2</f>
        <v>1.469167612201681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-0.77007715913341102</v>
      </c>
      <c r="J270">
        <f>(Table3[[#This Row],[HomeMargin]]-Table3[[#This Row],[HomeForecast]])^2</f>
        <v>1.5127101944853407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-0.30577751644082474</v>
      </c>
      <c r="J271">
        <f>(Table3[[#This Row],[HomeMargin]]-Table3[[#This Row],[HomeForecast]])^2</f>
        <v>0.48194485667906939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0.68543829910825982</v>
      </c>
      <c r="J272">
        <f>(Table3[[#This Row],[HomeMargin]]-Table3[[#This Row],[HomeForecast]])^2</f>
        <v>2.8407022601009442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0.87122036454640783</v>
      </c>
      <c r="J273">
        <f>(Table3[[#This Row],[HomeMargin]]-Table3[[#This Row],[HomeForecast]])^2</f>
        <v>23.728787839971641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0.39368726829022477</v>
      </c>
      <c r="J274">
        <f>(Table3[[#This Row],[HomeMargin]]-Table3[[#This Row],[HomeForecast]])^2</f>
        <v>6.792866055472472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0.15132190360620323</v>
      </c>
      <c r="J275">
        <f>(Table3[[#This Row],[HomeMargin]]-Table3[[#This Row],[HomeForecast]])^2</f>
        <v>0.72025451129859863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-0.48645305138765693</v>
      </c>
      <c r="J276">
        <f>(Table3[[#This Row],[HomeMargin]]-Table3[[#This Row],[HomeForecast]])^2</f>
        <v>6.1824487767549892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2.3086840578444532</v>
      </c>
      <c r="J277">
        <f>(Table3[[#This Row],[HomeMargin]]-Table3[[#This Row],[HomeForecast]])^2</f>
        <v>0.47791773187841136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-1.0522918897645657</v>
      </c>
      <c r="J278">
        <f>(Table3[[#This Row],[HomeMargin]]-Table3[[#This Row],[HomeForecast]])^2</f>
        <v>16.421069559851674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-0.67957213106875058</v>
      </c>
      <c r="J279">
        <f>(Table3[[#This Row],[HomeMargin]]-Table3[[#This Row],[HomeForecast]])^2</f>
        <v>13.539251067737828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-0.82135351314496075</v>
      </c>
      <c r="J280">
        <f>(Table3[[#This Row],[HomeMargin]]-Table3[[#This Row],[HomeForecast]])^2</f>
        <v>38.175672409526122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-0.10370335935630348</v>
      </c>
      <c r="J281">
        <f>(Table3[[#This Row],[HomeMargin]]-Table3[[#This Row],[HomeForecast]])^2</f>
        <v>4.425567824166996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-0.45478575041101948</v>
      </c>
      <c r="J282">
        <f>(Table3[[#This Row],[HomeMargin]]-Table3[[#This Row],[HomeForecast]])^2</f>
        <v>6.0259730804209912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-0.27906281568324709</v>
      </c>
      <c r="J283">
        <f>(Table3[[#This Row],[HomeMargin]]-Table3[[#This Row],[HomeForecast]])^2</f>
        <v>0.51975042373056779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-4.1551270270524382E-2</v>
      </c>
      <c r="J284">
        <f>(Table3[[#This Row],[HomeMargin]]-Table3[[#This Row],[HomeForecast]])^2</f>
        <v>0.91862396752004538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1.4704752286967731</v>
      </c>
      <c r="J285">
        <f>(Table3[[#This Row],[HomeMargin]]-Table3[[#This Row],[HomeForecast]])^2</f>
        <v>0.2213469408172809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-1.0279907266313346</v>
      </c>
      <c r="J286">
        <f>(Table3[[#This Row],[HomeMargin]]-Table3[[#This Row],[HomeForecast]])^2</f>
        <v>4.1127463873026882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-1.09579541345952</v>
      </c>
      <c r="J287">
        <f>(Table3[[#This Row],[HomeMargin]]-Table3[[#This Row],[HomeForecast]])^2</f>
        <v>9.1767612398803919E-3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-0.11089952197862948</v>
      </c>
      <c r="J288">
        <f>(Table3[[#This Row],[HomeMargin]]-Table3[[#This Row],[HomeForecast]])^2</f>
        <v>0.79049966001782945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1.3258401348126005</v>
      </c>
      <c r="J289">
        <f>(Table3[[#This Row],[HomeMargin]]-Table3[[#This Row],[HomeForecast]])^2</f>
        <v>5.4095323327050959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-0.36490474654708233</v>
      </c>
      <c r="J290">
        <f>(Table3[[#This Row],[HomeMargin]]-Table3[[#This Row],[HomeForecast]])^2</f>
        <v>0.40334598095842583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-0.87233618329422979</v>
      </c>
      <c r="J291">
        <f>(Table3[[#This Row],[HomeMargin]]-Table3[[#This Row],[HomeForecast]])^2</f>
        <v>1.6298050095884493E-2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0.45604767759993209</v>
      </c>
      <c r="J292">
        <f>(Table3[[#This Row],[HomeMargin]]-Table3[[#This Row],[HomeForecast]])^2</f>
        <v>0.29588412904442746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0.51424020853993424</v>
      </c>
      <c r="J293">
        <f>(Table3[[#This Row],[HomeMargin]]-Table3[[#This Row],[HomeForecast]])^2</f>
        <v>12.150521323759721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-0.19423127230538939</v>
      </c>
      <c r="J294">
        <f>(Table3[[#This Row],[HomeMargin]]-Table3[[#This Row],[HomeForecast]])^2</f>
        <v>0.64926324253059153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-0.84740859007848202</v>
      </c>
      <c r="J295">
        <f>(Table3[[#This Row],[HomeMargin]]-Table3[[#This Row],[HomeForecast]])^2</f>
        <v>1.3284669582248727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-0.23193010865210612</v>
      </c>
      <c r="J296">
        <f>(Table3[[#This Row],[HomeMargin]]-Table3[[#This Row],[HomeForecast]])^2</f>
        <v>4.9815120099078021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-0.3416857601706611</v>
      </c>
      <c r="J297">
        <f>(Table3[[#This Row],[HomeMargin]]-Table3[[#This Row],[HomeForecast]])^2</f>
        <v>0.43337763836208032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2.8594736146384081E-2</v>
      </c>
      <c r="J298">
        <f>(Table3[[#This Row],[HomeMargin]]-Table3[[#This Row],[HomeForecast]])^2</f>
        <v>1.0580071312280495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-6.8902618504446678E-2</v>
      </c>
      <c r="J299">
        <f>(Table3[[#This Row],[HomeMargin]]-Table3[[#This Row],[HomeForecast]])^2</f>
        <v>9.4181632818634498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-1.0613363379820415</v>
      </c>
      <c r="J300">
        <f>(Table3[[#This Row],[HomeMargin]]-Table3[[#This Row],[HomeForecast]])^2</f>
        <v>3.7584167944288813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0.29502326648551208</v>
      </c>
      <c r="J301">
        <f>(Table3[[#This Row],[HomeMargin]]-Table3[[#This Row],[HomeForecast]])^2</f>
        <v>1.6770852607388058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1.8040972675755986</v>
      </c>
      <c r="J302">
        <f>(Table3[[#This Row],[HomeMargin]]-Table3[[#This Row],[HomeForecast]])^2</f>
        <v>1.4301833454201494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0.21172423825016257</v>
      </c>
      <c r="J303">
        <f>(Table3[[#This Row],[HomeMargin]]-Table3[[#This Row],[HomeForecast]])^2</f>
        <v>0.62137867656228651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0.61977271770906794</v>
      </c>
      <c r="J304">
        <f>(Table3[[#This Row],[HomeMargin]]-Table3[[#This Row],[HomeForecast]])^2</f>
        <v>2.6236636570346201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1.1252492255141791</v>
      </c>
      <c r="J305">
        <f>(Table3[[#This Row],[HomeMargin]]-Table3[[#This Row],[HomeForecast]])^2</f>
        <v>8.2641920154068274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1.5320821085838661</v>
      </c>
      <c r="J306">
        <f>(Table3[[#This Row],[HomeMargin]]-Table3[[#This Row],[HomeForecast]])^2</f>
        <v>30.603932456113718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0.561631848051796</v>
      </c>
      <c r="J307">
        <f>(Table3[[#This Row],[HomeMargin]]-Table3[[#This Row],[HomeForecast]])^2</f>
        <v>0.19216663664248368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-0.60582938013870613</v>
      </c>
      <c r="J308">
        <f>(Table3[[#This Row],[HomeMargin]]-Table3[[#This Row],[HomeForecast]])^2</f>
        <v>1.943711717284424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0.23657295307387372</v>
      </c>
      <c r="J309">
        <f>(Table3[[#This Row],[HomeMargin]]-Table3[[#This Row],[HomeForecast]])^2</f>
        <v>14.163383137535103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-8.1115342572763427E-2</v>
      </c>
      <c r="J310">
        <f>(Table3[[#This Row],[HomeMargin]]-Table3[[#This Row],[HomeForecast]])^2</f>
        <v>1.1688103839462238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0.63604426906396183</v>
      </c>
      <c r="J311">
        <f>(Table3[[#This Row],[HomeMargin]]-Table3[[#This Row],[HomeForecast]])^2</f>
        <v>5.588286697825338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0.7291563954015996</v>
      </c>
      <c r="J312">
        <f>(Table3[[#This Row],[HomeMargin]]-Table3[[#This Row],[HomeForecast]])^2</f>
        <v>7.3356258151854661E-2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0.86570389080861654</v>
      </c>
      <c r="J313">
        <f>(Table3[[#This Row],[HomeMargin]]-Table3[[#This Row],[HomeForecast]])^2</f>
        <v>4.555219881709478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0.45851876430546612</v>
      </c>
      <c r="J314">
        <f>(Table3[[#This Row],[HomeMargin]]-Table3[[#This Row],[HomeForecast]])^2</f>
        <v>2.127276985831144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-0.17694388351115675</v>
      </c>
      <c r="J315">
        <f>(Table3[[#This Row],[HomeMargin]]-Table3[[#This Row],[HomeForecast]])^2</f>
        <v>4.7390846719566371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-0.19618429025574408</v>
      </c>
      <c r="J316">
        <f>(Table3[[#This Row],[HomeMargin]]-Table3[[#This Row],[HomeForecast]])^2</f>
        <v>1.430856856254638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0.46285972549524351</v>
      </c>
      <c r="J317">
        <f>(Table3[[#This Row],[HomeMargin]]-Table3[[#This Row],[HomeForecast]])^2</f>
        <v>12.511361321523585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0.71900695783921997</v>
      </c>
      <c r="J318">
        <f>(Table3[[#This Row],[HomeMargin]]-Table3[[#This Row],[HomeForecast]])^2</f>
        <v>7.8957089742769895E-2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0.13475257347749581</v>
      </c>
      <c r="J319">
        <f>(Table3[[#This Row],[HomeMargin]]-Table3[[#This Row],[HomeForecast]])^2</f>
        <v>0.74865310910381633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0.62000790996730171</v>
      </c>
      <c r="J320">
        <f>(Table3[[#This Row],[HomeMargin]]-Table3[[#This Row],[HomeForecast]])^2</f>
        <v>5.6643623486182113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0.47188131474200007</v>
      </c>
      <c r="J321">
        <f>(Table3[[#This Row],[HomeMargin]]-Table3[[#This Row],[HomeForecast]])^2</f>
        <v>0.27890934571863846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0.48346707111886511</v>
      </c>
      <c r="J322">
        <f>(Table3[[#This Row],[HomeMargin]]-Table3[[#This Row],[HomeForecast]])^2</f>
        <v>20.10147697780717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-0.46313667293165661</v>
      </c>
      <c r="J323">
        <f>(Table3[[#This Row],[HomeMargin]]-Table3[[#This Row],[HomeForecast]])^2</f>
        <v>2.1407689236775176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1.2196105556899619</v>
      </c>
      <c r="J324">
        <f>(Table3[[#This Row],[HomeMargin]]-Table3[[#This Row],[HomeForecast]])^2</f>
        <v>3.1697865734106063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0.62421392353972571</v>
      </c>
      <c r="J325">
        <f>(Table3[[#This Row],[HomeMargin]]-Table3[[#This Row],[HomeForecast]])^2</f>
        <v>2.6380708694203099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0.44815345792540634</v>
      </c>
      <c r="J326">
        <f>(Table3[[#This Row],[HomeMargin]]-Table3[[#This Row],[HomeForecast]])^2</f>
        <v>2.0971484377013114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1.9804011113236188</v>
      </c>
      <c r="J327">
        <f>(Table3[[#This Row],[HomeMargin]]-Table3[[#This Row],[HomeForecast]])^2</f>
        <v>1.0395818937901116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-0.69881806257424361</v>
      </c>
      <c r="J328">
        <f>(Table3[[#This Row],[HomeMargin]]-Table3[[#This Row],[HomeForecast]])^2</f>
        <v>18.500166058837582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-0.43317811402466078</v>
      </c>
      <c r="J329">
        <f>(Table3[[#This Row],[HomeMargin]]-Table3[[#This Row],[HomeForecast]])^2</f>
        <v>2.0539995065192831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-0.88991481062815092</v>
      </c>
      <c r="J330">
        <f>(Table3[[#This Row],[HomeMargin]]-Table3[[#This Row],[HomeForecast]])^2</f>
        <v>9.6726298851501298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1.1930539123423645</v>
      </c>
      <c r="J331">
        <f>(Table3[[#This Row],[HomeMargin]]-Table3[[#This Row],[HomeForecast]])^2</f>
        <v>3.7269813070693346E-2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-0.15363672806285245</v>
      </c>
      <c r="J332">
        <f>(Table3[[#This Row],[HomeMargin]]-Table3[[#This Row],[HomeForecast]])^2</f>
        <v>1.3308777003355634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1.3874470146996933</v>
      </c>
      <c r="J333">
        <f>(Table3[[#This Row],[HomeMargin]]-Table3[[#This Row],[HomeForecast]])^2</f>
        <v>0.15011518919970437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0.10869869044033431</v>
      </c>
      <c r="J334">
        <f>(Table3[[#This Row],[HomeMargin]]-Table3[[#This Row],[HomeForecast]])^2</f>
        <v>1.229212786184112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-2.0719002266682884E-2</v>
      </c>
      <c r="J335">
        <f>(Table3[[#This Row],[HomeMargin]]-Table3[[#This Row],[HomeForecast]])^2</f>
        <v>8.8761152634548282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-1.1984258532081</v>
      </c>
      <c r="J336">
        <f>(Table3[[#This Row],[HomeMargin]]-Table3[[#This Row],[HomeForecast]])^2</f>
        <v>0.64252111280516244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-0.33360757024832927</v>
      </c>
      <c r="J337">
        <f>(Table3[[#This Row],[HomeMargin]]-Table3[[#This Row],[HomeForecast]])^2</f>
        <v>40.114584853906948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-8.3668846061265345E-2</v>
      </c>
      <c r="J338">
        <f>(Table3[[#This Row],[HomeMargin]]-Table3[[#This Row],[HomeForecast]])^2</f>
        <v>0.83966278367869307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-0.19390027117789699</v>
      </c>
      <c r="J339">
        <f>(Table3[[#This Row],[HomeMargin]]-Table3[[#This Row],[HomeForecast]])^2</f>
        <v>23.098594603383891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-0.5545103212390956</v>
      </c>
      <c r="J340">
        <f>(Table3[[#This Row],[HomeMargin]]-Table3[[#This Row],[HomeForecast]])^2</f>
        <v>0.1984610538824938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0.4922835963436909</v>
      </c>
      <c r="J341">
        <f>(Table3[[#This Row],[HomeMargin]]-Table3[[#This Row],[HomeForecast]])^2</f>
        <v>0.25777594654169622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-1.3006848773689188</v>
      </c>
      <c r="J342">
        <f>(Table3[[#This Row],[HomeMargin]]-Table3[[#This Row],[HomeForecast]])^2</f>
        <v>5.2931509049540368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-0.10898022283771891</v>
      </c>
      <c r="J343">
        <f>(Table3[[#This Row],[HomeMargin]]-Table3[[#This Row],[HomeForecast]])^2</f>
        <v>1.2298371346451964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0.49140917517978916</v>
      </c>
      <c r="J344">
        <f>(Table3[[#This Row],[HomeMargin]]-Table3[[#This Row],[HomeForecast]])^2</f>
        <v>12.189938028529617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0.11830440045669577</v>
      </c>
      <c r="J345">
        <f>(Table3[[#This Row],[HomeMargin]]-Table3[[#This Row],[HomeForecast]])^2</f>
        <v>8.304169528427245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-2.9530737962880362</v>
      </c>
      <c r="J346">
        <f>(Table3[[#This Row],[HomeMargin]]-Table3[[#This Row],[HomeForecast]])^2</f>
        <v>2.2020685948167221E-3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1.2487753565768327</v>
      </c>
      <c r="J347">
        <f>(Table3[[#This Row],[HomeMargin]]-Table3[[#This Row],[HomeForecast]])^2</f>
        <v>5.056990604347261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-0.23914899009619012</v>
      </c>
      <c r="J348">
        <f>(Table3[[#This Row],[HomeMargin]]-Table3[[#This Row],[HomeForecast]])^2</f>
        <v>10.492086180041168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0.40088837698198365</v>
      </c>
      <c r="J349">
        <f>(Table3[[#This Row],[HomeMargin]]-Table3[[#This Row],[HomeForecast]])^2</f>
        <v>1.9624882447632159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-0.13360221476781431</v>
      </c>
      <c r="J350">
        <f>(Table3[[#This Row],[HomeMargin]]-Table3[[#This Row],[HomeForecast]])^2</f>
        <v>0.75064512225523661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6.5404321769390705E-2</v>
      </c>
      <c r="J351">
        <f>(Table3[[#This Row],[HomeMargin]]-Table3[[#This Row],[HomeForecast]])^2</f>
        <v>0.87346908176733262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-0.11920720956830921</v>
      </c>
      <c r="J352">
        <f>(Table3[[#This Row],[HomeMargin]]-Table3[[#This Row],[HomeForecast]])^2</f>
        <v>3.5373815205398258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-1.0406379322973045</v>
      </c>
      <c r="J353">
        <f>(Table3[[#This Row],[HomeMargin]]-Table3[[#This Row],[HomeForecast]])^2</f>
        <v>16.326754899919838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-1.8291887392718571</v>
      </c>
      <c r="J354">
        <f>(Table3[[#This Row],[HomeMargin]]-Table3[[#This Row],[HomeForecast]])^2</f>
        <v>0.68755396533525182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0.57050342850450908</v>
      </c>
      <c r="J355">
        <f>(Table3[[#This Row],[HomeMargin]]-Table3[[#This Row],[HomeForecast]])^2</f>
        <v>0.18446730492638133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-0.28593482356554001</v>
      </c>
      <c r="J356">
        <f>(Table3[[#This Row],[HomeMargin]]-Table3[[#This Row],[HomeForecast]])^2</f>
        <v>5.225498017589616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0.150888273602241</v>
      </c>
      <c r="J357">
        <f>(Table3[[#This Row],[HomeMargin]]-Table3[[#This Row],[HomeForecast]])^2</f>
        <v>9.9280969127241114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-4.274439886601672E-2</v>
      </c>
      <c r="J358">
        <f>(Table3[[#This Row],[HomeMargin]]-Table3[[#This Row],[HomeForecast]])^2</f>
        <v>8.7453606904383179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6.8663762736460354E-2</v>
      </c>
      <c r="J359">
        <f>(Table3[[#This Row],[HomeMargin]]-Table3[[#This Row],[HomeForecast]])^2</f>
        <v>0.86738718684020821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1.0281333567602322</v>
      </c>
      <c r="J360">
        <f>(Table3[[#This Row],[HomeMargin]]-Table3[[#This Row],[HomeForecast]])^2</f>
        <v>7.9148576259850331E-4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-0.94785520999092121</v>
      </c>
      <c r="J361">
        <f>(Table3[[#This Row],[HomeMargin]]-Table3[[#This Row],[HomeForecast]])^2</f>
        <v>16.41987739919772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1.0724715128288125</v>
      </c>
      <c r="J362">
        <f>(Table3[[#This Row],[HomeMargin]]-Table3[[#This Row],[HomeForecast]])^2</f>
        <v>5.2521201716967314E-3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0.75063796503285585</v>
      </c>
      <c r="J363">
        <f>(Table3[[#This Row],[HomeMargin]]-Table3[[#This Row],[HomeForecast]])^2</f>
        <v>5.0596295643515328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-2.0719002266682884E-2</v>
      </c>
      <c r="J364">
        <f>(Table3[[#This Row],[HomeMargin]]-Table3[[#This Row],[HomeForecast]])^2</f>
        <v>16.166181295188387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1.1169179015251811</v>
      </c>
      <c r="J365">
        <f>(Table3[[#This Row],[HomeMargin]]-Table3[[#This Row],[HomeForecast]])^2</f>
        <v>8.3121623865459657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-1.0537907593239275</v>
      </c>
      <c r="J366">
        <f>(Table3[[#This Row],[HomeMargin]]-Table3[[#This Row],[HomeForecast]])^2</f>
        <v>15.572567371197225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1.2392686644172226</v>
      </c>
      <c r="J367">
        <f>(Table3[[#This Row],[HomeMargin]]-Table3[[#This Row],[HomeForecast]])^2</f>
        <v>5.0143241514408921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0.80961348465931504</v>
      </c>
      <c r="J368">
        <f>(Table3[[#This Row],[HomeMargin]]-Table3[[#This Row],[HomeForecast]])^2</f>
        <v>7.8939279331794587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-1.1440191557489876E-2</v>
      </c>
      <c r="J369">
        <f>(Table3[[#This Row],[HomeMargin]]-Table3[[#This Row],[HomeForecast]])^2</f>
        <v>0.97725049486789228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-0.1466351902344743</v>
      </c>
      <c r="J370">
        <f>(Table3[[#This Row],[HomeMargin]]-Table3[[#This Row],[HomeForecast]])^2</f>
        <v>0.72823149854615199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2.2084395786928166</v>
      </c>
      <c r="J371">
        <f>(Table3[[#This Row],[HomeMargin]]-Table3[[#This Row],[HomeForecast]])^2</f>
        <v>14.375930428423105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0.54741696502103854</v>
      </c>
      <c r="J372">
        <f>(Table3[[#This Row],[HomeMargin]]-Table3[[#This Row],[HomeForecast]])^2</f>
        <v>12.584167123719075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-0.14539987448704844</v>
      </c>
      <c r="J373">
        <f>(Table3[[#This Row],[HomeMargin]]-Table3[[#This Row],[HomeForecast]])^2</f>
        <v>3.4395416255526561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1.4808321518799767</v>
      </c>
      <c r="J374">
        <f>(Table3[[#This Row],[HomeMargin]]-Table3[[#This Row],[HomeForecast]])^2</f>
        <v>0.23119955828152902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0.11840748755167799</v>
      </c>
      <c r="J375">
        <f>(Table3[[#This Row],[HomeMargin]]-Table3[[#This Row],[HomeForecast]])^2</f>
        <v>4.4876502833150127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0.38360098818775101</v>
      </c>
      <c r="J376">
        <f>(Table3[[#This Row],[HomeMargin]]-Table3[[#This Row],[HomeForecast]])^2</f>
        <v>2.6127457653876145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-0.88313444448570855</v>
      </c>
      <c r="J377">
        <f>(Table3[[#This Row],[HomeMargin]]-Table3[[#This Row],[HomeForecast]])^2</f>
        <v>1.3657558065663938E-2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1.6343411327446848</v>
      </c>
      <c r="J378">
        <f>(Table3[[#This Row],[HomeMargin]]-Table3[[#This Row],[HomeForecast]])^2</f>
        <v>5.5963418762237023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0.3491937257437096</v>
      </c>
      <c r="J379">
        <f>(Table3[[#This Row],[HomeMargin]]-Table3[[#This Row],[HomeForecast]])^2</f>
        <v>1.8203237095861924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0.18055957663745709</v>
      </c>
      <c r="J380">
        <f>(Table3[[#This Row],[HomeMargin]]-Table3[[#This Row],[HomeForecast]])^2</f>
        <v>1.3937209139904119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0.5455392409993014</v>
      </c>
      <c r="J381">
        <f>(Table3[[#This Row],[HomeMargin]]-Table3[[#This Row],[HomeForecast]])^2</f>
        <v>0.20653458147149106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0.60417941024468758</v>
      </c>
      <c r="J382">
        <f>(Table3[[#This Row],[HomeMargin]]-Table3[[#This Row],[HomeForecast]])^2</f>
        <v>0.15667393927424333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0.15515485507918664</v>
      </c>
      <c r="J383">
        <f>(Table3[[#This Row],[HomeMargin]]-Table3[[#This Row],[HomeForecast]])^2</f>
        <v>17.265311869688137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-0.68801433613057617</v>
      </c>
      <c r="J384">
        <f>(Table3[[#This Row],[HomeMargin]]-Table3[[#This Row],[HomeForecast]])^2</f>
        <v>18.593220365415434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0.65176882012194004</v>
      </c>
      <c r="J385">
        <f>(Table3[[#This Row],[HomeMargin]]-Table3[[#This Row],[HomeForecast]])^2</f>
        <v>11.210652033907627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-0.37159353877257706</v>
      </c>
      <c r="J386">
        <f>(Table3[[#This Row],[HomeMargin]]-Table3[[#This Row],[HomeForecast]])^2</f>
        <v>0.39489468051237259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1.1725143064576016</v>
      </c>
      <c r="J387">
        <f>(Table3[[#This Row],[HomeMargin]]-Table3[[#This Row],[HomeForecast]])^2</f>
        <v>4.7198184117629536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0.61804753572551785</v>
      </c>
      <c r="J388">
        <f>(Table3[[#This Row],[HomeMargin]]-Table3[[#This Row],[HomeForecast]])^2</f>
        <v>0.14588768496534957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-1.3451053339312091</v>
      </c>
      <c r="J389">
        <f>(Table3[[#This Row],[HomeMargin]]-Table3[[#This Row],[HomeForecast]])^2</f>
        <v>2.738676355782935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0.73830329322478061</v>
      </c>
      <c r="J390">
        <f>(Table3[[#This Row],[HomeMargin]]-Table3[[#This Row],[HomeForecast]])^2</f>
        <v>7.4983049256856784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-1.6339242995959604</v>
      </c>
      <c r="J391">
        <f>(Table3[[#This Row],[HomeMargin]]-Table3[[#This Row],[HomeForecast]])^2</f>
        <v>6.9375572160020704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0.10435069367589037</v>
      </c>
      <c r="J392">
        <f>(Table3[[#This Row],[HomeMargin]]-Table3[[#This Row],[HomeForecast]])^2</f>
        <v>1.2195904546224203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0.48145252610968259</v>
      </c>
      <c r="J393">
        <f>(Table3[[#This Row],[HomeMargin]]-Table3[[#This Row],[HomeForecast]])^2</f>
        <v>0.26889148267802943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-0.92940601078600671</v>
      </c>
      <c r="J394">
        <f>(Table3[[#This Row],[HomeMargin]]-Table3[[#This Row],[HomeForecast]])^2</f>
        <v>3.7226075544571722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0.41854197745181471</v>
      </c>
      <c r="J395">
        <f>(Table3[[#This Row],[HomeMargin]]-Table3[[#This Row],[HomeForecast]])^2</f>
        <v>11.686429251600165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1.0568484605262689</v>
      </c>
      <c r="J396">
        <f>(Table3[[#This Row],[HomeMargin]]-Table3[[#This Row],[HomeForecast]])^2</f>
        <v>0.88953482641166892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0.72629832334683231</v>
      </c>
      <c r="J397">
        <f>(Table3[[#This Row],[HomeMargin]]-Table3[[#This Row],[HomeForecast]])^2</f>
        <v>7.491260780275516E-2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2.2641905152979378</v>
      </c>
      <c r="J398">
        <f>(Table3[[#This Row],[HomeMargin]]-Table3[[#This Row],[HomeForecast]])^2</f>
        <v>7.4846535365857632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0.68371850361395725</v>
      </c>
      <c r="J399">
        <f>(Table3[[#This Row],[HomeMargin]]-Table3[[#This Row],[HomeForecast]])^2</f>
        <v>0.10003398495619437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0.62613050880707022</v>
      </c>
      <c r="J400">
        <f>(Table3[[#This Row],[HomeMargin]]-Table3[[#This Row],[HomeForecast]])^2</f>
        <v>2.6443004316731407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0.33640748897903455</v>
      </c>
      <c r="J401">
        <f>(Table3[[#This Row],[HomeMargin]]-Table3[[#This Row],[HomeForecast]])^2</f>
        <v>5.4587999545573176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-1.1791465989432148</v>
      </c>
      <c r="J402">
        <f>(Table3[[#This Row],[HomeMargin]]-Table3[[#This Row],[HomeForecast]])^2</f>
        <v>3.3155071081400616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-0.7739618656635634</v>
      </c>
      <c r="J403">
        <f>(Table3[[#This Row],[HomeMargin]]-Table3[[#This Row],[HomeForecast]])^2</f>
        <v>4.9552457755200434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0.4087825966565094</v>
      </c>
      <c r="J404">
        <f>(Table3[[#This Row],[HomeMargin]]-Table3[[#This Row],[HomeForecast]])^2</f>
        <v>29.254929177894333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0.21928556427964108</v>
      </c>
      <c r="J405">
        <f>(Table3[[#This Row],[HomeMargin]]-Table3[[#This Row],[HomeForecast]])^2</f>
        <v>17.802370672938569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-0.99198808627393653</v>
      </c>
      <c r="J406">
        <f>(Table3[[#This Row],[HomeMargin]]-Table3[[#This Row],[HomeForecast]])^2</f>
        <v>3.9680165358572999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0.36279104084669361</v>
      </c>
      <c r="J407">
        <f>(Table3[[#This Row],[HomeMargin]]-Table3[[#This Row],[HomeForecast]])^2</f>
        <v>0.40603525762524001</v>
      </c>
    </row>
    <row r="408" spans="4:10" x14ac:dyDescent="0.2">
      <c r="D408" t="s">
        <v>16</v>
      </c>
      <c r="F408" t="s">
        <v>25</v>
      </c>
    </row>
    <row r="409" spans="4:10" x14ac:dyDescent="0.2">
      <c r="D409" t="s">
        <v>31</v>
      </c>
      <c r="F409" t="s">
        <v>10</v>
      </c>
    </row>
    <row r="410" spans="4:10" x14ac:dyDescent="0.2">
      <c r="D410" t="s">
        <v>36</v>
      </c>
      <c r="F410" t="s">
        <v>39</v>
      </c>
    </row>
    <row r="411" spans="4:10" x14ac:dyDescent="0.2">
      <c r="D411" t="s">
        <v>22</v>
      </c>
      <c r="F411" t="s">
        <v>30</v>
      </c>
    </row>
    <row r="412" spans="4:10" x14ac:dyDescent="0.2">
      <c r="D412" t="s">
        <v>40</v>
      </c>
      <c r="F412" t="s">
        <v>23</v>
      </c>
    </row>
    <row r="413" spans="4:10" x14ac:dyDescent="0.2">
      <c r="D413" t="s">
        <v>28</v>
      </c>
      <c r="F413" t="s">
        <v>24</v>
      </c>
    </row>
    <row r="414" spans="4:10" x14ac:dyDescent="0.2">
      <c r="D414" t="s">
        <v>14</v>
      </c>
      <c r="F414" t="s">
        <v>27</v>
      </c>
    </row>
    <row r="415" spans="4:10" x14ac:dyDescent="0.2">
      <c r="D415" t="s">
        <v>55</v>
      </c>
      <c r="F415" t="s">
        <v>33</v>
      </c>
    </row>
    <row r="416" spans="4:10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abSelected="1" topLeftCell="F1" zoomScale="85" zoomScaleNormal="70" workbookViewId="0">
      <pane ySplit="1" topLeftCell="A258" activePane="bottomLeft" state="frozen"/>
      <selection activeCell="I1" sqref="I1"/>
      <selection pane="bottomLeft" activeCell="M404" sqref="M404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4.8629249441422218E-2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-0.479695961608754</v>
      </c>
      <c r="H2" t="s">
        <v>10</v>
      </c>
      <c r="I2">
        <f>VLOOKUP(Table4[[#This Row],[Visitor]],'NHL Model'!$A$6:$B$38,2,FALSE)</f>
        <v>-0.35229536402491796</v>
      </c>
      <c r="J2">
        <f>($B$1+Table4[[#This Row],[Home Differential]])-Table4[[#This Row],[Away Differential]]</f>
        <v>-7.8771348142413822E-2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0.45534882604904842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0.20734255338424656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-0.43202172705875852</v>
      </c>
      <c r="H3" t="s">
        <v>12</v>
      </c>
      <c r="I3">
        <f>VLOOKUP(Table4[[#This Row],[Visitor]],'NHL Model'!$A$6:$B$38,2,FALSE)</f>
        <v>1.5255226246883613</v>
      </c>
      <c r="J3">
        <f>($B$1+Table4[[#This Row],[Home Differential]])-Table4[[#This Row],[Away Differential]]</f>
        <v>-1.9089151023056976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0.75958186381432768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5.7800880206992478E-2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230</v>
      </c>
      <c r="V3">
        <f>COUNTIF(Table4[Locked Correct],"YES")</f>
        <v>241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-0.40624923719383538</v>
      </c>
      <c r="H4" t="s">
        <v>14</v>
      </c>
      <c r="I4">
        <f>VLOOKUP(Table4[[#This Row],[Visitor]],'NHL Model'!$A$6:$B$38,2,FALSE)</f>
        <v>-0.39956044496834064</v>
      </c>
      <c r="J4">
        <f>($B$1+Table4[[#This Row],[Home Differential]])-Table4[[#This Row],[Away Differential]]</f>
        <v>4.1940457215927485E-2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0.52421724108256729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0.27480371584821844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171</v>
      </c>
      <c r="V4">
        <f>COUNTIF(Table4[Locked Correct],"NO")</f>
        <v>160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-0.92247588734712094</v>
      </c>
      <c r="H5" t="s">
        <v>16</v>
      </c>
      <c r="I5">
        <f>VLOOKUP(Table4[[#This Row],[Visitor]],'NHL Model'!$A$6:$B$38,2,FALSE)</f>
        <v>-1.1693700053921123</v>
      </c>
      <c r="J5">
        <f>($B$1+Table4[[#This Row],[Home Differential]])-Table4[[#This Row],[Away Differential]]</f>
        <v>0.29552336748641361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0.58218192917972522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0.3389357986634266</v>
      </c>
      <c r="O5">
        <v>-4.1674767740132361E-3</v>
      </c>
      <c r="P5" s="11"/>
      <c r="Q5" t="s">
        <v>16</v>
      </c>
      <c r="R5" t="s">
        <v>248</v>
      </c>
      <c r="T5">
        <f>SUM(T3:T4)</f>
        <v>401</v>
      </c>
      <c r="V5">
        <f>SUM(V3:V4)</f>
        <v>401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-0.75971379218342783</v>
      </c>
      <c r="H6" t="s">
        <v>18</v>
      </c>
      <c r="I6">
        <f>VLOOKUP(Table4[[#This Row],[Visitor]],'NHL Model'!$A$6:$B$38,2,FALSE)</f>
        <v>-0.69003864116815428</v>
      </c>
      <c r="J6">
        <f>($B$1+Table4[[#This Row],[Home Differential]])-Table4[[#This Row],[Away Differential]]</f>
        <v>-2.1045901573851333E-2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0.52179006682104867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0.27226487383311443</v>
      </c>
      <c r="O6">
        <v>-4.4363714293103977E-3</v>
      </c>
      <c r="P6" s="11"/>
      <c r="Q6" t="s">
        <v>18</v>
      </c>
      <c r="R6" t="s">
        <v>249</v>
      </c>
      <c r="T6" s="13">
        <f>T3/T5</f>
        <v>0.57356608478802995</v>
      </c>
      <c r="V6" s="13">
        <f>V3/V5</f>
        <v>0.60099750623441395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-0.32012591315776179</v>
      </c>
      <c r="H7" t="s">
        <v>13</v>
      </c>
      <c r="I7">
        <f>VLOOKUP(Table4[[#This Row],[Visitor]],'NHL Model'!$A$6:$B$38,2,FALSE)</f>
        <v>-0.43202172705875852</v>
      </c>
      <c r="J7">
        <f>($B$1+Table4[[#This Row],[Home Differential]])-Table4[[#This Row],[Away Differential]]</f>
        <v>0.16052506334241895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0.49276968939327204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0.2428219667847418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0.24850541890141886</v>
      </c>
      <c r="H8" t="s">
        <v>21</v>
      </c>
      <c r="I8">
        <f>VLOOKUP(Table4[[#This Row],[Visitor]],'NHL Model'!$A$6:$B$38,2,FALSE)</f>
        <v>-0.29972363155607096</v>
      </c>
      <c r="J8">
        <f>($B$1+Table4[[#This Row],[Home Differential]])-Table4[[#This Row],[Away Differential]]</f>
        <v>0.59685829989891204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0.63618030657813951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0.40472538247785556</v>
      </c>
      <c r="O8">
        <v>-4.9858230986448791E-3</v>
      </c>
      <c r="P8" s="11"/>
      <c r="Q8" t="s">
        <v>21</v>
      </c>
      <c r="R8" t="s">
        <v>248</v>
      </c>
      <c r="T8">
        <f>SUM(Table4[Error])</f>
        <v>91.62027488075509</v>
      </c>
      <c r="V8">
        <f>COUNTIF(Table4[Locked Correct],"")</f>
        <v>911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-0.29972363155607096</v>
      </c>
      <c r="H9" t="s">
        <v>10</v>
      </c>
      <c r="I9">
        <f>VLOOKUP(Table4[[#This Row],[Visitor]],'NHL Model'!$A$6:$B$38,2,FALSE)</f>
        <v>-0.35229536402491796</v>
      </c>
      <c r="J9">
        <f>($B$1+Table4[[#This Row],[Home Differential]])-Table4[[#This Row],[Away Differential]]</f>
        <v>0.10120098191026922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0.59493375150375694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0.16407866567082013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-0.73453218371466944</v>
      </c>
      <c r="H10" t="s">
        <v>15</v>
      </c>
      <c r="I10">
        <f>VLOOKUP(Table4[[#This Row],[Visitor]],'NHL Model'!$A$6:$B$38,2,FALSE)</f>
        <v>-0.40624923719383538</v>
      </c>
      <c r="J10">
        <f>($B$1+Table4[[#This Row],[Home Differential]])-Table4[[#This Row],[Away Differential]]</f>
        <v>-0.27965369707941184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0.59333063393657037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0.16537997329443171</v>
      </c>
      <c r="O10">
        <v>2.893763878885032E-2</v>
      </c>
      <c r="P10" s="11"/>
      <c r="Q10" t="s">
        <v>23</v>
      </c>
      <c r="R10" t="s">
        <v>249</v>
      </c>
      <c r="T10">
        <v>0.11889407466698633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0.35473499802405739</v>
      </c>
      <c r="H11" t="s">
        <v>24</v>
      </c>
      <c r="I11">
        <f>VLOOKUP(Table4[[#This Row],[Visitor]],'NHL Model'!$A$6:$B$38,2,FALSE)</f>
        <v>2.1114018573289962E-3</v>
      </c>
      <c r="J11">
        <f>($B$1+Table4[[#This Row],[Home Differential]])-Table4[[#This Row],[Away Differential]]</f>
        <v>0.40125284560815061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0.60770658578607628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0.15389412283561713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1.5255226246883613</v>
      </c>
      <c r="H12" t="s">
        <v>55</v>
      </c>
      <c r="I12">
        <f>VLOOKUP(Table4[[#This Row],[Visitor]],'NHL Model'!$A$6:$B$38,2,FALSE)</f>
        <v>-0.38947416486586689</v>
      </c>
      <c r="J12">
        <f>($B$1+Table4[[#This Row],[Home Differential]])-Table4[[#This Row],[Away Differential]]</f>
        <v>1.9636260389956504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0.87779339780560384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1.4934453619899393E-2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-0.97739270546148105</v>
      </c>
      <c r="H13" t="s">
        <v>18</v>
      </c>
      <c r="I13">
        <f>VLOOKUP(Table4[[#This Row],[Visitor]],'NHL Model'!$A$6:$B$38,2,FALSE)</f>
        <v>-0.69003864116815428</v>
      </c>
      <c r="J13">
        <f>($B$1+Table4[[#This Row],[Home Differential]])-Table4[[#This Row],[Away Differential]]</f>
        <v>-0.23872481485190455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0.54767079978975797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0.20460170536283723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-0.479695961608754</v>
      </c>
      <c r="H14" t="s">
        <v>27</v>
      </c>
      <c r="I14">
        <f>VLOOKUP(Table4[[#This Row],[Visitor]],'NHL Model'!$A$6:$B$38,2,FALSE)</f>
        <v>-0.28566683768028334</v>
      </c>
      <c r="J14">
        <f>($B$1+Table4[[#This Row],[Home Differential]])-Table4[[#This Row],[Away Differential]]</f>
        <v>-0.14539987448704844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0.50565927655708942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0.25569130396823903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-1.4761804210410974</v>
      </c>
      <c r="H15" t="s">
        <v>28</v>
      </c>
      <c r="I15">
        <f>VLOOKUP(Table4[[#This Row],[Visitor]],'NHL Model'!$A$6:$B$38,2,FALSE)</f>
        <v>-0.81978323318233992</v>
      </c>
      <c r="J15">
        <f>($B$1+Table4[[#This Row],[Home Differential]])-Table4[[#This Row],[Away Differential]]</f>
        <v>-0.60776793841733523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0.53226000665039108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0.28330071467947437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-0.39956044496834064</v>
      </c>
      <c r="H16" t="s">
        <v>30</v>
      </c>
      <c r="I16">
        <f>VLOOKUP(Table4[[#This Row],[Visitor]],'NHL Model'!$A$6:$B$38,2,FALSE)</f>
        <v>-0.22994539344581519</v>
      </c>
      <c r="J16">
        <f>($B$1+Table4[[#This Row],[Home Differential]])-Table4[[#This Row],[Away Differential]]</f>
        <v>-0.12098580208110324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0.54700766409413215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0.2992173845777189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-0.75181957250890208</v>
      </c>
      <c r="H17" t="s">
        <v>31</v>
      </c>
      <c r="I17">
        <f>VLOOKUP(Table4[[#This Row],[Visitor]],'NHL Model'!$A$6:$B$38,2,FALSE)</f>
        <v>0.12352843374450689</v>
      </c>
      <c r="J17">
        <f>($B$1+Table4[[#This Row],[Home Differential]])-Table4[[#This Row],[Away Differential]]</f>
        <v>-0.8267187568119867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0.57906119237023312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0.33531186450923611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-0.63428770456303318</v>
      </c>
      <c r="H18" t="s">
        <v>20</v>
      </c>
      <c r="I18">
        <f>VLOOKUP(Table4[[#This Row],[Visitor]],'NHL Model'!$A$6:$B$38,2,FALSE)</f>
        <v>-0.32012591315776179</v>
      </c>
      <c r="J18">
        <f>($B$1+Table4[[#This Row],[Home Differential]])-Table4[[#This Row],[Away Differential]]</f>
        <v>-0.26553254196384918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0.49157024587076459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0.2585008148839148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-1.4300915005812256</v>
      </c>
      <c r="H19" t="s">
        <v>34</v>
      </c>
      <c r="I19">
        <f>VLOOKUP(Table4[[#This Row],[Visitor]],'NHL Model'!$A$6:$B$38,2,FALSE)</f>
        <v>-0.15703092434902144</v>
      </c>
      <c r="J19">
        <f>($B$1+Table4[[#This Row],[Home Differential]])-Table4[[#This Row],[Away Differential]]</f>
        <v>-1.224431326790782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0.64809019240613064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0.12384051268075415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0.41634187791115029</v>
      </c>
      <c r="H20" t="s">
        <v>36</v>
      </c>
      <c r="I20">
        <f>VLOOKUP(Table4[[#This Row],[Visitor]],'NHL Model'!$A$6:$B$38,2,FALSE)</f>
        <v>-0.45205624035379666</v>
      </c>
      <c r="J20">
        <f>($B$1+Table4[[#This Row],[Home Differential]])-Table4[[#This Row],[Away Differential]]</f>
        <v>0.91702736770636917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0.68045769175632242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0.46302267027034233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-1.0671109812312936</v>
      </c>
      <c r="H21" t="s">
        <v>16</v>
      </c>
      <c r="I21">
        <f>VLOOKUP(Table4[[#This Row],[Visitor]],'NHL Model'!$A$6:$B$38,2,FALSE)</f>
        <v>-1.1693700053921123</v>
      </c>
      <c r="J21">
        <f>($B$1+Table4[[#This Row],[Home Differential]])-Table4[[#This Row],[Away Differential]]</f>
        <v>0.150888273602241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0.55793972166803751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0.19541728967893215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-0.24840457265646038</v>
      </c>
      <c r="H22" t="s">
        <v>39</v>
      </c>
      <c r="I22">
        <f>VLOOKUP(Table4[[#This Row],[Visitor]],'NHL Model'!$A$6:$B$38,2,FALSE)</f>
        <v>0.17994412141822874</v>
      </c>
      <c r="J22">
        <f>($B$1+Table4[[#This Row],[Home Differential]])-Table4[[#This Row],[Away Differential]]</f>
        <v>-0.3797194446332669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0.60446842590103933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0.15644522610920161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-0.29972363155607096</v>
      </c>
      <c r="H23" t="s">
        <v>23</v>
      </c>
      <c r="I23">
        <f>VLOOKUP(Table4[[#This Row],[Visitor]],'NHL Model'!$A$6:$B$38,2,FALSE)</f>
        <v>-0.73453218371466944</v>
      </c>
      <c r="J23">
        <f>($B$1+Table4[[#This Row],[Home Differential]])-Table4[[#This Row],[Away Differential]]</f>
        <v>0.4834378016000207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0.64037944448442163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0.1293269439493332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0.35473499802405739</v>
      </c>
      <c r="H24" t="s">
        <v>27</v>
      </c>
      <c r="I24">
        <f>VLOOKUP(Table4[[#This Row],[Visitor]],'NHL Model'!$A$6:$B$38,2,FALSE)</f>
        <v>-0.28566683768028334</v>
      </c>
      <c r="J24">
        <f>($B$1+Table4[[#This Row],[Home Differential]])-Table4[[#This Row],[Away Differential]]</f>
        <v>0.68903108514576294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0.62038325174673348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0.14410887555438393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-1.1693700053921123</v>
      </c>
      <c r="H25" t="s">
        <v>35</v>
      </c>
      <c r="I25">
        <f>VLOOKUP(Table4[[#This Row],[Visitor]],'NHL Model'!$A$6:$B$38,2,FALSE)</f>
        <v>-1.4300915005812256</v>
      </c>
      <c r="J25">
        <f>($B$1+Table4[[#This Row],[Home Differential]])-Table4[[#This Row],[Away Differential]]</f>
        <v>0.30935074463053547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0.57677997053039076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0.33267513440503843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-0.35229536402491796</v>
      </c>
      <c r="H26" t="s">
        <v>18</v>
      </c>
      <c r="I26">
        <f>VLOOKUP(Table4[[#This Row],[Visitor]],'NHL Model'!$A$6:$B$38,2,FALSE)</f>
        <v>-0.69003864116815428</v>
      </c>
      <c r="J26">
        <f>($B$1+Table4[[#This Row],[Home Differential]])-Table4[[#This Row],[Away Differential]]</f>
        <v>0.38637252658465854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0.52664957019713532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0.27735976978882737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1.5255226246883613</v>
      </c>
      <c r="H27" t="s">
        <v>39</v>
      </c>
      <c r="I27">
        <f>VLOOKUP(Table4[[#This Row],[Visitor]],'NHL Model'!$A$6:$B$38,2,FALSE)</f>
        <v>0.17994412141822874</v>
      </c>
      <c r="J27">
        <f>($B$1+Table4[[#This Row],[Home Differential]])-Table4[[#This Row],[Away Differential]]</f>
        <v>1.3942077527115548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0.71198152804713688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0.50691769628033601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-0.97739270546148105</v>
      </c>
      <c r="H28" t="s">
        <v>19</v>
      </c>
      <c r="I28">
        <f>VLOOKUP(Table4[[#This Row],[Visitor]],'NHL Model'!$A$6:$B$38,2,FALSE)</f>
        <v>-0.75971379218342783</v>
      </c>
      <c r="J28">
        <f>($B$1+Table4[[#This Row],[Home Differential]])-Table4[[#This Row],[Away Differential]]</f>
        <v>-0.169049663836631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0.48009900335462136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0.23049505302210072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-0.92247588734712094</v>
      </c>
      <c r="H29" t="s">
        <v>38</v>
      </c>
      <c r="I29">
        <f>VLOOKUP(Table4[[#This Row],[Visitor]],'NHL Model'!$A$6:$B$38,2,FALSE)</f>
        <v>-1.0671109812312936</v>
      </c>
      <c r="J29">
        <f>($B$1+Table4[[#This Row],[Home Differential]])-Table4[[#This Row],[Away Differential]]</f>
        <v>0.19326434332559483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0.5664562461353847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0.18796018651502214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-0.479695961608754</v>
      </c>
      <c r="H30" t="s">
        <v>36</v>
      </c>
      <c r="I30">
        <f>VLOOKUP(Table4[[#This Row],[Visitor]],'NHL Model'!$A$6:$B$38,2,FALSE)</f>
        <v>-0.45205624035379666</v>
      </c>
      <c r="J30">
        <f>($B$1+Table4[[#This Row],[Home Differential]])-Table4[[#This Row],[Away Differential]]</f>
        <v>2.0989528186464879E-2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0.55568701989312852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0.19741402429144916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-0.15703092434902144</v>
      </c>
      <c r="H31" t="s">
        <v>28</v>
      </c>
      <c r="I31">
        <f>VLOOKUP(Table4[[#This Row],[Visitor]],'NHL Model'!$A$6:$B$38,2,FALSE)</f>
        <v>-0.81978323318233992</v>
      </c>
      <c r="J31">
        <f>($B$1+Table4[[#This Row],[Home Differential]])-Table4[[#This Row],[Away Differential]]</f>
        <v>0.7113815582747407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0.6245790521062341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0.3900989923299219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-1.4761804210410974</v>
      </c>
      <c r="H32" t="s">
        <v>55</v>
      </c>
      <c r="I32">
        <f>VLOOKUP(Table4[[#This Row],[Visitor]],'NHL Model'!$A$6:$B$38,2,FALSE)</f>
        <v>-0.38947416486586689</v>
      </c>
      <c r="J32">
        <f>($B$1+Table4[[#This Row],[Home Differential]])-Table4[[#This Row],[Away Differential]]</f>
        <v>-1.0380770067338083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0.58342120514869111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0.1735378923197689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-0.22994539344581519</v>
      </c>
      <c r="H33" t="s">
        <v>22</v>
      </c>
      <c r="I33">
        <f>VLOOKUP(Table4[[#This Row],[Visitor]],'NHL Model'!$A$6:$B$38,2,FALSE)</f>
        <v>0.24850541890141886</v>
      </c>
      <c r="J33">
        <f>($B$1+Table4[[#This Row],[Home Differential]])-Table4[[#This Row],[Away Differential]]</f>
        <v>-0.42982156290581186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0.53187246776283503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0.21914338643845793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-0.39956044496834064</v>
      </c>
      <c r="H34" t="s">
        <v>15</v>
      </c>
      <c r="I34">
        <f>VLOOKUP(Table4[[#This Row],[Visitor]],'NHL Model'!$A$6:$B$38,2,FALSE)</f>
        <v>-0.40624923719383538</v>
      </c>
      <c r="J34">
        <f>($B$1+Table4[[#This Row],[Home Differential]])-Table4[[#This Row],[Away Differential]]</f>
        <v>5.5318041666916951E-2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0.44649552098126588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0.19935825025633205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-0.75181957250890208</v>
      </c>
      <c r="H35" t="s">
        <v>20</v>
      </c>
      <c r="I35">
        <f>VLOOKUP(Table4[[#This Row],[Visitor]],'NHL Model'!$A$6:$B$38,2,FALSE)</f>
        <v>-0.32012591315776179</v>
      </c>
      <c r="J35">
        <f>($B$1+Table4[[#This Row],[Home Differential]])-Table4[[#This Row],[Away Differential]]</f>
        <v>-0.38306440990971807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0.50554408855407107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0.25557482547196647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-0.63428770456303318</v>
      </c>
      <c r="H36" t="s">
        <v>31</v>
      </c>
      <c r="I36">
        <f>VLOOKUP(Table4[[#This Row],[Visitor]],'NHL Model'!$A$6:$B$38,2,FALSE)</f>
        <v>0.12352843374450689</v>
      </c>
      <c r="J36">
        <f>($B$1+Table4[[#This Row],[Home Differential]])-Table4[[#This Row],[Away Differential]]</f>
        <v>-0.70918688886611791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0.56508734968692664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0.18914901340234164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0.41634187791115029</v>
      </c>
      <c r="H37" t="s">
        <v>24</v>
      </c>
      <c r="I37">
        <f>VLOOKUP(Table4[[#This Row],[Visitor]],'NHL Model'!$A$6:$B$38,2,FALSE)</f>
        <v>2.1114018573289962E-3</v>
      </c>
      <c r="J37">
        <f>($B$1+Table4[[#This Row],[Home Differential]])-Table4[[#This Row],[Away Differential]]</f>
        <v>0.46285972549524351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0.6067554166944068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0.36815213568800326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-0.24840457265646038</v>
      </c>
      <c r="H38" t="s">
        <v>13</v>
      </c>
      <c r="I38">
        <f>VLOOKUP(Table4[[#This Row],[Visitor]],'NHL Model'!$A$6:$B$38,2,FALSE)</f>
        <v>-0.43202172705875852</v>
      </c>
      <c r="J38">
        <f>($B$1+Table4[[#This Row],[Home Differential]])-Table4[[#This Row],[Away Differential]]</f>
        <v>0.23224640384372036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0.50380319747021041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0.24621126684078701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-0.40624923719383538</v>
      </c>
      <c r="H39" t="s">
        <v>22</v>
      </c>
      <c r="I39">
        <f>VLOOKUP(Table4[[#This Row],[Visitor]],'NHL Model'!$A$6:$B$38,2,FALSE)</f>
        <v>0.24850541890141886</v>
      </c>
      <c r="J39">
        <f>($B$1+Table4[[#This Row],[Home Differential]])-Table4[[#This Row],[Away Differential]]</f>
        <v>-0.60612540665383197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0.55283395012548886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0.19995747616037379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-0.29972363155607096</v>
      </c>
      <c r="H40" t="s">
        <v>37</v>
      </c>
      <c r="I40">
        <f>VLOOKUP(Table4[[#This Row],[Visitor]],'NHL Model'!$A$6:$B$38,2,FALSE)</f>
        <v>0.41634187791115029</v>
      </c>
      <c r="J40">
        <f>($B$1+Table4[[#This Row],[Home Differential]])-Table4[[#This Row],[Away Differential]]</f>
        <v>-0.66743626002579903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0.58844512562587048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0.16937741462110553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-0.73453218371466944</v>
      </c>
      <c r="H41" t="s">
        <v>12</v>
      </c>
      <c r="I41">
        <f>VLOOKUP(Table4[[#This Row],[Visitor]],'NHL Model'!$A$6:$B$38,2,FALSE)</f>
        <v>1.5255226246883613</v>
      </c>
      <c r="J41">
        <f>($B$1+Table4[[#This Row],[Home Differential]])-Table4[[#This Row],[Away Differential]]</f>
        <v>-2.2114255589616088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0.79554856463551971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4.1800389422596264E-2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-0.81978323318233992</v>
      </c>
      <c r="H42" t="s">
        <v>24</v>
      </c>
      <c r="I42">
        <f>VLOOKUP(Table4[[#This Row],[Visitor]],'NHL Model'!$A$6:$B$38,2,FALSE)</f>
        <v>2.1114018573289962E-3</v>
      </c>
      <c r="J42">
        <f>($B$1+Table4[[#This Row],[Home Differential]])-Table4[[#This Row],[Away Differential]]</f>
        <v>-0.77326538559824665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0.57270590326194459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0.18258024510719065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-0.35229536402491796</v>
      </c>
      <c r="H43" t="s">
        <v>55</v>
      </c>
      <c r="I43">
        <f>VLOOKUP(Table4[[#This Row],[Visitor]],'NHL Model'!$A$6:$B$38,2,FALSE)</f>
        <v>-0.38947416486586689</v>
      </c>
      <c r="J43">
        <f>($B$1+Table4[[#This Row],[Home Differential]])-Table4[[#This Row],[Away Differential]]</f>
        <v>8.5808050282371151E-2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0.55020206873730082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0.20231817896820387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-0.15703092434902144</v>
      </c>
      <c r="H44" t="s">
        <v>13</v>
      </c>
      <c r="I44">
        <f>VLOOKUP(Table4[[#This Row],[Visitor]],'NHL Model'!$A$6:$B$38,2,FALSE)</f>
        <v>-0.43202172705875852</v>
      </c>
      <c r="J44">
        <f>($B$1+Table4[[#This Row],[Home Differential]])-Table4[[#This Row],[Away Differential]]</f>
        <v>0.3236200521511593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0.51216071717050971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0.23798716587159141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-0.22994539344581519</v>
      </c>
      <c r="H45" t="s">
        <v>40</v>
      </c>
      <c r="I45">
        <f>VLOOKUP(Table4[[#This Row],[Visitor]],'NHL Model'!$A$6:$B$38,2,FALSE)</f>
        <v>-0.24840457265646038</v>
      </c>
      <c r="J45">
        <f>($B$1+Table4[[#This Row],[Home Differential]])-Table4[[#This Row],[Away Differential]]</f>
        <v>6.7088428652067406E-2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0.50868968340721865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0.25876519400493636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-0.45205624035379666</v>
      </c>
      <c r="H46" t="s">
        <v>29</v>
      </c>
      <c r="I46">
        <f>VLOOKUP(Table4[[#This Row],[Visitor]],'NHL Model'!$A$6:$B$38,2,FALSE)</f>
        <v>-1.4761804210410974</v>
      </c>
      <c r="J46">
        <f>($B$1+Table4[[#This Row],[Home Differential]])-Table4[[#This Row],[Away Differential]]</f>
        <v>1.0727534301287229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0.67003950562532999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0.44895293909863659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-0.28566683768028334</v>
      </c>
      <c r="H47" t="s">
        <v>11</v>
      </c>
      <c r="I47">
        <f>VLOOKUP(Table4[[#This Row],[Visitor]],'NHL Model'!$A$6:$B$38,2,FALSE)</f>
        <v>-0.479695961608754</v>
      </c>
      <c r="J47">
        <f>($B$1+Table4[[#This Row],[Home Differential]])-Table4[[#This Row],[Away Differential]]</f>
        <v>0.24265837336989288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0.60109670857030706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0.15912383591344254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-0.75971379218342783</v>
      </c>
      <c r="H48" t="s">
        <v>26</v>
      </c>
      <c r="I48">
        <f>VLOOKUP(Table4[[#This Row],[Visitor]],'NHL Model'!$A$6:$B$38,2,FALSE)</f>
        <v>-0.97739270546148105</v>
      </c>
      <c r="J48">
        <f>($B$1+Table4[[#This Row],[Home Differential]])-Table4[[#This Row],[Away Differential]]</f>
        <v>0.26630816271947544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0.57166246258279729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0.3267979711262281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-1.0671109812312936</v>
      </c>
      <c r="H49" t="s">
        <v>35</v>
      </c>
      <c r="I49">
        <f>VLOOKUP(Table4[[#This Row],[Visitor]],'NHL Model'!$A$6:$B$38,2,FALSE)</f>
        <v>-1.4300915005812256</v>
      </c>
      <c r="J49">
        <f>($B$1+Table4[[#This Row],[Home Differential]])-Table4[[#This Row],[Away Differential]]</f>
        <v>0.41160976879135425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0.58893796258434028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0.34684792377299378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0.12352843374450689</v>
      </c>
      <c r="H50" t="s">
        <v>14</v>
      </c>
      <c r="I50">
        <f>VLOOKUP(Table4[[#This Row],[Visitor]],'NHL Model'!$A$6:$B$38,2,FALSE)</f>
        <v>-0.39956044496834064</v>
      </c>
      <c r="J50">
        <f>($B$1+Table4[[#This Row],[Home Differential]])-Table4[[#This Row],[Away Differential]]</f>
        <v>0.57171812815426981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0.66797389781724337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0.11024133253067435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-1.1693700053921123</v>
      </c>
      <c r="H51" t="s">
        <v>20</v>
      </c>
      <c r="I51">
        <f>VLOOKUP(Table4[[#This Row],[Visitor]],'NHL Model'!$A$6:$B$38,2,FALSE)</f>
        <v>-0.32012591315776179</v>
      </c>
      <c r="J51">
        <f>($B$1+Table4[[#This Row],[Home Differential]])-Table4[[#This Row],[Away Differential]]</f>
        <v>-0.80061484279292827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0.55518836089851997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0.19785739428014532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0.17994412141822874</v>
      </c>
      <c r="H52" t="s">
        <v>34</v>
      </c>
      <c r="I52">
        <f>VLOOKUP(Table4[[#This Row],[Visitor]],'NHL Model'!$A$6:$B$38,2,FALSE)</f>
        <v>-0.15703092434902144</v>
      </c>
      <c r="J52">
        <f>($B$1+Table4[[#This Row],[Home Differential]])-Table4[[#This Row],[Away Differential]]</f>
        <v>0.3856042952086724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0.56262458935638349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0.19129724983567217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-0.69003864116815428</v>
      </c>
      <c r="H53" t="s">
        <v>32</v>
      </c>
      <c r="I53">
        <f>VLOOKUP(Table4[[#This Row],[Visitor]],'NHL Model'!$A$6:$B$38,2,FALSE)</f>
        <v>-0.75181957250890208</v>
      </c>
      <c r="J53">
        <f>($B$1+Table4[[#This Row],[Home Differential]])-Table4[[#This Row],[Away Differential]]</f>
        <v>0.11041018078217002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0.55312711627791078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0.19969537420609587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-0.40624923719383538</v>
      </c>
      <c r="H54" t="s">
        <v>17</v>
      </c>
      <c r="I54">
        <f>VLOOKUP(Table4[[#This Row],[Visitor]],'NHL Model'!$A$6:$B$38,2,FALSE)</f>
        <v>-0.92247588734712094</v>
      </c>
      <c r="J54">
        <f>($B$1+Table4[[#This Row],[Home Differential]])-Table4[[#This Row],[Away Differential]]</f>
        <v>0.56485589959470772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0.60715801950250092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0.36864086064619928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-0.63428770456303318</v>
      </c>
      <c r="H55" t="s">
        <v>25</v>
      </c>
      <c r="I55">
        <f>VLOOKUP(Table4[[#This Row],[Visitor]],'NHL Model'!$A$6:$B$38,2,FALSE)</f>
        <v>0.35473499802405739</v>
      </c>
      <c r="J55">
        <f>($B$1+Table4[[#This Row],[Home Differential]])-Table4[[#This Row],[Away Differential]]</f>
        <v>-0.94039345314566836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0.6444303785425024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0.12642975570342813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-0.75971379218342783</v>
      </c>
      <c r="H56" t="s">
        <v>29</v>
      </c>
      <c r="I56">
        <f>VLOOKUP(Table4[[#This Row],[Visitor]],'NHL Model'!$A$6:$B$38,2,FALSE)</f>
        <v>-1.4761804210410974</v>
      </c>
      <c r="J56">
        <f>($B$1+Table4[[#This Row],[Home Differential]])-Table4[[#This Row],[Away Differential]]</f>
        <v>0.76509587829909176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0.63096536648189572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0.13618656073584154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0.24850541890141886</v>
      </c>
      <c r="H57" t="s">
        <v>37</v>
      </c>
      <c r="I57">
        <f>VLOOKUP(Table4[[#This Row],[Visitor]],'NHL Model'!$A$6:$B$38,2,FALSE)</f>
        <v>0.41634187791115029</v>
      </c>
      <c r="J57">
        <f>($B$1+Table4[[#This Row],[Home Differential]])-Table4[[#This Row],[Away Differential]]</f>
        <v>-0.11920720956830921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0.54048882034894186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0.29212816492219074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-0.73453218371466944</v>
      </c>
      <c r="H58" t="s">
        <v>36</v>
      </c>
      <c r="I58">
        <f>VLOOKUP(Table4[[#This Row],[Visitor]],'NHL Model'!$A$6:$B$38,2,FALSE)</f>
        <v>-0.45205624035379666</v>
      </c>
      <c r="J58">
        <f>($B$1+Table4[[#This Row],[Home Differential]])-Table4[[#This Row],[Away Differential]]</f>
        <v>-0.23384669391945057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0.48863247937504461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0.23876169990020341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-0.97739270546148105</v>
      </c>
      <c r="H59" t="s">
        <v>11</v>
      </c>
      <c r="I59">
        <f>VLOOKUP(Table4[[#This Row],[Visitor]],'NHL Model'!$A$6:$B$38,2,FALSE)</f>
        <v>-0.479695961608754</v>
      </c>
      <c r="J59">
        <f>($B$1+Table4[[#This Row],[Home Differential]])-Table4[[#This Row],[Away Differential]]</f>
        <v>-0.44906749441130484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0.51339146421105419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0.26357079552477014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-1.4300915005812256</v>
      </c>
      <c r="H60" t="s">
        <v>10</v>
      </c>
      <c r="I60">
        <f>VLOOKUP(Table4[[#This Row],[Visitor]],'NHL Model'!$A$6:$B$38,2,FALSE)</f>
        <v>-0.35229536402491796</v>
      </c>
      <c r="J60">
        <f>($B$1+Table4[[#This Row],[Home Differential]])-Table4[[#This Row],[Away Differential]]</f>
        <v>-1.0291668871148854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0.58236184472142705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0.17442162874448941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-0.38947416486586689</v>
      </c>
      <c r="H61" t="s">
        <v>16</v>
      </c>
      <c r="I61">
        <f>VLOOKUP(Table4[[#This Row],[Visitor]],'NHL Model'!$A$6:$B$38,2,FALSE)</f>
        <v>-1.1693700053921123</v>
      </c>
      <c r="J61">
        <f>($B$1+Table4[[#This Row],[Home Differential]])-Table4[[#This Row],[Away Differential]]</f>
        <v>0.82852508996766772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0.67893790135619014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0.1030808711855675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0.12352843374450689</v>
      </c>
      <c r="H62" t="s">
        <v>25</v>
      </c>
      <c r="I62">
        <f>VLOOKUP(Table4[[#This Row],[Visitor]],'NHL Model'!$A$6:$B$38,2,FALSE)</f>
        <v>0.35473499802405739</v>
      </c>
      <c r="J62">
        <f>($B$1+Table4[[#This Row],[Home Differential]])-Table4[[#This Row],[Away Differential]]</f>
        <v>-0.18257731483812828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0.47241158625497498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0.27834953431799175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-0.81978323318233992</v>
      </c>
      <c r="H63" t="s">
        <v>12</v>
      </c>
      <c r="I63">
        <f>VLOOKUP(Table4[[#This Row],[Visitor]],'NHL Model'!$A$6:$B$38,2,FALSE)</f>
        <v>1.5255226246883613</v>
      </c>
      <c r="J63">
        <f>($B$1+Table4[[#This Row],[Home Differential]])-Table4[[#This Row],[Away Differential]]</f>
        <v>-2.2966766084292791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0.80568440927636786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3.7758548798274109E-2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0.17994412141822874</v>
      </c>
      <c r="H64" t="s">
        <v>38</v>
      </c>
      <c r="I64">
        <f>VLOOKUP(Table4[[#This Row],[Visitor]],'NHL Model'!$A$6:$B$38,2,FALSE)</f>
        <v>-1.0671109812312936</v>
      </c>
      <c r="J64">
        <f>($B$1+Table4[[#This Row],[Home Differential]])-Table4[[#This Row],[Away Differential]]</f>
        <v>1.2956843520909445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0.70960474765790216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0.50353889789863504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-0.43202172705875852</v>
      </c>
      <c r="H65" t="s">
        <v>14</v>
      </c>
      <c r="I65">
        <f>VLOOKUP(Table4[[#This Row],[Visitor]],'NHL Model'!$A$6:$B$38,2,FALSE)</f>
        <v>-0.39956044496834064</v>
      </c>
      <c r="J65">
        <f>($B$1+Table4[[#This Row],[Home Differential]])-Table4[[#This Row],[Away Differential]]</f>
        <v>1.6167967351004342E-2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0.521153044748213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0.27160049605033293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-0.69003864116815428</v>
      </c>
      <c r="H66" t="s">
        <v>29</v>
      </c>
      <c r="I66">
        <f>VLOOKUP(Table4[[#This Row],[Visitor]],'NHL Model'!$A$6:$B$38,2,FALSE)</f>
        <v>-1.4761804210410974</v>
      </c>
      <c r="J66">
        <f>($B$1+Table4[[#This Row],[Home Differential]])-Table4[[#This Row],[Away Differential]]</f>
        <v>0.83477102931436531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0.63924932908913923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0.13014104656263617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2.1114018573289962E-3</v>
      </c>
      <c r="H67" t="s">
        <v>11</v>
      </c>
      <c r="I67">
        <f>VLOOKUP(Table4[[#This Row],[Visitor]],'NHL Model'!$A$6:$B$38,2,FALSE)</f>
        <v>-0.479695961608754</v>
      </c>
      <c r="J67">
        <f>($B$1+Table4[[#This Row],[Home Differential]])-Table4[[#This Row],[Away Differential]]</f>
        <v>0.53043661290750521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0.7031795682696631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8.8102368692583588E-2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-0.22994539344581519</v>
      </c>
      <c r="H68" t="s">
        <v>17</v>
      </c>
      <c r="I68">
        <f>VLOOKUP(Table4[[#This Row],[Visitor]],'NHL Model'!$A$6:$B$38,2,FALSE)</f>
        <v>-0.92247588734712094</v>
      </c>
      <c r="J68">
        <f>($B$1+Table4[[#This Row],[Home Differential]])-Table4[[#This Row],[Away Differential]]</f>
        <v>0.74115974334272794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0.62811950186515475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0.13829510489302063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-0.45205624035379666</v>
      </c>
      <c r="H69" t="s">
        <v>32</v>
      </c>
      <c r="I69">
        <f>VLOOKUP(Table4[[#This Row],[Visitor]],'NHL Model'!$A$6:$B$38,2,FALSE)</f>
        <v>-0.75181957250890208</v>
      </c>
      <c r="J69">
        <f>($B$1+Table4[[#This Row],[Home Differential]])-Table4[[#This Row],[Away Differential]]</f>
        <v>0.34839258159652764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0.58391729281410165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0.17312481921914602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-0.28566683768028334</v>
      </c>
      <c r="H70" t="s">
        <v>40</v>
      </c>
      <c r="I70">
        <f>VLOOKUP(Table4[[#This Row],[Visitor]],'NHL Model'!$A$6:$B$38,2,FALSE)</f>
        <v>-0.24840457265646038</v>
      </c>
      <c r="J70">
        <f>($B$1+Table4[[#This Row],[Home Differential]])-Table4[[#This Row],[Away Differential]]</f>
        <v>1.1366984417599257E-2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0.53468480042741795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0.28588783580810778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-0.75971379218342783</v>
      </c>
      <c r="H71" t="s">
        <v>15</v>
      </c>
      <c r="I71">
        <f>VLOOKUP(Table4[[#This Row],[Visitor]],'NHL Model'!$A$6:$B$38,2,FALSE)</f>
        <v>-0.40624923719383538</v>
      </c>
      <c r="J71">
        <f>($B$1+Table4[[#This Row],[Home Differential]])-Table4[[#This Row],[Away Differential]]</f>
        <v>-0.30483530554817023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0.59632457797408978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0.3556030022959763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-0.32012591315776179</v>
      </c>
      <c r="H72" t="s">
        <v>21</v>
      </c>
      <c r="I72">
        <f>VLOOKUP(Table4[[#This Row],[Visitor]],'NHL Model'!$A$6:$B$38,2,FALSE)</f>
        <v>-0.29972363155607096</v>
      </c>
      <c r="J72">
        <f>($B$1+Table4[[#This Row],[Home Differential]])-Table4[[#This Row],[Away Differential]]</f>
        <v>2.8226967839731387E-2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0.542526526134402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0.20928197929065798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-0.35229536402491796</v>
      </c>
      <c r="H73" t="s">
        <v>38</v>
      </c>
      <c r="I73">
        <f>VLOOKUP(Table4[[#This Row],[Visitor]],'NHL Model'!$A$6:$B$38,2,FALSE)</f>
        <v>-1.0671109812312936</v>
      </c>
      <c r="J73">
        <f>($B$1+Table4[[#This Row],[Home Differential]])-Table4[[#This Row],[Away Differential]]</f>
        <v>0.76344486664779776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0.62719291203895333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0.39337094891190227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-0.97739270546148105</v>
      </c>
      <c r="H74" t="s">
        <v>37</v>
      </c>
      <c r="I74">
        <f>VLOOKUP(Table4[[#This Row],[Visitor]],'NHL Model'!$A$6:$B$38,2,FALSE)</f>
        <v>0.41634187791115029</v>
      </c>
      <c r="J74">
        <f>($B$1+Table4[[#This Row],[Home Differential]])-Table4[[#This Row],[Away Differential]]</f>
        <v>-1.3451053339312091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0.71241124185268268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0.50752977751808148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-0.38947416486586689</v>
      </c>
      <c r="H75" t="s">
        <v>33</v>
      </c>
      <c r="I75">
        <f>VLOOKUP(Table4[[#This Row],[Visitor]],'NHL Model'!$A$6:$B$38,2,FALSE)</f>
        <v>-0.63428770456303318</v>
      </c>
      <c r="J75">
        <f>($B$1+Table4[[#This Row],[Home Differential]])-Table4[[#This Row],[Away Differential]]</f>
        <v>0.29344278913858851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0.61531978632843476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0.14797886679040109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0.24850541890141886</v>
      </c>
      <c r="H76" t="s">
        <v>34</v>
      </c>
      <c r="I76">
        <f>VLOOKUP(Table4[[#This Row],[Visitor]],'NHL Model'!$A$6:$B$38,2,FALSE)</f>
        <v>-0.15703092434902144</v>
      </c>
      <c r="J76">
        <f>($B$1+Table4[[#This Row],[Home Differential]])-Table4[[#This Row],[Away Differential]]</f>
        <v>0.45416559269186252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0.57780712169820614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0.17824682648875331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-0.73453218371466944</v>
      </c>
      <c r="H77" t="s">
        <v>11</v>
      </c>
      <c r="I77">
        <f>VLOOKUP(Table4[[#This Row],[Visitor]],'NHL Model'!$A$6:$B$38,2,FALSE)</f>
        <v>-0.479695961608754</v>
      </c>
      <c r="J77">
        <f>($B$1+Table4[[#This Row],[Home Differential]])-Table4[[#This Row],[Away Differential]]</f>
        <v>-0.20620697266449323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0.48451678720482549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0.23475651708328615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-0.81978323318233992</v>
      </c>
      <c r="H78" t="s">
        <v>37</v>
      </c>
      <c r="I78">
        <f>VLOOKUP(Table4[[#This Row],[Visitor]],'NHL Model'!$A$6:$B$38,2,FALSE)</f>
        <v>0.41634187791115029</v>
      </c>
      <c r="J78">
        <f>($B$1+Table4[[#This Row],[Home Differential]])-Table4[[#This Row],[Away Differential]]</f>
        <v>-1.1874958616520681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0.69367240948730213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0.48118141168391937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1.5255226246883613</v>
      </c>
      <c r="H79" t="s">
        <v>21</v>
      </c>
      <c r="I79">
        <f>VLOOKUP(Table4[[#This Row],[Visitor]],'NHL Model'!$A$6:$B$38,2,FALSE)</f>
        <v>-0.29972363155607096</v>
      </c>
      <c r="J79">
        <f>($B$1+Table4[[#This Row],[Home Differential]])-Table4[[#This Row],[Away Differential]]</f>
        <v>1.8738755056858545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0.86635705072529434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1.786043789084155E-2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-0.43202172705875852</v>
      </c>
      <c r="H80" t="s">
        <v>25</v>
      </c>
      <c r="I80">
        <f>VLOOKUP(Table4[[#This Row],[Visitor]],'NHL Model'!$A$6:$B$38,2,FALSE)</f>
        <v>0.35473499802405739</v>
      </c>
      <c r="J80">
        <f>($B$1+Table4[[#This Row],[Home Differential]])-Table4[[#This Row],[Away Differential]]</f>
        <v>-0.73812747564139369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0.62038215231051819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0.14410971028439462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-0.69003864116815428</v>
      </c>
      <c r="H81" t="s">
        <v>15</v>
      </c>
      <c r="I81">
        <f>VLOOKUP(Table4[[#This Row],[Visitor]],'NHL Model'!$A$6:$B$38,2,FALSE)</f>
        <v>-0.40624923719383538</v>
      </c>
      <c r="J81">
        <f>($B$1+Table4[[#This Row],[Home Differential]])-Table4[[#This Row],[Away Differential]]</f>
        <v>-0.23516015453289668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0.58804061536684626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0.16971053458732671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2.1114018573289962E-3</v>
      </c>
      <c r="H82" t="s">
        <v>17</v>
      </c>
      <c r="I82">
        <f>VLOOKUP(Table4[[#This Row],[Visitor]],'NHL Model'!$A$6:$B$38,2,FALSE)</f>
        <v>-0.92247588734712094</v>
      </c>
      <c r="J82">
        <f>($B$1+Table4[[#This Row],[Home Differential]])-Table4[[#This Row],[Away Differential]]</f>
        <v>0.97321653864587221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0.75582347782144321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5.9622173983215232E-2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-0.45205624035379666</v>
      </c>
      <c r="H83" t="s">
        <v>30</v>
      </c>
      <c r="I83">
        <f>VLOOKUP(Table4[[#This Row],[Visitor]],'NHL Model'!$A$6:$B$38,2,FALSE)</f>
        <v>-0.22994539344581519</v>
      </c>
      <c r="J83">
        <f>($B$1+Table4[[#This Row],[Home Differential]])-Table4[[#This Row],[Away Differential]]</f>
        <v>-0.17348159746655925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0.55074641593024809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0.20182878279951766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-0.28566683768028334</v>
      </c>
      <c r="H84" t="s">
        <v>34</v>
      </c>
      <c r="I84">
        <f>VLOOKUP(Table4[[#This Row],[Visitor]],'NHL Model'!$A$6:$B$38,2,FALSE)</f>
        <v>-0.15703092434902144</v>
      </c>
      <c r="J84">
        <f>($B$1+Table4[[#This Row],[Home Differential]])-Table4[[#This Row],[Away Differential]]</f>
        <v>-8.000666388983968E-2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0.47939183634266419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0.22981653275199174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-0.63428770456303318</v>
      </c>
      <c r="H85" t="s">
        <v>14</v>
      </c>
      <c r="I85">
        <f>VLOOKUP(Table4[[#This Row],[Visitor]],'NHL Model'!$A$6:$B$38,2,FALSE)</f>
        <v>-0.39956044496834064</v>
      </c>
      <c r="J85">
        <f>($B$1+Table4[[#This Row],[Home Differential]])-Table4[[#This Row],[Away Differential]]</f>
        <v>-0.18609801015327032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0.50289518148377121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0.24711320059205275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-1.4300915005812256</v>
      </c>
      <c r="H86" t="s">
        <v>39</v>
      </c>
      <c r="I86">
        <f>VLOOKUP(Table4[[#This Row],[Visitor]],'NHL Model'!$A$6:$B$38,2,FALSE)</f>
        <v>0.17994412141822874</v>
      </c>
      <c r="J86">
        <f>($B$1+Table4[[#This Row],[Home Differential]])-Table4[[#This Row],[Away Differential]]</f>
        <v>-1.5614063725580321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0.74743971865341163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0.55866613302069112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-0.75971379218342783</v>
      </c>
      <c r="H87" t="s">
        <v>32</v>
      </c>
      <c r="I87">
        <f>VLOOKUP(Table4[[#This Row],[Visitor]],'NHL Model'!$A$6:$B$38,2,FALSE)</f>
        <v>-0.75181957250890208</v>
      </c>
      <c r="J87">
        <f>($B$1+Table4[[#This Row],[Home Differential]])-Table4[[#This Row],[Away Differential]]</f>
        <v>4.0735029766896469E-2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0.54484315367066738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0.29685406210179849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-0.32012591315776179</v>
      </c>
      <c r="H88" t="s">
        <v>16</v>
      </c>
      <c r="I88">
        <f>VLOOKUP(Table4[[#This Row],[Visitor]],'NHL Model'!$A$6:$B$38,2,FALSE)</f>
        <v>-1.1693700053921123</v>
      </c>
      <c r="J88">
        <f>($B$1+Table4[[#This Row],[Home Differential]])-Table4[[#This Row],[Away Differential]]</f>
        <v>0.89787334167577271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0.64675182012669585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0.12478427658380224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-0.24840457265646038</v>
      </c>
      <c r="H89" t="s">
        <v>29</v>
      </c>
      <c r="I89">
        <f>VLOOKUP(Table4[[#This Row],[Visitor]],'NHL Model'!$A$6:$B$38,2,FALSE)</f>
        <v>-1.4761804210410974</v>
      </c>
      <c r="J89">
        <f>($B$1+Table4[[#This Row],[Home Differential]])-Table4[[#This Row],[Away Differential]]</f>
        <v>1.2764050978260593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0.69425248221059344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9.348154463438349E-2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-0.35229536402491796</v>
      </c>
      <c r="H90" t="s">
        <v>31</v>
      </c>
      <c r="I90">
        <f>VLOOKUP(Table4[[#This Row],[Visitor]],'NHL Model'!$A$6:$B$38,2,FALSE)</f>
        <v>0.12352843374450689</v>
      </c>
      <c r="J90">
        <f>($B$1+Table4[[#This Row],[Home Differential]])-Table4[[#This Row],[Away Differential]]</f>
        <v>-0.42719454832800263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0.53156013129546975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0.28255617318285703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-0.97739270546148105</v>
      </c>
      <c r="H91" t="s">
        <v>17</v>
      </c>
      <c r="I91">
        <f>VLOOKUP(Table4[[#This Row],[Visitor]],'NHL Model'!$A$6:$B$38,2,FALSE)</f>
        <v>-0.92247588734712094</v>
      </c>
      <c r="J91">
        <f>($B$1+Table4[[#This Row],[Home Differential]])-Table4[[#This Row],[Away Differential]]</f>
        <v>-6.2875686729378932E-3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0.46074755465927408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0.21228830912450075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-0.38947416486586689</v>
      </c>
      <c r="H92" t="s">
        <v>21</v>
      </c>
      <c r="I92">
        <f>VLOOKUP(Table4[[#This Row],[Visitor]],'NHL Model'!$A$6:$B$38,2,FALSE)</f>
        <v>-0.29972363155607096</v>
      </c>
      <c r="J92">
        <f>($B$1+Table4[[#This Row],[Home Differential]])-Table4[[#This Row],[Away Differential]]</f>
        <v>-4.1121283868373715E-2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0.4252712425997443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0.18085562978233058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0.24850541890141886</v>
      </c>
      <c r="H93" t="s">
        <v>38</v>
      </c>
      <c r="I93">
        <f>VLOOKUP(Table4[[#This Row],[Visitor]],'NHL Model'!$A$6:$B$38,2,FALSE)</f>
        <v>-1.0671109812312936</v>
      </c>
      <c r="J93">
        <f>($B$1+Table4[[#This Row],[Home Differential]])-Table4[[#This Row],[Away Differential]]</f>
        <v>1.3642456495741346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0.72470072412457842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0.52519113954668828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-1.1693700053921123</v>
      </c>
      <c r="H94" t="s">
        <v>40</v>
      </c>
      <c r="I94">
        <f>VLOOKUP(Table4[[#This Row],[Visitor]],'NHL Model'!$A$6:$B$38,2,FALSE)</f>
        <v>-0.24840457265646038</v>
      </c>
      <c r="J94">
        <f>($B$1+Table4[[#This Row],[Home Differential]])-Table4[[#This Row],[Away Differential]]</f>
        <v>-0.87233618329422979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0.60300233654952917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0.1576071447851333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-0.69003864116815428</v>
      </c>
      <c r="H95" t="s">
        <v>23</v>
      </c>
      <c r="I95">
        <f>VLOOKUP(Table4[[#This Row],[Visitor]],'NHL Model'!$A$6:$B$38,2,FALSE)</f>
        <v>-0.73453218371466944</v>
      </c>
      <c r="J95">
        <f>($B$1+Table4[[#This Row],[Home Differential]])-Table4[[#This Row],[Away Differential]]</f>
        <v>9.3122791987937381E-2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0.5510717481838121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0.20153657527873861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-0.40624923719383538</v>
      </c>
      <c r="H96" t="s">
        <v>34</v>
      </c>
      <c r="I96">
        <f>VLOOKUP(Table4[[#This Row],[Visitor]],'NHL Model'!$A$6:$B$38,2,FALSE)</f>
        <v>-0.15703092434902144</v>
      </c>
      <c r="J96">
        <f>($B$1+Table4[[#This Row],[Home Differential]])-Table4[[#This Row],[Away Differential]]</f>
        <v>-0.20058906340339172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0.52636141389573399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0.22433351024684822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-0.28566683768028334</v>
      </c>
      <c r="H97" t="s">
        <v>32</v>
      </c>
      <c r="I97">
        <f>VLOOKUP(Table4[[#This Row],[Visitor]],'NHL Model'!$A$6:$B$38,2,FALSE)</f>
        <v>-0.75181957250890208</v>
      </c>
      <c r="J97">
        <f>($B$1+Table4[[#This Row],[Home Differential]])-Table4[[#This Row],[Away Differential]]</f>
        <v>0.51478198427004096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0.63345059348331922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0.13435846741773089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-0.32012591315776179</v>
      </c>
      <c r="H98" t="s">
        <v>25</v>
      </c>
      <c r="I98">
        <f>VLOOKUP(Table4[[#This Row],[Visitor]],'NHL Model'!$A$6:$B$38,2,FALSE)</f>
        <v>0.35473499802405739</v>
      </c>
      <c r="J98">
        <f>($B$1+Table4[[#This Row],[Home Differential]])-Table4[[#This Row],[Away Differential]]</f>
        <v>-0.62623166174039691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0.60707840305764993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0.36854418745902645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-0.29972363155607096</v>
      </c>
      <c r="H99" t="s">
        <v>11</v>
      </c>
      <c r="I99">
        <f>VLOOKUP(Table4[[#This Row],[Visitor]],'NHL Model'!$A$6:$B$38,2,FALSE)</f>
        <v>-0.479695961608754</v>
      </c>
      <c r="J99">
        <f>($B$1+Table4[[#This Row],[Home Differential]])-Table4[[#This Row],[Away Differential]]</f>
        <v>0.22860157949410526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0.61008092766550814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0.37219873830120698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0.17994412141822874</v>
      </c>
      <c r="H100" t="s">
        <v>28</v>
      </c>
      <c r="I100">
        <f>VLOOKUP(Table4[[#This Row],[Visitor]],'NHL Model'!$A$6:$B$38,2,FALSE)</f>
        <v>-0.81978323318233992</v>
      </c>
      <c r="J100">
        <f>($B$1+Table4[[#This Row],[Home Differential]])-Table4[[#This Row],[Away Differential]]</f>
        <v>1.0483566040419909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0.68374881966850076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0.46751244839806799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-1.4761804210410974</v>
      </c>
      <c r="H101" t="s">
        <v>31</v>
      </c>
      <c r="I101">
        <f>VLOOKUP(Table4[[#This Row],[Visitor]],'NHL Model'!$A$6:$B$38,2,FALSE)</f>
        <v>0.12352843374450689</v>
      </c>
      <c r="J101">
        <f>($B$1+Table4[[#This Row],[Home Differential]])-Table4[[#This Row],[Away Differential]]</f>
        <v>-1.551079605344182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0.66518340518146157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0.11210215216588133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-0.22994539344581519</v>
      </c>
      <c r="H102" t="s">
        <v>33</v>
      </c>
      <c r="I102">
        <f>VLOOKUP(Table4[[#This Row],[Visitor]],'NHL Model'!$A$6:$B$38,2,FALSE)</f>
        <v>-0.63428770456303318</v>
      </c>
      <c r="J102">
        <f>($B$1+Table4[[#This Row],[Home Differential]])-Table4[[#This Row],[Away Differential]]</f>
        <v>0.45297156055864018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0.59385563454308032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0.16495324559240393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-0.45205624035379666</v>
      </c>
      <c r="H103" t="s">
        <v>17</v>
      </c>
      <c r="I103">
        <f>VLOOKUP(Table4[[#This Row],[Visitor]],'NHL Model'!$A$6:$B$38,2,FALSE)</f>
        <v>-0.92247588734712094</v>
      </c>
      <c r="J103">
        <f>($B$1+Table4[[#This Row],[Home Differential]])-Table4[[#This Row],[Away Differential]]</f>
        <v>0.5190488964347465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0.60420731745286949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0.36506648246359258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-0.39956044496834064</v>
      </c>
      <c r="H104" t="s">
        <v>38</v>
      </c>
      <c r="I104">
        <f>VLOOKUP(Table4[[#This Row],[Visitor]],'NHL Model'!$A$6:$B$38,2,FALSE)</f>
        <v>-1.0671109812312936</v>
      </c>
      <c r="J104">
        <f>($B$1+Table4[[#This Row],[Home Differential]])-Table4[[#This Row],[Away Differential]]</f>
        <v>0.71617978570437513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0.62157337397612489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0.14320671128381382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-1.4300915005812256</v>
      </c>
      <c r="H105" t="s">
        <v>13</v>
      </c>
      <c r="I105">
        <f>VLOOKUP(Table4[[#This Row],[Visitor]],'NHL Model'!$A$6:$B$38,2,FALSE)</f>
        <v>-0.43202172705875852</v>
      </c>
      <c r="J105">
        <f>($B$1+Table4[[#This Row],[Home Differential]])-Table4[[#This Row],[Away Differential]]</f>
        <v>-0.94944052408104485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0.63919864203563859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0.13017761990892726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-0.75971379218342783</v>
      </c>
      <c r="H106" t="s">
        <v>24</v>
      </c>
      <c r="I106">
        <f>VLOOKUP(Table4[[#This Row],[Visitor]],'NHL Model'!$A$6:$B$38,2,FALSE)</f>
        <v>2.1114018573289962E-3</v>
      </c>
      <c r="J106">
        <f>($B$1+Table4[[#This Row],[Home Differential]])-Table4[[#This Row],[Away Differential]]</f>
        <v>-0.71319594459933455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0.56556400265861584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0.18873463578600314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-0.38947416486586689</v>
      </c>
      <c r="H107" t="s">
        <v>12</v>
      </c>
      <c r="I107">
        <f>VLOOKUP(Table4[[#This Row],[Visitor]],'NHL Model'!$A$6:$B$38,2,FALSE)</f>
        <v>1.5255226246883613</v>
      </c>
      <c r="J107">
        <f>($B$1+Table4[[#This Row],[Home Differential]])-Table4[[#This Row],[Away Differential]]</f>
        <v>-1.8663675401128059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0.71352015340205521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0.50911100931089237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0.24850541890141886</v>
      </c>
      <c r="H108" t="s">
        <v>32</v>
      </c>
      <c r="I108">
        <f>VLOOKUP(Table4[[#This Row],[Visitor]],'NHL Model'!$A$6:$B$38,2,FALSE)</f>
        <v>-0.75181957250890208</v>
      </c>
      <c r="J108">
        <f>($B$1+Table4[[#This Row],[Home Differential]])-Table4[[#This Row],[Away Differential]]</f>
        <v>1.0489542408517432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0.69075217968313574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9.5634214370731566E-2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-0.73453218371466944</v>
      </c>
      <c r="H109" t="s">
        <v>26</v>
      </c>
      <c r="I109">
        <f>VLOOKUP(Table4[[#This Row],[Visitor]],'NHL Model'!$A$6:$B$38,2,FALSE)</f>
        <v>-0.97739270546148105</v>
      </c>
      <c r="J109">
        <f>($B$1+Table4[[#This Row],[Home Differential]])-Table4[[#This Row],[Away Differential]]</f>
        <v>0.29148977118823383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0.5746564066203167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0.18091717242914138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-1.1693700053921123</v>
      </c>
      <c r="H110" t="s">
        <v>18</v>
      </c>
      <c r="I110">
        <f>VLOOKUP(Table4[[#This Row],[Visitor]],'NHL Model'!$A$6:$B$38,2,FALSE)</f>
        <v>-0.69003864116815428</v>
      </c>
      <c r="J110">
        <f>($B$1+Table4[[#This Row],[Home Differential]])-Table4[[#This Row],[Away Differential]]</f>
        <v>-0.43070211478253584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0.57049576322207685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0.18447388941018628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2.1114018573289962E-3</v>
      </c>
      <c r="H111" t="s">
        <v>34</v>
      </c>
      <c r="I111">
        <f>VLOOKUP(Table4[[#This Row],[Visitor]],'NHL Model'!$A$6:$B$38,2,FALSE)</f>
        <v>-0.15703092434902144</v>
      </c>
      <c r="J111">
        <f>($B$1+Table4[[#This Row],[Home Differential]])-Table4[[#This Row],[Away Differential]]</f>
        <v>0.20777157564777265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0.62470280922874366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0.14084798140079677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-0.29972363155607096</v>
      </c>
      <c r="H112" t="s">
        <v>31</v>
      </c>
      <c r="I112">
        <f>VLOOKUP(Table4[[#This Row],[Visitor]],'NHL Model'!$A$6:$B$38,2,FALSE)</f>
        <v>0.12352843374450689</v>
      </c>
      <c r="J112">
        <f>($B$1+Table4[[#This Row],[Home Differential]])-Table4[[#This Row],[Away Differential]]</f>
        <v>-0.37462281585915563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0.48204043304071514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0.26828211300464994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1.5255226246883613</v>
      </c>
      <c r="H113" t="s">
        <v>25</v>
      </c>
      <c r="I113">
        <f>VLOOKUP(Table4[[#This Row],[Visitor]],'NHL Model'!$A$6:$B$38,2,FALSE)</f>
        <v>0.35473499802405739</v>
      </c>
      <c r="J113">
        <f>($B$1+Table4[[#This Row],[Home Differential]])-Table4[[#This Row],[Away Differential]]</f>
        <v>1.219416876105726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0.72020268005595045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0.51869190035977375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0.17994412141822874</v>
      </c>
      <c r="H114" t="s">
        <v>13</v>
      </c>
      <c r="I114">
        <f>VLOOKUP(Table4[[#This Row],[Visitor]],'NHL Model'!$A$6:$B$38,2,FALSE)</f>
        <v>-0.43202172705875852</v>
      </c>
      <c r="J114">
        <f>($B$1+Table4[[#This Row],[Home Differential]])-Table4[[#This Row],[Away Differential]]</f>
        <v>0.66059509791840942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0.57149858937542974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0.32661063765810605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-0.92247588734712094</v>
      </c>
      <c r="H115" t="s">
        <v>18</v>
      </c>
      <c r="I115">
        <f>VLOOKUP(Table4[[#This Row],[Visitor]],'NHL Model'!$A$6:$B$38,2,FALSE)</f>
        <v>-0.69003864116815428</v>
      </c>
      <c r="J115">
        <f>($B$1+Table4[[#This Row],[Home Differential]])-Table4[[#This Row],[Away Differential]]</f>
        <v>-0.18380799673754444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0.53404880363972229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0.28520812466901868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-0.479695961608754</v>
      </c>
      <c r="H116" t="s">
        <v>14</v>
      </c>
      <c r="I116">
        <f>VLOOKUP(Table4[[#This Row],[Visitor]],'NHL Model'!$A$6:$B$38,2,FALSE)</f>
        <v>-0.39956044496834064</v>
      </c>
      <c r="J116">
        <f>($B$1+Table4[[#This Row],[Home Differential]])-Table4[[#This Row],[Away Differential]]</f>
        <v>-3.1506267198991134E-2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0.47041257515150153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0.28046284055766396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-1.4761804210410974</v>
      </c>
      <c r="H117" t="s">
        <v>38</v>
      </c>
      <c r="I117">
        <f>VLOOKUP(Table4[[#This Row],[Visitor]],'NHL Model'!$A$6:$B$38,2,FALSE)</f>
        <v>-1.0671109812312936</v>
      </c>
      <c r="J117">
        <f>($B$1+Table4[[#This Row],[Home Differential]])-Table4[[#This Row],[Away Differential]]</f>
        <v>-0.3604401903683816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0.50643036184703838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0.25647171140052222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-0.22994539344581519</v>
      </c>
      <c r="H118" t="s">
        <v>26</v>
      </c>
      <c r="I118">
        <f>VLOOKUP(Table4[[#This Row],[Visitor]],'NHL Model'!$A$6:$B$38,2,FALSE)</f>
        <v>-0.97739270546148105</v>
      </c>
      <c r="J118">
        <f>($B$1+Table4[[#This Row],[Home Differential]])-Table4[[#This Row],[Away Differential]]</f>
        <v>0.79607656145708805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0.63464878613851683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0.13348150947005921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-0.40624923719383538</v>
      </c>
      <c r="H119" t="s">
        <v>33</v>
      </c>
      <c r="I119">
        <f>VLOOKUP(Table4[[#This Row],[Visitor]],'NHL Model'!$A$6:$B$38,2,FALSE)</f>
        <v>-0.63428770456303318</v>
      </c>
      <c r="J119">
        <f>($B$1+Table4[[#This Row],[Home Differential]])-Table4[[#This Row],[Away Differential]]</f>
        <v>0.27666771681062002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0.5728941521804265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0.32820770960252965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-0.45205624035379666</v>
      </c>
      <c r="H120" t="s">
        <v>27</v>
      </c>
      <c r="I120">
        <f>VLOOKUP(Table4[[#This Row],[Visitor]],'NHL Model'!$A$6:$B$38,2,FALSE)</f>
        <v>-0.28566683768028334</v>
      </c>
      <c r="J120">
        <f>($B$1+Table4[[#This Row],[Home Differential]])-Table4[[#This Row],[Away Differential]]</f>
        <v>-0.1177601532320911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0.51400098445117204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0.26419701201677398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-1.4300915005812256</v>
      </c>
      <c r="H121" t="s">
        <v>55</v>
      </c>
      <c r="I121">
        <f>VLOOKUP(Table4[[#This Row],[Visitor]],'NHL Model'!$A$6:$B$38,2,FALSE)</f>
        <v>-0.38947416486586689</v>
      </c>
      <c r="J121">
        <f>($B$1+Table4[[#This Row],[Home Differential]])-Table4[[#This Row],[Away Differential]]</f>
        <v>-0.99198808627393653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0.57794150559821433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0.17813337269670215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0.41634187791115029</v>
      </c>
      <c r="H122" t="s">
        <v>10</v>
      </c>
      <c r="I122">
        <f>VLOOKUP(Table4[[#This Row],[Visitor]],'NHL Model'!$A$6:$B$38,2,FALSE)</f>
        <v>-0.35229536402491796</v>
      </c>
      <c r="J122">
        <f>($B$1+Table4[[#This Row],[Home Differential]])-Table4[[#This Row],[Away Differential]]</f>
        <v>0.81726649137749052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0.66941420905695892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0.4481153832873539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-0.24840457265646038</v>
      </c>
      <c r="H123" t="s">
        <v>32</v>
      </c>
      <c r="I123">
        <f>VLOOKUP(Table4[[#This Row],[Visitor]],'NHL Model'!$A$6:$B$38,2,FALSE)</f>
        <v>-0.75181957250890208</v>
      </c>
      <c r="J123">
        <f>($B$1+Table4[[#This Row],[Home Differential]])-Table4[[#This Row],[Away Differential]]</f>
        <v>0.55204424929386398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0.60813026939936499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0.36982242455974423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-0.73453218371466944</v>
      </c>
      <c r="H124" t="s">
        <v>19</v>
      </c>
      <c r="I124">
        <f>VLOOKUP(Table4[[#This Row],[Visitor]],'NHL Model'!$A$6:$B$38,2,FALSE)</f>
        <v>-0.75971379218342783</v>
      </c>
      <c r="J124">
        <f>($B$1+Table4[[#This Row],[Home Differential]])-Table4[[#This Row],[Away Differential]]</f>
        <v>7.3810857910180605E-2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0.5487756736516074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0.2036033926885607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-0.81978323318233992</v>
      </c>
      <c r="H125" t="s">
        <v>22</v>
      </c>
      <c r="I125">
        <f>VLOOKUP(Table4[[#This Row],[Visitor]],'NHL Model'!$A$6:$B$38,2,FALSE)</f>
        <v>0.24850541890141886</v>
      </c>
      <c r="J125">
        <f>($B$1+Table4[[#This Row],[Home Differential]])-Table4[[#This Row],[Away Differential]]</f>
        <v>-1.0196594026423367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0.60200069192188344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0.15840344923065955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2.1114018573289962E-3</v>
      </c>
      <c r="H126" t="s">
        <v>33</v>
      </c>
      <c r="I126">
        <f>VLOOKUP(Table4[[#This Row],[Visitor]],'NHL Model'!$A$6:$B$38,2,FALSE)</f>
        <v>-0.63428770456303318</v>
      </c>
      <c r="J126">
        <f>($B$1+Table4[[#This Row],[Home Differential]])-Table4[[#This Row],[Away Differential]]</f>
        <v>0.68502835586178445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0.72155961049936868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7.7529050505263278E-2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-0.24840457265646038</v>
      </c>
      <c r="H127" t="s">
        <v>16</v>
      </c>
      <c r="I127">
        <f>VLOOKUP(Table4[[#This Row],[Visitor]],'NHL Model'!$A$6:$B$38,2,FALSE)</f>
        <v>-1.1693700053921123</v>
      </c>
      <c r="J127">
        <f>($B$1+Table4[[#This Row],[Home Differential]])-Table4[[#This Row],[Away Differential]]</f>
        <v>0.96959468217707423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0.65777454174381389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0.11711826427865658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-0.29972363155607096</v>
      </c>
      <c r="H128" t="s">
        <v>12</v>
      </c>
      <c r="I128">
        <f>VLOOKUP(Table4[[#This Row],[Visitor]],'NHL Model'!$A$6:$B$38,2,FALSE)</f>
        <v>1.5255226246883613</v>
      </c>
      <c r="J128">
        <f>($B$1+Table4[[#This Row],[Home Differential]])-Table4[[#This Row],[Away Differential]]</f>
        <v>-1.77661700680301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0.70031220449378928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0.49043718376295092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0.17994412141822874</v>
      </c>
      <c r="H129" t="s">
        <v>25</v>
      </c>
      <c r="I129">
        <f>VLOOKUP(Table4[[#This Row],[Visitor]],'NHL Model'!$A$6:$B$38,2,FALSE)</f>
        <v>0.35473499802405739</v>
      </c>
      <c r="J129">
        <f>($B$1+Table4[[#This Row],[Home Differential]])-Table4[[#This Row],[Away Differential]]</f>
        <v>-0.12616162716440643</v>
      </c>
      <c r="K129" t="str">
        <f>IF(Table4[[#This Row],[HomeIce Differential]]&gt;0,Table4[[#This Row],[Home]],Table4[[#This Row],[Visitor]])</f>
        <v>Carolina Hurricanes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0.52836885387741261</v>
      </c>
      <c r="M129" t="str">
        <f>IF(OR((NHL2025_26Results[[#This Row],[Winning Team]]="")),"-",IF(Table4[[#This Row],[Predicted Winner]]=NHL2025_26Results[[#This Row],[Winning Team]],"YES","NO"))</f>
        <v>NO</v>
      </c>
      <c r="N129">
        <f>IF(Table4[[#This Row],[Adjusted Correct]]="-", "",IF(Table4[[#This Row],[Adjusted Correct]]="YES",(Table4[[#This Row],[Strength of Win]]-1)^2,(Table4[[#This Row],[Strength of Win]]-0)^2))</f>
        <v>0.27917364574773063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-0.97739270546148105</v>
      </c>
      <c r="H130" t="s">
        <v>35</v>
      </c>
      <c r="I130">
        <f>VLOOKUP(Table4[[#This Row],[Visitor]],'NHL Model'!$A$6:$B$38,2,FALSE)</f>
        <v>-1.4300915005812256</v>
      </c>
      <c r="J130">
        <f>($B$1+Table4[[#This Row],[Home Differential]])-Table4[[#This Row],[Away Differential]]</f>
        <v>0.50132804456116675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0.59960493396270964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0.1603162089070061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-0.479695961608754</v>
      </c>
      <c r="H131" t="s">
        <v>20</v>
      </c>
      <c r="I131">
        <f>VLOOKUP(Table4[[#This Row],[Visitor]],'NHL Model'!$A$6:$B$38,2,FALSE)</f>
        <v>-0.32012591315776179</v>
      </c>
      <c r="J131">
        <f>($B$1+Table4[[#This Row],[Home Differential]])-Table4[[#This Row],[Away Differential]]</f>
        <v>-0.11094079900956999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0.45917358314244405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0.21084037945587097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-0.15703092434902144</v>
      </c>
      <c r="H132" t="s">
        <v>55</v>
      </c>
      <c r="I132">
        <f>VLOOKUP(Table4[[#This Row],[Visitor]],'NHL Model'!$A$6:$B$38,2,FALSE)</f>
        <v>-0.38947416486586689</v>
      </c>
      <c r="J132">
        <f>($B$1+Table4[[#This Row],[Home Differential]])-Table4[[#This Row],[Away Differential]]</f>
        <v>0.28107248995826767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0.57341785360793407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0.32880803483633009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-1.4761804210410974</v>
      </c>
      <c r="H133" t="s">
        <v>13</v>
      </c>
      <c r="I133">
        <f>VLOOKUP(Table4[[#This Row],[Visitor]],'NHL Model'!$A$6:$B$38,2,FALSE)</f>
        <v>-0.43202172705875852</v>
      </c>
      <c r="J133">
        <f>($B$1+Table4[[#This Row],[Home Differential]])-Table4[[#This Row],[Away Differential]]</f>
        <v>-0.99552944454091663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0.64467834158611537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0.41561016411022406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-0.28566683768028334</v>
      </c>
      <c r="H134" t="s">
        <v>30</v>
      </c>
      <c r="I134">
        <f>VLOOKUP(Table4[[#This Row],[Visitor]],'NHL Model'!$A$6:$B$38,2,FALSE)</f>
        <v>-0.22994539344581519</v>
      </c>
      <c r="J134">
        <f>($B$1+Table4[[#This Row],[Home Differential]])-Table4[[#This Row],[Away Differential]]</f>
        <v>-7.0921947930459306E-3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0.50084321993727721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0.2508439309571398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-0.39956044496834064</v>
      </c>
      <c r="H135" t="s">
        <v>28</v>
      </c>
      <c r="I135">
        <f>VLOOKUP(Table4[[#This Row],[Visitor]],'NHL Model'!$A$6:$B$38,2,FALSE)</f>
        <v>-0.81978323318233992</v>
      </c>
      <c r="J135">
        <f>($B$1+Table4[[#This Row],[Home Differential]])-Table4[[#This Row],[Away Differential]]</f>
        <v>0.46885203765542149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0.59574372917277241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0.3549105908486816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-0.75181957250890208</v>
      </c>
      <c r="H136" t="s">
        <v>17</v>
      </c>
      <c r="I136">
        <f>VLOOKUP(Table4[[#This Row],[Visitor]],'NHL Model'!$A$6:$B$38,2,FALSE)</f>
        <v>-0.92247588734712094</v>
      </c>
      <c r="J136">
        <f>($B$1+Table4[[#This Row],[Home Differential]])-Table4[[#This Row],[Away Differential]]</f>
        <v>0.21928556427964108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0.56607175425285594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0.18829372245719384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0.41634187791115029</v>
      </c>
      <c r="H137" t="s">
        <v>31</v>
      </c>
      <c r="I137">
        <f>VLOOKUP(Table4[[#This Row],[Visitor]],'NHL Model'!$A$6:$B$38,2,FALSE)</f>
        <v>0.12352843374450689</v>
      </c>
      <c r="J137">
        <f>($B$1+Table4[[#This Row],[Home Differential]])-Table4[[#This Row],[Away Differential]]</f>
        <v>0.34144269360806562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0.59231965103936879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0.16620326692866202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-0.75971379218342783</v>
      </c>
      <c r="H138" t="s">
        <v>23</v>
      </c>
      <c r="I138">
        <f>VLOOKUP(Table4[[#This Row],[Visitor]],'NHL Model'!$A$6:$B$38,2,FALSE)</f>
        <v>-0.73453218371466944</v>
      </c>
      <c r="J138">
        <f>($B$1+Table4[[#This Row],[Home Differential]])-Table4[[#This Row],[Away Differential]]</f>
        <v>2.344764097266383E-2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0.54278778557656859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0.20904300901797782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-1.0671109812312936</v>
      </c>
      <c r="H139" t="s">
        <v>18</v>
      </c>
      <c r="I139">
        <f>VLOOKUP(Table4[[#This Row],[Visitor]],'NHL Model'!$A$6:$B$38,2,FALSE)</f>
        <v>-0.69003864116815428</v>
      </c>
      <c r="J139">
        <f>($B$1+Table4[[#This Row],[Home Differential]])-Table4[[#This Row],[Away Differential]]</f>
        <v>-0.32844309062171706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0.55833777116812733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0.19506552437673746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0.24850541890141886</v>
      </c>
      <c r="H140" t="s">
        <v>36</v>
      </c>
      <c r="I140">
        <f>VLOOKUP(Table4[[#This Row],[Visitor]],'NHL Model'!$A$6:$B$38,2,FALSE)</f>
        <v>-0.45205624035379666</v>
      </c>
      <c r="J140">
        <f>($B$1+Table4[[#This Row],[Home Differential]])-Table4[[#This Row],[Away Differential]]</f>
        <v>0.74919090869663774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0.65429175114275318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0.42809769561345046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-1.1693700053921123</v>
      </c>
      <c r="H141" t="s">
        <v>15</v>
      </c>
      <c r="I141">
        <f>VLOOKUP(Table4[[#This Row],[Visitor]],'NHL Model'!$A$6:$B$38,2,FALSE)</f>
        <v>-0.40624923719383538</v>
      </c>
      <c r="J141">
        <f>($B$1+Table4[[#This Row],[Home Differential]])-Table4[[#This Row],[Away Differential]]</f>
        <v>-0.71449151875685479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0.64503027437511795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0.41606405486043996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-0.35229536402491796</v>
      </c>
      <c r="H142" t="s">
        <v>13</v>
      </c>
      <c r="I142">
        <f>VLOOKUP(Table4[[#This Row],[Visitor]],'NHL Model'!$A$6:$B$38,2,FALSE)</f>
        <v>-0.43202172705875852</v>
      </c>
      <c r="J142">
        <f>($B$1+Table4[[#This Row],[Home Differential]])-Table4[[#This Row],[Away Differential]]</f>
        <v>0.12835561247526278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0.4889449322998764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0.23906714682173072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-0.15703092434902144</v>
      </c>
      <c r="H143" t="s">
        <v>33</v>
      </c>
      <c r="I143">
        <f>VLOOKUP(Table4[[#This Row],[Visitor]],'NHL Model'!$A$6:$B$38,2,FALSE)</f>
        <v>-0.63428770456303318</v>
      </c>
      <c r="J143">
        <f>($B$1+Table4[[#This Row],[Home Differential]])-Table4[[#This Row],[Away Differential]]</f>
        <v>0.52588602965543396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0.60252473287617825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0.36303605372750997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2.1114018573289962E-3</v>
      </c>
      <c r="H144" t="s">
        <v>12</v>
      </c>
      <c r="I144">
        <f>VLOOKUP(Table4[[#This Row],[Visitor]],'NHL Model'!$A$6:$B$38,2,FALSE)</f>
        <v>1.5255226246883613</v>
      </c>
      <c r="J144">
        <f>($B$1+Table4[[#This Row],[Home Differential]])-Table4[[#This Row],[Away Differential]]</f>
        <v>-1.4747819733896101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0.60461113074463657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0.36555461942030804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-1.4761804210410974</v>
      </c>
      <c r="H145" t="s">
        <v>39</v>
      </c>
      <c r="I145">
        <f>VLOOKUP(Table4[[#This Row],[Visitor]],'NHL Model'!$A$6:$B$38,2,FALSE)</f>
        <v>0.17994412141822874</v>
      </c>
      <c r="J145">
        <f>($B$1+Table4[[#This Row],[Home Differential]])-Table4[[#This Row],[Away Differential]]</f>
        <v>-1.6074952930179038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0.75291941820388841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6.104881390070499E-2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0.41634187791115029</v>
      </c>
      <c r="H146" t="s">
        <v>20</v>
      </c>
      <c r="I146">
        <f>VLOOKUP(Table4[[#This Row],[Visitor]],'NHL Model'!$A$6:$B$38,2,FALSE)</f>
        <v>-0.32012591315776179</v>
      </c>
      <c r="J146">
        <f>($B$1+Table4[[#This Row],[Home Differential]])-Table4[[#This Row],[Away Differential]]</f>
        <v>0.78509704051033435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0.66558945196356334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0.11183041463802991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-1.0671109812312936</v>
      </c>
      <c r="H147" t="s">
        <v>17</v>
      </c>
      <c r="I147">
        <f>VLOOKUP(Table4[[#This Row],[Visitor]],'NHL Model'!$A$6:$B$38,2,FALSE)</f>
        <v>-0.92247588734712094</v>
      </c>
      <c r="J147">
        <f>($B$1+Table4[[#This Row],[Home Differential]])-Table4[[#This Row],[Away Differential]]</f>
        <v>-9.6005844442750399E-2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0.47141452603764344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0.22223165535929601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-0.24840457265646038</v>
      </c>
      <c r="H148" t="s">
        <v>55</v>
      </c>
      <c r="I148">
        <f>VLOOKUP(Table4[[#This Row],[Visitor]],'NHL Model'!$A$6:$B$38,2,FALSE)</f>
        <v>-0.38947416486586689</v>
      </c>
      <c r="J148">
        <f>($B$1+Table4[[#This Row],[Home Differential]])-Table4[[#This Row],[Away Differential]]</f>
        <v>0.18969884165082873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0.56504954744781444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0.3192809910709799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-0.45205624035379666</v>
      </c>
      <c r="H149" t="s">
        <v>21</v>
      </c>
      <c r="I149">
        <f>VLOOKUP(Table4[[#This Row],[Visitor]],'NHL Model'!$A$6:$B$38,2,FALSE)</f>
        <v>-0.29972363155607096</v>
      </c>
      <c r="J149">
        <f>($B$1+Table4[[#This Row],[Home Differential]])-Table4[[#This Row],[Away Differential]]</f>
        <v>-0.10370335935630348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0.47066304828385896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0.22152370501985416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-0.39956044496834064</v>
      </c>
      <c r="H150" t="s">
        <v>35</v>
      </c>
      <c r="I150">
        <f>VLOOKUP(Table4[[#This Row],[Visitor]],'NHL Model'!$A$6:$B$38,2,FALSE)</f>
        <v>-1.4300915005812256</v>
      </c>
      <c r="J150">
        <f>($B$1+Table4[[#This Row],[Home Differential]])-Table4[[#This Row],[Away Differential]]</f>
        <v>1.079160305054307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0.66830576588677459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0.11002106494395919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-0.29972363155607096</v>
      </c>
      <c r="H151" t="s">
        <v>30</v>
      </c>
      <c r="I151">
        <f>VLOOKUP(Table4[[#This Row],[Visitor]],'NHL Model'!$A$6:$B$38,2,FALSE)</f>
        <v>-0.22994539344581519</v>
      </c>
      <c r="J151">
        <f>($B$1+Table4[[#This Row],[Home Differential]])-Table4[[#This Row],[Away Differential]]</f>
        <v>-2.1148988668833552E-2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0.49159745887023798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0.24166806156767531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-0.73453218371466944</v>
      </c>
      <c r="H152" t="s">
        <v>28</v>
      </c>
      <c r="I152">
        <f>VLOOKUP(Table4[[#This Row],[Visitor]],'NHL Model'!$A$6:$B$38,2,FALSE)</f>
        <v>-0.81978323318233992</v>
      </c>
      <c r="J152">
        <f>($B$1+Table4[[#This Row],[Home Differential]])-Table4[[#This Row],[Away Differential]]</f>
        <v>0.1338802989090927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0.55591757425493615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0.30904434936549247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0.35473499802405739</v>
      </c>
      <c r="H153" t="s">
        <v>20</v>
      </c>
      <c r="I153">
        <f>VLOOKUP(Table4[[#This Row],[Visitor]],'NHL Model'!$A$6:$B$38,2,FALSE)</f>
        <v>-0.32012591315776179</v>
      </c>
      <c r="J153">
        <f>($B$1+Table4[[#This Row],[Home Differential]])-Table4[[#This Row],[Away Differential]]</f>
        <v>0.72349016062324134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0.66644987062407235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0.44415543005484276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-0.35229536402491796</v>
      </c>
      <c r="H154" t="s">
        <v>36</v>
      </c>
      <c r="I154">
        <f>VLOOKUP(Table4[[#This Row],[Visitor]],'NHL Model'!$A$6:$B$38,2,FALSE)</f>
        <v>-0.45205624035379666</v>
      </c>
      <c r="J154">
        <f>($B$1+Table4[[#This Row],[Home Differential]])-Table4[[#This Row],[Away Differential]]</f>
        <v>0.14839012577030092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0.55681321360562008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0.19641452763457773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1.5255226246883613</v>
      </c>
      <c r="H155" t="s">
        <v>24</v>
      </c>
      <c r="I155">
        <f>VLOOKUP(Table4[[#This Row],[Visitor]],'NHL Model'!$A$6:$B$38,2,FALSE)</f>
        <v>2.1114018573289962E-3</v>
      </c>
      <c r="J155">
        <f>($B$1+Table4[[#This Row],[Home Differential]])-Table4[[#This Row],[Away Differential]]</f>
        <v>1.5720404722724546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0.81190629728988561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3.5379240999200895E-2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0.17994412141822874</v>
      </c>
      <c r="H156" t="s">
        <v>22</v>
      </c>
      <c r="I156">
        <f>VLOOKUP(Table4[[#This Row],[Visitor]],'NHL Model'!$A$6:$B$38,2,FALSE)</f>
        <v>0.24850541890141886</v>
      </c>
      <c r="J156">
        <f>($B$1+Table4[[#This Row],[Home Differential]])-Table4[[#This Row],[Away Differential]]</f>
        <v>-1.9932048041767902E-2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0.46390826394660534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0.21521087735795325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-0.92247588734712094</v>
      </c>
      <c r="H157" t="s">
        <v>55</v>
      </c>
      <c r="I157">
        <f>VLOOKUP(Table4[[#This Row],[Visitor]],'NHL Model'!$A$6:$B$38,2,FALSE)</f>
        <v>-0.38947416486586689</v>
      </c>
      <c r="J157">
        <f>($B$1+Table4[[#This Row],[Home Differential]])-Table4[[#This Row],[Away Differential]]</f>
        <v>-0.48437247303983183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0.51054306511627434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0.26065422133832034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-0.479695961608754</v>
      </c>
      <c r="H158" t="s">
        <v>31</v>
      </c>
      <c r="I158">
        <f>VLOOKUP(Table4[[#This Row],[Visitor]],'NHL Model'!$A$6:$B$38,2,FALSE)</f>
        <v>0.12352843374450689</v>
      </c>
      <c r="J158">
        <f>($B$1+Table4[[#This Row],[Home Differential]])-Table4[[#This Row],[Away Differential]]</f>
        <v>-0.55459514591183867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0.53260474335465702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0.21845832593456604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-0.15703092434902144</v>
      </c>
      <c r="H159" t="s">
        <v>40</v>
      </c>
      <c r="I159">
        <f>VLOOKUP(Table4[[#This Row],[Visitor]],'NHL Model'!$A$6:$B$38,2,FALSE)</f>
        <v>-0.24840457265646038</v>
      </c>
      <c r="J159">
        <f>($B$1+Table4[[#This Row],[Home Differential]])-Table4[[#This Row],[Away Differential]]</f>
        <v>0.14000289774886115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0.51735878174031658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0.26766010904382453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-1.4761804210410974</v>
      </c>
      <c r="H160" t="s">
        <v>37</v>
      </c>
      <c r="I160">
        <f>VLOOKUP(Table4[[#This Row],[Visitor]],'NHL Model'!$A$6:$B$38,2,FALSE)</f>
        <v>0.41634187791115029</v>
      </c>
      <c r="J160">
        <f>($B$1+Table4[[#This Row],[Home Differential]])-Table4[[#This Row],[Away Differential]]</f>
        <v>-1.8438930495108254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0.7717141457517811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5.2114431249839041E-2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-0.28566683768028334</v>
      </c>
      <c r="H161" t="s">
        <v>14</v>
      </c>
      <c r="I161">
        <f>VLOOKUP(Table4[[#This Row],[Visitor]],'NHL Model'!$A$6:$B$38,2,FALSE)</f>
        <v>-0.39956044496834064</v>
      </c>
      <c r="J161">
        <f>($B$1+Table4[[#This Row],[Home Differential]])-Table4[[#This Row],[Away Differential]]</f>
        <v>0.16252285672947953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0.57104714259412115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0.18400055387666822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-0.75181957250890208</v>
      </c>
      <c r="H162" t="s">
        <v>18</v>
      </c>
      <c r="I162">
        <f>VLOOKUP(Table4[[#This Row],[Visitor]],'NHL Model'!$A$6:$B$38,2,FALSE)</f>
        <v>-0.69003864116815428</v>
      </c>
      <c r="J162">
        <f>($B$1+Table4[[#This Row],[Home Differential]])-Table4[[#This Row],[Away Differential]]</f>
        <v>-1.3151681899325585E-2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0.52085149087762794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0.22958329379419185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-0.63428770456303318</v>
      </c>
      <c r="H163" t="s">
        <v>13</v>
      </c>
      <c r="I163">
        <f>VLOOKUP(Table4[[#This Row],[Visitor]],'NHL Model'!$A$6:$B$38,2,FALSE)</f>
        <v>-0.43202172705875852</v>
      </c>
      <c r="J163">
        <f>($B$1+Table4[[#This Row],[Home Differential]])-Table4[[#This Row],[Away Differential]]</f>
        <v>-0.15363672806285245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0.54458228609158044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0.20740529414157108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-1.4300915005812256</v>
      </c>
      <c r="H164" t="s">
        <v>26</v>
      </c>
      <c r="I164">
        <f>VLOOKUP(Table4[[#This Row],[Visitor]],'NHL Model'!$A$6:$B$38,2,FALSE)</f>
        <v>-0.97739270546148105</v>
      </c>
      <c r="J164">
        <f>($B$1+Table4[[#This Row],[Home Differential]])-Table4[[#This Row],[Away Differential]]</f>
        <v>-0.40406954567832232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0.50804147473453376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0.24202319058137239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-0.75971379218342783</v>
      </c>
      <c r="H165" t="s">
        <v>16</v>
      </c>
      <c r="I165">
        <f>VLOOKUP(Table4[[#This Row],[Visitor]],'NHL Model'!$A$6:$B$38,2,FALSE)</f>
        <v>-1.1693700053921123</v>
      </c>
      <c r="J165">
        <f>($B$1+Table4[[#This Row],[Home Differential]])-Table4[[#This Row],[Away Differential]]</f>
        <v>0.45828546265010672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0.59448742601511617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0.16444044765984589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-1.0671109812312936</v>
      </c>
      <c r="H166" t="s">
        <v>15</v>
      </c>
      <c r="I166">
        <f>VLOOKUP(Table4[[#This Row],[Visitor]],'NHL Model'!$A$6:$B$38,2,FALSE)</f>
        <v>-0.40624923719383538</v>
      </c>
      <c r="J166">
        <f>($B$1+Table4[[#This Row],[Home Differential]])-Table4[[#This Row],[Away Differential]]</f>
        <v>-0.61223249459603601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0.63287228232116843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0.13478276108806786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-0.81978323318233992</v>
      </c>
      <c r="H167" t="s">
        <v>19</v>
      </c>
      <c r="I167">
        <f>VLOOKUP(Table4[[#This Row],[Visitor]],'NHL Model'!$A$6:$B$38,2,FALSE)</f>
        <v>-0.75971379218342783</v>
      </c>
      <c r="J167">
        <f>($B$1+Table4[[#This Row],[Home Differential]])-Table4[[#This Row],[Away Differential]]</f>
        <v>-1.1440191557489876E-2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0.46136017098924087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0.21285320737522156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-0.29972363155607096</v>
      </c>
      <c r="H168" t="s">
        <v>23</v>
      </c>
      <c r="I168">
        <f>VLOOKUP(Table4[[#This Row],[Visitor]],'NHL Model'!$A$6:$B$38,2,FALSE)</f>
        <v>-0.73453218371466944</v>
      </c>
      <c r="J168">
        <f>($B$1+Table4[[#This Row],[Home Differential]])-Table4[[#This Row],[Away Differential]]</f>
        <v>0.4834378016000207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0.64037944448442163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0.1293269439493332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0.35473499802405739</v>
      </c>
      <c r="H169" t="s">
        <v>30</v>
      </c>
      <c r="I169">
        <f>VLOOKUP(Table4[[#This Row],[Visitor]],'NHL Model'!$A$6:$B$38,2,FALSE)</f>
        <v>-0.22994539344581519</v>
      </c>
      <c r="J169">
        <f>($B$1+Table4[[#This Row],[Home Differential]])-Table4[[#This Row],[Away Differential]]</f>
        <v>0.63330964091129482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0.58367665200198626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0.17332513008827524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-0.92247588734712094</v>
      </c>
      <c r="H170" t="s">
        <v>15</v>
      </c>
      <c r="I170">
        <f>VLOOKUP(Table4[[#This Row],[Visitor]],'NHL Model'!$A$6:$B$38,2,FALSE)</f>
        <v>-0.40624923719383538</v>
      </c>
      <c r="J170">
        <f>($B$1+Table4[[#This Row],[Home Differential]])-Table4[[#This Row],[Away Differential]]</f>
        <v>-0.46759740071186334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0.60866718597264902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0.15314137133456526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-0.43202172705875852</v>
      </c>
      <c r="H171" t="s">
        <v>26</v>
      </c>
      <c r="I171">
        <f>VLOOKUP(Table4[[#This Row],[Visitor]],'NHL Model'!$A$6:$B$38,2,FALSE)</f>
        <v>-0.97739270546148105</v>
      </c>
      <c r="J171">
        <f>($B$1+Table4[[#This Row],[Home Differential]])-Table4[[#This Row],[Away Differential]]</f>
        <v>0.59400022784414475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0.61062310744150872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0.37286057934152428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-0.15703092434902144</v>
      </c>
      <c r="H172" t="s">
        <v>14</v>
      </c>
      <c r="I172">
        <f>VLOOKUP(Table4[[#This Row],[Visitor]],'NHL Model'!$A$6:$B$38,2,FALSE)</f>
        <v>-0.39956044496834064</v>
      </c>
      <c r="J172">
        <f>($B$1+Table4[[#This Row],[Home Differential]])-Table4[[#This Row],[Away Differential]]</f>
        <v>0.29115877006074142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0.55384782177831893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0.30674740968858855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-0.45205624035379666</v>
      </c>
      <c r="H173" t="s">
        <v>16</v>
      </c>
      <c r="I173">
        <f>VLOOKUP(Table4[[#This Row],[Visitor]],'NHL Model'!$A$6:$B$38,2,FALSE)</f>
        <v>-1.1693700053921123</v>
      </c>
      <c r="J173">
        <f>($B$1+Table4[[#This Row],[Home Differential]])-Table4[[#This Row],[Away Differential]]</f>
        <v>0.76594301447973789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0.63356156515855044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0.13427712652905127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-0.28566683768028334</v>
      </c>
      <c r="H174" t="s">
        <v>29</v>
      </c>
      <c r="I174">
        <f>VLOOKUP(Table4[[#This Row],[Visitor]],'NHL Model'!$A$6:$B$38,2,FALSE)</f>
        <v>-1.4761804210410974</v>
      </c>
      <c r="J174">
        <f>($B$1+Table4[[#This Row],[Home Differential]])-Table4[[#This Row],[Away Differential]]</f>
        <v>1.2391428328022362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0.71957280629454767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7.863941096951528E-2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-0.63428770456303318</v>
      </c>
      <c r="H175" t="s">
        <v>24</v>
      </c>
      <c r="I175">
        <f>VLOOKUP(Table4[[#This Row],[Visitor]],'NHL Model'!$A$6:$B$38,2,FALSE)</f>
        <v>2.1114018573289962E-3</v>
      </c>
      <c r="J175">
        <f>($B$1+Table4[[#This Row],[Home Differential]])-Table4[[#This Row],[Away Differential]]</f>
        <v>-0.58776985697893991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0.55065158403188863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0.3032171669968281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-1.4300915005812256</v>
      </c>
      <c r="H176" t="s">
        <v>38</v>
      </c>
      <c r="I176">
        <f>VLOOKUP(Table4[[#This Row],[Visitor]],'NHL Model'!$A$6:$B$38,2,FALSE)</f>
        <v>-1.0671109812312936</v>
      </c>
      <c r="J176">
        <f>($B$1+Table4[[#This Row],[Home Differential]])-Table4[[#This Row],[Away Differential]]</f>
        <v>-0.31435126990850981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0.5009506622965616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0.2490502414622405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0.41634187791115029</v>
      </c>
      <c r="H177" t="s">
        <v>39</v>
      </c>
      <c r="I177">
        <f>VLOOKUP(Table4[[#This Row],[Visitor]],'NHL Model'!$A$6:$B$38,2,FALSE)</f>
        <v>0.17994412141822874</v>
      </c>
      <c r="J177">
        <f>($B$1+Table4[[#This Row],[Home Differential]])-Table4[[#This Row],[Away Differential]]</f>
        <v>0.28502700593434377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0.50447625741978308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0.24554377946070507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-0.24840457265646038</v>
      </c>
      <c r="H178" t="s">
        <v>10</v>
      </c>
      <c r="I178">
        <f>VLOOKUP(Table4[[#This Row],[Visitor]],'NHL Model'!$A$6:$B$38,2,FALSE)</f>
        <v>-0.35229536402491796</v>
      </c>
      <c r="J178">
        <f>($B$1+Table4[[#This Row],[Home Differential]])-Table4[[#This Row],[Away Differential]]</f>
        <v>0.1525200408098798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0.56062920832460161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0.19304669257746632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0.12352843374450689</v>
      </c>
      <c r="H179" t="s">
        <v>26</v>
      </c>
      <c r="I179">
        <f>VLOOKUP(Table4[[#This Row],[Visitor]],'NHL Model'!$A$6:$B$38,2,FALSE)</f>
        <v>-0.97739270546148105</v>
      </c>
      <c r="J179">
        <f>($B$1+Table4[[#This Row],[Home Differential]])-Table4[[#This Row],[Away Differential]]</f>
        <v>1.1495503886474101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0.75650944048511004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5.9287652572874168E-2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-0.32012591315776179</v>
      </c>
      <c r="H180" t="s">
        <v>12</v>
      </c>
      <c r="I180">
        <f>VLOOKUP(Table4[[#This Row],[Visitor]],'NHL Model'!$A$6:$B$38,2,FALSE)</f>
        <v>1.5255226246883613</v>
      </c>
      <c r="J180">
        <f>($B$1+Table4[[#This Row],[Home Differential]])-Table4[[#This Row],[Away Differential]]</f>
        <v>-1.7970192884047009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0.74627811456145943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6.4374795150487912E-2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0.24850541890141886</v>
      </c>
      <c r="H181" t="s">
        <v>30</v>
      </c>
      <c r="I181">
        <f>VLOOKUP(Table4[[#This Row],[Visitor]],'NHL Model'!$A$6:$B$38,2,FALSE)</f>
        <v>-0.22994539344581519</v>
      </c>
      <c r="J181">
        <f>($B$1+Table4[[#This Row],[Home Differential]])-Table4[[#This Row],[Away Differential]]</f>
        <v>0.5270800617886563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0.55633758229772956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0.309511505476883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-0.29972363155607096</v>
      </c>
      <c r="H182" t="s">
        <v>25</v>
      </c>
      <c r="I182">
        <f>VLOOKUP(Table4[[#This Row],[Visitor]],'NHL Model'!$A$6:$B$38,2,FALSE)</f>
        <v>0.35473499802405739</v>
      </c>
      <c r="J182">
        <f>($B$1+Table4[[#This Row],[Home Differential]])-Table4[[#This Row],[Away Differential]]</f>
        <v>-0.60582938013870613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0.56111249298997978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0.31484722978943014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-0.73453218371466944</v>
      </c>
      <c r="H183" t="s">
        <v>22</v>
      </c>
      <c r="I183">
        <f>VLOOKUP(Table4[[#This Row],[Visitor]],'NHL Model'!$A$6:$B$38,2,FALSE)</f>
        <v>0.24850541890141886</v>
      </c>
      <c r="J183">
        <f>($B$1+Table4[[#This Row],[Home Differential]])-Table4[[#This Row],[Away Differential]]</f>
        <v>-0.93440835317466608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0.59186484728103517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0.35030399744700308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-0.81978323318233992</v>
      </c>
      <c r="H184" t="s">
        <v>35</v>
      </c>
      <c r="I184">
        <f>VLOOKUP(Table4[[#This Row],[Visitor]],'NHL Model'!$A$6:$B$38,2,FALSE)</f>
        <v>-1.4300915005812256</v>
      </c>
      <c r="J184">
        <f>($B$1+Table4[[#This Row],[Home Differential]])-Table4[[#This Row],[Away Differential]]</f>
        <v>0.65893751684030788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0.61834376632809018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0.14566148070062743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-0.92247588734712094</v>
      </c>
      <c r="H185" t="s">
        <v>10</v>
      </c>
      <c r="I185">
        <f>VLOOKUP(Table4[[#This Row],[Visitor]],'NHL Model'!$A$6:$B$38,2,FALSE)</f>
        <v>-0.35229536402491796</v>
      </c>
      <c r="J185">
        <f>($B$1+Table4[[#This Row],[Home Differential]])-Table4[[#This Row],[Away Differential]]</f>
        <v>-0.52155127388078082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0.51496340423948717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0.26518730770592147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-0.479695961608754</v>
      </c>
      <c r="H186" t="s">
        <v>39</v>
      </c>
      <c r="I186">
        <f>VLOOKUP(Table4[[#This Row],[Visitor]],'NHL Model'!$A$6:$B$38,2,FALSE)</f>
        <v>0.17994412141822874</v>
      </c>
      <c r="J186">
        <f>($B$1+Table4[[#This Row],[Home Differential]])-Table4[[#This Row],[Away Differential]]</f>
        <v>-0.61101083358556052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0.62047165462718101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0.38498507419579181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-0.43202172705875852</v>
      </c>
      <c r="H187" t="s">
        <v>24</v>
      </c>
      <c r="I187">
        <f>VLOOKUP(Table4[[#This Row],[Visitor]],'NHL Model'!$A$6:$B$38,2,FALSE)</f>
        <v>2.1114018573289962E-3</v>
      </c>
      <c r="J187">
        <f>($B$1+Table4[[#This Row],[Home Differential]])-Table4[[#This Row],[Away Differential]]</f>
        <v>-0.3855038794746653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0.52660335779990453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0.22410438084632522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-0.15703092434902144</v>
      </c>
      <c r="H188" t="s">
        <v>38</v>
      </c>
      <c r="I188">
        <f>VLOOKUP(Table4[[#This Row],[Visitor]],'NHL Model'!$A$6:$B$38,2,FALSE)</f>
        <v>-1.0671109812312936</v>
      </c>
      <c r="J188">
        <f>($B$1+Table4[[#This Row],[Home Differential]])-Table4[[#This Row],[Away Differential]]</f>
        <v>0.95870930632369433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0.65040869690958658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0.1222140791964533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-0.69003864116815428</v>
      </c>
      <c r="H189" t="s">
        <v>36</v>
      </c>
      <c r="I189">
        <f>VLOOKUP(Table4[[#This Row],[Visitor]],'NHL Model'!$A$6:$B$38,2,FALSE)</f>
        <v>-0.45205624035379666</v>
      </c>
      <c r="J189">
        <f>($B$1+Table4[[#This Row],[Home Differential]])-Table4[[#This Row],[Away Differential]]</f>
        <v>-0.1893531513729354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0.48334246080532051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0.2336199344173428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-1.4761804210410974</v>
      </c>
      <c r="H190" t="s">
        <v>16</v>
      </c>
      <c r="I190">
        <f>VLOOKUP(Table4[[#This Row],[Visitor]],'NHL Model'!$A$6:$B$38,2,FALSE)</f>
        <v>-1.1693700053921123</v>
      </c>
      <c r="J190">
        <f>($B$1+Table4[[#This Row],[Home Differential]])-Table4[[#This Row],[Away Differential]]</f>
        <v>-0.25818116620756282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0.49069621085269161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0.24078277134518919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-0.28566683768028334</v>
      </c>
      <c r="H191" t="s">
        <v>19</v>
      </c>
      <c r="I191">
        <f>VLOOKUP(Table4[[#This Row],[Visitor]],'NHL Model'!$A$6:$B$38,2,FALSE)</f>
        <v>-0.75971379218342783</v>
      </c>
      <c r="J191">
        <f>($B$1+Table4[[#This Row],[Home Differential]])-Table4[[#This Row],[Away Differential]]</f>
        <v>0.52267620394456671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0.63438916942673995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0.40244961828594894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-0.75181957250890208</v>
      </c>
      <c r="H192" t="s">
        <v>15</v>
      </c>
      <c r="I192">
        <f>VLOOKUP(Table4[[#This Row],[Visitor]],'NHL Model'!$A$6:$B$38,2,FALSE)</f>
        <v>-0.40624923719383538</v>
      </c>
      <c r="J192">
        <f>($B$1+Table4[[#This Row],[Home Differential]])-Table4[[#This Row],[Away Differential]]</f>
        <v>-0.29694108587364448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0.59538600203066916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0.16371248735272567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-0.63428770456303318</v>
      </c>
      <c r="H193" t="s">
        <v>12</v>
      </c>
      <c r="I193">
        <f>VLOOKUP(Table4[[#This Row],[Visitor]],'NHL Model'!$A$6:$B$38,2,FALSE)</f>
        <v>1.5255226246883613</v>
      </c>
      <c r="J193">
        <f>($B$1+Table4[[#This Row],[Home Differential]])-Table4[[#This Row],[Away Differential]]</f>
        <v>-2.1111810798099722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0.7836300900463119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0.61407611802599094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-0.24840457265646038</v>
      </c>
      <c r="H194" t="s">
        <v>14</v>
      </c>
      <c r="I194">
        <f>VLOOKUP(Table4[[#This Row],[Visitor]],'NHL Model'!$A$6:$B$38,2,FALSE)</f>
        <v>-0.39956044496834064</v>
      </c>
      <c r="J194">
        <f>($B$1+Table4[[#This Row],[Home Differential]])-Table4[[#This Row],[Away Differential]]</f>
        <v>0.19978512175330249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0.54549239761787272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0.2065771606231499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0.12352843374450689</v>
      </c>
      <c r="H195" t="s">
        <v>24</v>
      </c>
      <c r="I195">
        <f>VLOOKUP(Table4[[#This Row],[Visitor]],'NHL Model'!$A$6:$B$38,2,FALSE)</f>
        <v>2.1114018573289962E-3</v>
      </c>
      <c r="J195">
        <f>($B$1+Table4[[#This Row],[Home Differential]])-Table4[[#This Row],[Away Differential]]</f>
        <v>0.17004628132860011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0.62021749526912595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0.14423475089965637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-0.22994539344581519</v>
      </c>
      <c r="H196" t="s">
        <v>28</v>
      </c>
      <c r="I196">
        <f>VLOOKUP(Table4[[#This Row],[Visitor]],'NHL Model'!$A$6:$B$38,2,FALSE)</f>
        <v>-0.81978323318233992</v>
      </c>
      <c r="J196">
        <f>($B$1+Table4[[#This Row],[Home Differential]])-Table4[[#This Row],[Away Differential]]</f>
        <v>0.63846708917794692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0.61590995377313629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0.14752516361055432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-0.28566683768028334</v>
      </c>
      <c r="H197" t="s">
        <v>16</v>
      </c>
      <c r="I197">
        <f>VLOOKUP(Table4[[#This Row],[Visitor]],'NHL Model'!$A$6:$B$38,2,FALSE)</f>
        <v>-1.1693700053921123</v>
      </c>
      <c r="J197">
        <f>($B$1+Table4[[#This Row],[Home Differential]])-Table4[[#This Row],[Away Differential]]</f>
        <v>0.93233241715325121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0.68309486582776813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0.46661859572025655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-0.63428770456303318</v>
      </c>
      <c r="H198" t="s">
        <v>26</v>
      </c>
      <c r="I198">
        <f>VLOOKUP(Table4[[#This Row],[Visitor]],'NHL Model'!$A$6:$B$38,2,FALSE)</f>
        <v>-0.97739270546148105</v>
      </c>
      <c r="J198">
        <f>($B$1+Table4[[#This Row],[Home Differential]])-Table4[[#This Row],[Away Differential]]</f>
        <v>0.39173425033987008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0.5865748812095245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0.34407009126596777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-0.38947416486586689</v>
      </c>
      <c r="H199" t="s">
        <v>37</v>
      </c>
      <c r="I199">
        <f>VLOOKUP(Table4[[#This Row],[Visitor]],'NHL Model'!$A$6:$B$38,2,FALSE)</f>
        <v>0.41634187791115029</v>
      </c>
      <c r="J199">
        <f>($B$1+Table4[[#This Row],[Home Differential]])-Table4[[#This Row],[Away Differential]]</f>
        <v>-0.75718679333559491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0.60165293012044241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0.15868038808162913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-1.4761804210410974</v>
      </c>
      <c r="H200" t="s">
        <v>38</v>
      </c>
      <c r="I200">
        <f>VLOOKUP(Table4[[#This Row],[Visitor]],'NHL Model'!$A$6:$B$38,2,FALSE)</f>
        <v>-1.0671109812312936</v>
      </c>
      <c r="J200">
        <f>($B$1+Table4[[#This Row],[Home Differential]])-Table4[[#This Row],[Away Differential]]</f>
        <v>-0.3604401903683816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0.50643036184703838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0.24361098770644546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-0.75181957250890208</v>
      </c>
      <c r="H201" t="s">
        <v>10</v>
      </c>
      <c r="I201">
        <f>VLOOKUP(Table4[[#This Row],[Visitor]],'NHL Model'!$A$6:$B$38,2,FALSE)</f>
        <v>-0.35229536402491796</v>
      </c>
      <c r="J201">
        <f>($B$1+Table4[[#This Row],[Home Differential]])-Table4[[#This Row],[Away Differential]]</f>
        <v>-0.3508949590425619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0.50171933146067549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0.25172228756134718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-1.4300915005812256</v>
      </c>
      <c r="H202" t="s">
        <v>17</v>
      </c>
      <c r="I202">
        <f>VLOOKUP(Table4[[#This Row],[Visitor]],'NHL Model'!$A$6:$B$38,2,FALSE)</f>
        <v>-0.92247588734712094</v>
      </c>
      <c r="J202">
        <f>($B$1+Table4[[#This Row],[Home Differential]])-Table4[[#This Row],[Away Differential]]</f>
        <v>-0.45898636379268243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0.51457075900789573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0.26478306602596191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-0.75971379218342783</v>
      </c>
      <c r="H203" t="s">
        <v>14</v>
      </c>
      <c r="I203">
        <f>VLOOKUP(Table4[[#This Row],[Visitor]],'NHL Model'!$A$6:$B$38,2,FALSE)</f>
        <v>-0.39956044496834064</v>
      </c>
      <c r="J203">
        <f>($B$1+Table4[[#This Row],[Home Differential]])-Table4[[#This Row],[Away Differential]]</f>
        <v>-0.31152409777366497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0.51780760011049842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0.26812471073219385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0.12352843374450689</v>
      </c>
      <c r="H204" t="s">
        <v>11</v>
      </c>
      <c r="I204">
        <f>VLOOKUP(Table4[[#This Row],[Visitor]],'NHL Model'!$A$6:$B$38,2,FALSE)</f>
        <v>-0.479695961608754</v>
      </c>
      <c r="J204">
        <f>($B$1+Table4[[#This Row],[Home Differential]])-Table4[[#This Row],[Away Differential]]</f>
        <v>0.65185364479468311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0.69733624665996796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9.1605347585875754E-2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-0.73453218371466944</v>
      </c>
      <c r="H205" t="s">
        <v>55</v>
      </c>
      <c r="I205">
        <f>VLOOKUP(Table4[[#This Row],[Visitor]],'NHL Model'!$A$6:$B$38,2,FALSE)</f>
        <v>-0.38947416486586689</v>
      </c>
      <c r="J205">
        <f>($B$1+Table4[[#This Row],[Home Differential]])-Table4[[#This Row],[Away Differential]]</f>
        <v>-0.29642876940738033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0.49524362424336399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0.2547789988669743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1.5255226246883613</v>
      </c>
      <c r="H206" t="s">
        <v>37</v>
      </c>
      <c r="I206">
        <f>VLOOKUP(Table4[[#This Row],[Visitor]],'NHL Model'!$A$6:$B$38,2,FALSE)</f>
        <v>0.41634187791115029</v>
      </c>
      <c r="J206">
        <f>($B$1+Table4[[#This Row],[Home Differential]])-Table4[[#This Row],[Away Differential]]</f>
        <v>1.1578099962186332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0.69321230369615694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9.4118690603419042E-2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0.17994412141822874</v>
      </c>
      <c r="H207" t="s">
        <v>17</v>
      </c>
      <c r="I207">
        <f>VLOOKUP(Table4[[#This Row],[Visitor]],'NHL Model'!$A$6:$B$38,2,FALSE)</f>
        <v>-0.92247588734712094</v>
      </c>
      <c r="J207">
        <f>($B$1+Table4[[#This Row],[Home Differential]])-Table4[[#This Row],[Away Differential]]</f>
        <v>1.151049258206772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0.69595836776051923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9.2441314134847671E-2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-0.43202172705875852</v>
      </c>
      <c r="H208" t="s">
        <v>40</v>
      </c>
      <c r="I208">
        <f>VLOOKUP(Table4[[#This Row],[Visitor]],'NHL Model'!$A$6:$B$38,2,FALSE)</f>
        <v>-0.24840457265646038</v>
      </c>
      <c r="J208">
        <f>($B$1+Table4[[#This Row],[Home Differential]])-Table4[[#This Row],[Away Differential]]</f>
        <v>-0.13498790496087593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0.51533599528978957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0.26557118804131802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-0.15703092434902144</v>
      </c>
      <c r="H209" t="s">
        <v>29</v>
      </c>
      <c r="I209">
        <f>VLOOKUP(Table4[[#This Row],[Visitor]],'NHL Model'!$A$6:$B$38,2,FALSE)</f>
        <v>-1.4761804210410974</v>
      </c>
      <c r="J209">
        <f>($B$1+Table4[[#This Row],[Home Differential]])-Table4[[#This Row],[Away Differential]]</f>
        <v>1.367778746133498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0.70262078837071307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8.843439550925622E-2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-0.69003864116815428</v>
      </c>
      <c r="H210" t="s">
        <v>27</v>
      </c>
      <c r="I210">
        <f>VLOOKUP(Table4[[#This Row],[Visitor]],'NHL Model'!$A$6:$B$38,2,FALSE)</f>
        <v>-0.28566683768028334</v>
      </c>
      <c r="J210">
        <f>($B$1+Table4[[#This Row],[Home Differential]])-Table4[[#This Row],[Away Differential]]</f>
        <v>-0.35574255404644872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0.54480824459709321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0.20719953418677972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-0.22994539344581519</v>
      </c>
      <c r="H211" t="s">
        <v>21</v>
      </c>
      <c r="I211">
        <f>VLOOKUP(Table4[[#This Row],[Visitor]],'NHL Model'!$A$6:$B$38,2,FALSE)</f>
        <v>-0.29972363155607096</v>
      </c>
      <c r="J211">
        <f>($B$1+Table4[[#This Row],[Home Differential]])-Table4[[#This Row],[Away Differential]]</f>
        <v>0.11840748755167799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0.55324845557854185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0.30608385360004181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-0.40624923719383538</v>
      </c>
      <c r="H212" t="s">
        <v>25</v>
      </c>
      <c r="I212">
        <f>VLOOKUP(Table4[[#This Row],[Visitor]],'NHL Model'!$A$6:$B$38,2,FALSE)</f>
        <v>0.35473499802405739</v>
      </c>
      <c r="J212">
        <f>($B$1+Table4[[#This Row],[Home Differential]])-Table4[[#This Row],[Away Differential]]</f>
        <v>-0.71235498577647061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0.6173179559761639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0.14644554681826122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-0.32012591315776179</v>
      </c>
      <c r="H213" t="s">
        <v>26</v>
      </c>
      <c r="I213">
        <f>VLOOKUP(Table4[[#This Row],[Visitor]],'NHL Model'!$A$6:$B$38,2,FALSE)</f>
        <v>-0.97739270546148105</v>
      </c>
      <c r="J213">
        <f>($B$1+Table4[[#This Row],[Home Differential]])-Table4[[#This Row],[Away Differential]]</f>
        <v>0.70589604174514142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0.62392685669437697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0.14143100911577167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-1.1693700053921123</v>
      </c>
      <c r="H214" t="s">
        <v>28</v>
      </c>
      <c r="I214">
        <f>VLOOKUP(Table4[[#This Row],[Visitor]],'NHL Model'!$A$6:$B$38,2,FALSE)</f>
        <v>-0.81978323318233992</v>
      </c>
      <c r="J214">
        <f>($B$1+Table4[[#This Row],[Home Differential]])-Table4[[#This Row],[Away Differential]]</f>
        <v>-0.30095752276835019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0.49578206618361148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0.24579985714929092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-0.75181957250890208</v>
      </c>
      <c r="H215" t="s">
        <v>33</v>
      </c>
      <c r="I215">
        <f>VLOOKUP(Table4[[#This Row],[Visitor]],'NHL Model'!$A$6:$B$38,2,FALSE)</f>
        <v>-0.63428770456303318</v>
      </c>
      <c r="J215">
        <f>($B$1+Table4[[#This Row],[Home Differential]])-Table4[[#This Row],[Away Differential]]</f>
        <v>-6.8902618504446678E-2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0.4681921130692186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0.28281962860178278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-0.75971379218342783</v>
      </c>
      <c r="H216" t="s">
        <v>55</v>
      </c>
      <c r="I216">
        <f>VLOOKUP(Table4[[#This Row],[Visitor]],'NHL Model'!$A$6:$B$38,2,FALSE)</f>
        <v>-0.38947416486586689</v>
      </c>
      <c r="J216">
        <f>($B$1+Table4[[#This Row],[Home Differential]])-Table4[[#This Row],[Away Differential]]</f>
        <v>-0.32161037787613872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0.49823756828088334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0.24824067444644787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-1.0671109812312936</v>
      </c>
      <c r="H217" t="s">
        <v>10</v>
      </c>
      <c r="I217">
        <f>VLOOKUP(Table4[[#This Row],[Visitor]],'NHL Model'!$A$6:$B$38,2,FALSE)</f>
        <v>-0.35229536402491796</v>
      </c>
      <c r="J217">
        <f>($B$1+Table4[[#This Row],[Home Differential]])-Table4[[#This Row],[Away Differential]]</f>
        <v>-0.66618636776495332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0.53920561175117476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0.21233146824160909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0.24850541890141886</v>
      </c>
      <c r="H218" t="s">
        <v>35</v>
      </c>
      <c r="I218">
        <f>VLOOKUP(Table4[[#This Row],[Visitor]],'NHL Model'!$A$6:$B$38,2,FALSE)</f>
        <v>-1.4300915005812256</v>
      </c>
      <c r="J218">
        <f>($B$1+Table4[[#This Row],[Home Differential]])-Table4[[#This Row],[Away Differential]]</f>
        <v>1.7272261689240667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0.77139469294388729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5.2260386414219574E-2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-0.29972363155607096</v>
      </c>
      <c r="H219" t="s">
        <v>36</v>
      </c>
      <c r="I219">
        <f>VLOOKUP(Table4[[#This Row],[Visitor]],'NHL Model'!$A$6:$B$38,2,FALSE)</f>
        <v>-0.45205624035379666</v>
      </c>
      <c r="J219">
        <f>($B$1+Table4[[#This Row],[Home Differential]])-Table4[[#This Row],[Away Differential]]</f>
        <v>0.20096185823914792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0.60598272641750761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0.15524961188138064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-0.73453218371466944</v>
      </c>
      <c r="H220" t="s">
        <v>35</v>
      </c>
      <c r="I220">
        <f>VLOOKUP(Table4[[#This Row],[Visitor]],'NHL Model'!$A$6:$B$38,2,FALSE)</f>
        <v>-1.4300915005812256</v>
      </c>
      <c r="J220">
        <f>($B$1+Table4[[#This Row],[Home Differential]])-Table4[[#This Row],[Away Differential]]</f>
        <v>0.74418856630797836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0.62847961096893834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0.39498662140366808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0.35473499802405739</v>
      </c>
      <c r="H221" t="s">
        <v>34</v>
      </c>
      <c r="I221">
        <f>VLOOKUP(Table4[[#This Row],[Visitor]],'NHL Model'!$A$6:$B$38,2,FALSE)</f>
        <v>-0.15703092434902144</v>
      </c>
      <c r="J221">
        <f>($B$1+Table4[[#This Row],[Home Differential]])-Table4[[#This Row],[Away Differential]]</f>
        <v>0.56039517181450105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0.6050892038622705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0.15595453690613534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0.17994412141822874</v>
      </c>
      <c r="H222" t="s">
        <v>31</v>
      </c>
      <c r="I222">
        <f>VLOOKUP(Table4[[#This Row],[Visitor]],'NHL Model'!$A$6:$B$38,2,FALSE)</f>
        <v>0.12352843374450689</v>
      </c>
      <c r="J222">
        <f>($B$1+Table4[[#This Row],[Home Differential]])-Table4[[#This Row],[Away Differential]]</f>
        <v>0.10504493711514407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0.55095075905829527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0.30354673890691175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-0.43202172705875852</v>
      </c>
      <c r="H223" t="s">
        <v>11</v>
      </c>
      <c r="I223">
        <f>VLOOKUP(Table4[[#This Row],[Visitor]],'NHL Model'!$A$6:$B$38,2,FALSE)</f>
        <v>-0.479695961608754</v>
      </c>
      <c r="J223">
        <f>($B$1+Table4[[#This Row],[Home Differential]])-Table4[[#This Row],[Away Differential]]</f>
        <v>9.6303483991417693E-2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0.55144991361636653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0.30409700722749811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2.1114018573289962E-3</v>
      </c>
      <c r="H224" t="s">
        <v>18</v>
      </c>
      <c r="I224">
        <f>VLOOKUP(Table4[[#This Row],[Visitor]],'NHL Model'!$A$6:$B$38,2,FALSE)</f>
        <v>-0.69003864116815428</v>
      </c>
      <c r="J224">
        <f>($B$1+Table4[[#This Row],[Home Differential]])-Table4[[#This Row],[Away Differential]]</f>
        <v>0.74077929246690544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0.67185805229410134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0.10767713784422073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-1.4761804210410974</v>
      </c>
      <c r="H225" t="s">
        <v>27</v>
      </c>
      <c r="I225">
        <f>VLOOKUP(Table4[[#This Row],[Visitor]],'NHL Model'!$A$6:$B$38,2,FALSE)</f>
        <v>-0.28566683768028334</v>
      </c>
      <c r="J225">
        <f>($B$1+Table4[[#This Row],[Home Differential]])-Table4[[#This Row],[Away Differential]]</f>
        <v>-1.1418843339193918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0.63827584407214444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0.13084436498171956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-0.39956044496834064</v>
      </c>
      <c r="H226" t="s">
        <v>22</v>
      </c>
      <c r="I226">
        <f>VLOOKUP(Table4[[#This Row],[Visitor]],'NHL Model'!$A$6:$B$38,2,FALSE)</f>
        <v>0.24850541890141886</v>
      </c>
      <c r="J226">
        <f>($B$1+Table4[[#This Row],[Home Differential]])-Table4[[#This Row],[Away Differential]]</f>
        <v>-0.59943661442833729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0.55203869236319891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0.30474671786607055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-0.32012591315776179</v>
      </c>
      <c r="H227" t="s">
        <v>37</v>
      </c>
      <c r="I227">
        <f>VLOOKUP(Table4[[#This Row],[Visitor]],'NHL Model'!$A$6:$B$38,2,FALSE)</f>
        <v>0.41634187791115029</v>
      </c>
      <c r="J227">
        <f>($B$1+Table4[[#This Row],[Home Differential]])-Table4[[#This Row],[Away Differential]]</f>
        <v>-0.68783854162748992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0.6342661147723937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0.13376127480367991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-1.1693700053921123</v>
      </c>
      <c r="H228" t="s">
        <v>10</v>
      </c>
      <c r="I228">
        <f>VLOOKUP(Table4[[#This Row],[Visitor]],'NHL Model'!$A$6:$B$38,2,FALSE)</f>
        <v>-0.35229536402491796</v>
      </c>
      <c r="J228">
        <f>($B$1+Table4[[#This Row],[Home Differential]])-Table4[[#This Row],[Away Differential]]</f>
        <v>-0.7684453919257721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0.55136360380512439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0.20127461599072541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-0.97739270546148105</v>
      </c>
      <c r="H229" t="s">
        <v>15</v>
      </c>
      <c r="I229">
        <f>VLOOKUP(Table4[[#This Row],[Visitor]],'NHL Model'!$A$6:$B$38,2,FALSE)</f>
        <v>-0.40624923719383538</v>
      </c>
      <c r="J229">
        <f>($B$1+Table4[[#This Row],[Home Differential]])-Table4[[#This Row],[Away Differential]]</f>
        <v>-0.52251421882622351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0.62220531094279907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0.14272882707982715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-0.22994539344581519</v>
      </c>
      <c r="H230" t="s">
        <v>34</v>
      </c>
      <c r="I230">
        <f>VLOOKUP(Table4[[#This Row],[Visitor]],'NHL Model'!$A$6:$B$38,2,FALSE)</f>
        <v>-0.15703092434902144</v>
      </c>
      <c r="J230">
        <f>($B$1+Table4[[#This Row],[Home Differential]])-Table4[[#This Row],[Away Differential]]</f>
        <v>-2.4285219655371532E-2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0.50539993153308016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0.2446292277274818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-0.63428770456303318</v>
      </c>
      <c r="H231" t="s">
        <v>40</v>
      </c>
      <c r="I231">
        <f>VLOOKUP(Table4[[#This Row],[Visitor]],'NHL Model'!$A$6:$B$38,2,FALSE)</f>
        <v>-0.24840457265646038</v>
      </c>
      <c r="J231">
        <f>($B$1+Table4[[#This Row],[Home Differential]])-Table4[[#This Row],[Away Differential]]</f>
        <v>-0.33725388246515059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0.53938422152177379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0.29093533842664993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0.35473499802405739</v>
      </c>
      <c r="H232" t="s">
        <v>23</v>
      </c>
      <c r="I232">
        <f>VLOOKUP(Table4[[#This Row],[Visitor]],'NHL Model'!$A$6:$B$38,2,FALSE)</f>
        <v>-0.73453218371466944</v>
      </c>
      <c r="J232">
        <f>($B$1+Table4[[#This Row],[Home Differential]])-Table4[[#This Row],[Away Differential]]</f>
        <v>1.1378964311801489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0.71572032069813263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8.0814936063972553E-2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-0.92247588734712094</v>
      </c>
      <c r="H233" t="s">
        <v>12</v>
      </c>
      <c r="I233">
        <f>VLOOKUP(Table4[[#This Row],[Visitor]],'NHL Model'!$A$6:$B$38,2,FALSE)</f>
        <v>1.5255226246883613</v>
      </c>
      <c r="J233">
        <f>($B$1+Table4[[#This Row],[Home Differential]])-Table4[[#This Row],[Away Differential]]</f>
        <v>-2.3993692625940599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0.81081823351600457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3.5789740770004977E-2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-0.69003864116815428</v>
      </c>
      <c r="H234" t="s">
        <v>55</v>
      </c>
      <c r="I234">
        <f>VLOOKUP(Table4[[#This Row],[Visitor]],'NHL Model'!$A$6:$B$38,2,FALSE)</f>
        <v>-0.38947416486586689</v>
      </c>
      <c r="J234">
        <f>($B$1+Table4[[#This Row],[Home Differential]])-Table4[[#This Row],[Away Differential]]</f>
        <v>-0.25193522686086517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0.48995360567363988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0.2400545357126006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2.1114018573289962E-3</v>
      </c>
      <c r="H235" t="s">
        <v>14</v>
      </c>
      <c r="I235">
        <f>VLOOKUP(Table4[[#This Row],[Visitor]],'NHL Model'!$A$6:$B$38,2,FALSE)</f>
        <v>-0.39956044496834064</v>
      </c>
      <c r="J235">
        <f>($B$1+Table4[[#This Row],[Home Differential]])-Table4[[#This Row],[Away Differential]]</f>
        <v>0.45030109626709186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0.67422778733461908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0.10612753454489818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-1.4761804210410974</v>
      </c>
      <c r="H236" t="s">
        <v>39</v>
      </c>
      <c r="I236">
        <f>VLOOKUP(Table4[[#This Row],[Visitor]],'NHL Model'!$A$6:$B$38,2,FALSE)</f>
        <v>0.17994412141822874</v>
      </c>
      <c r="J236">
        <f>($B$1+Table4[[#This Row],[Home Differential]])-Table4[[#This Row],[Away Differential]]</f>
        <v>-1.6074952930179038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0.75291941820388841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6.104881390070499E-2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-0.40624923719383538</v>
      </c>
      <c r="H237" t="s">
        <v>30</v>
      </c>
      <c r="I237">
        <f>VLOOKUP(Table4[[#This Row],[Visitor]],'NHL Model'!$A$6:$B$38,2,FALSE)</f>
        <v>-0.22994539344581519</v>
      </c>
      <c r="J237">
        <f>($B$1+Table4[[#This Row],[Home Differential]])-Table4[[#This Row],[Away Differential]]</f>
        <v>-0.12767459430659797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0.5478029218564221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0.20448219748158911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-0.28566683768028334</v>
      </c>
      <c r="H238" t="s">
        <v>36</v>
      </c>
      <c r="I238">
        <f>VLOOKUP(Table4[[#This Row],[Visitor]],'NHL Model'!$A$6:$B$38,2,FALSE)</f>
        <v>-0.45205624035379666</v>
      </c>
      <c r="J238">
        <f>($B$1+Table4[[#This Row],[Home Differential]])-Table4[[#This Row],[Away Differential]]</f>
        <v>0.21501865211493554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0.59699301510791924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0.35640066008764432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-0.63428770456303318</v>
      </c>
      <c r="H239" t="s">
        <v>11</v>
      </c>
      <c r="I239">
        <f>VLOOKUP(Table4[[#This Row],[Visitor]],'NHL Model'!$A$6:$B$38,2,FALSE)</f>
        <v>-0.479695961608754</v>
      </c>
      <c r="J239">
        <f>($B$1+Table4[[#This Row],[Home Differential]])-Table4[[#This Row],[Away Differential]]</f>
        <v>-0.10596249351285697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0.47259831261561769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0.2233491650871291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-1.4300915005812256</v>
      </c>
      <c r="H240" t="s">
        <v>32</v>
      </c>
      <c r="I240">
        <f>VLOOKUP(Table4[[#This Row],[Visitor]],'NHL Model'!$A$6:$B$38,2,FALSE)</f>
        <v>-0.75181957250890208</v>
      </c>
      <c r="J240">
        <f>($B$1+Table4[[#This Row],[Home Differential]])-Table4[[#This Row],[Away Differential]]</f>
        <v>-0.62964267863090129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0.53486078364666367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0.21635449058979583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0.41634187791115029</v>
      </c>
      <c r="H241" t="s">
        <v>22</v>
      </c>
      <c r="I241">
        <f>VLOOKUP(Table4[[#This Row],[Visitor]],'NHL Model'!$A$6:$B$38,2,FALSE)</f>
        <v>0.24850541890141886</v>
      </c>
      <c r="J241">
        <f>($B$1+Table4[[#This Row],[Home Differential]])-Table4[[#This Row],[Away Differential]]</f>
        <v>0.21646570845115365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0.57746062803446807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0.17853952086102615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-0.75971379218342783</v>
      </c>
      <c r="H242" t="s">
        <v>21</v>
      </c>
      <c r="I242">
        <f>VLOOKUP(Table4[[#This Row],[Visitor]],'NHL Model'!$A$6:$B$38,2,FALSE)</f>
        <v>-0.29972363155607096</v>
      </c>
      <c r="J242">
        <f>($B$1+Table4[[#This Row],[Home Differential]])-Table4[[#This Row],[Away Differential]]</f>
        <v>-0.41136091118593465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0.50973786797717757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0.24035695809556337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-1.0671109812312936</v>
      </c>
      <c r="H243" t="s">
        <v>28</v>
      </c>
      <c r="I243">
        <f>VLOOKUP(Table4[[#This Row],[Visitor]],'NHL Model'!$A$6:$B$38,2,FALSE)</f>
        <v>-0.81978323318233992</v>
      </c>
      <c r="J243">
        <f>($B$1+Table4[[#This Row],[Home Differential]])-Table4[[#This Row],[Away Differential]]</f>
        <v>-0.19869849860753142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0.48362407412966196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0.23389224507777276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-0.32012591315776179</v>
      </c>
      <c r="H244" t="s">
        <v>31</v>
      </c>
      <c r="I244">
        <f>VLOOKUP(Table4[[#This Row],[Visitor]],'NHL Model'!$A$6:$B$38,2,FALSE)</f>
        <v>0.12352843374450689</v>
      </c>
      <c r="J244">
        <f>($B$1+Table4[[#This Row],[Home Differential]])-Table4[[#This Row],[Away Differential]]</f>
        <v>-0.39502509746084646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0.52773537420207417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0.2230338767800549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0.12352843374450689</v>
      </c>
      <c r="H245" t="s">
        <v>40</v>
      </c>
      <c r="I245">
        <f>VLOOKUP(Table4[[#This Row],[Visitor]],'NHL Model'!$A$6:$B$38,2,FALSE)</f>
        <v>-0.24840457265646038</v>
      </c>
      <c r="J245">
        <f>($B$1+Table4[[#This Row],[Home Differential]])-Table4[[#This Row],[Away Differential]]</f>
        <v>0.42056225584238949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0.63209191248704721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0.13535636085743852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0.17994412141822874</v>
      </c>
      <c r="H246" t="s">
        <v>32</v>
      </c>
      <c r="I246">
        <f>VLOOKUP(Table4[[#This Row],[Visitor]],'NHL Model'!$A$6:$B$38,2,FALSE)</f>
        <v>-0.75181957250890208</v>
      </c>
      <c r="J246">
        <f>($B$1+Table4[[#This Row],[Home Differential]])-Table4[[#This Row],[Away Differential]]</f>
        <v>0.98039294336855298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0.67566834312175128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0.10519102365339006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-0.97739270546148105</v>
      </c>
      <c r="H247" t="s">
        <v>10</v>
      </c>
      <c r="I247">
        <f>VLOOKUP(Table4[[#This Row],[Visitor]],'NHL Model'!$A$6:$B$38,2,FALSE)</f>
        <v>-0.35229536402491796</v>
      </c>
      <c r="J247">
        <f>($B$1+Table4[[#This Row],[Home Differential]])-Table4[[#This Row],[Away Differential]]</f>
        <v>-0.57646809199514082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0.5285386403728054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0.22227581362152291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-0.15703092434902144</v>
      </c>
      <c r="H248" t="s">
        <v>16</v>
      </c>
      <c r="I248">
        <f>VLOOKUP(Table4[[#This Row],[Visitor]],'NHL Model'!$A$6:$B$38,2,FALSE)</f>
        <v>-1.1693700053921123</v>
      </c>
      <c r="J248">
        <f>($B$1+Table4[[#This Row],[Home Differential]])-Table4[[#This Row],[Away Differential]]</f>
        <v>1.060968330484513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0.66614284790393352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0.11146059800569606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-0.45205624035379666</v>
      </c>
      <c r="H249" t="s">
        <v>55</v>
      </c>
      <c r="I249">
        <f>VLOOKUP(Table4[[#This Row],[Visitor]],'NHL Model'!$A$6:$B$38,2,FALSE)</f>
        <v>-0.38947416486586689</v>
      </c>
      <c r="J249">
        <f>($B$1+Table4[[#This Row],[Home Differential]])-Table4[[#This Row],[Away Differential]]</f>
        <v>-1.3952826046507549E-2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0.45916342913744901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0.21083105465726115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-0.39956044496834064</v>
      </c>
      <c r="H250" t="s">
        <v>13</v>
      </c>
      <c r="I250">
        <f>VLOOKUP(Table4[[#This Row],[Visitor]],'NHL Model'!$A$6:$B$38,2,FALSE)</f>
        <v>-0.43202172705875852</v>
      </c>
      <c r="J250">
        <f>($B$1+Table4[[#This Row],[Home Differential]])-Table4[[#This Row],[Away Differential]]</f>
        <v>8.1090531531840093E-2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0.48332539423704796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0.23360343671439782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-0.75971379218342783</v>
      </c>
      <c r="H251" t="s">
        <v>25</v>
      </c>
      <c r="I251">
        <f>VLOOKUP(Table4[[#This Row],[Visitor]],'NHL Model'!$A$6:$B$38,2,FALSE)</f>
        <v>0.35473499802405739</v>
      </c>
      <c r="J251">
        <f>($B$1+Table4[[#This Row],[Home Differential]])-Table4[[#This Row],[Away Differential]]</f>
        <v>-1.0658195407660629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0.65934279716922961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0.11604732984048463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-1.0671109812312936</v>
      </c>
      <c r="H252" t="s">
        <v>12</v>
      </c>
      <c r="I252">
        <f>VLOOKUP(Table4[[#This Row],[Visitor]],'NHL Model'!$A$6:$B$38,2,FALSE)</f>
        <v>1.5255226246883613</v>
      </c>
      <c r="J252">
        <f>($B$1+Table4[[#This Row],[Home Differential]])-Table4[[#This Row],[Away Differential]]</f>
        <v>-2.5440043564782329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0.83509021302011777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2.7195237841750135E-2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-0.92247588734712094</v>
      </c>
      <c r="H253" t="s">
        <v>28</v>
      </c>
      <c r="I253">
        <f>VLOOKUP(Table4[[#This Row],[Visitor]],'NHL Model'!$A$6:$B$38,2,FALSE)</f>
        <v>-0.81978323318233992</v>
      </c>
      <c r="J253">
        <f>($B$1+Table4[[#This Row],[Home Differential]])-Table4[[#This Row],[Away Differential]]</f>
        <v>-5.4063404723358799E-2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0.45938186661797431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0.21103169937741434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2.1114018573289962E-3</v>
      </c>
      <c r="H254" t="s">
        <v>30</v>
      </c>
      <c r="I254">
        <f>VLOOKUP(Table4[[#This Row],[Visitor]],'NHL Model'!$A$6:$B$38,2,FALSE)</f>
        <v>-0.22994539344581519</v>
      </c>
      <c r="J254">
        <f>($B$1+Table4[[#This Row],[Home Differential]])-Table4[[#This Row],[Away Differential]]</f>
        <v>0.28068604474456638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0.60410361487891462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0.36494117750977201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-0.40624923719383538</v>
      </c>
      <c r="H255" t="s">
        <v>29</v>
      </c>
      <c r="I255">
        <f>VLOOKUP(Table4[[#This Row],[Visitor]],'NHL Model'!$A$6:$B$38,2,FALSE)</f>
        <v>-1.4761804210410974</v>
      </c>
      <c r="J255">
        <f>($B$1+Table4[[#This Row],[Home Differential]])-Table4[[#This Row],[Away Differential]]</f>
        <v>1.1185604332886843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0.67299020767496143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0.10693540427646486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-0.32012591315776179</v>
      </c>
      <c r="H256" t="s">
        <v>11</v>
      </c>
      <c r="I256">
        <f>VLOOKUP(Table4[[#This Row],[Visitor]],'NHL Model'!$A$6:$B$38,2,FALSE)</f>
        <v>-0.479695961608754</v>
      </c>
      <c r="J256">
        <f>($B$1+Table4[[#This Row],[Home Differential]])-Table4[[#This Row],[Away Differential]]</f>
        <v>0.20819929789241443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0.5647536628692349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0.31894669972421741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-0.29972363155607096</v>
      </c>
      <c r="H257" t="s">
        <v>19</v>
      </c>
      <c r="I257">
        <f>VLOOKUP(Table4[[#This Row],[Visitor]],'NHL Model'!$A$6:$B$38,2,FALSE)</f>
        <v>-0.75971379218342783</v>
      </c>
      <c r="J257">
        <f>($B$1+Table4[[#This Row],[Home Differential]])-Table4[[#This Row],[Away Differential]]</f>
        <v>0.50861941006877909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0.64337338852194104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0.12718254001432241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0.35473499802405739</v>
      </c>
      <c r="H258" t="s">
        <v>22</v>
      </c>
      <c r="I258">
        <f>VLOOKUP(Table4[[#This Row],[Visitor]],'NHL Model'!$A$6:$B$38,2,FALSE)</f>
        <v>0.24850541890141886</v>
      </c>
      <c r="J258">
        <f>($B$1+Table4[[#This Row],[Home Differential]])-Table4[[#This Row],[Away Differential]]</f>
        <v>0.15485882856406075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0.57841179712613755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0.33456020705468809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1.5255226246883613</v>
      </c>
      <c r="H259" t="s">
        <v>31</v>
      </c>
      <c r="I259">
        <f>VLOOKUP(Table4[[#This Row],[Visitor]],'NHL Model'!$A$6:$B$38,2,FALSE)</f>
        <v>0.12352843374450689</v>
      </c>
      <c r="J259">
        <f>($B$1+Table4[[#This Row],[Home Differential]])-Table4[[#This Row],[Away Differential]]</f>
        <v>1.4506234403852767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0.79747053163484771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4.1018185556271222E-2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-0.15703092434902144</v>
      </c>
      <c r="H260" t="s">
        <v>33</v>
      </c>
      <c r="I260">
        <f>VLOOKUP(Table4[[#This Row],[Visitor]],'NHL Model'!$A$6:$B$38,2,FALSE)</f>
        <v>-0.63428770456303318</v>
      </c>
      <c r="J260">
        <f>($B$1+Table4[[#This Row],[Home Differential]])-Table4[[#This Row],[Away Differential]]</f>
        <v>0.52588602965543396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0.60252473287617825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0.36303605372750997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-0.69003864116815428</v>
      </c>
      <c r="H261" t="s">
        <v>13</v>
      </c>
      <c r="I261">
        <f>VLOOKUP(Table4[[#This Row],[Visitor]],'NHL Model'!$A$6:$B$38,2,FALSE)</f>
        <v>-0.43202172705875852</v>
      </c>
      <c r="J261">
        <f>($B$1+Table4[[#This Row],[Home Differential]])-Table4[[#This Row],[Away Differential]]</f>
        <v>-0.20938766466797354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0.55121074211106413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0.20141179799650177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-0.45205624035379666</v>
      </c>
      <c r="H262" t="s">
        <v>39</v>
      </c>
      <c r="I262">
        <f>VLOOKUP(Table4[[#This Row],[Visitor]],'NHL Model'!$A$6:$B$38,2,FALSE)</f>
        <v>0.17994412141822874</v>
      </c>
      <c r="J262">
        <f>($B$1+Table4[[#This Row],[Home Differential]])-Table4[[#This Row],[Away Differential]]</f>
        <v>-0.58337111233060313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0.62868140248630278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0.13787750085953906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-0.75181957250890208</v>
      </c>
      <c r="H263" t="s">
        <v>28</v>
      </c>
      <c r="I263">
        <f>VLOOKUP(Table4[[#This Row],[Visitor]],'NHL Model'!$A$6:$B$38,2,FALSE)</f>
        <v>-0.81978323318233992</v>
      </c>
      <c r="J263">
        <f>($B$1+Table4[[#This Row],[Home Differential]])-Table4[[#This Row],[Away Differential]]</f>
        <v>0.11659291011486006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0.55386220616083748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0.30676334341335004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-1.4300915005812256</v>
      </c>
      <c r="H264" t="s">
        <v>16</v>
      </c>
      <c r="I264">
        <f>VLOOKUP(Table4[[#This Row],[Visitor]],'NHL Model'!$A$6:$B$38,2,FALSE)</f>
        <v>-1.1693700053921123</v>
      </c>
      <c r="J264">
        <f>($B$1+Table4[[#This Row],[Home Differential]])-Table4[[#This Row],[Away Differential]]</f>
        <v>-0.21209224574769103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0.48521651130221483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0.23543506284029236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-1.0671109812312936</v>
      </c>
      <c r="H265" t="s">
        <v>40</v>
      </c>
      <c r="I265">
        <f>VLOOKUP(Table4[[#This Row],[Visitor]],'NHL Model'!$A$6:$B$38,2,FALSE)</f>
        <v>-0.24840457265646038</v>
      </c>
      <c r="J265">
        <f>($B$1+Table4[[#This Row],[Home Differential]])-Table4[[#This Row],[Away Differential]]</f>
        <v>-0.77007715913341102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0.59084434449557965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0.16740835043125191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-0.35229536402491796</v>
      </c>
      <c r="H266" t="s">
        <v>24</v>
      </c>
      <c r="I266">
        <f>VLOOKUP(Table4[[#This Row],[Visitor]],'NHL Model'!$A$6:$B$38,2,FALSE)</f>
        <v>2.1114018573289962E-3</v>
      </c>
      <c r="J266">
        <f>($B$1+Table4[[#This Row],[Home Differential]])-Table4[[#This Row],[Away Differential]]</f>
        <v>-0.30577751644082474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0.51712436564043174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0.23316887825815547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-0.28566683768028334</v>
      </c>
      <c r="H267" t="s">
        <v>17</v>
      </c>
      <c r="I267">
        <f>VLOOKUP(Table4[[#This Row],[Visitor]],'NHL Model'!$A$6:$B$38,2,FALSE)</f>
        <v>-0.92247588734712094</v>
      </c>
      <c r="J267">
        <f>($B$1+Table4[[#This Row],[Home Differential]])-Table4[[#This Row],[Away Differential]]</f>
        <v>0.68543829910825982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0.65374061812208717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0.42737679578264859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0.41634187791115029</v>
      </c>
      <c r="H268" t="s">
        <v>15</v>
      </c>
      <c r="I268">
        <f>VLOOKUP(Table4[[#This Row],[Visitor]],'NHL Model'!$A$6:$B$38,2,FALSE)</f>
        <v>-0.40624923719383538</v>
      </c>
      <c r="J268">
        <f>($B$1+Table4[[#This Row],[Home Differential]])-Table4[[#This Row],[Away Differential]]</f>
        <v>0.87122036454640783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0.57590766232101209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0.33166963552005291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-0.38947416486586689</v>
      </c>
      <c r="H269" t="s">
        <v>23</v>
      </c>
      <c r="I269">
        <f>VLOOKUP(Table4[[#This Row],[Visitor]],'NHL Model'!$A$6:$B$38,2,FALSE)</f>
        <v>-0.73453218371466944</v>
      </c>
      <c r="J269">
        <f>($B$1+Table4[[#This Row],[Home Differential]])-Table4[[#This Row],[Away Differential]]</f>
        <v>0.39368726829022477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0.62723826091764256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0.13895131412370351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-0.81978323318233992</v>
      </c>
      <c r="H270" t="s">
        <v>17</v>
      </c>
      <c r="I270">
        <f>VLOOKUP(Table4[[#This Row],[Visitor]],'NHL Model'!$A$6:$B$38,2,FALSE)</f>
        <v>-0.92247588734712094</v>
      </c>
      <c r="J270">
        <f>($B$1+Table4[[#This Row],[Home Differential]])-Table4[[#This Row],[Away Differential]]</f>
        <v>0.15132190360620323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0.55799127770610646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0.19537171058388031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-1.1693700053921123</v>
      </c>
      <c r="H271" t="s">
        <v>33</v>
      </c>
      <c r="I271">
        <f>VLOOKUP(Table4[[#This Row],[Visitor]],'NHL Model'!$A$6:$B$38,2,FALSE)</f>
        <v>-0.63428770456303318</v>
      </c>
      <c r="J271">
        <f>($B$1+Table4[[#This Row],[Home Differential]])-Table4[[#This Row],[Away Differential]]</f>
        <v>-0.48645305138765693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0.51783638541366739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0.26815452205829227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1.5255226246883613</v>
      </c>
      <c r="H272" t="s">
        <v>23</v>
      </c>
      <c r="I272">
        <f>VLOOKUP(Table4[[#This Row],[Visitor]],'NHL Model'!$A$6:$B$38,2,FALSE)</f>
        <v>-0.73453218371466944</v>
      </c>
      <c r="J272">
        <f>($B$1+Table4[[#This Row],[Home Differential]])-Table4[[#This Row],[Away Differential]]</f>
        <v>2.3086840578444532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0.91881875166305582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6.5903950815446016E-3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-0.97739270546148105</v>
      </c>
      <c r="H273" t="s">
        <v>31</v>
      </c>
      <c r="I273">
        <f>VLOOKUP(Table4[[#This Row],[Visitor]],'NHL Model'!$A$6:$B$38,2,FALSE)</f>
        <v>0.12352843374450689</v>
      </c>
      <c r="J273">
        <f>($B$1+Table4[[#This Row],[Home Differential]])-Table4[[#This Row],[Away Differential]]</f>
        <v>-1.0522918897645657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0.60588050128236315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0.36709118183416767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-0.479695961608754</v>
      </c>
      <c r="H274" t="s">
        <v>22</v>
      </c>
      <c r="I274">
        <f>VLOOKUP(Table4[[#This Row],[Visitor]],'NHL Model'!$A$6:$B$38,2,FALSE)</f>
        <v>0.24850541890141886</v>
      </c>
      <c r="J274">
        <f>($B$1+Table4[[#This Row],[Home Differential]])-Table4[[#This Row],[Away Differential]]</f>
        <v>-0.67957213106875058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0.54746376635955774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0.29971657547659242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-0.69003864116815428</v>
      </c>
      <c r="H275" t="s">
        <v>39</v>
      </c>
      <c r="I275">
        <f>VLOOKUP(Table4[[#This Row],[Visitor]],'NHL Model'!$A$6:$B$38,2,FALSE)</f>
        <v>0.17994412141822874</v>
      </c>
      <c r="J275">
        <f>($B$1+Table4[[#This Row],[Home Differential]])-Table4[[#This Row],[Away Differential]]</f>
        <v>-0.82135351314496075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0.65945181872883718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0.11597306376709678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-0.45205624035379666</v>
      </c>
      <c r="H276" t="s">
        <v>21</v>
      </c>
      <c r="I276">
        <f>VLOOKUP(Table4[[#This Row],[Visitor]],'NHL Model'!$A$6:$B$38,2,FALSE)</f>
        <v>-0.29972363155607096</v>
      </c>
      <c r="J276">
        <f>($B$1+Table4[[#This Row],[Home Differential]])-Table4[[#This Row],[Away Differential]]</f>
        <v>-0.10370335935630348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0.47066304828385896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0.22152370501985416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-0.75181957250890208</v>
      </c>
      <c r="H277" t="s">
        <v>40</v>
      </c>
      <c r="I277">
        <f>VLOOKUP(Table4[[#This Row],[Visitor]],'NHL Model'!$A$6:$B$38,2,FALSE)</f>
        <v>-0.24840457265646038</v>
      </c>
      <c r="J277">
        <f>($B$1+Table4[[#This Row],[Home Differential]])-Table4[[#This Row],[Away Differential]]</f>
        <v>-0.45478575041101948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0.55335806420508027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0.30620514722079373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-0.75971379218342783</v>
      </c>
      <c r="H278" t="s">
        <v>13</v>
      </c>
      <c r="I278">
        <f>VLOOKUP(Table4[[#This Row],[Visitor]],'NHL Model'!$A$6:$B$38,2,FALSE)</f>
        <v>-0.43202172705875852</v>
      </c>
      <c r="J278">
        <f>($B$1+Table4[[#This Row],[Home Differential]])-Table4[[#This Row],[Away Differential]]</f>
        <v>-0.27906281568324709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0.55949470471830764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0.19404491517121097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-0.32012591315776179</v>
      </c>
      <c r="H279" t="s">
        <v>30</v>
      </c>
      <c r="I279">
        <f>VLOOKUP(Table4[[#This Row],[Visitor]],'NHL Model'!$A$6:$B$38,2,FALSE)</f>
        <v>-0.22994539344581519</v>
      </c>
      <c r="J279">
        <f>($B$1+Table4[[#This Row],[Home Differential]])-Table4[[#This Row],[Away Differential]]</f>
        <v>-4.1551270270524382E-2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0.53756336893790813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0.21384763774805726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0.35473499802405739</v>
      </c>
      <c r="H280" t="s">
        <v>38</v>
      </c>
      <c r="I280">
        <f>VLOOKUP(Table4[[#This Row],[Visitor]],'NHL Model'!$A$6:$B$38,2,FALSE)</f>
        <v>-1.0671109812312936</v>
      </c>
      <c r="J280">
        <f>($B$1+Table4[[#This Row],[Home Differential]])-Table4[[#This Row],[Away Differential]]</f>
        <v>1.4704752286967731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0.75175386855970483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6.1626141775072307E-2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-1.4761804210410974</v>
      </c>
      <c r="H281" t="s">
        <v>14</v>
      </c>
      <c r="I281">
        <f>VLOOKUP(Table4[[#This Row],[Visitor]],'NHL Model'!$A$6:$B$38,2,FALSE)</f>
        <v>-0.39956044496834064</v>
      </c>
      <c r="J281">
        <f>($B$1+Table4[[#This Row],[Home Differential]])-Table4[[#This Row],[Away Differential]]</f>
        <v>-1.0279907266313346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0.60299123697830614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0.36359843187262775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-1.4300915005812256</v>
      </c>
      <c r="H282" t="s">
        <v>27</v>
      </c>
      <c r="I282">
        <f>VLOOKUP(Table4[[#This Row],[Visitor]],'NHL Model'!$A$6:$B$38,2,FALSE)</f>
        <v>-0.28566683768028334</v>
      </c>
      <c r="J282">
        <f>($B$1+Table4[[#This Row],[Home Differential]])-Table4[[#This Row],[Away Differential]]</f>
        <v>-1.09579541345952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0.63279614452166766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0.13483867147815198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-0.38947416486586689</v>
      </c>
      <c r="H283" t="s">
        <v>30</v>
      </c>
      <c r="I283">
        <f>VLOOKUP(Table4[[#This Row],[Visitor]],'NHL Model'!$A$6:$B$38,2,FALSE)</f>
        <v>-0.22994539344581519</v>
      </c>
      <c r="J283">
        <f>($B$1+Table4[[#This Row],[Home Differential]])-Table4[[#This Row],[Away Differential]]</f>
        <v>-0.11089952197862948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0.50480540777850391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0.24521768416541379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0.35473499802405739</v>
      </c>
      <c r="H284" t="s">
        <v>17</v>
      </c>
      <c r="I284">
        <f>VLOOKUP(Table4[[#This Row],[Visitor]],'NHL Model'!$A$6:$B$38,2,FALSE)</f>
        <v>-0.92247588734712094</v>
      </c>
      <c r="J284">
        <f>($B$1+Table4[[#This Row],[Home Differential]])-Table4[[#This Row],[Away Differential]]</f>
        <v>1.3258401348126005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0.73806571343099925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0.54474099734240988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-0.81978323318233992</v>
      </c>
      <c r="H285" t="s">
        <v>15</v>
      </c>
      <c r="I285">
        <f>VLOOKUP(Table4[[#This Row],[Visitor]],'NHL Model'!$A$6:$B$38,2,FALSE)</f>
        <v>-0.40624923719383538</v>
      </c>
      <c r="J285">
        <f>($B$1+Table4[[#This Row],[Home Differential]])-Table4[[#This Row],[Away Differential]]</f>
        <v>-0.36490474654708233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0.60346647857741853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0.15723883361179289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-1.1693700053921123</v>
      </c>
      <c r="H286" t="s">
        <v>40</v>
      </c>
      <c r="I286">
        <f>VLOOKUP(Table4[[#This Row],[Visitor]],'NHL Model'!$A$6:$B$38,2,FALSE)</f>
        <v>-0.24840457265646038</v>
      </c>
      <c r="J286">
        <f>($B$1+Table4[[#This Row],[Home Differential]])-Table4[[#This Row],[Away Differential]]</f>
        <v>-0.87233618329422979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0.60300233654952917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0.1576071447851333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-0.35229536402491796</v>
      </c>
      <c r="H287" t="s">
        <v>19</v>
      </c>
      <c r="I287">
        <f>VLOOKUP(Table4[[#This Row],[Visitor]],'NHL Model'!$A$6:$B$38,2,FALSE)</f>
        <v>-0.75971379218342783</v>
      </c>
      <c r="J287">
        <f>($B$1+Table4[[#This Row],[Home Differential]])-Table4[[#This Row],[Away Differential]]</f>
        <v>0.45604767759993209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0.5942213666322721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0.16465629929778094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0.17994412141822874</v>
      </c>
      <c r="H288" t="s">
        <v>27</v>
      </c>
      <c r="I288">
        <f>VLOOKUP(Table4[[#This Row],[Visitor]],'NHL Model'!$A$6:$B$38,2,FALSE)</f>
        <v>-0.28566683768028334</v>
      </c>
      <c r="J288">
        <f>($B$1+Table4[[#This Row],[Home Differential]])-Table4[[#This Row],[Away Differential]]</f>
        <v>0.51424020853993424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0.57791863724084647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0.17815267678862415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-0.97739270546148105</v>
      </c>
      <c r="H289" t="s">
        <v>23</v>
      </c>
      <c r="I289">
        <f>VLOOKUP(Table4[[#This Row],[Visitor]],'NHL Model'!$A$6:$B$38,2,FALSE)</f>
        <v>-0.73453218371466944</v>
      </c>
      <c r="J289">
        <f>($B$1+Table4[[#This Row],[Home Differential]])-Table4[[#This Row],[Away Differential]]</f>
        <v>-0.19423127230538939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0.48309294739214076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0.26719290103574411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-0.479695961608754</v>
      </c>
      <c r="H290" t="s">
        <v>37</v>
      </c>
      <c r="I290">
        <f>VLOOKUP(Table4[[#This Row],[Visitor]],'NHL Model'!$A$6:$B$38,2,FALSE)</f>
        <v>0.41634187791115029</v>
      </c>
      <c r="J290">
        <f>($B$1+Table4[[#This Row],[Home Differential]])-Table4[[#This Row],[Away Differential]]</f>
        <v>-0.84740859007848202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0.63921339864377513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0.13016697171817551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-0.15703092434902144</v>
      </c>
      <c r="H291" t="s">
        <v>31</v>
      </c>
      <c r="I291">
        <f>VLOOKUP(Table4[[#This Row],[Visitor]],'NHL Model'!$A$6:$B$38,2,FALSE)</f>
        <v>0.12352843374450689</v>
      </c>
      <c r="J291">
        <f>($B$1+Table4[[#This Row],[Home Differential]])-Table4[[#This Row],[Away Differential]]</f>
        <v>-0.23193010865210612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0.5083443464248365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0.25841397454209419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-0.69003864116815428</v>
      </c>
      <c r="H292" t="s">
        <v>21</v>
      </c>
      <c r="I292">
        <f>VLOOKUP(Table4[[#This Row],[Visitor]],'NHL Model'!$A$6:$B$38,2,FALSE)</f>
        <v>-0.29972363155607096</v>
      </c>
      <c r="J292">
        <f>($B$1+Table4[[#This Row],[Home Differential]])-Table4[[#This Row],[Away Differential]]</f>
        <v>-0.3416857601706611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0.50145390536993406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0.24854820847089065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-0.45205624035379666</v>
      </c>
      <c r="H293" t="s">
        <v>13</v>
      </c>
      <c r="I293">
        <f>VLOOKUP(Table4[[#This Row],[Visitor]],'NHL Model'!$A$6:$B$38,2,FALSE)</f>
        <v>-0.43202172705875852</v>
      </c>
      <c r="J293">
        <f>($B$1+Table4[[#This Row],[Home Differential]])-Table4[[#This Row],[Away Differential]]</f>
        <v>2.8594736146384081E-2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0.47959022088494707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0.23000677996847232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-0.75181957250890208</v>
      </c>
      <c r="H294" t="s">
        <v>33</v>
      </c>
      <c r="I294">
        <f>VLOOKUP(Table4[[#This Row],[Visitor]],'NHL Model'!$A$6:$B$38,2,FALSE)</f>
        <v>-0.63428770456303318</v>
      </c>
      <c r="J294">
        <f>($B$1+Table4[[#This Row],[Home Differential]])-Table4[[#This Row],[Away Differential]]</f>
        <v>-6.8902618504446678E-2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0.4681921130692186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0.21920385474021997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-1.4300915005812256</v>
      </c>
      <c r="H295" t="s">
        <v>20</v>
      </c>
      <c r="I295">
        <f>VLOOKUP(Table4[[#This Row],[Visitor]],'NHL Model'!$A$6:$B$38,2,FALSE)</f>
        <v>-0.32012591315776179</v>
      </c>
      <c r="J295">
        <f>($B$1+Table4[[#This Row],[Home Differential]])-Table4[[#This Row],[Away Differential]]</f>
        <v>-1.0613363379820415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0.58618660181482274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0.17124152851756408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0.24850541890141886</v>
      </c>
      <c r="H296" t="s">
        <v>24</v>
      </c>
      <c r="I296">
        <f>VLOOKUP(Table4[[#This Row],[Visitor]],'NHL Model'!$A$6:$B$38,2,FALSE)</f>
        <v>2.1114018573289962E-3</v>
      </c>
      <c r="J296">
        <f>($B$1+Table4[[#This Row],[Home Differential]])-Table4[[#This Row],[Away Differential]]</f>
        <v>0.29502326648551208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0.58053106372857211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0.33701631595382747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1.5255226246883613</v>
      </c>
      <c r="H297" t="s">
        <v>30</v>
      </c>
      <c r="I297">
        <f>VLOOKUP(Table4[[#This Row],[Visitor]],'NHL Model'!$A$6:$B$38,2,FALSE)</f>
        <v>-0.22994539344581519</v>
      </c>
      <c r="J297">
        <f>($B$1+Table4[[#This Row],[Home Differential]])-Table4[[#This Row],[Away Differential]]</f>
        <v>1.8040972675755986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0.78971771417569236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4.4218639731495812E-2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-0.15703092434902144</v>
      </c>
      <c r="H298" t="s">
        <v>20</v>
      </c>
      <c r="I298">
        <f>VLOOKUP(Table4[[#This Row],[Visitor]],'NHL Model'!$A$6:$B$38,2,FALSE)</f>
        <v>-0.32012591315776179</v>
      </c>
      <c r="J298">
        <f>($B$1+Table4[[#This Row],[Home Differential]])-Table4[[#This Row],[Away Differential]]</f>
        <v>0.21172423825016257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0.56517275739132566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0.18907473091466293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-0.40624923719383538</v>
      </c>
      <c r="H299" t="s">
        <v>26</v>
      </c>
      <c r="I299">
        <f>VLOOKUP(Table4[[#This Row],[Visitor]],'NHL Model'!$A$6:$B$38,2,FALSE)</f>
        <v>-0.97739270546148105</v>
      </c>
      <c r="J299">
        <f>($B$1+Table4[[#This Row],[Home Differential]])-Table4[[#This Row],[Away Differential]]</f>
        <v>0.61977271770906794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0.613687303775863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0.37661210681568835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-0.39956044496834064</v>
      </c>
      <c r="H300" t="s">
        <v>29</v>
      </c>
      <c r="I300">
        <f>VLOOKUP(Table4[[#This Row],[Visitor]],'NHL Model'!$A$6:$B$38,2,FALSE)</f>
        <v>-1.4761804210410974</v>
      </c>
      <c r="J300">
        <f>($B$1+Table4[[#This Row],[Home Differential]])-Table4[[#This Row],[Away Differential]]</f>
        <v>1.1252492255141791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0.67378546543725137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0.10641592255999072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0.41634187791115029</v>
      </c>
      <c r="H301" t="s">
        <v>38</v>
      </c>
      <c r="I301">
        <f>VLOOKUP(Table4[[#This Row],[Visitor]],'NHL Model'!$A$6:$B$38,2,FALSE)</f>
        <v>-1.0671109812312936</v>
      </c>
      <c r="J301">
        <f>($B$1+Table4[[#This Row],[Home Differential]])-Table4[[#This Row],[Away Differential]]</f>
        <v>1.5320821085838661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0.75087586376084348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0.56381456277859276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0.12352843374450689</v>
      </c>
      <c r="H302" t="s">
        <v>55</v>
      </c>
      <c r="I302">
        <f>VLOOKUP(Table4[[#This Row],[Visitor]],'NHL Model'!$A$6:$B$38,2,FALSE)</f>
        <v>-0.38947416486586689</v>
      </c>
      <c r="J302">
        <f>($B$1+Table4[[#This Row],[Home Differential]])-Table4[[#This Row],[Away Differential]]</f>
        <v>0.561631848051796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0.68660940962142947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9.8213662137828991E-2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-0.29972363155607096</v>
      </c>
      <c r="H303" t="s">
        <v>25</v>
      </c>
      <c r="I303">
        <f>VLOOKUP(Table4[[#This Row],[Visitor]],'NHL Model'!$A$6:$B$38,2,FALSE)</f>
        <v>0.35473499802405739</v>
      </c>
      <c r="J303">
        <f>($B$1+Table4[[#This Row],[Home Differential]])-Table4[[#This Row],[Away Differential]]</f>
        <v>-0.60582938013870613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0.56111249298997978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0.19262224380947054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-0.73453218371466944</v>
      </c>
      <c r="H304" t="s">
        <v>17</v>
      </c>
      <c r="I304">
        <f>VLOOKUP(Table4[[#This Row],[Visitor]],'NHL Model'!$A$6:$B$38,2,FALSE)</f>
        <v>-0.92247588734712094</v>
      </c>
      <c r="J304">
        <f>($B$1+Table4[[#This Row],[Home Differential]])-Table4[[#This Row],[Away Differential]]</f>
        <v>0.23657295307387372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0.56812712234695462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0.18651418245232232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-0.81978323318233992</v>
      </c>
      <c r="H305" t="s">
        <v>18</v>
      </c>
      <c r="I305">
        <f>VLOOKUP(Table4[[#This Row],[Visitor]],'NHL Model'!$A$6:$B$38,2,FALSE)</f>
        <v>-0.69003864116815428</v>
      </c>
      <c r="J305">
        <f>($B$1+Table4[[#This Row],[Home Differential]])-Table4[[#This Row],[Away Differential]]</f>
        <v>-8.1115342572763427E-2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0.52893196742437742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0.27976902616342264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-0.479695961608754</v>
      </c>
      <c r="H306" t="s">
        <v>38</v>
      </c>
      <c r="I306">
        <f>VLOOKUP(Table4[[#This Row],[Visitor]],'NHL Model'!$A$6:$B$38,2,FALSE)</f>
        <v>-1.0671109812312936</v>
      </c>
      <c r="J306">
        <f>($B$1+Table4[[#This Row],[Home Differential]])-Table4[[#This Row],[Away Differential]]</f>
        <v>0.63604426906396183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0.62608061041392971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0.13981570990841941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0.24850541890141886</v>
      </c>
      <c r="H307" t="s">
        <v>13</v>
      </c>
      <c r="I307">
        <f>VLOOKUP(Table4[[#This Row],[Visitor]],'NHL Model'!$A$6:$B$38,2,FALSE)</f>
        <v>-0.43202172705875852</v>
      </c>
      <c r="J307">
        <f>($B$1+Table4[[#This Row],[Home Differential]])-Table4[[#This Row],[Away Differential]]</f>
        <v>0.7291563954015996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0.58669237491878845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0.17082319295027132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-0.35229536402491796</v>
      </c>
      <c r="H308" t="s">
        <v>16</v>
      </c>
      <c r="I308">
        <f>VLOOKUP(Table4[[#This Row],[Visitor]],'NHL Model'!$A$6:$B$38,2,FALSE)</f>
        <v>-1.1693700053921123</v>
      </c>
      <c r="J308">
        <f>($B$1+Table4[[#This Row],[Home Differential]])-Table4[[#This Row],[Away Differential]]</f>
        <v>0.86570389080861654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0.64292706303330027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0.12750108231402471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0.17994412141822874</v>
      </c>
      <c r="H309" t="s">
        <v>30</v>
      </c>
      <c r="I309">
        <f>VLOOKUP(Table4[[#This Row],[Visitor]],'NHL Model'!$A$6:$B$38,2,FALSE)</f>
        <v>-0.22994539344581519</v>
      </c>
      <c r="J309">
        <f>($B$1+Table4[[#This Row],[Home Differential]])-Table4[[#This Row],[Away Differential]]</f>
        <v>0.45851876430546612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0.54114618024232908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0.29283918839086331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-0.97739270546148105</v>
      </c>
      <c r="H310" t="s">
        <v>32</v>
      </c>
      <c r="I310">
        <f>VLOOKUP(Table4[[#This Row],[Visitor]],'NHL Model'!$A$6:$B$38,2,FALSE)</f>
        <v>-0.75181957250890208</v>
      </c>
      <c r="J310">
        <f>($B$1+Table4[[#This Row],[Home Differential]])-Table4[[#This Row],[Away Differential]]</f>
        <v>-0.17694388351115675</v>
      </c>
      <c r="K310" t="str">
        <f>IF(Table4[[#This Row],[HomeIce Differential]]&gt;0,Table4[[#This Row],[Home]],Table4[[#This Row],[Visitor]])</f>
        <v>Seattle Kraken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0.48103757929804203</v>
      </c>
      <c r="M310" t="str">
        <f>IF(OR((NHL2025_26Results[[#This Row],[Winning Team]]="")),"-",IF(Table4[[#This Row],[Predicted Winner]]=NHL2025_26Results[[#This Row],[Winning Team]],"YES","NO"))</f>
        <v>NO</v>
      </c>
      <c r="N310">
        <f>IF(Table4[[#This Row],[Adjusted Correct]]="-", "",IF(Table4[[#This Row],[Adjusted Correct]]="YES",(Table4[[#This Row],[Strength of Win]]-1)^2,(Table4[[#This Row],[Strength of Win]]-0)^2))</f>
        <v>0.23139715269692007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-0.63428770456303318</v>
      </c>
      <c r="H311" t="s">
        <v>55</v>
      </c>
      <c r="I311">
        <f>VLOOKUP(Table4[[#This Row],[Visitor]],'NHL Model'!$A$6:$B$38,2,FALSE)</f>
        <v>-0.38947416486586689</v>
      </c>
      <c r="J311">
        <f>($B$1+Table4[[#This Row],[Home Differential]])-Table4[[#This Row],[Away Differential]]</f>
        <v>-0.19618429025574408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0.48332514965415618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0.23360320028821246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0.41634187791115029</v>
      </c>
      <c r="H312" t="s">
        <v>24</v>
      </c>
      <c r="I312">
        <f>VLOOKUP(Table4[[#This Row],[Visitor]],'NHL Model'!$A$6:$B$38,2,FALSE)</f>
        <v>2.1114018573289962E-3</v>
      </c>
      <c r="J312">
        <f>($B$1+Table4[[#This Row],[Home Differential]])-Table4[[#This Row],[Away Differential]]</f>
        <v>0.46285972549524351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0.6067554166944068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0.15464130229918963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-0.75971379218342783</v>
      </c>
      <c r="H313" t="s">
        <v>35</v>
      </c>
      <c r="I313">
        <f>VLOOKUP(Table4[[#This Row],[Visitor]],'NHL Model'!$A$6:$B$38,2,FALSE)</f>
        <v>-1.4300915005812256</v>
      </c>
      <c r="J313">
        <f>($B$1+Table4[[#This Row],[Home Differential]])-Table4[[#This Row],[Away Differential]]</f>
        <v>0.71900695783921997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0.62548566693141894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0.14026098567380407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-0.32012591315776179</v>
      </c>
      <c r="H314" t="s">
        <v>15</v>
      </c>
      <c r="I314">
        <f>VLOOKUP(Table4[[#This Row],[Visitor]],'NHL Model'!$A$6:$B$38,2,FALSE)</f>
        <v>-0.40624923719383538</v>
      </c>
      <c r="J314">
        <f>($B$1+Table4[[#This Row],[Home Differential]])-Table4[[#This Row],[Away Differential]]</f>
        <v>0.13475257347749581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0.45593981613748991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0.29600148366450829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-0.24840457265646038</v>
      </c>
      <c r="H315" t="s">
        <v>28</v>
      </c>
      <c r="I315">
        <f>VLOOKUP(Table4[[#This Row],[Visitor]],'NHL Model'!$A$6:$B$38,2,FALSE)</f>
        <v>-0.81978323318233992</v>
      </c>
      <c r="J315">
        <f>($B$1+Table4[[#This Row],[Home Differential]])-Table4[[#This Row],[Away Differential]]</f>
        <v>0.62000790996730171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0.61621074594611447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0.14729419152723788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0.12352843374450689</v>
      </c>
      <c r="H316" t="s">
        <v>21</v>
      </c>
      <c r="I316">
        <f>VLOOKUP(Table4[[#This Row],[Visitor]],'NHL Model'!$A$6:$B$38,2,FALSE)</f>
        <v>-0.29972363155607096</v>
      </c>
      <c r="J316">
        <f>($B$1+Table4[[#This Row],[Home Differential]])-Table4[[#This Row],[Away Differential]]</f>
        <v>0.47188131474200007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0.67515151131650997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0.10552654059994755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-0.73453218371466944</v>
      </c>
      <c r="H317" t="s">
        <v>16</v>
      </c>
      <c r="I317">
        <f>VLOOKUP(Table4[[#This Row],[Visitor]],'NHL Model'!$A$6:$B$38,2,FALSE)</f>
        <v>-1.1693700053921123</v>
      </c>
      <c r="J317">
        <f>($B$1+Table4[[#This Row],[Home Differential]])-Table4[[#This Row],[Away Differential]]</f>
        <v>0.48346707111886511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0.59748137005263557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0.35698398755997446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-0.15703092434902144</v>
      </c>
      <c r="H318" t="s">
        <v>25</v>
      </c>
      <c r="I318">
        <f>VLOOKUP(Table4[[#This Row],[Visitor]],'NHL Model'!$A$6:$B$38,2,FALSE)</f>
        <v>0.35473499802405739</v>
      </c>
      <c r="J318">
        <f>($B$1+Table4[[#This Row],[Home Differential]])-Table4[[#This Row],[Away Differential]]</f>
        <v>-0.46313667293165661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0.58768737528041226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0.34537645106398013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0.24850541890141886</v>
      </c>
      <c r="H319" t="s">
        <v>17</v>
      </c>
      <c r="I319">
        <f>VLOOKUP(Table4[[#This Row],[Visitor]],'NHL Model'!$A$6:$B$38,2,FALSE)</f>
        <v>-0.92247588734712094</v>
      </c>
      <c r="J319">
        <f>($B$1+Table4[[#This Row],[Home Differential]])-Table4[[#This Row],[Away Differential]]</f>
        <v>1.2196105556899619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0.71104220432190357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8.3496607683144528E-2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0.12352843374450689</v>
      </c>
      <c r="H320" t="s">
        <v>36</v>
      </c>
      <c r="I320">
        <f>VLOOKUP(Table4[[#This Row],[Visitor]],'NHL Model'!$A$6:$B$38,2,FALSE)</f>
        <v>-0.45205624035379666</v>
      </c>
      <c r="J320">
        <f>($B$1+Table4[[#This Row],[Home Differential]])-Table4[[#This Row],[Away Differential]]</f>
        <v>0.62421392353972571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0.69326295588112363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0.48061352599703278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-0.35229536402491796</v>
      </c>
      <c r="H321" t="s">
        <v>32</v>
      </c>
      <c r="I321">
        <f>VLOOKUP(Table4[[#This Row],[Visitor]],'NHL Model'!$A$6:$B$38,2,FALSE)</f>
        <v>-0.75181957250890208</v>
      </c>
      <c r="J321">
        <f>($B$1+Table4[[#This Row],[Home Differential]])-Table4[[#This Row],[Away Differential]]</f>
        <v>0.44815345792540634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0.59328279068885137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0.35198446972755143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1.5255226246883613</v>
      </c>
      <c r="H322" t="s">
        <v>15</v>
      </c>
      <c r="I322">
        <f>VLOOKUP(Table4[[#This Row],[Visitor]],'NHL Model'!$A$6:$B$38,2,FALSE)</f>
        <v>-0.40624923719383538</v>
      </c>
      <c r="J322">
        <f>($B$1+Table4[[#This Row],[Home Differential]])-Table4[[#This Row],[Away Differential]]</f>
        <v>1.9804011113236188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0.78340316307974511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4.6914189763859492E-2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-0.97739270546148105</v>
      </c>
      <c r="H323" t="s">
        <v>30</v>
      </c>
      <c r="I323">
        <f>VLOOKUP(Table4[[#This Row],[Visitor]],'NHL Model'!$A$6:$B$38,2,FALSE)</f>
        <v>-0.22994539344581519</v>
      </c>
      <c r="J323">
        <f>($B$1+Table4[[#This Row],[Home Differential]])-Table4[[#This Row],[Away Differential]]</f>
        <v>-0.69881806257424361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0.6157084960181971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0.14767996003259604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-0.479695961608754</v>
      </c>
      <c r="H324" t="s">
        <v>24</v>
      </c>
      <c r="I324">
        <f>VLOOKUP(Table4[[#This Row],[Visitor]],'NHL Model'!$A$6:$B$38,2,FALSE)</f>
        <v>2.1114018573289962E-3</v>
      </c>
      <c r="J324">
        <f>($B$1+Table4[[#This Row],[Home Differential]])-Table4[[#This Row],[Away Differential]]</f>
        <v>-0.43317811402466078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0.518168977699619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0.26849908945026824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-0.69003864116815428</v>
      </c>
      <c r="H325" t="s">
        <v>22</v>
      </c>
      <c r="I325">
        <f>VLOOKUP(Table4[[#This Row],[Visitor]],'NHL Model'!$A$6:$B$38,2,FALSE)</f>
        <v>0.24850541890141886</v>
      </c>
      <c r="J325">
        <f>($B$1+Table4[[#This Row],[Home Differential]])-Table4[[#This Row],[Away Differential]]</f>
        <v>-0.88991481062815092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0.58657482871131106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0.1709203722550818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-0.28566683768028334</v>
      </c>
      <c r="H326" t="s">
        <v>35</v>
      </c>
      <c r="I326">
        <f>VLOOKUP(Table4[[#This Row],[Visitor]],'NHL Model'!$A$6:$B$38,2,FALSE)</f>
        <v>-1.4300915005812256</v>
      </c>
      <c r="J326">
        <f>($B$1+Table4[[#This Row],[Home Differential]])-Table4[[#This Row],[Away Differential]]</f>
        <v>1.1930539123423645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0.71409310674407089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8.1742751611257242E-2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-0.63428770456303318</v>
      </c>
      <c r="H327" t="s">
        <v>13</v>
      </c>
      <c r="I327">
        <f>VLOOKUP(Table4[[#This Row],[Visitor]],'NHL Model'!$A$6:$B$38,2,FALSE)</f>
        <v>-0.43202172705875852</v>
      </c>
      <c r="J327">
        <f>($B$1+Table4[[#This Row],[Home Differential]])-Table4[[#This Row],[Away Differential]]</f>
        <v>-0.15363672806285245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0.54458228609158044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0.29656986632473198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0.41634187791115029</v>
      </c>
      <c r="H328" t="s">
        <v>17</v>
      </c>
      <c r="I328">
        <f>VLOOKUP(Table4[[#This Row],[Visitor]],'NHL Model'!$A$6:$B$38,2,FALSE)</f>
        <v>-0.92247588734712094</v>
      </c>
      <c r="J328">
        <f>($B$1+Table4[[#This Row],[Home Differential]])-Table4[[#This Row],[Away Differential]]</f>
        <v>1.3874470146996933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0.73720529477049024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6.9061057096664921E-2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-0.75971379218342783</v>
      </c>
      <c r="H329" t="s">
        <v>28</v>
      </c>
      <c r="I329">
        <f>VLOOKUP(Table4[[#This Row],[Visitor]],'NHL Model'!$A$6:$B$38,2,FALSE)</f>
        <v>-0.81978323318233992</v>
      </c>
      <c r="J329">
        <f>($B$1+Table4[[#This Row],[Home Differential]])-Table4[[#This Row],[Away Differential]]</f>
        <v>0.10869869044033431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0.55292363021741675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0.30572454085280659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-0.38947416486586689</v>
      </c>
      <c r="H330" t="s">
        <v>20</v>
      </c>
      <c r="I330">
        <f>VLOOKUP(Table4[[#This Row],[Visitor]],'NHL Model'!$A$6:$B$38,2,FALSE)</f>
        <v>-0.32012591315776179</v>
      </c>
      <c r="J330">
        <f>($B$1+Table4[[#This Row],[Home Differential]])-Table4[[#This Row],[Away Differential]]</f>
        <v>-2.0719002266682884E-2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0.4220321891564176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0.33404679037132307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-1.0671109812312936</v>
      </c>
      <c r="H331" t="s">
        <v>39</v>
      </c>
      <c r="I331">
        <f>VLOOKUP(Table4[[#This Row],[Visitor]],'NHL Model'!$A$6:$B$38,2,FALSE)</f>
        <v>0.17994412141822874</v>
      </c>
      <c r="J331">
        <f>($B$1+Table4[[#This Row],[Home Differential]])-Table4[[#This Row],[Away Differential]]</f>
        <v>-1.1984258532081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0.70428348568315935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8.7448256839702226E-2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-0.73453218371466944</v>
      </c>
      <c r="H332" t="s">
        <v>10</v>
      </c>
      <c r="I332">
        <f>VLOOKUP(Table4[[#This Row],[Visitor]],'NHL Model'!$A$6:$B$38,2,FALSE)</f>
        <v>-0.35229536402491796</v>
      </c>
      <c r="J332">
        <f>($B$1+Table4[[#This Row],[Home Differential]])-Table4[[#This Row],[Away Differential]]</f>
        <v>-0.33360757024832927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0.49966396336657676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0.24966407628719575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-0.43202172705875852</v>
      </c>
      <c r="H333" t="s">
        <v>21</v>
      </c>
      <c r="I333">
        <f>VLOOKUP(Table4[[#This Row],[Visitor]],'NHL Model'!$A$6:$B$38,2,FALSE)</f>
        <v>-0.29972363155607096</v>
      </c>
      <c r="J333">
        <f>($B$1+Table4[[#This Row],[Home Differential]])-Table4[[#This Row],[Away Differential]]</f>
        <v>-8.3668846061265345E-2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0.4707772231184662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0.28007674757020173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-0.39956044496834064</v>
      </c>
      <c r="H334" t="s">
        <v>34</v>
      </c>
      <c r="I334">
        <f>VLOOKUP(Table4[[#This Row],[Visitor]],'NHL Model'!$A$6:$B$38,2,FALSE)</f>
        <v>-0.15703092434902144</v>
      </c>
      <c r="J334">
        <f>($B$1+Table4[[#This Row],[Home Differential]])-Table4[[#This Row],[Away Differential]]</f>
        <v>-0.19390027117789699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0.52556615613344404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0.22508747220599559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-0.24840457265646038</v>
      </c>
      <c r="H335" t="s">
        <v>25</v>
      </c>
      <c r="I335">
        <f>VLOOKUP(Table4[[#This Row],[Visitor]],'NHL Model'!$A$6:$B$38,2,FALSE)</f>
        <v>0.35473499802405739</v>
      </c>
      <c r="J335">
        <f>($B$1+Table4[[#This Row],[Home Differential]])-Table4[[#This Row],[Away Differential]]</f>
        <v>-0.5545103212390956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0.59604847346472645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0.1631768357901778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0.12352843374450689</v>
      </c>
      <c r="H336" t="s">
        <v>20</v>
      </c>
      <c r="I336">
        <f>VLOOKUP(Table4[[#This Row],[Visitor]],'NHL Model'!$A$6:$B$38,2,FALSE)</f>
        <v>-0.32012591315776179</v>
      </c>
      <c r="J336">
        <f>($B$1+Table4[[#This Row],[Home Differential]])-Table4[[#This Row],[Away Differential]]</f>
        <v>0.4922835963436909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0.67836431340482106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0.10344951489155217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-1.1693700053921123</v>
      </c>
      <c r="H337" t="s">
        <v>39</v>
      </c>
      <c r="I337">
        <f>VLOOKUP(Table4[[#This Row],[Visitor]],'NHL Model'!$A$6:$B$38,2,FALSE)</f>
        <v>0.17994412141822874</v>
      </c>
      <c r="J337">
        <f>($B$1+Table4[[#This Row],[Home Differential]])-Table4[[#This Row],[Away Differential]]</f>
        <v>-1.3006848773689188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0.71644147773710887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0.51328839102213231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-0.97739270546148105</v>
      </c>
      <c r="H338" t="s">
        <v>28</v>
      </c>
      <c r="I338">
        <f>VLOOKUP(Table4[[#This Row],[Visitor]],'NHL Model'!$A$6:$B$38,2,FALSE)</f>
        <v>-0.81978323318233992</v>
      </c>
      <c r="J338">
        <f>($B$1+Table4[[#This Row],[Home Differential]])-Table4[[#This Row],[Away Differential]]</f>
        <v>-0.10898022283771891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0.4729571027512926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0.22368842104289674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-0.479695961608754</v>
      </c>
      <c r="H339" t="s">
        <v>17</v>
      </c>
      <c r="I339">
        <f>VLOOKUP(Table4[[#This Row],[Visitor]],'NHL Model'!$A$6:$B$38,2,FALSE)</f>
        <v>-0.92247588734712094</v>
      </c>
      <c r="J339">
        <f>($B$1+Table4[[#This Row],[Home Differential]])-Table4[[#This Row],[Away Differential]]</f>
        <v>0.49140917517978916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0.61244225966448296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0.375085521422938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-0.69003864116815428</v>
      </c>
      <c r="H340" t="s">
        <v>19</v>
      </c>
      <c r="I340">
        <f>VLOOKUP(Table4[[#This Row],[Visitor]],'NHL Model'!$A$6:$B$38,2,FALSE)</f>
        <v>-0.75971379218342783</v>
      </c>
      <c r="J340">
        <f>($B$1+Table4[[#This Row],[Home Differential]])-Table4[[#This Row],[Away Differential]]</f>
        <v>0.11830440045669577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0.55406569222133151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0.19885740685404024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-1.4761804210410974</v>
      </c>
      <c r="H341" t="s">
        <v>12</v>
      </c>
      <c r="I341">
        <f>VLOOKUP(Table4[[#This Row],[Visitor]],'NHL Model'!$A$6:$B$38,2,FALSE)</f>
        <v>1.5255226246883613</v>
      </c>
      <c r="J341">
        <f>($B$1+Table4[[#This Row],[Home Differential]])-Table4[[#This Row],[Away Differential]]</f>
        <v>-2.9530737962880362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0.88372614554084672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1.3519609230788359E-2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-0.22994539344581519</v>
      </c>
      <c r="H342" t="s">
        <v>35</v>
      </c>
      <c r="I342">
        <f>VLOOKUP(Table4[[#This Row],[Visitor]],'NHL Model'!$A$6:$B$38,2,FALSE)</f>
        <v>-1.4300915005812256</v>
      </c>
      <c r="J342">
        <f>($B$1+Table4[[#This Row],[Home Differential]])-Table4[[#This Row],[Away Differential]]</f>
        <v>1.2487753565768327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0.68847199048713847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0.47399368168532247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-0.28566683768028334</v>
      </c>
      <c r="H343" t="s">
        <v>24</v>
      </c>
      <c r="I343">
        <f>VLOOKUP(Table4[[#This Row],[Visitor]],'NHL Model'!$A$6:$B$38,2,FALSE)</f>
        <v>2.1114018573289962E-3</v>
      </c>
      <c r="J343">
        <f>($B$1+Table4[[#This Row],[Home Differential]])-Table4[[#This Row],[Away Differential]]</f>
        <v>-0.23914899009619012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0.47670925995399632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0.22725171852588685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-0.39956044496834064</v>
      </c>
      <c r="H344" t="s">
        <v>32</v>
      </c>
      <c r="I344">
        <f>VLOOKUP(Table4[[#This Row],[Visitor]],'NHL Model'!$A$6:$B$38,2,FALSE)</f>
        <v>-0.75181957250890208</v>
      </c>
      <c r="J344">
        <f>($B$1+Table4[[#This Row],[Home Differential]])-Table4[[#This Row],[Away Differential]]</f>
        <v>0.40088837698198365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0.58766325262602293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0.34534809848699682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-0.63428770456303318</v>
      </c>
      <c r="H345" t="s">
        <v>36</v>
      </c>
      <c r="I345">
        <f>VLOOKUP(Table4[[#This Row],[Visitor]],'NHL Model'!$A$6:$B$38,2,FALSE)</f>
        <v>-0.45205624035379666</v>
      </c>
      <c r="J345">
        <f>($B$1+Table4[[#This Row],[Home Differential]])-Table4[[#This Row],[Away Differential]]</f>
        <v>-0.13360221476781431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0.47671400478583681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0.27382823278727725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-0.38947416486586689</v>
      </c>
      <c r="H346" t="s">
        <v>15</v>
      </c>
      <c r="I346">
        <f>VLOOKUP(Table4[[#This Row],[Visitor]],'NHL Model'!$A$6:$B$38,2,FALSE)</f>
        <v>-0.40624923719383538</v>
      </c>
      <c r="J346">
        <f>($B$1+Table4[[#This Row],[Home Differential]])-Table4[[#This Row],[Away Differential]]</f>
        <v>6.5404321769390705E-2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0.48846288159496354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0.26167022350612829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0.24850541890141886</v>
      </c>
      <c r="H347" t="s">
        <v>37</v>
      </c>
      <c r="I347">
        <f>VLOOKUP(Table4[[#This Row],[Visitor]],'NHL Model'!$A$6:$B$38,2,FALSE)</f>
        <v>0.41634187791115029</v>
      </c>
      <c r="J347">
        <f>($B$1+Table4[[#This Row],[Home Differential]])-Table4[[#This Row],[Away Differential]]</f>
        <v>-0.11920720956830921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0.54048882034894186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0.21115052422430702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-0.73453218371466944</v>
      </c>
      <c r="H348" t="s">
        <v>25</v>
      </c>
      <c r="I348">
        <f>VLOOKUP(Table4[[#This Row],[Visitor]],'NHL Model'!$A$6:$B$38,2,FALSE)</f>
        <v>0.35473499802405739</v>
      </c>
      <c r="J348">
        <f>($B$1+Table4[[#This Row],[Home Differential]])-Table4[[#This Row],[Away Differential]]</f>
        <v>-1.0406379322973045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0.65634885313171021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0.43079381700731129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-0.35229536402491796</v>
      </c>
      <c r="H349" t="s">
        <v>12</v>
      </c>
      <c r="I349">
        <f>VLOOKUP(Table4[[#This Row],[Visitor]],'NHL Model'!$A$6:$B$38,2,FALSE)</f>
        <v>1.5255226246883613</v>
      </c>
      <c r="J349">
        <f>($B$1+Table4[[#This Row],[Home Differential]])-Table4[[#This Row],[Away Differential]]</f>
        <v>-1.8291887392718571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0.75010287165485501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6.2448574755149866E-2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-0.22994539344581519</v>
      </c>
      <c r="H350" t="s">
        <v>32</v>
      </c>
      <c r="I350">
        <f>VLOOKUP(Table4[[#This Row],[Visitor]],'NHL Model'!$A$6:$B$38,2,FALSE)</f>
        <v>-0.75181957250890208</v>
      </c>
      <c r="J350">
        <f>($B$1+Table4[[#This Row],[Home Differential]])-Table4[[#This Row],[Away Differential]]</f>
        <v>0.57050342850450908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0.60782947722638681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0.15379771893252905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-0.63428770456303318</v>
      </c>
      <c r="H351" t="s">
        <v>21</v>
      </c>
      <c r="I351">
        <f>VLOOKUP(Table4[[#This Row],[Visitor]],'NHL Model'!$A$6:$B$38,2,FALSE)</f>
        <v>-0.29972363155607096</v>
      </c>
      <c r="J351">
        <f>($B$1+Table4[[#This Row],[Home Differential]])-Table4[[#This Row],[Away Differential]]</f>
        <v>-0.28593482356554001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0.49482544935045042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0.24485222532487516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-1.0671109812312936</v>
      </c>
      <c r="H352" t="s">
        <v>16</v>
      </c>
      <c r="I352">
        <f>VLOOKUP(Table4[[#This Row],[Visitor]],'NHL Model'!$A$6:$B$38,2,FALSE)</f>
        <v>-1.1693700053921123</v>
      </c>
      <c r="J352">
        <f>($B$1+Table4[[#This Row],[Home Differential]])-Table4[[#This Row],[Away Differential]]</f>
        <v>0.150888273602241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0.55793972166803751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0.31129673301500715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-0.24840457265646038</v>
      </c>
      <c r="H353" t="s">
        <v>34</v>
      </c>
      <c r="I353">
        <f>VLOOKUP(Table4[[#This Row],[Visitor]],'NHL Model'!$A$6:$B$38,2,FALSE)</f>
        <v>-0.15703092434902144</v>
      </c>
      <c r="J353">
        <f>($B$1+Table4[[#This Row],[Home Differential]])-Table4[[#This Row],[Away Differential]]</f>
        <v>-4.274439886601672E-2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0.50508205575037168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0.24494377154027822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-0.43202172705875852</v>
      </c>
      <c r="H354" t="s">
        <v>36</v>
      </c>
      <c r="I354">
        <f>VLOOKUP(Table4[[#This Row],[Visitor]],'NHL Model'!$A$6:$B$38,2,FALSE)</f>
        <v>-0.45205624035379666</v>
      </c>
      <c r="J354">
        <f>($B$1+Table4[[#This Row],[Home Differential]])-Table4[[#This Row],[Away Differential]]</f>
        <v>6.8663762736460354E-2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0.5473342214461473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0.20490630707376561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2.1114018573289962E-3</v>
      </c>
      <c r="H355" t="s">
        <v>26</v>
      </c>
      <c r="I355">
        <f>VLOOKUP(Table4[[#This Row],[Visitor]],'NHL Model'!$A$6:$B$38,2,FALSE)</f>
        <v>-0.97739270546148105</v>
      </c>
      <c r="J355">
        <f>($B$1+Table4[[#This Row],[Home Differential]])-Table4[[#This Row],[Away Differential]]</f>
        <v>1.0281333567602322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0.76235276209480518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5.6476209683968263E-2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-1.4761804210410974</v>
      </c>
      <c r="H356" t="s">
        <v>11</v>
      </c>
      <c r="I356">
        <f>VLOOKUP(Table4[[#This Row],[Visitor]],'NHL Model'!$A$6:$B$38,2,FALSE)</f>
        <v>-0.479695961608754</v>
      </c>
      <c r="J356">
        <f>($B$1+Table4[[#This Row],[Home Differential]])-Table4[[#This Row],[Away Differential]]</f>
        <v>-0.94785520999092121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0.57269436811015262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0.18259010304478177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-0.40624923719383538</v>
      </c>
      <c r="H357" t="s">
        <v>35</v>
      </c>
      <c r="I357">
        <f>VLOOKUP(Table4[[#This Row],[Visitor]],'NHL Model'!$A$6:$B$38,2,FALSE)</f>
        <v>-1.4300915005812256</v>
      </c>
      <c r="J357">
        <f>($B$1+Table4[[#This Row],[Home Differential]])-Table4[[#This Row],[Away Differential]]</f>
        <v>1.0724715128288125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0.66751050812448465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0.11054926220763839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0.41634187791115029</v>
      </c>
      <c r="H358" t="s">
        <v>27</v>
      </c>
      <c r="I358">
        <f>VLOOKUP(Table4[[#This Row],[Visitor]],'NHL Model'!$A$6:$B$38,2,FALSE)</f>
        <v>-0.28566683768028334</v>
      </c>
      <c r="J358">
        <f>($B$1+Table4[[#This Row],[Home Differential]])-Table4[[#This Row],[Away Differential]]</f>
        <v>0.75063796503285585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0.61936688819020191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0.14488156580601025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-0.38947416486586689</v>
      </c>
      <c r="H359" t="s">
        <v>20</v>
      </c>
      <c r="I359">
        <f>VLOOKUP(Table4[[#This Row],[Visitor]],'NHL Model'!$A$6:$B$38,2,FALSE)</f>
        <v>-0.32012591315776179</v>
      </c>
      <c r="J359">
        <f>($B$1+Table4[[#This Row],[Home Differential]])-Table4[[#This Row],[Away Differential]]</f>
        <v>-2.0719002266682884E-2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0.4220321891564176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0.17811116868415824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0.24850541890141886</v>
      </c>
      <c r="H360" t="s">
        <v>28</v>
      </c>
      <c r="I360">
        <f>VLOOKUP(Table4[[#This Row],[Visitor]],'NHL Model'!$A$6:$B$38,2,FALSE)</f>
        <v>-0.81978323318233992</v>
      </c>
      <c r="J360">
        <f>($B$1+Table4[[#This Row],[Home Differential]])-Table4[[#This Row],[Away Differential]]</f>
        <v>1.1169179015251811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0.69883265622988522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9.0701768953546494E-2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-0.92247588734712094</v>
      </c>
      <c r="H361" t="s">
        <v>39</v>
      </c>
      <c r="I361">
        <f>VLOOKUP(Table4[[#This Row],[Visitor]],'NHL Model'!$A$6:$B$38,2,FALSE)</f>
        <v>0.17994412141822874</v>
      </c>
      <c r="J361">
        <f>($B$1+Table4[[#This Row],[Home Differential]])-Table4[[#This Row],[Away Differential]]</f>
        <v>-1.0537907593239275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0.68008399777038453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0.10234624848257932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0.12352843374450689</v>
      </c>
      <c r="H362" t="s">
        <v>38</v>
      </c>
      <c r="I362">
        <f>VLOOKUP(Table4[[#This Row],[Visitor]],'NHL Model'!$A$6:$B$38,2,FALSE)</f>
        <v>-1.0671109812312936</v>
      </c>
      <c r="J362">
        <f>($B$1+Table4[[#This Row],[Home Differential]])-Table4[[#This Row],[Away Differential]]</f>
        <v>1.2392686644172226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0.76378005728406118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0.58335997590484379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0.35473499802405739</v>
      </c>
      <c r="H363" t="s">
        <v>15</v>
      </c>
      <c r="I363">
        <f>VLOOKUP(Table4[[#This Row],[Visitor]],'NHL Model'!$A$6:$B$38,2,FALSE)</f>
        <v>-0.40624923719383538</v>
      </c>
      <c r="J363">
        <f>($B$1+Table4[[#This Row],[Home Differential]])-Table4[[#This Row],[Away Differential]]</f>
        <v>0.80961348465931504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0.5769449413754536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0.33286546537872558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-0.81978323318233992</v>
      </c>
      <c r="H364" t="s">
        <v>19</v>
      </c>
      <c r="I364">
        <f>VLOOKUP(Table4[[#This Row],[Visitor]],'NHL Model'!$A$6:$B$38,2,FALSE)</f>
        <v>-0.75971379218342783</v>
      </c>
      <c r="J364">
        <f>($B$1+Table4[[#This Row],[Home Differential]])-Table4[[#This Row],[Away Differential]]</f>
        <v>-1.1440191557489876E-2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0.46136017098924087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0.29013286539673983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-0.35229536402491796</v>
      </c>
      <c r="H365" t="s">
        <v>34</v>
      </c>
      <c r="I365">
        <f>VLOOKUP(Table4[[#This Row],[Visitor]],'NHL Model'!$A$6:$B$38,2,FALSE)</f>
        <v>-0.15703092434902144</v>
      </c>
      <c r="J365">
        <f>($B$1+Table4[[#This Row],[Home Differential]])-Table4[[#This Row],[Away Differential]]</f>
        <v>-0.1466351902344743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0.5199466180706156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0.2304512495018394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1.5255226246883613</v>
      </c>
      <c r="H366" t="s">
        <v>33</v>
      </c>
      <c r="I366">
        <f>VLOOKUP(Table4[[#This Row],[Visitor]],'NHL Model'!$A$6:$B$38,2,FALSE)</f>
        <v>-0.63428770456303318</v>
      </c>
      <c r="J366">
        <f>($B$1+Table4[[#This Row],[Home Differential]])-Table4[[#This Row],[Away Differential]]</f>
        <v>2.2084395786928166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0.90690027707384802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8.6675584089262701E-3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-0.97739270546148105</v>
      </c>
      <c r="H367" t="s">
        <v>29</v>
      </c>
      <c r="I367">
        <f>VLOOKUP(Table4[[#This Row],[Visitor]],'NHL Model'!$A$6:$B$38,2,FALSE)</f>
        <v>-1.4761804210410974</v>
      </c>
      <c r="J367">
        <f>($B$1+Table4[[#This Row],[Home Differential]])-Table4[[#This Row],[Away Differential]]</f>
        <v>0.54741696502103854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0.60508463351318642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0.3661274137137871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-0.479695961608754</v>
      </c>
      <c r="H368" t="s">
        <v>27</v>
      </c>
      <c r="I368">
        <f>VLOOKUP(Table4[[#This Row],[Visitor]],'NHL Model'!$A$6:$B$38,2,FALSE)</f>
        <v>-0.28566683768028334</v>
      </c>
      <c r="J368">
        <f>($B$1+Table4[[#This Row],[Home Differential]])-Table4[[#This Row],[Away Differential]]</f>
        <v>-0.14539987448704844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0.50565927655708942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0.24437275085406021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2.1114018573289962E-3</v>
      </c>
      <c r="H369" t="s">
        <v>35</v>
      </c>
      <c r="I369">
        <f>VLOOKUP(Table4[[#This Row],[Visitor]],'NHL Model'!$A$6:$B$38,2,FALSE)</f>
        <v>-1.4300915005812256</v>
      </c>
      <c r="J369">
        <f>($B$1+Table4[[#This Row],[Home Differential]])-Table4[[#This Row],[Away Differential]]</f>
        <v>1.4808321518799767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0.81617596644342683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3.3791275313008143E-2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-0.22994539344581519</v>
      </c>
      <c r="H370" t="s">
        <v>21</v>
      </c>
      <c r="I370">
        <f>VLOOKUP(Table4[[#This Row],[Visitor]],'NHL Model'!$A$6:$B$38,2,FALSE)</f>
        <v>-0.29972363155607096</v>
      </c>
      <c r="J370">
        <f>($B$1+Table4[[#This Row],[Home Differential]])-Table4[[#This Row],[Away Differential]]</f>
        <v>0.11840748755167799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0.55324845557854185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0.30608385360004181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-0.39956044496834064</v>
      </c>
      <c r="H371" t="s">
        <v>23</v>
      </c>
      <c r="I371">
        <f>VLOOKUP(Table4[[#This Row],[Visitor]],'NHL Model'!$A$6:$B$38,2,FALSE)</f>
        <v>-0.73453218371466944</v>
      </c>
      <c r="J371">
        <f>($B$1+Table4[[#This Row],[Home Differential]])-Table4[[#This Row],[Away Differential]]</f>
        <v>0.38360098818775101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0.58560788453192425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0.17172082536210703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-0.75181957250890208</v>
      </c>
      <c r="H372" t="s">
        <v>39</v>
      </c>
      <c r="I372">
        <f>VLOOKUP(Table4[[#This Row],[Visitor]],'NHL Model'!$A$6:$B$38,2,FALSE)</f>
        <v>0.17994412141822874</v>
      </c>
      <c r="J372">
        <f>($B$1+Table4[[#This Row],[Home Differential]])-Table4[[#This Row],[Away Differential]]</f>
        <v>-0.88313444448570855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0.66679720539266008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0.11102410233414116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0.41634187791115029</v>
      </c>
      <c r="H373" t="s">
        <v>16</v>
      </c>
      <c r="I373">
        <f>VLOOKUP(Table4[[#This Row],[Visitor]],'NHL Model'!$A$6:$B$38,2,FALSE)</f>
        <v>-1.1693700053921123</v>
      </c>
      <c r="J373">
        <f>($B$1+Table4[[#This Row],[Home Differential]])-Table4[[#This Row],[Away Differential]]</f>
        <v>1.6343411327446848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0.7665595424761712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5.4494447208934517E-2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-0.38947416486586689</v>
      </c>
      <c r="H374" t="s">
        <v>18</v>
      </c>
      <c r="I374">
        <f>VLOOKUP(Table4[[#This Row],[Visitor]],'NHL Model'!$A$6:$B$38,2,FALSE)</f>
        <v>-0.69003864116815428</v>
      </c>
      <c r="J374">
        <f>($B$1+Table4[[#This Row],[Home Differential]])-Table4[[#This Row],[Away Differential]]</f>
        <v>0.3491937257437096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0.56325619533659832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0.3172575415850602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-0.32012591315776179</v>
      </c>
      <c r="H375" t="s">
        <v>36</v>
      </c>
      <c r="I375">
        <f>VLOOKUP(Table4[[#This Row],[Visitor]],'NHL Model'!$A$6:$B$38,2,FALSE)</f>
        <v>-0.45205624035379666</v>
      </c>
      <c r="J375">
        <f>($B$1+Table4[[#This Row],[Home Differential]])-Table4[[#This Row],[Away Differential]]</f>
        <v>0.18055957663745709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0.56063797069901566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0.31431493418951034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0.24850541890141886</v>
      </c>
      <c r="H376" t="s">
        <v>40</v>
      </c>
      <c r="I376">
        <f>VLOOKUP(Table4[[#This Row],[Visitor]],'NHL Model'!$A$6:$B$38,2,FALSE)</f>
        <v>-0.24840457265646038</v>
      </c>
      <c r="J376">
        <f>($B$1+Table4[[#This Row],[Home Differential]])-Table4[[#This Row],[Away Differential]]</f>
        <v>0.5455392409993014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0.59188841028016903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0.16655506966364764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0.12352843374450689</v>
      </c>
      <c r="H377" t="s">
        <v>13</v>
      </c>
      <c r="I377">
        <f>VLOOKUP(Table4[[#This Row],[Visitor]],'NHL Model'!$A$6:$B$38,2,FALSE)</f>
        <v>-0.43202172705875852</v>
      </c>
      <c r="J377">
        <f>($B$1+Table4[[#This Row],[Home Differential]])-Table4[[#This Row],[Away Differential]]</f>
        <v>0.60417941024468758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0.62738890746944309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0.13883902627681524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-0.29972363155607096</v>
      </c>
      <c r="H378" t="s">
        <v>15</v>
      </c>
      <c r="I378">
        <f>VLOOKUP(Table4[[#This Row],[Visitor]],'NHL Model'!$A$6:$B$38,2,FALSE)</f>
        <v>-0.40624923719383538</v>
      </c>
      <c r="J378">
        <f>($B$1+Table4[[#This Row],[Home Differential]])-Table4[[#This Row],[Away Differential]]</f>
        <v>0.15515485507918664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0.50166846943479748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0.25167125322505235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-0.73453218371466944</v>
      </c>
      <c r="H379" t="s">
        <v>24</v>
      </c>
      <c r="I379">
        <f>VLOOKUP(Table4[[#This Row],[Visitor]],'NHL Model'!$A$6:$B$38,2,FALSE)</f>
        <v>2.1114018573289962E-3</v>
      </c>
      <c r="J379">
        <f>($B$1+Table4[[#This Row],[Home Differential]])-Table4[[#This Row],[Away Differential]]</f>
        <v>-0.68801433613057617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0.56257005862109644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0.19134495361475101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0.35473499802405739</v>
      </c>
      <c r="H380" t="s">
        <v>40</v>
      </c>
      <c r="I380">
        <f>VLOOKUP(Table4[[#This Row],[Visitor]],'NHL Model'!$A$6:$B$38,2,FALSE)</f>
        <v>-0.24840457265646038</v>
      </c>
      <c r="J380">
        <f>($B$1+Table4[[#This Row],[Home Differential]])-Table4[[#This Row],[Away Differential]]</f>
        <v>0.65176882012194004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0.61915811743185811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0.14504053951804638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-0.81978323318233992</v>
      </c>
      <c r="H381" t="s">
        <v>14</v>
      </c>
      <c r="I381">
        <f>VLOOKUP(Table4[[#This Row],[Visitor]],'NHL Model'!$A$6:$B$38,2,FALSE)</f>
        <v>-0.39956044496834064</v>
      </c>
      <c r="J381">
        <f>($B$1+Table4[[#This Row],[Home Differential]])-Table4[[#This Row],[Away Differential]]</f>
        <v>-0.37159353877257706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0.52494950071382718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0.22567297687204207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-0.35229536402491796</v>
      </c>
      <c r="H382" t="s">
        <v>29</v>
      </c>
      <c r="I382">
        <f>VLOOKUP(Table4[[#This Row],[Visitor]],'NHL Model'!$A$6:$B$38,2,FALSE)</f>
        <v>-1.4761804210410974</v>
      </c>
      <c r="J382">
        <f>($B$1+Table4[[#This Row],[Home Differential]])-Table4[[#This Row],[Away Differential]]</f>
        <v>1.1725143064576016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0.67940500350007982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0.46159115878094348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0.17994412141822874</v>
      </c>
      <c r="H383" t="s">
        <v>55</v>
      </c>
      <c r="I383">
        <f>VLOOKUP(Table4[[#This Row],[Visitor]],'NHL Model'!$A$6:$B$38,2,FALSE)</f>
        <v>-0.38947416486586689</v>
      </c>
      <c r="J383">
        <f>($B$1+Table4[[#This Row],[Home Differential]])-Table4[[#This Row],[Away Differential]]</f>
        <v>0.61804753572551785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0.63258762117020073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0.13499185611737194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-0.97739270546148105</v>
      </c>
      <c r="H384" t="s">
        <v>37</v>
      </c>
      <c r="I384">
        <f>VLOOKUP(Table4[[#This Row],[Visitor]],'NHL Model'!$A$6:$B$38,2,FALSE)</f>
        <v>0.41634187791115029</v>
      </c>
      <c r="J384">
        <f>($B$1+Table4[[#This Row],[Home Differential]])-Table4[[#This Row],[Away Differential]]</f>
        <v>-1.3451053339312091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0.71241124185268268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8.2707293812716173E-2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-0.479695961608754</v>
      </c>
      <c r="H385" t="s">
        <v>16</v>
      </c>
      <c r="I385">
        <f>VLOOKUP(Table4[[#This Row],[Visitor]],'NHL Model'!$A$6:$B$38,2,FALSE)</f>
        <v>-1.1693700053921123</v>
      </c>
      <c r="J385">
        <f>($B$1+Table4[[#This Row],[Home Differential]])-Table4[[#This Row],[Away Differential]]</f>
        <v>0.73830329322478061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0.64179650737016392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0.41190275687254085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-0.15703092434902144</v>
      </c>
      <c r="H386" t="s">
        <v>12</v>
      </c>
      <c r="I386">
        <f>VLOOKUP(Table4[[#This Row],[Visitor]],'NHL Model'!$A$6:$B$38,2,FALSE)</f>
        <v>1.5255226246883613</v>
      </c>
      <c r="J386">
        <f>($B$1+Table4[[#This Row],[Home Differential]])-Table4[[#This Row],[Away Differential]]</f>
        <v>-1.6339242995959604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0.72688708678422165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0.52836483693365255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-0.22994539344581519</v>
      </c>
      <c r="H387" t="s">
        <v>27</v>
      </c>
      <c r="I387">
        <f>VLOOKUP(Table4[[#This Row],[Visitor]],'NHL Model'!$A$6:$B$38,2,FALSE)</f>
        <v>-0.28566683768028334</v>
      </c>
      <c r="J387">
        <f>($B$1+Table4[[#This Row],[Home Differential]])-Table4[[#This Row],[Away Differential]]</f>
        <v>0.10435069367589037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0.50989411635138282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0.25999200988975751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-0.63428770456303318</v>
      </c>
      <c r="H388" t="s">
        <v>38</v>
      </c>
      <c r="I388">
        <f>VLOOKUP(Table4[[#This Row],[Visitor]],'NHL Model'!$A$6:$B$38,2,FALSE)</f>
        <v>-1.0671109812312936</v>
      </c>
      <c r="J388">
        <f>($B$1+Table4[[#This Row],[Home Differential]])-Table4[[#This Row],[Away Differential]]</f>
        <v>0.48145252610968259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0.59366569364749644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0.16510756851897021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-1.4300915005812256</v>
      </c>
      <c r="H389" t="s">
        <v>36</v>
      </c>
      <c r="I389">
        <f>VLOOKUP(Table4[[#This Row],[Visitor]],'NHL Model'!$A$6:$B$38,2,FALSE)</f>
        <v>-0.45205624035379666</v>
      </c>
      <c r="J389">
        <f>($B$1+Table4[[#This Row],[Home Differential]])-Table4[[#This Row],[Away Differential]]</f>
        <v>-0.92940601078600671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0.57133036072989496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0.32641838109175192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-0.32012591315776179</v>
      </c>
      <c r="H390" t="s">
        <v>18</v>
      </c>
      <c r="I390">
        <f>VLOOKUP(Table4[[#This Row],[Visitor]],'NHL Model'!$A$6:$B$38,2,FALSE)</f>
        <v>-0.69003864116815428</v>
      </c>
      <c r="J390">
        <f>($B$1+Table4[[#This Row],[Home Differential]])-Table4[[#This Row],[Away Differential]]</f>
        <v>0.41854197745181471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0.5304743272905309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0.28140301191434131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0.24850541890141886</v>
      </c>
      <c r="H391" t="s">
        <v>19</v>
      </c>
      <c r="I391">
        <f>VLOOKUP(Table4[[#This Row],[Visitor]],'NHL Model'!$A$6:$B$38,2,FALSE)</f>
        <v>-0.75971379218342783</v>
      </c>
      <c r="J391">
        <f>($B$1+Table4[[#This Row],[Home Differential]])-Table4[[#This Row],[Away Differential]]</f>
        <v>1.0568484605262689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0.69169075562655635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9.505459016612379E-2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-0.29972363155607096</v>
      </c>
      <c r="H392" t="s">
        <v>26</v>
      </c>
      <c r="I392">
        <f>VLOOKUP(Table4[[#This Row],[Visitor]],'NHL Model'!$A$6:$B$38,2,FALSE)</f>
        <v>-0.97739270546148105</v>
      </c>
      <c r="J392">
        <f>($B$1+Table4[[#This Row],[Home Differential]])-Table4[[#This Row],[Away Differential]]</f>
        <v>0.72629832334683231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0.66925412149065033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0.10939283615092149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1.5255226246883613</v>
      </c>
      <c r="H393" t="s">
        <v>18</v>
      </c>
      <c r="I393">
        <f>VLOOKUP(Table4[[#This Row],[Visitor]],'NHL Model'!$A$6:$B$38,2,FALSE)</f>
        <v>-0.69003864116815428</v>
      </c>
      <c r="J393">
        <f>($B$1+Table4[[#This Row],[Home Differential]])-Table4[[#This Row],[Away Differential]]</f>
        <v>2.2641905152979378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0.85743413030376237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2.0325027202244609E-2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-0.43202172705875852</v>
      </c>
      <c r="H394" t="s">
        <v>38</v>
      </c>
      <c r="I394">
        <f>VLOOKUP(Table4[[#This Row],[Visitor]],'NHL Model'!$A$6:$B$38,2,FALSE)</f>
        <v>-1.0671109812312936</v>
      </c>
      <c r="J394">
        <f>($B$1+Table4[[#This Row],[Home Differential]])-Table4[[#This Row],[Away Differential]]</f>
        <v>0.68371850361395725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0.61771391987948066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0.14614264705391214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-0.15703092434902144</v>
      </c>
      <c r="H395" t="s">
        <v>23</v>
      </c>
      <c r="I395">
        <f>VLOOKUP(Table4[[#This Row],[Visitor]],'NHL Model'!$A$6:$B$38,2,FALSE)</f>
        <v>-0.73453218371466944</v>
      </c>
      <c r="J395">
        <f>($B$1+Table4[[#This Row],[Home Differential]])-Table4[[#This Row],[Away Differential]]</f>
        <v>0.62613050880707022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0.61444320746538594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0.37754045520035129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2.1114018573289962E-3</v>
      </c>
      <c r="H396" t="s">
        <v>27</v>
      </c>
      <c r="I396">
        <f>VLOOKUP(Table4[[#This Row],[Visitor]],'NHL Model'!$A$6:$B$38,2,FALSE)</f>
        <v>-0.28566683768028334</v>
      </c>
      <c r="J396">
        <f>($B$1+Table4[[#This Row],[Home Differential]])-Table4[[#This Row],[Away Differential]]</f>
        <v>0.33640748897903455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0.63999685711320664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0.40959597711478224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-1.4761804210410974</v>
      </c>
      <c r="H397" t="s">
        <v>40</v>
      </c>
      <c r="I397">
        <f>VLOOKUP(Table4[[#This Row],[Visitor]],'NHL Model'!$A$6:$B$38,2,FALSE)</f>
        <v>-0.24840457265646038</v>
      </c>
      <c r="J397">
        <f>($B$1+Table4[[#This Row],[Home Differential]])-Table4[[#This Row],[Away Differential]]</f>
        <v>-1.1791465989432148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0.63948027701630872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0.12997447066023751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-0.40624923719383538</v>
      </c>
      <c r="H398" t="s">
        <v>37</v>
      </c>
      <c r="I398">
        <f>VLOOKUP(Table4[[#This Row],[Visitor]],'NHL Model'!$A$6:$B$38,2,FALSE)</f>
        <v>0.41634187791115029</v>
      </c>
      <c r="J398">
        <f>($B$1+Table4[[#This Row],[Home Differential]])-Table4[[#This Row],[Away Differential]]</f>
        <v>-0.7739618656635634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0.64450566769090767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0.12637622030388737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-0.39956044496834064</v>
      </c>
      <c r="H399" t="s">
        <v>19</v>
      </c>
      <c r="I399">
        <f>VLOOKUP(Table4[[#This Row],[Visitor]],'NHL Model'!$A$6:$B$38,2,FALSE)</f>
        <v>-0.75971379218342783</v>
      </c>
      <c r="J399">
        <f>($B$1+Table4[[#This Row],[Home Differential]])-Table4[[#This Row],[Away Differential]]</f>
        <v>0.4087825966565094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0.58860182856944365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0.34645211259529274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-0.75181957250890208</v>
      </c>
      <c r="H400" t="s">
        <v>17</v>
      </c>
      <c r="I400">
        <f>VLOOKUP(Table4[[#This Row],[Visitor]],'NHL Model'!$A$6:$B$38,2,FALSE)</f>
        <v>-0.92247588734712094</v>
      </c>
      <c r="J400">
        <f>($B$1+Table4[[#This Row],[Home Differential]])-Table4[[#This Row],[Away Differential]]</f>
        <v>0.21928556427964108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0.56607175425285594</v>
      </c>
      <c r="M400" t="str">
        <f>IF(OR((NHL2025_26Results[[#This Row],[Winning Team]]="")),"-",IF(Table4[[#This Row],[Predicted Winner]]=NHL2025_26Results[[#This Row],[Winning Team]],"YES","NO"))</f>
        <v>NO</v>
      </c>
      <c r="N400">
        <f>IF(Table4[[#This Row],[Adjusted Correct]]="-", "",IF(Table4[[#This Row],[Adjusted Correct]]="YES",(Table4[[#This Row],[Strength of Win]]-1)^2,(Table4[[#This Row],[Strength of Win]]-0)^2))</f>
        <v>0.32043723096290572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-1.4300915005812256</v>
      </c>
      <c r="H401" t="s">
        <v>55</v>
      </c>
      <c r="I401">
        <f>VLOOKUP(Table4[[#This Row],[Visitor]],'NHL Model'!$A$6:$B$38,2,FALSE)</f>
        <v>-0.38947416486586689</v>
      </c>
      <c r="J401">
        <f>($B$1+Table4[[#This Row],[Home Differential]])-Table4[[#This Row],[Away Differential]]</f>
        <v>-0.99198808627393653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0.57794150559821433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0.33401638389313082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-0.32012591315776179</v>
      </c>
      <c r="H402" t="s">
        <v>33</v>
      </c>
      <c r="I402">
        <f>VLOOKUP(Table4[[#This Row],[Visitor]],'NHL Model'!$A$6:$B$38,2,FALSE)</f>
        <v>-0.63428770456303318</v>
      </c>
      <c r="J402">
        <f>($B$1+Table4[[#This Row],[Home Differential]])-Table4[[#This Row],[Away Differential]]</f>
        <v>0.36279104084669361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0.58313370509894047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0.17377750782453713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0.35473499802405739</v>
      </c>
      <c r="H403" t="s">
        <v>16</v>
      </c>
      <c r="I403">
        <f>VLOOKUP(Table4[[#This Row],[Visitor]],'NHL Model'!$A$6:$B$38,2,FALSE)</f>
        <v>-1.1693700053921123</v>
      </c>
      <c r="J403">
        <f>($B$1+Table4[[#This Row],[Home Differential]])-Table4[[#This Row],[Away Differential]]</f>
        <v>1.5727342528575918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0.76741996113668021</v>
      </c>
      <c r="M403" t="str">
        <f>IF(OR((NHL2025_26Results[[#This Row],[Winning Team]]="")),"-",IF(Table4[[#This Row],[Predicted Winner]]=NHL2025_26Results[[#This Row],[Winning Team]],"YES","NO"))</f>
        <v>-</v>
      </c>
      <c r="N403" t="str">
        <f>IF(Table4[[#This Row],[Adjusted Correct]]="-", "",IF(Table4[[#This Row],[Adjusted Correct]]="YES",(Table4[[#This Row],[Strength of Win]]-1)^2,(Table4[[#This Row],[Strength of Win]]-0)^2))</f>
        <v/>
      </c>
      <c r="O403">
        <v>1.5727342528575918</v>
      </c>
      <c r="P403" s="11">
        <v>0.76741996113668021</v>
      </c>
      <c r="Q403" t="s">
        <v>25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-0.35229536402491796</v>
      </c>
      <c r="H404" t="s">
        <v>31</v>
      </c>
      <c r="I404">
        <f>VLOOKUP(Table4[[#This Row],[Visitor]],'NHL Model'!$A$6:$B$38,2,FALSE)</f>
        <v>0.12352843374450689</v>
      </c>
      <c r="J404">
        <f>($B$1+Table4[[#This Row],[Home Differential]])-Table4[[#This Row],[Away Differential]]</f>
        <v>-0.42719454832800263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0.53156013129546975</v>
      </c>
      <c r="M404" t="str">
        <f>IF(OR((NHL2025_26Results[[#This Row],[Winning Team]]="")),"-",IF(Table4[[#This Row],[Predicted Winner]]=NHL2025_26Results[[#This Row],[Winning Team]],"YES","NO"))</f>
        <v>-</v>
      </c>
      <c r="N404" t="str">
        <f>IF(Table4[[#This Row],[Adjusted Correct]]="-", "",IF(Table4[[#This Row],[Adjusted Correct]]="YES",(Table4[[#This Row],[Strength of Win]]-1)^2,(Table4[[#This Row],[Strength of Win]]-0)^2))</f>
        <v/>
      </c>
      <c r="O404">
        <v>-0.42719454832800263</v>
      </c>
      <c r="P404" s="11">
        <v>0.53156013129546975</v>
      </c>
      <c r="Q404" t="s">
        <v>31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0.17994412141822874</v>
      </c>
      <c r="H405" t="s">
        <v>36</v>
      </c>
      <c r="I405">
        <f>VLOOKUP(Table4[[#This Row],[Visitor]],'NHL Model'!$A$6:$B$38,2,FALSE)</f>
        <v>-0.45205624035379666</v>
      </c>
      <c r="J405">
        <f>($B$1+Table4[[#This Row],[Home Differential]])-Table4[[#This Row],[Away Differential]]</f>
        <v>0.68062961121344756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0.6392050364051306</v>
      </c>
      <c r="M405" t="str">
        <f>IF(OR((NHL2025_26Results[[#This Row],[Winning Team]]="")),"-",IF(Table4[[#This Row],[Predicted Winner]]=NHL2025_26Results[[#This Row],[Winning Team]],"YES","NO"))</f>
        <v>-</v>
      </c>
      <c r="N405" t="str">
        <f>IF(Table4[[#This Row],[Adjusted Correct]]="-", "",IF(Table4[[#This Row],[Adjusted Correct]]="YES",(Table4[[#This Row],[Strength of Win]]-1)^2,(Table4[[#This Row],[Strength of Win]]-0)^2))</f>
        <v/>
      </c>
      <c r="O405">
        <v>0.68062961121344756</v>
      </c>
      <c r="P405" s="11">
        <v>0.6392050364051306</v>
      </c>
      <c r="Q405" t="s">
        <v>39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-0.22994539344581519</v>
      </c>
      <c r="H406" t="s">
        <v>22</v>
      </c>
      <c r="I406">
        <f>VLOOKUP(Table4[[#This Row],[Visitor]],'NHL Model'!$A$6:$B$38,2,FALSE)</f>
        <v>0.24850541890141886</v>
      </c>
      <c r="J406">
        <f>($B$1+Table4[[#This Row],[Home Differential]])-Table4[[#This Row],[Away Differential]]</f>
        <v>-0.42982156290581186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0.53187246776283503</v>
      </c>
      <c r="M406" t="str">
        <f>IF(OR((NHL2025_26Results[[#This Row],[Winning Team]]="")),"-",IF(Table4[[#This Row],[Predicted Winner]]=NHL2025_26Results[[#This Row],[Winning Team]],"YES","NO"))</f>
        <v>-</v>
      </c>
      <c r="N406" t="str">
        <f>IF(Table4[[#This Row],[Adjusted Correct]]="-", "",IF(Table4[[#This Row],[Adjusted Correct]]="YES",(Table4[[#This Row],[Strength of Win]]-1)^2,(Table4[[#This Row],[Strength of Win]]-0)^2))</f>
        <v/>
      </c>
      <c r="O406">
        <v>-0.42982156290581186</v>
      </c>
      <c r="P406" s="11">
        <v>0.53187246776283503</v>
      </c>
      <c r="Q406" t="s">
        <v>22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-0.73453218371466944</v>
      </c>
      <c r="H407" t="s">
        <v>40</v>
      </c>
      <c r="I407">
        <f>VLOOKUP(Table4[[#This Row],[Visitor]],'NHL Model'!$A$6:$B$38,2,FALSE)</f>
        <v>-0.24840457265646038</v>
      </c>
      <c r="J407">
        <f>($B$1+Table4[[#This Row],[Home Differential]])-Table4[[#This Row],[Away Differential]]</f>
        <v>-0.43749836161678685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0.55130269611098159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2.1114018573289962E-3</v>
      </c>
      <c r="H408" t="s">
        <v>28</v>
      </c>
      <c r="I408">
        <f>VLOOKUP(Table4[[#This Row],[Visitor]],'NHL Model'!$A$6:$B$38,2,FALSE)</f>
        <v>-0.81978323318233992</v>
      </c>
      <c r="J408">
        <f>($B$1+Table4[[#This Row],[Home Differential]])-Table4[[#This Row],[Away Differential]]</f>
        <v>0.87052388448109119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0.74361392972942464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-0.28566683768028334</v>
      </c>
      <c r="H409" t="s">
        <v>14</v>
      </c>
      <c r="I409">
        <f>VLOOKUP(Table4[[#This Row],[Visitor]],'NHL Model'!$A$6:$B$38,2,FALSE)</f>
        <v>-0.39956044496834064</v>
      </c>
      <c r="J409">
        <f>($B$1+Table4[[#This Row],[Home Differential]])-Table4[[#This Row],[Away Differential]]</f>
        <v>0.16252285672947953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0.57104714259412115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-0.63428770456303318</v>
      </c>
      <c r="H410" t="s">
        <v>55</v>
      </c>
      <c r="I410">
        <f>VLOOKUP(Table4[[#This Row],[Visitor]],'NHL Model'!$A$6:$B$38,2,FALSE)</f>
        <v>-0.38947416486586689</v>
      </c>
      <c r="J410">
        <f>($B$1+Table4[[#This Row],[Home Differential]])-Table4[[#This Row],[Away Differential]]</f>
        <v>-0.19618429025574408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0.48332514965415618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-1.4300915005812256</v>
      </c>
      <c r="H411" t="s">
        <v>31</v>
      </c>
      <c r="I411">
        <f>VLOOKUP(Table4[[#This Row],[Visitor]],'NHL Model'!$A$6:$B$38,2,FALSE)</f>
        <v>0.12352843374450689</v>
      </c>
      <c r="J411">
        <f>($B$1+Table4[[#This Row],[Home Differential]])-Table4[[#This Row],[Away Differential]]</f>
        <v>-1.5049906848843102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0.65970370563098479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1.5255226246883613</v>
      </c>
      <c r="H412" t="s">
        <v>38</v>
      </c>
      <c r="I412">
        <f>VLOOKUP(Table4[[#This Row],[Visitor]],'NHL Model'!$A$6:$B$38,2,FALSE)</f>
        <v>-1.0671109812312936</v>
      </c>
      <c r="J412">
        <f>($B$1+Table4[[#This Row],[Home Differential]])-Table4[[#This Row],[Away Differential]]</f>
        <v>2.6412628553610773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0.95505614416607854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-0.97739270546148105</v>
      </c>
      <c r="H413" t="s">
        <v>21</v>
      </c>
      <c r="I413">
        <f>VLOOKUP(Table4[[#This Row],[Visitor]],'NHL Model'!$A$6:$B$38,2,FALSE)</f>
        <v>-0.29972363155607096</v>
      </c>
      <c r="J413">
        <f>($B$1+Table4[[#This Row],[Home Differential]])-Table4[[#This Row],[Away Differential]]</f>
        <v>-0.62903982446398787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0.53561860094588687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-0.92247588734712094</v>
      </c>
      <c r="H414" t="s">
        <v>34</v>
      </c>
      <c r="I414">
        <f>VLOOKUP(Table4[[#This Row],[Visitor]],'NHL Model'!$A$6:$B$38,2,FALSE)</f>
        <v>-0.15703092434902144</v>
      </c>
      <c r="J414">
        <f>($B$1+Table4[[#This Row],[Home Differential]])-Table4[[#This Row],[Away Differential]]</f>
        <v>-0.71681571355667728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0.58063798500677388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-0.479695961608754</v>
      </c>
      <c r="H415" t="s">
        <v>19</v>
      </c>
      <c r="I415">
        <f>VLOOKUP(Table4[[#This Row],[Visitor]],'NHL Model'!$A$6:$B$38,2,FALSE)</f>
        <v>-0.75971379218342783</v>
      </c>
      <c r="J415">
        <f>($B$1+Table4[[#This Row],[Home Differential]])-Table4[[#This Row],[Away Differential]]</f>
        <v>0.32864708001609605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0.59309081096913574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-0.43202172705875852</v>
      </c>
      <c r="H416" t="s">
        <v>22</v>
      </c>
      <c r="I416">
        <f>VLOOKUP(Table4[[#This Row],[Visitor]],'NHL Model'!$A$6:$B$38,2,FALSE)</f>
        <v>0.24850541890141886</v>
      </c>
      <c r="J416">
        <f>($B$1+Table4[[#This Row],[Home Differential]])-Table4[[#This Row],[Away Differential]]</f>
        <v>-0.63189789651875516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0.55589814645984315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-0.69003864116815428</v>
      </c>
      <c r="H417" t="s">
        <v>36</v>
      </c>
      <c r="I417">
        <f>VLOOKUP(Table4[[#This Row],[Visitor]],'NHL Model'!$A$6:$B$38,2,FALSE)</f>
        <v>-0.45205624035379666</v>
      </c>
      <c r="J417">
        <f>($B$1+Table4[[#This Row],[Home Differential]])-Table4[[#This Row],[Away Differential]]</f>
        <v>-0.1893531513729354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0.48334246080532051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-1.4761804210410974</v>
      </c>
      <c r="H418" t="s">
        <v>16</v>
      </c>
      <c r="I418">
        <f>VLOOKUP(Table4[[#This Row],[Visitor]],'NHL Model'!$A$6:$B$38,2,FALSE)</f>
        <v>-1.1693700053921123</v>
      </c>
      <c r="J418">
        <f>($B$1+Table4[[#This Row],[Home Differential]])-Table4[[#This Row],[Away Differential]]</f>
        <v>-0.25818116620756282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0.49069621085269161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-0.22994539344581519</v>
      </c>
      <c r="H419" t="s">
        <v>37</v>
      </c>
      <c r="I419">
        <f>VLOOKUP(Table4[[#This Row],[Visitor]],'NHL Model'!$A$6:$B$38,2,FALSE)</f>
        <v>0.41634187791115029</v>
      </c>
      <c r="J419">
        <f>($B$1+Table4[[#This Row],[Home Differential]])-Table4[[#This Row],[Away Differential]]</f>
        <v>-0.59765802191554329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0.62354418532825384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-0.40624923719383538</v>
      </c>
      <c r="H420" t="s">
        <v>39</v>
      </c>
      <c r="I420">
        <f>VLOOKUP(Table4[[#This Row],[Visitor]],'NHL Model'!$A$6:$B$38,2,FALSE)</f>
        <v>0.17994412141822874</v>
      </c>
      <c r="J420">
        <f>($B$1+Table4[[#This Row],[Home Differential]])-Table4[[#This Row],[Away Differential]]</f>
        <v>-0.5375641091706419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0.62571094014301498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-0.32012591315776179</v>
      </c>
      <c r="H421" t="s">
        <v>10</v>
      </c>
      <c r="I421">
        <f>VLOOKUP(Table4[[#This Row],[Visitor]],'NHL Model'!$A$6:$B$38,2,FALSE)</f>
        <v>-0.35229536402491796</v>
      </c>
      <c r="J421">
        <f>($B$1+Table4[[#This Row],[Home Differential]])-Table4[[#This Row],[Away Differential]]</f>
        <v>8.0798700308578386E-2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0.54960648670748358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0.12352843374450689</v>
      </c>
      <c r="H422" t="s">
        <v>55</v>
      </c>
      <c r="I422">
        <f>VLOOKUP(Table4[[#This Row],[Visitor]],'NHL Model'!$A$6:$B$38,2,FALSE)</f>
        <v>-0.38947416486586689</v>
      </c>
      <c r="J422">
        <f>($B$1+Table4[[#This Row],[Home Differential]])-Table4[[#This Row],[Away Differential]]</f>
        <v>0.561631848051796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0.68660940962142947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-0.69003864116815428</v>
      </c>
      <c r="H423" t="s">
        <v>40</v>
      </c>
      <c r="I423">
        <f>VLOOKUP(Table4[[#This Row],[Visitor]],'NHL Model'!$A$6:$B$38,2,FALSE)</f>
        <v>-0.24840457265646038</v>
      </c>
      <c r="J423">
        <f>($B$1+Table4[[#This Row],[Home Differential]])-Table4[[#This Row],[Away Differential]]</f>
        <v>-0.39300481907027168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0.54601267754125749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2.1114018573289962E-3</v>
      </c>
      <c r="H424" t="s">
        <v>39</v>
      </c>
      <c r="I424">
        <f>VLOOKUP(Table4[[#This Row],[Visitor]],'NHL Model'!$A$6:$B$38,2,FALSE)</f>
        <v>0.17994412141822874</v>
      </c>
      <c r="J424">
        <f>($B$1+Table4[[#This Row],[Home Differential]])-Table4[[#This Row],[Away Differential]]</f>
        <v>-0.12920347011947753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0.4736948603569523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-0.28566683768028334</v>
      </c>
      <c r="H425" t="s">
        <v>23</v>
      </c>
      <c r="I425">
        <f>VLOOKUP(Table4[[#This Row],[Visitor]],'NHL Model'!$A$6:$B$38,2,FALSE)</f>
        <v>-0.73453218371466944</v>
      </c>
      <c r="J425">
        <f>($B$1+Table4[[#This Row],[Home Differential]])-Table4[[#This Row],[Away Differential]]</f>
        <v>0.49749459547580832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0.63139522538922055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-0.63428770456303318</v>
      </c>
      <c r="H426" t="s">
        <v>22</v>
      </c>
      <c r="I426">
        <f>VLOOKUP(Table4[[#This Row],[Visitor]],'NHL Model'!$A$6:$B$38,2,FALSE)</f>
        <v>0.24850541890141886</v>
      </c>
      <c r="J426">
        <f>($B$1+Table4[[#This Row],[Home Differential]])-Table4[[#This Row],[Away Differential]]</f>
        <v>-0.83416387402302983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0.57994637269182747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-0.29972363155607096</v>
      </c>
      <c r="H427" t="s">
        <v>35</v>
      </c>
      <c r="I427">
        <f>VLOOKUP(Table4[[#This Row],[Visitor]],'NHL Model'!$A$6:$B$38,2,FALSE)</f>
        <v>-1.4300915005812256</v>
      </c>
      <c r="J427">
        <f>($B$1+Table4[[#This Row],[Home Differential]])-Table4[[#This Row],[Away Differential]]</f>
        <v>1.1789971184665768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0.72307732583927198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0.35473499802405739</v>
      </c>
      <c r="H428" t="s">
        <v>19</v>
      </c>
      <c r="I428">
        <f>VLOOKUP(Table4[[#This Row],[Visitor]],'NHL Model'!$A$6:$B$38,2,FALSE)</f>
        <v>-0.75971379218342783</v>
      </c>
      <c r="J428">
        <f>($B$1+Table4[[#This Row],[Home Differential]])-Table4[[#This Row],[Away Differential]]</f>
        <v>1.1630780396489073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0.71871426473565203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-0.81978323318233992</v>
      </c>
      <c r="H429" t="s">
        <v>26</v>
      </c>
      <c r="I429">
        <f>VLOOKUP(Table4[[#This Row],[Visitor]],'NHL Model'!$A$6:$B$38,2,FALSE)</f>
        <v>-0.97739270546148105</v>
      </c>
      <c r="J429">
        <f>($B$1+Table4[[#This Row],[Home Differential]])-Table4[[#This Row],[Away Differential]]</f>
        <v>0.20623872172056334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0.56452056197946854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-1.1693700053921123</v>
      </c>
      <c r="H430" t="s">
        <v>34</v>
      </c>
      <c r="I430">
        <f>VLOOKUP(Table4[[#This Row],[Visitor]],'NHL Model'!$A$6:$B$38,2,FALSE)</f>
        <v>-0.15703092434902144</v>
      </c>
      <c r="J430">
        <f>($B$1+Table4[[#This Row],[Home Differential]])-Table4[[#This Row],[Away Differential]]</f>
        <v>-0.96370983160166868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0.61709195148982787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-0.92247588734712094</v>
      </c>
      <c r="H431" t="s">
        <v>32</v>
      </c>
      <c r="I431">
        <f>VLOOKUP(Table4[[#This Row],[Visitor]],'NHL Model'!$A$6:$B$38,2,FALSE)</f>
        <v>-0.75181957250890208</v>
      </c>
      <c r="J431">
        <f>($B$1+Table4[[#This Row],[Home Differential]])-Table4[[#This Row],[Away Differential]]</f>
        <v>-0.12202706539679664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0.46746234316472379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-0.479695961608754</v>
      </c>
      <c r="H432" t="s">
        <v>29</v>
      </c>
      <c r="I432">
        <f>VLOOKUP(Table4[[#This Row],[Visitor]],'NHL Model'!$A$6:$B$38,2,FALSE)</f>
        <v>-1.4761804210410974</v>
      </c>
      <c r="J432">
        <f>($B$1+Table4[[#This Row],[Home Differential]])-Table4[[#This Row],[Away Differential]]</f>
        <v>1.0451137088737656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0.67827444783694346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-0.43202172705875852</v>
      </c>
      <c r="H433" t="s">
        <v>10</v>
      </c>
      <c r="I433">
        <f>VLOOKUP(Table4[[#This Row],[Visitor]],'NHL Model'!$A$6:$B$38,2,FALSE)</f>
        <v>-0.35229536402491796</v>
      </c>
      <c r="J433">
        <f>($B$1+Table4[[#This Row],[Home Differential]])-Table4[[#This Row],[Away Differential]]</f>
        <v>-3.1097113592418346E-2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0.46369726254538474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-0.22994539344581519</v>
      </c>
      <c r="H434" t="s">
        <v>12</v>
      </c>
      <c r="I434">
        <f>VLOOKUP(Table4[[#This Row],[Visitor]],'NHL Model'!$A$6:$B$38,2,FALSE)</f>
        <v>1.5255226246883613</v>
      </c>
      <c r="J434">
        <f>($B$1+Table4[[#This Row],[Home Differential]])-Table4[[#This Row],[Away Differential]]</f>
        <v>-1.7068387686927542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0.73555618511731957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-0.45205624035379666</v>
      </c>
      <c r="H435" t="s">
        <v>15</v>
      </c>
      <c r="I435">
        <f>VLOOKUP(Table4[[#This Row],[Visitor]],'NHL Model'!$A$6:$B$38,2,FALSE)</f>
        <v>-0.40624923719383538</v>
      </c>
      <c r="J435">
        <f>($B$1+Table4[[#This Row],[Home Differential]])-Table4[[#This Row],[Away Differential]]</f>
        <v>2.8222462814609384E-3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0.44273186172417189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0.41634187791115029</v>
      </c>
      <c r="H436" t="s">
        <v>14</v>
      </c>
      <c r="I436">
        <f>VLOOKUP(Table4[[#This Row],[Visitor]],'NHL Model'!$A$6:$B$38,2,FALSE)</f>
        <v>-0.39956044496834064</v>
      </c>
      <c r="J436">
        <f>($B$1+Table4[[#This Row],[Home Differential]])-Table4[[#This Row],[Away Differential]]</f>
        <v>0.86453157232091316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0.65451181924252422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0.12352843374450689</v>
      </c>
      <c r="H437" t="s">
        <v>22</v>
      </c>
      <c r="I437">
        <f>VLOOKUP(Table4[[#This Row],[Visitor]],'NHL Model'!$A$6:$B$38,2,FALSE)</f>
        <v>0.24850541890141886</v>
      </c>
      <c r="J437">
        <f>($B$1+Table4[[#This Row],[Home Differential]])-Table4[[#This Row],[Away Differential]]</f>
        <v>-7.6347735715489751E-2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0.40907729339081278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0.17994412141822874</v>
      </c>
      <c r="H438" t="s">
        <v>33</v>
      </c>
      <c r="I438">
        <f>VLOOKUP(Table4[[#This Row],[Visitor]],'NHL Model'!$A$6:$B$38,2,FALSE)</f>
        <v>-0.63428770456303318</v>
      </c>
      <c r="J438">
        <f>($B$1+Table4[[#This Row],[Home Differential]])-Table4[[#This Row],[Away Differential]]</f>
        <v>0.8628610754226842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0.6616945004384448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2.1114018573289962E-3</v>
      </c>
      <c r="H439" t="s">
        <v>20</v>
      </c>
      <c r="I439">
        <f>VLOOKUP(Table4[[#This Row],[Visitor]],'NHL Model'!$A$6:$B$38,2,FALSE)</f>
        <v>-0.32012591315776179</v>
      </c>
      <c r="J439">
        <f>($B$1+Table4[[#This Row],[Home Differential]])-Table4[[#This Row],[Away Differential]]</f>
        <v>0.370866564456513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0.6842076350145162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-1.0671109812312936</v>
      </c>
      <c r="H440" t="s">
        <v>55</v>
      </c>
      <c r="I440">
        <f>VLOOKUP(Table4[[#This Row],[Visitor]],'NHL Model'!$A$6:$B$38,2,FALSE)</f>
        <v>-0.38947416486586689</v>
      </c>
      <c r="J440">
        <f>($B$1+Table4[[#This Row],[Home Differential]])-Table4[[#This Row],[Away Differential]]</f>
        <v>-0.6290075669240045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0.53478527262796205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-0.24840457265646038</v>
      </c>
      <c r="H441" t="s">
        <v>23</v>
      </c>
      <c r="I441">
        <f>VLOOKUP(Table4[[#This Row],[Visitor]],'NHL Model'!$A$6:$B$38,2,FALSE)</f>
        <v>-0.73453218371466944</v>
      </c>
      <c r="J441">
        <f>($B$1+Table4[[#This Row],[Home Differential]])-Table4[[#This Row],[Away Differential]]</f>
        <v>0.53475686049963134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0.60607490130526631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-0.29972363155607096</v>
      </c>
      <c r="H442" t="s">
        <v>24</v>
      </c>
      <c r="I442">
        <f>VLOOKUP(Table4[[#This Row],[Visitor]],'NHL Model'!$A$6:$B$38,2,FALSE)</f>
        <v>2.1114018573289962E-3</v>
      </c>
      <c r="J442">
        <f>($B$1+Table4[[#This Row],[Home Differential]])-Table4[[#This Row],[Away Differential]]</f>
        <v>-0.25320578397197774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0.46760466738567713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0.35473499802405739</v>
      </c>
      <c r="H443" t="s">
        <v>29</v>
      </c>
      <c r="I443">
        <f>VLOOKUP(Table4[[#This Row],[Visitor]],'NHL Model'!$A$6:$B$38,2,FALSE)</f>
        <v>-1.4761804210410974</v>
      </c>
      <c r="J443">
        <f>($B$1+Table4[[#This Row],[Home Differential]])-Table4[[#This Row],[Away Differential]]</f>
        <v>1.8795446685065769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0.80389790160345975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-1.1693700053921123</v>
      </c>
      <c r="H444" t="s">
        <v>55</v>
      </c>
      <c r="I444">
        <f>VLOOKUP(Table4[[#This Row],[Visitor]],'NHL Model'!$A$6:$B$38,2,FALSE)</f>
        <v>-0.38947416486586689</v>
      </c>
      <c r="J444">
        <f>($B$1+Table4[[#This Row],[Home Differential]])-Table4[[#This Row],[Away Differential]]</f>
        <v>-0.73126659108482328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0.54694326468191157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-0.92247588734712094</v>
      </c>
      <c r="H445" t="s">
        <v>40</v>
      </c>
      <c r="I445">
        <f>VLOOKUP(Table4[[#This Row],[Visitor]],'NHL Model'!$A$6:$B$38,2,FALSE)</f>
        <v>-0.24840457265646038</v>
      </c>
      <c r="J445">
        <f>($B$1+Table4[[#This Row],[Home Differential]])-Table4[[#This Row],[Away Differential]]</f>
        <v>-0.62544206524923829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0.56654885560561707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-0.479695961608754</v>
      </c>
      <c r="H446" t="s">
        <v>28</v>
      </c>
      <c r="I446">
        <f>VLOOKUP(Table4[[#This Row],[Visitor]],'NHL Model'!$A$6:$B$38,2,FALSE)</f>
        <v>-0.81978323318233992</v>
      </c>
      <c r="J446">
        <f>($B$1+Table4[[#This Row],[Home Differential]])-Table4[[#This Row],[Away Differential]]</f>
        <v>0.38871652101500814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0.60023271157246449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-0.43202172705875852</v>
      </c>
      <c r="H447" t="s">
        <v>10</v>
      </c>
      <c r="I447">
        <f>VLOOKUP(Table4[[#This Row],[Visitor]],'NHL Model'!$A$6:$B$38,2,FALSE)</f>
        <v>-0.35229536402491796</v>
      </c>
      <c r="J447">
        <f>($B$1+Table4[[#This Row],[Home Differential]])-Table4[[#This Row],[Away Differential]]</f>
        <v>-3.1097113592418346E-2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0.46369726254538474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-0.40624923719383538</v>
      </c>
      <c r="H448" t="s">
        <v>12</v>
      </c>
      <c r="I448">
        <f>VLOOKUP(Table4[[#This Row],[Visitor]],'NHL Model'!$A$6:$B$38,2,FALSE)</f>
        <v>1.5255226246883613</v>
      </c>
      <c r="J448">
        <f>($B$1+Table4[[#This Row],[Home Differential]])-Table4[[#This Row],[Away Differential]]</f>
        <v>-1.8831426124407744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0.7565176674799734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-0.45205624035379666</v>
      </c>
      <c r="H449" t="s">
        <v>35</v>
      </c>
      <c r="I449">
        <f>VLOOKUP(Table4[[#This Row],[Visitor]],'NHL Model'!$A$6:$B$38,2,FALSE)</f>
        <v>-1.4300915005812256</v>
      </c>
      <c r="J449">
        <f>($B$1+Table4[[#This Row],[Home Differential]])-Table4[[#This Row],[Away Differential]]</f>
        <v>1.0266645096688511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0.66455980607485321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-0.75181957250890208</v>
      </c>
      <c r="H450" t="s">
        <v>26</v>
      </c>
      <c r="I450">
        <f>VLOOKUP(Table4[[#This Row],[Visitor]],'NHL Model'!$A$6:$B$38,2,FALSE)</f>
        <v>-0.97739270546148105</v>
      </c>
      <c r="J450">
        <f>($B$1+Table4[[#This Row],[Home Differential]])-Table4[[#This Row],[Away Differential]]</f>
        <v>0.27420238239400119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0.57260103852621791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0.41634187791115029</v>
      </c>
      <c r="H451" t="s">
        <v>30</v>
      </c>
      <c r="I451">
        <f>VLOOKUP(Table4[[#This Row],[Visitor]],'NHL Model'!$A$6:$B$38,2,FALSE)</f>
        <v>-0.22994539344581519</v>
      </c>
      <c r="J451">
        <f>($B$1+Table4[[#This Row],[Home Differential]])-Table4[[#This Row],[Away Differential]]</f>
        <v>0.69491652079838773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0.58262145671112586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-0.75971379218342783</v>
      </c>
      <c r="H452" t="s">
        <v>18</v>
      </c>
      <c r="I452">
        <f>VLOOKUP(Table4[[#This Row],[Visitor]],'NHL Model'!$A$6:$B$38,2,FALSE)</f>
        <v>-0.69003864116815428</v>
      </c>
      <c r="J452">
        <f>($B$1+Table4[[#This Row],[Home Differential]])-Table4[[#This Row],[Away Differential]]</f>
        <v>-2.1045901573851333E-2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0.52179006682104867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-1.0671109812312936</v>
      </c>
      <c r="H453" t="s">
        <v>34</v>
      </c>
      <c r="I453">
        <f>VLOOKUP(Table4[[#This Row],[Visitor]],'NHL Model'!$A$6:$B$38,2,FALSE)</f>
        <v>-0.15703092434902144</v>
      </c>
      <c r="J453">
        <f>($B$1+Table4[[#This Row],[Home Differential]])-Table4[[#This Row],[Away Differential]]</f>
        <v>-0.8614508074408499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0.60493395943587835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0.12352843374450689</v>
      </c>
      <c r="H454" t="s">
        <v>10</v>
      </c>
      <c r="I454">
        <f>VLOOKUP(Table4[[#This Row],[Visitor]],'NHL Model'!$A$6:$B$38,2,FALSE)</f>
        <v>-0.35229536402491796</v>
      </c>
      <c r="J454">
        <f>($B$1+Table4[[#This Row],[Home Differential]])-Table4[[#This Row],[Away Differential]]</f>
        <v>0.52445304721084707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0.68218907049821664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0.35473499802405739</v>
      </c>
      <c r="H455" t="s">
        <v>33</v>
      </c>
      <c r="I455">
        <f>VLOOKUP(Table4[[#This Row],[Visitor]],'NHL Model'!$A$6:$B$38,2,FALSE)</f>
        <v>-0.63428770456303318</v>
      </c>
      <c r="J455">
        <f>($B$1+Table4[[#This Row],[Home Differential]])-Table4[[#This Row],[Away Differential]]</f>
        <v>1.0376519520285128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0.70380184610892482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0.17994412141822874</v>
      </c>
      <c r="H456" t="s">
        <v>14</v>
      </c>
      <c r="I456">
        <f>VLOOKUP(Table4[[#This Row],[Visitor]],'NHL Model'!$A$6:$B$38,2,FALSE)</f>
        <v>-0.39956044496834064</v>
      </c>
      <c r="J456">
        <f>($B$1+Table4[[#This Row],[Home Differential]])-Table4[[#This Row],[Away Differential]]</f>
        <v>0.62813381582799166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0.6131429272614507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-0.479695961608754</v>
      </c>
      <c r="H457" t="s">
        <v>30</v>
      </c>
      <c r="I457">
        <f>VLOOKUP(Table4[[#This Row],[Visitor]],'NHL Model'!$A$6:$B$38,2,FALSE)</f>
        <v>-0.22994539344581519</v>
      </c>
      <c r="J457">
        <f>($B$1+Table4[[#This Row],[Home Differential]])-Table4[[#This Row],[Away Differential]]</f>
        <v>-0.20112131872151659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0.5424306516037174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-0.69003864116815428</v>
      </c>
      <c r="H458" t="s">
        <v>35</v>
      </c>
      <c r="I458">
        <f>VLOOKUP(Table4[[#This Row],[Visitor]],'NHL Model'!$A$6:$B$38,2,FALSE)</f>
        <v>-1.4300915005812256</v>
      </c>
      <c r="J458">
        <f>($B$1+Table4[[#This Row],[Home Differential]])-Table4[[#This Row],[Away Differential]]</f>
        <v>0.78868210885449352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0.63376962953866245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-0.40624923719383538</v>
      </c>
      <c r="H459" t="s">
        <v>20</v>
      </c>
      <c r="I459">
        <f>VLOOKUP(Table4[[#This Row],[Visitor]],'NHL Model'!$A$6:$B$38,2,FALSE)</f>
        <v>-0.32012591315776179</v>
      </c>
      <c r="J459">
        <f>($B$1+Table4[[#This Row],[Home Differential]])-Table4[[#This Row],[Away Differential]]</f>
        <v>-3.7494074594651372E-2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0.46445782330442603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-0.28566683768028334</v>
      </c>
      <c r="H460" t="s">
        <v>12</v>
      </c>
      <c r="I460">
        <f>VLOOKUP(Table4[[#This Row],[Visitor]],'NHL Model'!$A$6:$B$38,2,FALSE)</f>
        <v>1.5255226246883613</v>
      </c>
      <c r="J460">
        <f>($B$1+Table4[[#This Row],[Home Differential]])-Table4[[#This Row],[Away Differential]]</f>
        <v>-1.7625602129272224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0.70955796556082851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0.24850541890141886</v>
      </c>
      <c r="H461" t="s">
        <v>28</v>
      </c>
      <c r="I461">
        <f>VLOOKUP(Table4[[#This Row],[Visitor]],'NHL Model'!$A$6:$B$38,2,FALSE)</f>
        <v>-0.81978323318233992</v>
      </c>
      <c r="J461">
        <f>($B$1+Table4[[#This Row],[Home Differential]])-Table4[[#This Row],[Away Differential]]</f>
        <v>1.1169179015251811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0.69883265622988522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-1.1693700053921123</v>
      </c>
      <c r="H462" t="s">
        <v>23</v>
      </c>
      <c r="I462">
        <f>VLOOKUP(Table4[[#This Row],[Visitor]],'NHL Model'!$A$6:$B$38,2,FALSE)</f>
        <v>-0.73453218371466944</v>
      </c>
      <c r="J462">
        <f>($B$1+Table4[[#This Row],[Home Differential]])-Table4[[#This Row],[Away Differential]]</f>
        <v>-0.38620857223602068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0.50591791082445969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-0.75181957250890208</v>
      </c>
      <c r="H463" t="s">
        <v>34</v>
      </c>
      <c r="I463">
        <f>VLOOKUP(Table4[[#This Row],[Visitor]],'NHL Model'!$A$6:$B$38,2,FALSE)</f>
        <v>-0.15703092434902144</v>
      </c>
      <c r="J463">
        <f>($B$1+Table4[[#This Row],[Home Differential]])-Table4[[#This Row],[Away Differential]]</f>
        <v>-0.54615939871845842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0.56744767914537908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-0.75971379218342783</v>
      </c>
      <c r="H464" t="s">
        <v>37</v>
      </c>
      <c r="I464">
        <f>VLOOKUP(Table4[[#This Row],[Visitor]],'NHL Model'!$A$6:$B$38,2,FALSE)</f>
        <v>0.41634187791115029</v>
      </c>
      <c r="J464">
        <f>($B$1+Table4[[#This Row],[Home Differential]])-Table4[[#This Row],[Away Differential]]</f>
        <v>-1.1274264206531559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0.68653050888397338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-0.38947416486586689</v>
      </c>
      <c r="H465" t="s">
        <v>13</v>
      </c>
      <c r="I465">
        <f>VLOOKUP(Table4[[#This Row],[Visitor]],'NHL Model'!$A$6:$B$38,2,FALSE)</f>
        <v>-0.43202172705875852</v>
      </c>
      <c r="J465">
        <f>($B$1+Table4[[#This Row],[Home Differential]])-Table4[[#This Row],[Away Differential]]</f>
        <v>9.1176811634313848E-2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0.52554626500328905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-1.0671109812312936</v>
      </c>
      <c r="H466" t="s">
        <v>26</v>
      </c>
      <c r="I466">
        <f>VLOOKUP(Table4[[#This Row],[Visitor]],'NHL Model'!$A$6:$B$38,2,FALSE)</f>
        <v>-0.97739270546148105</v>
      </c>
      <c r="J466">
        <f>($B$1+Table4[[#This Row],[Home Differential]])-Table4[[#This Row],[Away Differential]]</f>
        <v>-4.1089026328390288E-2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0.46488524176428142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0.35473499802405739</v>
      </c>
      <c r="H467" t="s">
        <v>28</v>
      </c>
      <c r="I467">
        <f>VLOOKUP(Table4[[#This Row],[Visitor]],'NHL Model'!$A$6:$B$38,2,FALSE)</f>
        <v>-0.81978323318233992</v>
      </c>
      <c r="J467">
        <f>($B$1+Table4[[#This Row],[Home Differential]])-Table4[[#This Row],[Away Differential]]</f>
        <v>1.2231474806478195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0.72585616533898079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-0.92247588734712094</v>
      </c>
      <c r="H468" t="s">
        <v>23</v>
      </c>
      <c r="I468">
        <f>VLOOKUP(Table4[[#This Row],[Visitor]],'NHL Model'!$A$6:$B$38,2,FALSE)</f>
        <v>-0.73453218371466944</v>
      </c>
      <c r="J468">
        <f>($B$1+Table4[[#This Row],[Home Differential]])-Table4[[#This Row],[Away Differential]]</f>
        <v>-0.13931445419102928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0.46951771125882247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-0.69003864116815428</v>
      </c>
      <c r="H469" t="s">
        <v>37</v>
      </c>
      <c r="I469">
        <f>VLOOKUP(Table4[[#This Row],[Visitor]],'NHL Model'!$A$6:$B$38,2,FALSE)</f>
        <v>0.41634187791115029</v>
      </c>
      <c r="J469">
        <f>($B$1+Table4[[#This Row],[Home Differential]])-Table4[[#This Row],[Away Differential]]</f>
        <v>-1.0577512696378824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0.67824654627672987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-1.4761804210410974</v>
      </c>
      <c r="H470" t="s">
        <v>12</v>
      </c>
      <c r="I470">
        <f>VLOOKUP(Table4[[#This Row],[Visitor]],'NHL Model'!$A$6:$B$38,2,FALSE)</f>
        <v>1.5255226246883613</v>
      </c>
      <c r="J470">
        <f>($B$1+Table4[[#This Row],[Home Differential]])-Table4[[#This Row],[Away Differential]]</f>
        <v>-2.9530737962880362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0.88372614554084672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-0.22994539344581519</v>
      </c>
      <c r="H471" t="s">
        <v>20</v>
      </c>
      <c r="I471">
        <f>VLOOKUP(Table4[[#This Row],[Visitor]],'NHL Model'!$A$6:$B$38,2,FALSE)</f>
        <v>-0.32012591315776179</v>
      </c>
      <c r="J471">
        <f>($B$1+Table4[[#This Row],[Home Differential]])-Table4[[#This Row],[Away Differential]]</f>
        <v>0.13880976915336882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0.55650365905822785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-0.45205624035379666</v>
      </c>
      <c r="H472" t="s">
        <v>24</v>
      </c>
      <c r="I472">
        <f>VLOOKUP(Table4[[#This Row],[Visitor]],'NHL Model'!$A$6:$B$38,2,FALSE)</f>
        <v>2.1114018573289962E-3</v>
      </c>
      <c r="J472">
        <f>($B$1+Table4[[#This Row],[Home Differential]])-Table4[[#This Row],[Away Differential]]</f>
        <v>-0.40553839276970344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0.52647698151550815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-0.28566683768028334</v>
      </c>
      <c r="H473" t="s">
        <v>33</v>
      </c>
      <c r="I473">
        <f>VLOOKUP(Table4[[#This Row],[Visitor]],'NHL Model'!$A$6:$B$38,2,FALSE)</f>
        <v>-0.63428770456303318</v>
      </c>
      <c r="J473">
        <f>($B$1+Table4[[#This Row],[Home Differential]])-Table4[[#This Row],[Away Differential]]</f>
        <v>0.39725011632417206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0.61947675080001274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-0.39956044496834064</v>
      </c>
      <c r="H474" t="s">
        <v>31</v>
      </c>
      <c r="I474">
        <f>VLOOKUP(Table4[[#This Row],[Visitor]],'NHL Model'!$A$6:$B$38,2,FALSE)</f>
        <v>0.12352843374450689</v>
      </c>
      <c r="J474">
        <f>($B$1+Table4[[#This Row],[Home Differential]])-Table4[[#This Row],[Away Differential]]</f>
        <v>-0.47445962927142532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0.5371796693582982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-1.4300915005812256</v>
      </c>
      <c r="H475" t="s">
        <v>21</v>
      </c>
      <c r="I475">
        <f>VLOOKUP(Table4[[#This Row],[Visitor]],'NHL Model'!$A$6:$B$38,2,FALSE)</f>
        <v>-0.29972363155607096</v>
      </c>
      <c r="J475">
        <f>($B$1+Table4[[#This Row],[Home Differential]])-Table4[[#This Row],[Away Differential]]</f>
        <v>-1.0817386195837324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0.58944180529450851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-0.24840457265646038</v>
      </c>
      <c r="H476" t="s">
        <v>39</v>
      </c>
      <c r="I476">
        <f>VLOOKUP(Table4[[#This Row],[Visitor]],'NHL Model'!$A$6:$B$38,2,FALSE)</f>
        <v>0.17994412141822874</v>
      </c>
      <c r="J476">
        <f>($B$1+Table4[[#This Row],[Home Differential]])-Table4[[#This Row],[Away Differential]]</f>
        <v>-0.3797194446332669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0.60446842590103933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-1.1693700053921123</v>
      </c>
      <c r="H477" t="s">
        <v>26</v>
      </c>
      <c r="I477">
        <f>VLOOKUP(Table4[[#This Row],[Visitor]],'NHL Model'!$A$6:$B$38,2,FALSE)</f>
        <v>-0.97739270546148105</v>
      </c>
      <c r="J477">
        <f>($B$1+Table4[[#This Row],[Home Differential]])-Table4[[#This Row],[Away Differential]]</f>
        <v>-0.14334805048920907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0.47704323381823099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-0.35229536402491796</v>
      </c>
      <c r="H478" t="s">
        <v>15</v>
      </c>
      <c r="I478">
        <f>VLOOKUP(Table4[[#This Row],[Visitor]],'NHL Model'!$A$6:$B$38,2,FALSE)</f>
        <v>-0.40624923719383538</v>
      </c>
      <c r="J478">
        <f>($B$1+Table4[[#This Row],[Home Differential]])-Table4[[#This Row],[Away Differential]]</f>
        <v>0.10258312261033964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0.45211505904409433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-0.75181957250890208</v>
      </c>
      <c r="H479" t="s">
        <v>13</v>
      </c>
      <c r="I479">
        <f>VLOOKUP(Table4[[#This Row],[Visitor]],'NHL Model'!$A$6:$B$38,2,FALSE)</f>
        <v>-0.43202172705875852</v>
      </c>
      <c r="J479">
        <f>($B$1+Table4[[#This Row],[Home Differential]])-Table4[[#This Row],[Away Differential]]</f>
        <v>-0.27116859600872134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0.55855612877488692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-0.38947416486586689</v>
      </c>
      <c r="H480" t="s">
        <v>11</v>
      </c>
      <c r="I480">
        <f>VLOOKUP(Table4[[#This Row],[Visitor]],'NHL Model'!$A$6:$B$38,2,FALSE)</f>
        <v>-0.479695961608754</v>
      </c>
      <c r="J480">
        <f>($B$1+Table4[[#This Row],[Home Differential]])-Table4[[#This Row],[Away Differential]]</f>
        <v>0.13885104618430932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0.59693974409872919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-0.81978323318233992</v>
      </c>
      <c r="H481" t="s">
        <v>36</v>
      </c>
      <c r="I481">
        <f>VLOOKUP(Table4[[#This Row],[Visitor]],'NHL Model'!$A$6:$B$38,2,FALSE)</f>
        <v>-0.45205624035379666</v>
      </c>
      <c r="J481">
        <f>($B$1+Table4[[#This Row],[Home Differential]])-Table4[[#This Row],[Away Differential]]</f>
        <v>-0.31909774338712105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0.49876832401589277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1.5255226246883613</v>
      </c>
      <c r="H482" t="s">
        <v>11</v>
      </c>
      <c r="I482">
        <f>VLOOKUP(Table4[[#This Row],[Visitor]],'NHL Model'!$A$6:$B$38,2,FALSE)</f>
        <v>-0.479695961608754</v>
      </c>
      <c r="J482">
        <f>($B$1+Table4[[#This Row],[Home Differential]])-Table4[[#This Row],[Away Differential]]</f>
        <v>2.0538478357385377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0.88852023484414233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-0.92247588734712094</v>
      </c>
      <c r="H483" t="s">
        <v>26</v>
      </c>
      <c r="I483">
        <f>VLOOKUP(Table4[[#This Row],[Visitor]],'NHL Model'!$A$6:$B$38,2,FALSE)</f>
        <v>-0.97739270546148105</v>
      </c>
      <c r="J483">
        <f>($B$1+Table4[[#This Row],[Home Differential]])-Table4[[#This Row],[Away Differential]]</f>
        <v>0.10354606755578233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0.55935696574740634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-0.15703092434902144</v>
      </c>
      <c r="H484" t="s">
        <v>39</v>
      </c>
      <c r="I484">
        <f>VLOOKUP(Table4[[#This Row],[Visitor]],'NHL Model'!$A$6:$B$38,2,FALSE)</f>
        <v>0.17994412141822874</v>
      </c>
      <c r="J484">
        <f>($B$1+Table4[[#This Row],[Home Differential]])-Table4[[#This Row],[Away Differential]]</f>
        <v>-0.28834579632582796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0.59608035944726334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2.1114018573289962E-3</v>
      </c>
      <c r="H485" t="s">
        <v>37</v>
      </c>
      <c r="I485">
        <f>VLOOKUP(Table4[[#This Row],[Visitor]],'NHL Model'!$A$6:$B$38,2,FALSE)</f>
        <v>0.41634187791115029</v>
      </c>
      <c r="J485">
        <f>($B$1+Table4[[#This Row],[Home Differential]])-Table4[[#This Row],[Away Differential]]</f>
        <v>-0.36560122661239908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0.49244741137193099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-1.4761804210410974</v>
      </c>
      <c r="H486" t="s">
        <v>35</v>
      </c>
      <c r="I486">
        <f>VLOOKUP(Table4[[#This Row],[Visitor]],'NHL Model'!$A$6:$B$38,2,FALSE)</f>
        <v>-1.4300915005812256</v>
      </c>
      <c r="J486">
        <f>($B$1+Table4[[#This Row],[Home Differential]])-Table4[[#This Row],[Away Differential]]</f>
        <v>2.5403289815504326E-3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0.54030203006361122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-0.22994539344581519</v>
      </c>
      <c r="H487" t="s">
        <v>31</v>
      </c>
      <c r="I487">
        <f>VLOOKUP(Table4[[#This Row],[Visitor]],'NHL Model'!$A$6:$B$38,2,FALSE)</f>
        <v>0.12352843374450689</v>
      </c>
      <c r="J487">
        <f>($B$1+Table4[[#This Row],[Home Differential]])-Table4[[#This Row],[Away Differential]]</f>
        <v>-0.30484457774889984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0.51701344475793432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-0.28566683768028334</v>
      </c>
      <c r="H488" t="s">
        <v>20</v>
      </c>
      <c r="I488">
        <f>VLOOKUP(Table4[[#This Row],[Visitor]],'NHL Model'!$A$6:$B$38,2,FALSE)</f>
        <v>-0.32012591315776179</v>
      </c>
      <c r="J488">
        <f>($B$1+Table4[[#This Row],[Home Differential]])-Table4[[#This Row],[Away Differential]]</f>
        <v>8.3088324918900669E-2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0.58212477531516027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-0.39956044496834064</v>
      </c>
      <c r="H489" t="s">
        <v>18</v>
      </c>
      <c r="I489">
        <f>VLOOKUP(Table4[[#This Row],[Visitor]],'NHL Model'!$A$6:$B$38,2,FALSE)</f>
        <v>-0.69003864116815428</v>
      </c>
      <c r="J489">
        <f>($B$1+Table4[[#This Row],[Home Differential]])-Table4[[#This Row],[Away Differential]]</f>
        <v>0.33910744564123585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0.52103003213430688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-0.75971379218342783</v>
      </c>
      <c r="H490" t="s">
        <v>33</v>
      </c>
      <c r="I490">
        <f>VLOOKUP(Table4[[#This Row],[Visitor]],'NHL Model'!$A$6:$B$38,2,FALSE)</f>
        <v>-0.63428770456303318</v>
      </c>
      <c r="J490">
        <f>($B$1+Table4[[#This Row],[Home Differential]])-Table4[[#This Row],[Away Differential]]</f>
        <v>-7.6796838178972426E-2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0.46913068901263921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-1.0671109812312936</v>
      </c>
      <c r="H491" t="s">
        <v>23</v>
      </c>
      <c r="I491">
        <f>VLOOKUP(Table4[[#This Row],[Visitor]],'NHL Model'!$A$6:$B$38,2,FALSE)</f>
        <v>-0.73453218371466944</v>
      </c>
      <c r="J491">
        <f>($B$1+Table4[[#This Row],[Home Differential]])-Table4[[#This Row],[Away Differential]]</f>
        <v>-0.2839495480752019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0.49375991877051012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-0.24840457265646038</v>
      </c>
      <c r="H492" t="s">
        <v>21</v>
      </c>
      <c r="I492">
        <f>VLOOKUP(Table4[[#This Row],[Visitor]],'NHL Model'!$A$6:$B$38,2,FALSE)</f>
        <v>-0.29972363155607096</v>
      </c>
      <c r="J492">
        <f>($B$1+Table4[[#This Row],[Home Differential]])-Table4[[#This Row],[Away Differential]]</f>
        <v>9.9948308341032799E-2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0.55354992830140437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0.24850541890141886</v>
      </c>
      <c r="H493" t="s">
        <v>25</v>
      </c>
      <c r="I493">
        <f>VLOOKUP(Table4[[#This Row],[Visitor]],'NHL Model'!$A$6:$B$38,2,FALSE)</f>
        <v>0.35473499802405739</v>
      </c>
      <c r="J493">
        <f>($B$1+Table4[[#This Row],[Home Differential]])-Table4[[#This Row],[Away Differential]]</f>
        <v>-5.7600329681216311E-2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0.51317745182201213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-1.4300915005812256</v>
      </c>
      <c r="H494" t="s">
        <v>10</v>
      </c>
      <c r="I494">
        <f>VLOOKUP(Table4[[#This Row],[Visitor]],'NHL Model'!$A$6:$B$38,2,FALSE)</f>
        <v>-0.35229536402491796</v>
      </c>
      <c r="J494">
        <f>($B$1+Table4[[#This Row],[Home Differential]])-Table4[[#This Row],[Away Differential]]</f>
        <v>-1.0291668871148854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0.58236184472142705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-0.38947416486586689</v>
      </c>
      <c r="H495" t="s">
        <v>32</v>
      </c>
      <c r="I495">
        <f>VLOOKUP(Table4[[#This Row],[Visitor]],'NHL Model'!$A$6:$B$38,2,FALSE)</f>
        <v>-0.75181957250890208</v>
      </c>
      <c r="J495">
        <f>($B$1+Table4[[#This Row],[Home Differential]])-Table4[[#This Row],[Away Differential]]</f>
        <v>0.41097465708445741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0.62929362901174135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-0.81978323318233992</v>
      </c>
      <c r="H496" t="s">
        <v>20</v>
      </c>
      <c r="I496">
        <f>VLOOKUP(Table4[[#This Row],[Visitor]],'NHL Model'!$A$6:$B$38,2,FALSE)</f>
        <v>-0.32012591315776179</v>
      </c>
      <c r="J496">
        <f>($B$1+Table4[[#This Row],[Home Differential]])-Table4[[#This Row],[Away Differential]]</f>
        <v>-0.45102807058315592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0.51362456510082055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-0.35229536402491796</v>
      </c>
      <c r="H497" t="s">
        <v>26</v>
      </c>
      <c r="I497">
        <f>VLOOKUP(Table4[[#This Row],[Visitor]],'NHL Model'!$A$6:$B$38,2,FALSE)</f>
        <v>-0.97739270546148105</v>
      </c>
      <c r="J497">
        <f>($B$1+Table4[[#This Row],[Home Differential]])-Table4[[#This Row],[Away Differential]]</f>
        <v>0.67372659087798525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0.62010209960098139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1.5255226246883613</v>
      </c>
      <c r="H498" t="s">
        <v>29</v>
      </c>
      <c r="I498">
        <f>VLOOKUP(Table4[[#This Row],[Visitor]],'NHL Model'!$A$6:$B$38,2,FALSE)</f>
        <v>-1.4761804210410974</v>
      </c>
      <c r="J498">
        <f>($B$1+Table4[[#This Row],[Home Differential]])-Table4[[#This Row],[Away Differential]]</f>
        <v>3.0503322951708807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0.17994412141822874</v>
      </c>
      <c r="H499" t="s">
        <v>11</v>
      </c>
      <c r="I499">
        <f>VLOOKUP(Table4[[#This Row],[Visitor]],'NHL Model'!$A$6:$B$38,2,FALSE)</f>
        <v>-0.479695961608754</v>
      </c>
      <c r="J499">
        <f>($B$1+Table4[[#This Row],[Home Differential]])-Table4[[#This Row],[Away Differential]]</f>
        <v>0.70826933246840496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0.64331445820873923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-0.43202172705875852</v>
      </c>
      <c r="H500" t="s">
        <v>16</v>
      </c>
      <c r="I500">
        <f>VLOOKUP(Table4[[#This Row],[Visitor]],'NHL Model'!$A$6:$B$38,2,FALSE)</f>
        <v>-1.1693700053921123</v>
      </c>
      <c r="J500">
        <f>($B$1+Table4[[#This Row],[Home Differential]])-Table4[[#This Row],[Away Differential]]</f>
        <v>0.78597752777477603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0.6334480708738276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-0.15703092434902144</v>
      </c>
      <c r="H501" t="s">
        <v>36</v>
      </c>
      <c r="I501">
        <f>VLOOKUP(Table4[[#This Row],[Visitor]],'NHL Model'!$A$6:$B$38,2,FALSE)</f>
        <v>-0.45205624035379666</v>
      </c>
      <c r="J501">
        <f>($B$1+Table4[[#This Row],[Home Differential]])-Table4[[#This Row],[Away Differential]]</f>
        <v>0.34365456544619744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0.58002899847625333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2.1114018573289962E-3</v>
      </c>
      <c r="H502" t="s">
        <v>31</v>
      </c>
      <c r="I502">
        <f>VLOOKUP(Table4[[#This Row],[Visitor]],'NHL Model'!$A$6:$B$38,2,FALSE)</f>
        <v>0.12352843374450689</v>
      </c>
      <c r="J502">
        <f>($B$1+Table4[[#This Row],[Home Differential]])-Table4[[#This Row],[Away Differential]]</f>
        <v>-7.2787782445755678E-2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0.38796438086853624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-0.22994539344581519</v>
      </c>
      <c r="H503" t="s">
        <v>37</v>
      </c>
      <c r="I503">
        <f>VLOOKUP(Table4[[#This Row],[Visitor]],'NHL Model'!$A$6:$B$38,2,FALSE)</f>
        <v>0.41634187791115029</v>
      </c>
      <c r="J503">
        <f>($B$1+Table4[[#This Row],[Home Differential]])-Table4[[#This Row],[Away Differential]]</f>
        <v>-0.59765802191554329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0.62354418532825384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-0.40624923719383538</v>
      </c>
      <c r="H504" t="s">
        <v>18</v>
      </c>
      <c r="I504">
        <f>VLOOKUP(Table4[[#This Row],[Visitor]],'NHL Model'!$A$6:$B$38,2,FALSE)</f>
        <v>-0.69003864116815428</v>
      </c>
      <c r="J504">
        <f>($B$1+Table4[[#This Row],[Home Differential]])-Table4[[#This Row],[Away Differential]]</f>
        <v>0.33241865341574112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0.52023477437201693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-0.28566683768028334</v>
      </c>
      <c r="H505" t="s">
        <v>25</v>
      </c>
      <c r="I505">
        <f>VLOOKUP(Table4[[#This Row],[Visitor]],'NHL Model'!$A$6:$B$38,2,FALSE)</f>
        <v>0.35473499802405739</v>
      </c>
      <c r="J505">
        <f>($B$1+Table4[[#This Row],[Home Differential]])-Table4[[#This Row],[Away Differential]]</f>
        <v>-0.59177258626291851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0.57035825405701901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-0.39956044496834064</v>
      </c>
      <c r="H506" t="s">
        <v>33</v>
      </c>
      <c r="I506">
        <f>VLOOKUP(Table4[[#This Row],[Visitor]],'NHL Model'!$A$6:$B$38,2,FALSE)</f>
        <v>-0.63428770456303318</v>
      </c>
      <c r="J506">
        <f>($B$1+Table4[[#This Row],[Home Differential]])-Table4[[#This Row],[Away Differential]]</f>
        <v>0.28335650903611476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0.57368940994271644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-0.75971379218342783</v>
      </c>
      <c r="H507" t="s">
        <v>17</v>
      </c>
      <c r="I507">
        <f>VLOOKUP(Table4[[#This Row],[Visitor]],'NHL Model'!$A$6:$B$38,2,FALSE)</f>
        <v>-0.92247588734712094</v>
      </c>
      <c r="J507">
        <f>($B$1+Table4[[#This Row],[Home Differential]])-Table4[[#This Row],[Away Differential]]</f>
        <v>0.21139134460511533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0.56513317830943521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-0.24840457265646038</v>
      </c>
      <c r="H508" t="s">
        <v>22</v>
      </c>
      <c r="I508">
        <f>VLOOKUP(Table4[[#This Row],[Visitor]],'NHL Model'!$A$6:$B$38,2,FALSE)</f>
        <v>0.24850541890141886</v>
      </c>
      <c r="J508">
        <f>($B$1+Table4[[#This Row],[Home Differential]])-Table4[[#This Row],[Away Differential]]</f>
        <v>-0.44828074211645702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0.53155879359018354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0.35473499802405739</v>
      </c>
      <c r="H509" t="s">
        <v>27</v>
      </c>
      <c r="I509">
        <f>VLOOKUP(Table4[[#This Row],[Visitor]],'NHL Model'!$A$6:$B$38,2,FALSE)</f>
        <v>-0.28566683768028334</v>
      </c>
      <c r="J509">
        <f>($B$1+Table4[[#This Row],[Home Differential]])-Table4[[#This Row],[Away Differential]]</f>
        <v>0.68903108514576294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0.62038325174673348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-0.15703092434902144</v>
      </c>
      <c r="H510" t="s">
        <v>21</v>
      </c>
      <c r="I510">
        <f>VLOOKUP(Table4[[#This Row],[Visitor]],'NHL Model'!$A$6:$B$38,2,FALSE)</f>
        <v>-0.29972363155607096</v>
      </c>
      <c r="J510">
        <f>($B$1+Table4[[#This Row],[Home Differential]])-Table4[[#This Row],[Away Differential]]</f>
        <v>0.19132195664847174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0.56191755391163967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-0.69003864116815428</v>
      </c>
      <c r="H511" t="s">
        <v>17</v>
      </c>
      <c r="I511">
        <f>VLOOKUP(Table4[[#This Row],[Visitor]],'NHL Model'!$A$6:$B$38,2,FALSE)</f>
        <v>-0.92247588734712094</v>
      </c>
      <c r="J511">
        <f>($B$1+Table4[[#This Row],[Home Differential]])-Table4[[#This Row],[Away Differential]]</f>
        <v>0.28106649562038888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0.57341714091667872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2.1114018573289962E-3</v>
      </c>
      <c r="H512" t="s">
        <v>38</v>
      </c>
      <c r="I512">
        <f>VLOOKUP(Table4[[#This Row],[Visitor]],'NHL Model'!$A$6:$B$38,2,FALSE)</f>
        <v>-1.0671109812312936</v>
      </c>
      <c r="J512">
        <f>($B$1+Table4[[#This Row],[Home Differential]])-Table4[[#This Row],[Away Differential]]</f>
        <v>1.1178516325300447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0.7696983882948284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-0.39956044496834064</v>
      </c>
      <c r="H513" t="s">
        <v>55</v>
      </c>
      <c r="I513">
        <f>VLOOKUP(Table4[[#This Row],[Visitor]],'NHL Model'!$A$6:$B$38,2,FALSE)</f>
        <v>-0.38947416486586689</v>
      </c>
      <c r="J513">
        <f>($B$1+Table4[[#This Row],[Home Differential]])-Table4[[#This Row],[Away Differential]]</f>
        <v>3.8542969338948463E-2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0.54458253067447238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-0.75181957250890208</v>
      </c>
      <c r="H514" t="s">
        <v>23</v>
      </c>
      <c r="I514">
        <f>VLOOKUP(Table4[[#This Row],[Visitor]],'NHL Model'!$A$6:$B$38,2,FALSE)</f>
        <v>-0.73453218371466944</v>
      </c>
      <c r="J514">
        <f>($B$1+Table4[[#This Row],[Home Differential]])-Table4[[#This Row],[Away Differential]]</f>
        <v>3.1341860647189579E-2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0.54372636151998932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0.17994412141822874</v>
      </c>
      <c r="H515" t="s">
        <v>13</v>
      </c>
      <c r="I515">
        <f>VLOOKUP(Table4[[#This Row],[Visitor]],'NHL Model'!$A$6:$B$38,2,FALSE)</f>
        <v>-0.43202172705875852</v>
      </c>
      <c r="J515">
        <f>($B$1+Table4[[#This Row],[Home Differential]])-Table4[[#This Row],[Away Differential]]</f>
        <v>0.66059509791840942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0.57149858937542974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-0.40624923719383538</v>
      </c>
      <c r="H516" t="s">
        <v>31</v>
      </c>
      <c r="I516">
        <f>VLOOKUP(Table4[[#This Row],[Visitor]],'NHL Model'!$A$6:$B$38,2,FALSE)</f>
        <v>0.12352843374450689</v>
      </c>
      <c r="J516">
        <f>($B$1+Table4[[#This Row],[Home Differential]])-Table4[[#This Row],[Away Differential]]</f>
        <v>-0.48114842149692005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0.53797492712058814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-1.4300915005812256</v>
      </c>
      <c r="H517" t="s">
        <v>29</v>
      </c>
      <c r="I517">
        <f>VLOOKUP(Table4[[#This Row],[Visitor]],'NHL Model'!$A$6:$B$38,2,FALSE)</f>
        <v>-1.4761804210410974</v>
      </c>
      <c r="J517">
        <f>($B$1+Table4[[#This Row],[Home Differential]])-Table4[[#This Row],[Away Differential]]</f>
        <v>9.4718169901294003E-2</v>
      </c>
      <c r="K517" t="str">
        <f>IF(Table4[[#This Row],[HomeIce Differential]]&gt;0,Table4[[#This Row],[Home]],Table4[[#This Row],[Visitor]])</f>
        <v>St. Louis Blues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0.55126142916456478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0.41634187791115029</v>
      </c>
      <c r="H518" t="s">
        <v>11</v>
      </c>
      <c r="I518">
        <f>VLOOKUP(Table4[[#This Row],[Visitor]],'NHL Model'!$A$6:$B$38,2,FALSE)</f>
        <v>-0.479695961608754</v>
      </c>
      <c r="J518">
        <f>($B$1+Table4[[#This Row],[Home Differential]])-Table4[[#This Row],[Away Differential]]</f>
        <v>0.94466708896132645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0.68456138521871024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-0.24840457265646038</v>
      </c>
      <c r="H519" t="s">
        <v>36</v>
      </c>
      <c r="I519">
        <f>VLOOKUP(Table4[[#This Row],[Visitor]],'NHL Model'!$A$6:$B$38,2,FALSE)</f>
        <v>-0.45205624035379666</v>
      </c>
      <c r="J519">
        <f>($B$1+Table4[[#This Row],[Home Differential]])-Table4[[#This Row],[Away Differential]]</f>
        <v>0.2522809171387585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0.57166137286601792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-0.29972363155607096</v>
      </c>
      <c r="H520" t="s">
        <v>55</v>
      </c>
      <c r="I520">
        <f>VLOOKUP(Table4[[#This Row],[Visitor]],'NHL Model'!$A$6:$B$38,2,FALSE)</f>
        <v>-0.38947416486586689</v>
      </c>
      <c r="J520">
        <f>($B$1+Table4[[#This Row],[Home Differential]])-Table4[[#This Row],[Away Differential]]</f>
        <v>0.13837978275121815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0.59935409062696976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-0.81978323318233992</v>
      </c>
      <c r="H521" t="s">
        <v>31</v>
      </c>
      <c r="I521">
        <f>VLOOKUP(Table4[[#This Row],[Visitor]],'NHL Model'!$A$6:$B$38,2,FALSE)</f>
        <v>0.12352843374450689</v>
      </c>
      <c r="J521">
        <f>($B$1+Table4[[#This Row],[Home Differential]])-Table4[[#This Row],[Away Differential]]</f>
        <v>-0.89468241748542465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0.58714166891698261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-0.97739270546148105</v>
      </c>
      <c r="H522" t="s">
        <v>30</v>
      </c>
      <c r="I522">
        <f>VLOOKUP(Table4[[#This Row],[Visitor]],'NHL Model'!$A$6:$B$38,2,FALSE)</f>
        <v>-0.22994539344581519</v>
      </c>
      <c r="J522">
        <f>($B$1+Table4[[#This Row],[Home Differential]])-Table4[[#This Row],[Away Differential]]</f>
        <v>-0.69881806257424361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0.6157084960181971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-0.15703092434902144</v>
      </c>
      <c r="H523" t="s">
        <v>22</v>
      </c>
      <c r="I523">
        <f>VLOOKUP(Table4[[#This Row],[Visitor]],'NHL Model'!$A$6:$B$38,2,FALSE)</f>
        <v>0.24850541890141886</v>
      </c>
      <c r="J523">
        <f>($B$1+Table4[[#This Row],[Home Differential]])-Table4[[#This Row],[Away Differential]]</f>
        <v>-0.35690709380901808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0.52320336942973722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-0.69003864116815428</v>
      </c>
      <c r="H524" t="s">
        <v>27</v>
      </c>
      <c r="I524">
        <f>VLOOKUP(Table4[[#This Row],[Visitor]],'NHL Model'!$A$6:$B$38,2,FALSE)</f>
        <v>-0.28566683768028334</v>
      </c>
      <c r="J524">
        <f>($B$1+Table4[[#This Row],[Home Differential]])-Table4[[#This Row],[Away Differential]]</f>
        <v>-0.35574255404644872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0.54480824459709321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-0.40624923719383538</v>
      </c>
      <c r="H525" t="s">
        <v>38</v>
      </c>
      <c r="I525">
        <f>VLOOKUP(Table4[[#This Row],[Visitor]],'NHL Model'!$A$6:$B$38,2,FALSE)</f>
        <v>-1.0671109812312936</v>
      </c>
      <c r="J525">
        <f>($B$1+Table4[[#This Row],[Home Differential]])-Table4[[#This Row],[Away Differential]]</f>
        <v>0.70949099347888045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0.62077811621383494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-0.39956044496834064</v>
      </c>
      <c r="H526" t="s">
        <v>17</v>
      </c>
      <c r="I526">
        <f>VLOOKUP(Table4[[#This Row],[Visitor]],'NHL Model'!$A$6:$B$38,2,FALSE)</f>
        <v>-0.92247588734712094</v>
      </c>
      <c r="J526">
        <f>($B$1+Table4[[#This Row],[Home Differential]])-Table4[[#This Row],[Away Differential]]</f>
        <v>0.57154469182020251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0.60795327726479087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-0.75181957250890208</v>
      </c>
      <c r="H527" t="s">
        <v>12</v>
      </c>
      <c r="I527">
        <f>VLOOKUP(Table4[[#This Row],[Visitor]],'NHL Model'!$A$6:$B$38,2,FALSE)</f>
        <v>1.5255226246883613</v>
      </c>
      <c r="J527">
        <f>($B$1+Table4[[#This Row],[Home Differential]])-Table4[[#This Row],[Away Differential]]</f>
        <v>-2.2287129477558412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0.79760393272961849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-0.63428770456303318</v>
      </c>
      <c r="H528" t="s">
        <v>16</v>
      </c>
      <c r="I528">
        <f>VLOOKUP(Table4[[#This Row],[Visitor]],'NHL Model'!$A$6:$B$38,2,FALSE)</f>
        <v>-1.1693700053921123</v>
      </c>
      <c r="J528">
        <f>($B$1+Table4[[#This Row],[Home Differential]])-Table4[[#This Row],[Away Differential]]</f>
        <v>0.58371155027050137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0.60939984464184338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-0.75971379218342783</v>
      </c>
      <c r="H529" t="s">
        <v>10</v>
      </c>
      <c r="I529">
        <f>VLOOKUP(Table4[[#This Row],[Visitor]],'NHL Model'!$A$6:$B$38,2,FALSE)</f>
        <v>-0.35229536402491796</v>
      </c>
      <c r="J529">
        <f>($B$1+Table4[[#This Row],[Home Differential]])-Table4[[#This Row],[Away Differential]]</f>
        <v>-0.35878917871708765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0.5026579074040961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-0.97739270546148105</v>
      </c>
      <c r="H530" t="s">
        <v>55</v>
      </c>
      <c r="I530">
        <f>VLOOKUP(Table4[[#This Row],[Visitor]],'NHL Model'!$A$6:$B$38,2,FALSE)</f>
        <v>-0.38947416486586689</v>
      </c>
      <c r="J530">
        <f>($B$1+Table4[[#This Row],[Home Differential]])-Table4[[#This Row],[Away Differential]]</f>
        <v>-0.539289291154192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0.52411830124959269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-0.479695961608754</v>
      </c>
      <c r="H531" t="s">
        <v>13</v>
      </c>
      <c r="I531">
        <f>VLOOKUP(Table4[[#This Row],[Visitor]],'NHL Model'!$A$6:$B$38,2,FALSE)</f>
        <v>-0.43202172705875852</v>
      </c>
      <c r="J531">
        <f>($B$1+Table4[[#This Row],[Home Differential]])-Table4[[#This Row],[Away Differential]]</f>
        <v>9.5501489142674201E-4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0.48791842366058991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-1.4761804210410974</v>
      </c>
      <c r="H532" t="s">
        <v>25</v>
      </c>
      <c r="I532">
        <f>VLOOKUP(Table4[[#This Row],[Visitor]],'NHL Model'!$A$6:$B$38,2,FALSE)</f>
        <v>0.35473499802405739</v>
      </c>
      <c r="J532">
        <f>($B$1+Table4[[#This Row],[Home Differential]])-Table4[[#This Row],[Away Differential]]</f>
        <v>-1.7822861696237324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0.74452643403703733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-1.4300915005812256</v>
      </c>
      <c r="H533" t="s">
        <v>40</v>
      </c>
      <c r="I533">
        <f>VLOOKUP(Table4[[#This Row],[Visitor]],'NHL Model'!$A$6:$B$38,2,FALSE)</f>
        <v>-0.24840457265646038</v>
      </c>
      <c r="J533">
        <f>($B$1+Table4[[#This Row],[Home Differential]])-Table4[[#This Row],[Away Differential]]</f>
        <v>-1.133057678483343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0.63400057746583194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-0.32012591315776179</v>
      </c>
      <c r="H534" t="s">
        <v>24</v>
      </c>
      <c r="I534">
        <f>VLOOKUP(Table4[[#This Row],[Visitor]],'NHL Model'!$A$6:$B$38,2,FALSE)</f>
        <v>2.1114018573289962E-3</v>
      </c>
      <c r="J534">
        <f>($B$1+Table4[[#This Row],[Home Differential]])-Table4[[#This Row],[Away Differential]]</f>
        <v>-0.27360806557366857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0.51329960854703616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-0.29972363155607096</v>
      </c>
      <c r="H535" t="s">
        <v>17</v>
      </c>
      <c r="I535">
        <f>VLOOKUP(Table4[[#This Row],[Visitor]],'NHL Model'!$A$6:$B$38,2,FALSE)</f>
        <v>-0.92247588734712094</v>
      </c>
      <c r="J535">
        <f>($B$1+Table4[[#This Row],[Home Differential]])-Table4[[#This Row],[Away Differential]]</f>
        <v>0.6713815052324722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0.66272483721728825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-0.73453218371466944</v>
      </c>
      <c r="H536" t="s">
        <v>27</v>
      </c>
      <c r="I536">
        <f>VLOOKUP(Table4[[#This Row],[Visitor]],'NHL Model'!$A$6:$B$38,2,FALSE)</f>
        <v>-0.28566683768028334</v>
      </c>
      <c r="J536">
        <f>($B$1+Table4[[#This Row],[Home Differential]])-Table4[[#This Row],[Away Differential]]</f>
        <v>-0.40023609659296389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0.55009826316681731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-0.81978323318233992</v>
      </c>
      <c r="H537" t="s">
        <v>34</v>
      </c>
      <c r="I537">
        <f>VLOOKUP(Table4[[#This Row],[Visitor]],'NHL Model'!$A$6:$B$38,2,FALSE)</f>
        <v>-0.15703092434902144</v>
      </c>
      <c r="J537">
        <f>($B$1+Table4[[#This Row],[Home Differential]])-Table4[[#This Row],[Away Differential]]</f>
        <v>-0.61412305939189626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0.57552815569212856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-1.1693700053921123</v>
      </c>
      <c r="H538" t="s">
        <v>32</v>
      </c>
      <c r="I538">
        <f>VLOOKUP(Table4[[#This Row],[Visitor]],'NHL Model'!$A$6:$B$38,2,FALSE)</f>
        <v>-0.75181957250890208</v>
      </c>
      <c r="J538">
        <f>($B$1+Table4[[#This Row],[Home Differential]])-Table4[[#This Row],[Away Differential]]</f>
        <v>-0.36892118344178804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0.50386254273036091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-0.69003864116815428</v>
      </c>
      <c r="H539" t="s">
        <v>10</v>
      </c>
      <c r="I539">
        <f>VLOOKUP(Table4[[#This Row],[Visitor]],'NHL Model'!$A$6:$B$38,2,FALSE)</f>
        <v>-0.35229536402491796</v>
      </c>
      <c r="J539">
        <f>($B$1+Table4[[#This Row],[Home Differential]])-Table4[[#This Row],[Away Differential]]</f>
        <v>-0.2891140277018141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0.49437394479685265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-0.45205624035379666</v>
      </c>
      <c r="H540" t="s">
        <v>14</v>
      </c>
      <c r="I540">
        <f>VLOOKUP(Table4[[#This Row],[Visitor]],'NHL Model'!$A$6:$B$38,2,FALSE)</f>
        <v>-0.39956044496834064</v>
      </c>
      <c r="J540">
        <f>($B$1+Table4[[#This Row],[Home Differential]])-Table4[[#This Row],[Away Differential]]</f>
        <v>-3.8665459440337946E-3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0.47872057896739068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-0.63428770456303318</v>
      </c>
      <c r="H541" t="s">
        <v>39</v>
      </c>
      <c r="I541">
        <f>VLOOKUP(Table4[[#This Row],[Visitor]],'NHL Model'!$A$6:$B$38,2,FALSE)</f>
        <v>0.17994412141822874</v>
      </c>
      <c r="J541">
        <f>($B$1+Table4[[#This Row],[Home Differential]])-Table4[[#This Row],[Away Differential]]</f>
        <v>-0.76560257653983976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0.65282336270935348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-1.4300915005812256</v>
      </c>
      <c r="H542" t="s">
        <v>15</v>
      </c>
      <c r="I542">
        <f>VLOOKUP(Table4[[#This Row],[Visitor]],'NHL Model'!$A$6:$B$38,2,FALSE)</f>
        <v>-0.40624923719383538</v>
      </c>
      <c r="J542">
        <f>($B$1+Table4[[#This Row],[Home Differential]])-Table4[[#This Row],[Away Differential]]</f>
        <v>-0.97521301394596804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0.67602851529142072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0.41634187791115029</v>
      </c>
      <c r="H543" t="s">
        <v>13</v>
      </c>
      <c r="I543">
        <f>VLOOKUP(Table4[[#This Row],[Visitor]],'NHL Model'!$A$6:$B$38,2,FALSE)</f>
        <v>-0.43202172705875852</v>
      </c>
      <c r="J543">
        <f>($B$1+Table4[[#This Row],[Home Differential]])-Table4[[#This Row],[Away Differential]]</f>
        <v>0.89699285441133103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0.61297624933218453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0.24850541890141886</v>
      </c>
      <c r="H544" t="s">
        <v>19</v>
      </c>
      <c r="I544">
        <f>VLOOKUP(Table4[[#This Row],[Visitor]],'NHL Model'!$A$6:$B$38,2,FALSE)</f>
        <v>-0.75971379218342783</v>
      </c>
      <c r="J544">
        <f>($B$1+Table4[[#This Row],[Home Differential]])-Table4[[#This Row],[Away Differential]]</f>
        <v>1.0568484605262689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0.69169075562655635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0.12352843374450689</v>
      </c>
      <c r="H545" t="s">
        <v>39</v>
      </c>
      <c r="I545">
        <f>VLOOKUP(Table4[[#This Row],[Visitor]],'NHL Model'!$A$6:$B$38,2,FALSE)</f>
        <v>0.17994412141822874</v>
      </c>
      <c r="J545">
        <f>($B$1+Table4[[#This Row],[Home Differential]])-Table4[[#This Row],[Away Differential]]</f>
        <v>-7.7864382322996306E-3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0.4809257613685809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1.5255226246883613</v>
      </c>
      <c r="H546" t="s">
        <v>40</v>
      </c>
      <c r="I546">
        <f>VLOOKUP(Table4[[#This Row],[Visitor]],'NHL Model'!$A$6:$B$38,2,FALSE)</f>
        <v>-0.24840457265646038</v>
      </c>
      <c r="J546">
        <f>($B$1+Table4[[#This Row],[Home Differential]])-Table4[[#This Row],[Away Differential]]</f>
        <v>1.8225564467862438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0.82416779778301974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-0.479695961608754</v>
      </c>
      <c r="H547" t="s">
        <v>25</v>
      </c>
      <c r="I547">
        <f>VLOOKUP(Table4[[#This Row],[Visitor]],'NHL Model'!$A$6:$B$38,2,FALSE)</f>
        <v>0.35473499802405739</v>
      </c>
      <c r="J547">
        <f>($B$1+Table4[[#This Row],[Home Differential]])-Table4[[#This Row],[Away Differential]]</f>
        <v>-0.78580171019138922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0.6119456857234592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-0.22994539344581519</v>
      </c>
      <c r="H548" t="s">
        <v>38</v>
      </c>
      <c r="I548">
        <f>VLOOKUP(Table4[[#This Row],[Visitor]],'NHL Model'!$A$6:$B$38,2,FALSE)</f>
        <v>-1.0671109812312936</v>
      </c>
      <c r="J548">
        <f>($B$1+Table4[[#This Row],[Home Differential]])-Table4[[#This Row],[Away Differential]]</f>
        <v>0.88579483722690056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0.64173959857648877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-0.38947416486586689</v>
      </c>
      <c r="H549" t="s">
        <v>24</v>
      </c>
      <c r="I549">
        <f>VLOOKUP(Table4[[#This Row],[Visitor]],'NHL Model'!$A$6:$B$38,2,FALSE)</f>
        <v>2.1114018573289962E-3</v>
      </c>
      <c r="J549">
        <f>($B$1+Table4[[#This Row],[Home Differential]])-Table4[[#This Row],[Away Differential]]</f>
        <v>-0.34295631728177367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0.48077547399441389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0.12352843374450689</v>
      </c>
      <c r="H550" t="s">
        <v>28</v>
      </c>
      <c r="I550">
        <f>VLOOKUP(Table4[[#This Row],[Visitor]],'NHL Model'!$A$6:$B$38,2,FALSE)</f>
        <v>-0.81978323318233992</v>
      </c>
      <c r="J550">
        <f>($B$1+Table4[[#This Row],[Home Differential]])-Table4[[#This Row],[Away Differential]]</f>
        <v>0.99194091636826909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0.7377706081197295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-0.29972363155607096</v>
      </c>
      <c r="H551" t="s">
        <v>38</v>
      </c>
      <c r="I551">
        <f>VLOOKUP(Table4[[#This Row],[Visitor]],'NHL Model'!$A$6:$B$38,2,FALSE)</f>
        <v>-1.0671109812312936</v>
      </c>
      <c r="J551">
        <f>($B$1+Table4[[#This Row],[Home Differential]])-Table4[[#This Row],[Away Differential]]</f>
        <v>0.81601659911664481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0.67641868009577599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-0.73453218371466944</v>
      </c>
      <c r="H552" t="s">
        <v>30</v>
      </c>
      <c r="I552">
        <f>VLOOKUP(Table4[[#This Row],[Visitor]],'NHL Model'!$A$6:$B$38,2,FALSE)</f>
        <v>-0.22994539344581519</v>
      </c>
      <c r="J552">
        <f>($B$1+Table4[[#This Row],[Home Differential]])-Table4[[#This Row],[Away Differential]]</f>
        <v>-0.45595754082743201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0.58683381901196841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-1.1693700053921123</v>
      </c>
      <c r="H553" t="s">
        <v>20</v>
      </c>
      <c r="I553">
        <f>VLOOKUP(Table4[[#This Row],[Visitor]],'NHL Model'!$A$6:$B$38,2,FALSE)</f>
        <v>-0.32012591315776179</v>
      </c>
      <c r="J553">
        <f>($B$1+Table4[[#This Row],[Home Differential]])-Table4[[#This Row],[Away Differential]]</f>
        <v>-0.80061484279292827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0.55518836089851997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-0.479695961608754</v>
      </c>
      <c r="H554" t="s">
        <v>35</v>
      </c>
      <c r="I554">
        <f>VLOOKUP(Table4[[#This Row],[Visitor]],'NHL Model'!$A$6:$B$38,2,FALSE)</f>
        <v>-1.4300915005812256</v>
      </c>
      <c r="J554">
        <f>($B$1+Table4[[#This Row],[Home Differential]])-Table4[[#This Row],[Away Differential]]</f>
        <v>0.99902478841389386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0.67279474828646668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-0.15703092434902144</v>
      </c>
      <c r="H555" t="s">
        <v>17</v>
      </c>
      <c r="I555">
        <f>VLOOKUP(Table4[[#This Row],[Visitor]],'NHL Model'!$A$6:$B$38,2,FALSE)</f>
        <v>-0.92247588734712094</v>
      </c>
      <c r="J555">
        <f>($B$1+Table4[[#This Row],[Home Differential]])-Table4[[#This Row],[Away Differential]]</f>
        <v>0.81407421243952172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0.63678860019825256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-0.69003864116815428</v>
      </c>
      <c r="H556" t="s">
        <v>14</v>
      </c>
      <c r="I556">
        <f>VLOOKUP(Table4[[#This Row],[Visitor]],'NHL Model'!$A$6:$B$38,2,FALSE)</f>
        <v>-0.39956044496834064</v>
      </c>
      <c r="J556">
        <f>($B$1+Table4[[#This Row],[Home Differential]])-Table4[[#This Row],[Away Differential]]</f>
        <v>-0.24184894675839141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0.50952363750325491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-1.4761804210410974</v>
      </c>
      <c r="H557" t="s">
        <v>19</v>
      </c>
      <c r="I557">
        <f>VLOOKUP(Table4[[#This Row],[Visitor]],'NHL Model'!$A$6:$B$38,2,FALSE)</f>
        <v>-0.75971379218342783</v>
      </c>
      <c r="J557">
        <f>($B$1+Table4[[#This Row],[Home Differential]])-Table4[[#This Row],[Away Differential]]</f>
        <v>-0.66783737941624732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0.53940190725371984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-0.40624923719383538</v>
      </c>
      <c r="H558" t="s">
        <v>27</v>
      </c>
      <c r="I558">
        <f>VLOOKUP(Table4[[#This Row],[Visitor]],'NHL Model'!$A$6:$B$38,2,FALSE)</f>
        <v>-0.28566683768028334</v>
      </c>
      <c r="J558">
        <f>($B$1+Table4[[#This Row],[Home Differential]])-Table4[[#This Row],[Away Differential]]</f>
        <v>-7.1953150072129823E-2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0.51106736601127101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-0.45205624035379666</v>
      </c>
      <c r="H559" t="s">
        <v>10</v>
      </c>
      <c r="I559">
        <f>VLOOKUP(Table4[[#This Row],[Visitor]],'NHL Model'!$A$6:$B$38,2,FALSE)</f>
        <v>-0.35229536402491796</v>
      </c>
      <c r="J559">
        <f>($B$1+Table4[[#This Row],[Home Differential]])-Table4[[#This Row],[Away Differential]]</f>
        <v>-5.1131626887456483E-2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0.46358376826066178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-0.63428770456303318</v>
      </c>
      <c r="H560" t="s">
        <v>32</v>
      </c>
      <c r="I560">
        <f>VLOOKUP(Table4[[#This Row],[Visitor]],'NHL Model'!$A$6:$B$38,2,FALSE)</f>
        <v>-0.75181957250890208</v>
      </c>
      <c r="J560">
        <f>($B$1+Table4[[#This Row],[Home Differential]])-Table4[[#This Row],[Away Differential]]</f>
        <v>0.16616111738729111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0.55975557229739448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0.41634187791115029</v>
      </c>
      <c r="H561" t="s">
        <v>25</v>
      </c>
      <c r="I561">
        <f>VLOOKUP(Table4[[#This Row],[Visitor]],'NHL Model'!$A$6:$B$38,2,FALSE)</f>
        <v>0.35473499802405739</v>
      </c>
      <c r="J561">
        <f>($B$1+Table4[[#This Row],[Home Differential]])-Table4[[#This Row],[Away Differential]]</f>
        <v>0.11023612932851512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0.51310642259138406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0.24850541890141886</v>
      </c>
      <c r="H562" t="s">
        <v>26</v>
      </c>
      <c r="I562">
        <f>VLOOKUP(Table4[[#This Row],[Visitor]],'NHL Model'!$A$6:$B$38,2,FALSE)</f>
        <v>-0.97739270546148105</v>
      </c>
      <c r="J562">
        <f>($B$1+Table4[[#This Row],[Home Differential]])-Table4[[#This Row],[Away Differential]]</f>
        <v>1.2745273738043221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0.71757148859526565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-0.29972363155607096</v>
      </c>
      <c r="H563" t="s">
        <v>36</v>
      </c>
      <c r="I563">
        <f>VLOOKUP(Table4[[#This Row],[Visitor]],'NHL Model'!$A$6:$B$38,2,FALSE)</f>
        <v>-0.45205624035379666</v>
      </c>
      <c r="J563">
        <f>($B$1+Table4[[#This Row],[Home Differential]])-Table4[[#This Row],[Away Differential]]</f>
        <v>0.20096185823914792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0.60598272641750761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0.17994412141822874</v>
      </c>
      <c r="H564" t="s">
        <v>19</v>
      </c>
      <c r="I564">
        <f>VLOOKUP(Table4[[#This Row],[Visitor]],'NHL Model'!$A$6:$B$38,2,FALSE)</f>
        <v>-0.75971379218342783</v>
      </c>
      <c r="J564">
        <f>($B$1+Table4[[#This Row],[Home Differential]])-Table4[[#This Row],[Away Differential]]</f>
        <v>0.98828716304307873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0.67660691906517201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-0.97739270546148105</v>
      </c>
      <c r="H565" t="s">
        <v>22</v>
      </c>
      <c r="I565">
        <f>VLOOKUP(Table4[[#This Row],[Visitor]],'NHL Model'!$A$6:$B$38,2,FALSE)</f>
        <v>0.24850541890141886</v>
      </c>
      <c r="J565">
        <f>($B$1+Table4[[#This Row],[Home Differential]])-Table4[[#This Row],[Away Differential]]</f>
        <v>-1.1772688749214777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0.62073952428726387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-0.92247588734712094</v>
      </c>
      <c r="H566" t="s">
        <v>20</v>
      </c>
      <c r="I566">
        <f>VLOOKUP(Table4[[#This Row],[Visitor]],'NHL Model'!$A$6:$B$38,2,FALSE)</f>
        <v>-0.32012591315776179</v>
      </c>
      <c r="J566">
        <f>($B$1+Table4[[#This Row],[Home Differential]])-Table4[[#This Row],[Away Differential]]</f>
        <v>-0.55372072474793699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0.51878816133288286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-0.15703092434902144</v>
      </c>
      <c r="H567" t="s">
        <v>12</v>
      </c>
      <c r="I567">
        <f>VLOOKUP(Table4[[#This Row],[Visitor]],'NHL Model'!$A$6:$B$38,2,FALSE)</f>
        <v>1.5255226246883613</v>
      </c>
      <c r="J567">
        <f>($B$1+Table4[[#This Row],[Home Differential]])-Table4[[#This Row],[Away Differential]]</f>
        <v>-1.6339242995959604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0.72688708678422165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2.1114018573289962E-3</v>
      </c>
      <c r="H568" t="s">
        <v>23</v>
      </c>
      <c r="I568">
        <f>VLOOKUP(Table4[[#This Row],[Visitor]],'NHL Model'!$A$6:$B$38,2,FALSE)</f>
        <v>-0.73453218371466944</v>
      </c>
      <c r="J568">
        <f>($B$1+Table4[[#This Row],[Home Differential]])-Table4[[#This Row],[Away Differential]]</f>
        <v>0.7852728350134206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0.73347808508857648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-1.4761804210410974</v>
      </c>
      <c r="H569" t="s">
        <v>15</v>
      </c>
      <c r="I569">
        <f>VLOOKUP(Table4[[#This Row],[Visitor]],'NHL Model'!$A$6:$B$38,2,FALSE)</f>
        <v>-0.40624923719383538</v>
      </c>
      <c r="J569">
        <f>($B$1+Table4[[#This Row],[Home Differential]])-Table4[[#This Row],[Away Differential]]</f>
        <v>-1.0213019344058398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0.6815082148418975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-0.39956044496834064</v>
      </c>
      <c r="H570" t="s">
        <v>18</v>
      </c>
      <c r="I570">
        <f>VLOOKUP(Table4[[#This Row],[Visitor]],'NHL Model'!$A$6:$B$38,2,FALSE)</f>
        <v>-0.69003864116815428</v>
      </c>
      <c r="J570">
        <f>($B$1+Table4[[#This Row],[Home Differential]])-Table4[[#This Row],[Away Differential]]</f>
        <v>0.33910744564123585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0.52103003213430688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-0.38947416486586689</v>
      </c>
      <c r="H571" t="s">
        <v>40</v>
      </c>
      <c r="I571">
        <f>VLOOKUP(Table4[[#This Row],[Visitor]],'NHL Model'!$A$6:$B$38,2,FALSE)</f>
        <v>-0.24840457265646038</v>
      </c>
      <c r="J571">
        <f>($B$1+Table4[[#This Row],[Home Differential]])-Table4[[#This Row],[Away Differential]]</f>
        <v>-9.2440342767984296E-2</v>
      </c>
      <c r="K571" t="str">
        <f>IF(Table4[[#This Row],[HomeIce Differential]]&gt;0,Table4[[#This Row],[Home]],Table4[[#This Row],[Visitor]])</f>
        <v>Winnipeg Jets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0.46932394234863184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0.12352843374450689</v>
      </c>
      <c r="H572" t="s">
        <v>32</v>
      </c>
      <c r="I572">
        <f>VLOOKUP(Table4[[#This Row],[Visitor]],'NHL Model'!$A$6:$B$38,2,FALSE)</f>
        <v>-0.75181957250890208</v>
      </c>
      <c r="J572">
        <f>($B$1+Table4[[#This Row],[Home Differential]])-Table4[[#This Row],[Away Differential]]</f>
        <v>0.92397725569483113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0.72969013157298002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-0.43202172705875852</v>
      </c>
      <c r="H573" t="s">
        <v>28</v>
      </c>
      <c r="I573">
        <f>VLOOKUP(Table4[[#This Row],[Visitor]],'NHL Model'!$A$6:$B$38,2,FALSE)</f>
        <v>-0.81978323318233992</v>
      </c>
      <c r="J573">
        <f>($B$1+Table4[[#This Row],[Home Differential]])-Table4[[#This Row],[Away Differential]]</f>
        <v>0.43639075556500362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0.59188427507612817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-0.28566683768028334</v>
      </c>
      <c r="H574" t="s">
        <v>38</v>
      </c>
      <c r="I574">
        <f>VLOOKUP(Table4[[#This Row],[Visitor]],'NHL Model'!$A$6:$B$38,2,FALSE)</f>
        <v>-1.0671109812312936</v>
      </c>
      <c r="J574">
        <f>($B$1+Table4[[#This Row],[Home Differential]])-Table4[[#This Row],[Away Differential]]</f>
        <v>0.83007339299243244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0.66741118711244041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0.41634187791115029</v>
      </c>
      <c r="H575" t="s">
        <v>35</v>
      </c>
      <c r="I575">
        <f>VLOOKUP(Table4[[#This Row],[Visitor]],'NHL Model'!$A$6:$B$38,2,FALSE)</f>
        <v>-1.4300915005812256</v>
      </c>
      <c r="J575">
        <f>($B$1+Table4[[#This Row],[Home Differential]])-Table4[[#This Row],[Away Differential]]</f>
        <v>1.8950626279337981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0.79755778339247396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-0.29972363155607096</v>
      </c>
      <c r="H576" t="s">
        <v>18</v>
      </c>
      <c r="I576">
        <f>VLOOKUP(Table4[[#This Row],[Visitor]],'NHL Model'!$A$6:$B$38,2,FALSE)</f>
        <v>-0.69003864116815428</v>
      </c>
      <c r="J576">
        <f>($B$1+Table4[[#This Row],[Home Differential]])-Table4[[#This Row],[Away Differential]]</f>
        <v>0.43894425905350554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0.57645971617074665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0.35473499802405739</v>
      </c>
      <c r="H577" t="s">
        <v>11</v>
      </c>
      <c r="I577">
        <f>VLOOKUP(Table4[[#This Row],[Visitor]],'NHL Model'!$A$6:$B$38,2,FALSE)</f>
        <v>-0.479695961608754</v>
      </c>
      <c r="J577">
        <f>($B$1+Table4[[#This Row],[Home Differential]])-Table4[[#This Row],[Away Differential]]</f>
        <v>0.88306020907423366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0.68542180387921925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-0.35229536402491796</v>
      </c>
      <c r="H578" t="s">
        <v>27</v>
      </c>
      <c r="I578">
        <f>VLOOKUP(Table4[[#This Row],[Visitor]],'NHL Model'!$A$6:$B$38,2,FALSE)</f>
        <v>-0.28566683768028334</v>
      </c>
      <c r="J578">
        <f>($B$1+Table4[[#This Row],[Home Differential]])-Table4[[#This Row],[Away Differential]]</f>
        <v>-1.7999276903212402E-2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0.50465257018615262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1.5255226246883613</v>
      </c>
      <c r="H579" t="s">
        <v>55</v>
      </c>
      <c r="I579">
        <f>VLOOKUP(Table4[[#This Row],[Visitor]],'NHL Model'!$A$6:$B$38,2,FALSE)</f>
        <v>-0.38947416486586689</v>
      </c>
      <c r="J579">
        <f>($B$1+Table4[[#This Row],[Home Differential]])-Table4[[#This Row],[Away Differential]]</f>
        <v>1.9636260389956504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0.87779339780560384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-0.97739270546148105</v>
      </c>
      <c r="H580" t="s">
        <v>39</v>
      </c>
      <c r="I580">
        <f>VLOOKUP(Table4[[#This Row],[Visitor]],'NHL Model'!$A$6:$B$38,2,FALSE)</f>
        <v>0.17994412141822874</v>
      </c>
      <c r="J580">
        <f>($B$1+Table4[[#This Row],[Home Differential]])-Table4[[#This Row],[Away Differential]]</f>
        <v>-1.1087075774382875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0.69361651430478999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-0.92247588734712094</v>
      </c>
      <c r="H581" t="s">
        <v>16</v>
      </c>
      <c r="I581">
        <f>VLOOKUP(Table4[[#This Row],[Visitor]],'NHL Model'!$A$6:$B$38,2,FALSE)</f>
        <v>-1.1693700053921123</v>
      </c>
      <c r="J581">
        <f>($B$1+Table4[[#This Row],[Home Differential]])-Table4[[#This Row],[Away Differential]]</f>
        <v>0.29552336748641361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0.58218192917972522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-0.43202172705875852</v>
      </c>
      <c r="H582" t="s">
        <v>32</v>
      </c>
      <c r="I582">
        <f>VLOOKUP(Table4[[#This Row],[Visitor]],'NHL Model'!$A$6:$B$38,2,FALSE)</f>
        <v>-0.75181957250890208</v>
      </c>
      <c r="J582">
        <f>($B$1+Table4[[#This Row],[Home Differential]])-Table4[[#This Row],[Away Differential]]</f>
        <v>0.36842709489156578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0.58380379852937869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-0.15703092434902144</v>
      </c>
      <c r="H583" t="s">
        <v>29</v>
      </c>
      <c r="I583">
        <f>VLOOKUP(Table4[[#This Row],[Visitor]],'NHL Model'!$A$6:$B$38,2,FALSE)</f>
        <v>-1.4761804210410974</v>
      </c>
      <c r="J583">
        <f>($B$1+Table4[[#This Row],[Home Differential]])-Table4[[#This Row],[Away Differential]]</f>
        <v>1.367778746133498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0.70262078837071307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-0.22994539344581519</v>
      </c>
      <c r="H584" t="s">
        <v>24</v>
      </c>
      <c r="I584">
        <f>VLOOKUP(Table4[[#This Row],[Visitor]],'NHL Model'!$A$6:$B$38,2,FALSE)</f>
        <v>2.1114018573289962E-3</v>
      </c>
      <c r="J584">
        <f>($B$1+Table4[[#This Row],[Home Differential]])-Table4[[#This Row],[Away Differential]]</f>
        <v>-0.18342754586172197</v>
      </c>
      <c r="K584" t="str">
        <f>IF(Table4[[#This Row],[HomeIce Differential]]&gt;0,Table4[[#This Row],[Home]],Table4[[#This Row],[Visitor]])</f>
        <v>New Jersey Devils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0.50257767910289641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-0.45205624035379666</v>
      </c>
      <c r="H585" t="s">
        <v>23</v>
      </c>
      <c r="I585">
        <f>VLOOKUP(Table4[[#This Row],[Visitor]],'NHL Model'!$A$6:$B$38,2,FALSE)</f>
        <v>-0.73453218371466944</v>
      </c>
      <c r="J585">
        <f>($B$1+Table4[[#This Row],[Home Differential]])-Table4[[#This Row],[Away Differential]]</f>
        <v>0.331105192802295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0.58186192472000287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-0.75971379218342783</v>
      </c>
      <c r="H586" t="s">
        <v>14</v>
      </c>
      <c r="I586">
        <f>VLOOKUP(Table4[[#This Row],[Visitor]],'NHL Model'!$A$6:$B$38,2,FALSE)</f>
        <v>-0.39956044496834064</v>
      </c>
      <c r="J586">
        <f>($B$1+Table4[[#This Row],[Home Differential]])-Table4[[#This Row],[Away Differential]]</f>
        <v>-0.31152409777366497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0.51780760011049842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-0.32012591315776179</v>
      </c>
      <c r="H587" t="s">
        <v>33</v>
      </c>
      <c r="I587">
        <f>VLOOKUP(Table4[[#This Row],[Visitor]],'NHL Model'!$A$6:$B$38,2,FALSE)</f>
        <v>-0.63428770456303318</v>
      </c>
      <c r="J587">
        <f>($B$1+Table4[[#This Row],[Home Differential]])-Table4[[#This Row],[Away Differential]]</f>
        <v>0.36279104084669361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0.58313370509894047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0.24850541890141886</v>
      </c>
      <c r="H588" t="s">
        <v>15</v>
      </c>
      <c r="I588">
        <f>VLOOKUP(Table4[[#This Row],[Visitor]],'NHL Model'!$A$6:$B$38,2,FALSE)</f>
        <v>-0.40624923719383538</v>
      </c>
      <c r="J588">
        <f>($B$1+Table4[[#This Row],[Home Differential]])-Table4[[#This Row],[Away Differential]]</f>
        <v>0.7033839055366764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0.54964759606016222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-0.73453218371466944</v>
      </c>
      <c r="H589" t="s">
        <v>21</v>
      </c>
      <c r="I589">
        <f>VLOOKUP(Table4[[#This Row],[Visitor]],'NHL Model'!$A$6:$B$38,2,FALSE)</f>
        <v>-0.29972363155607096</v>
      </c>
      <c r="J589">
        <f>($B$1+Table4[[#This Row],[Home Differential]])-Table4[[#This Row],[Away Differential]]</f>
        <v>-0.38617930271717626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0.50674392393965828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0.35473499802405739</v>
      </c>
      <c r="H590" t="s">
        <v>26</v>
      </c>
      <c r="I590">
        <f>VLOOKUP(Table4[[#This Row],[Visitor]],'NHL Model'!$A$6:$B$38,2,FALSE)</f>
        <v>-0.97739270546148105</v>
      </c>
      <c r="J590">
        <f>($B$1+Table4[[#This Row],[Home Differential]])-Table4[[#This Row],[Away Differential]]</f>
        <v>1.3807569529269608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0.74459499770436133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-1.1693700053921123</v>
      </c>
      <c r="H591" t="s">
        <v>17</v>
      </c>
      <c r="I591">
        <f>VLOOKUP(Table4[[#This Row],[Visitor]],'NHL Model'!$A$6:$B$38,2,FALSE)</f>
        <v>-0.92247588734712094</v>
      </c>
      <c r="J591">
        <f>($B$1+Table4[[#This Row],[Home Differential]])-Table4[[#This Row],[Away Differential]]</f>
        <v>-0.19826486860356918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0.48357251809159302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0.17994412141822874</v>
      </c>
      <c r="H592" t="s">
        <v>10</v>
      </c>
      <c r="I592">
        <f>VLOOKUP(Table4[[#This Row],[Visitor]],'NHL Model'!$A$6:$B$38,2,FALSE)</f>
        <v>-0.35229536402491796</v>
      </c>
      <c r="J592">
        <f>($B$1+Table4[[#This Row],[Home Differential]])-Table4[[#This Row],[Away Differential]]</f>
        <v>0.58086873488456892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0.62816728204698791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-0.479695961608754</v>
      </c>
      <c r="H593" t="s">
        <v>37</v>
      </c>
      <c r="I593">
        <f>VLOOKUP(Table4[[#This Row],[Visitor]],'NHL Model'!$A$6:$B$38,2,FALSE)</f>
        <v>0.41634187791115029</v>
      </c>
      <c r="J593">
        <f>($B$1+Table4[[#This Row],[Home Differential]])-Table4[[#This Row],[Away Differential]]</f>
        <v>-0.84740859007848202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0.63921339864377513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-0.43202172705875852</v>
      </c>
      <c r="H594" t="s">
        <v>31</v>
      </c>
      <c r="I594">
        <f>VLOOKUP(Table4[[#This Row],[Visitor]],'NHL Model'!$A$6:$B$38,2,FALSE)</f>
        <v>0.12352843374450689</v>
      </c>
      <c r="J594">
        <f>($B$1+Table4[[#This Row],[Home Differential]])-Table4[[#This Row],[Away Differential]]</f>
        <v>-0.50692091136184314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0.54103912345494243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2.1114018573289962E-3</v>
      </c>
      <c r="H595" t="s">
        <v>22</v>
      </c>
      <c r="I595">
        <f>VLOOKUP(Table4[[#This Row],[Visitor]],'NHL Model'!$A$6:$B$38,2,FALSE)</f>
        <v>0.24850541890141886</v>
      </c>
      <c r="J595">
        <f>($B$1+Table4[[#This Row],[Home Differential]])-Table4[[#This Row],[Away Differential]]</f>
        <v>-0.19776476760266765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0.40282340387343696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-0.22994539344581519</v>
      </c>
      <c r="H596" t="s">
        <v>15</v>
      </c>
      <c r="I596">
        <f>VLOOKUP(Table4[[#This Row],[Visitor]],'NHL Model'!$A$6:$B$38,2,FALSE)</f>
        <v>-0.40624923719383538</v>
      </c>
      <c r="J596">
        <f>($B$1+Table4[[#This Row],[Home Differential]])-Table4[[#This Row],[Away Differential]]</f>
        <v>0.22493309318944241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0.46666174558162976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-1.4300915005812256</v>
      </c>
      <c r="H597" t="s">
        <v>29</v>
      </c>
      <c r="I597">
        <f>VLOOKUP(Table4[[#This Row],[Visitor]],'NHL Model'!$A$6:$B$38,2,FALSE)</f>
        <v>-1.4761804210410974</v>
      </c>
      <c r="J597">
        <f>($B$1+Table4[[#This Row],[Home Differential]])-Table4[[#This Row],[Away Differential]]</f>
        <v>9.4718169901294003E-2</v>
      </c>
      <c r="K597" t="str">
        <f>IF(Table4[[#This Row],[HomeIce Differential]]&gt;0,Table4[[#This Row],[Home]],Table4[[#This Row],[Visitor]])</f>
        <v>St. Louis Blues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0.55126142916456478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-0.75971379218342783</v>
      </c>
      <c r="H598" t="s">
        <v>36</v>
      </c>
      <c r="I598">
        <f>VLOOKUP(Table4[[#This Row],[Visitor]],'NHL Model'!$A$6:$B$38,2,FALSE)</f>
        <v>-0.45205624035379666</v>
      </c>
      <c r="J598">
        <f>($B$1+Table4[[#This Row],[Home Differential]])-Table4[[#This Row],[Away Differential]]</f>
        <v>-0.25902830238820895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0.49162642341256396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-1.0671109812312936</v>
      </c>
      <c r="H599" t="s">
        <v>33</v>
      </c>
      <c r="I599">
        <f>VLOOKUP(Table4[[#This Row],[Visitor]],'NHL Model'!$A$6:$B$38,2,FALSE)</f>
        <v>-0.63428770456303318</v>
      </c>
      <c r="J599">
        <f>($B$1+Table4[[#This Row],[Home Differential]])-Table4[[#This Row],[Away Differential]]</f>
        <v>-0.38419402722683815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0.50567839335971787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-0.32012591315776179</v>
      </c>
      <c r="H600" t="s">
        <v>12</v>
      </c>
      <c r="I600">
        <f>VLOOKUP(Table4[[#This Row],[Visitor]],'NHL Model'!$A$6:$B$38,2,FALSE)</f>
        <v>1.5255226246883613</v>
      </c>
      <c r="J600">
        <f>($B$1+Table4[[#This Row],[Home Differential]])-Table4[[#This Row],[Away Differential]]</f>
        <v>-1.7970192884047009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0.74627811456145943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-0.24840457265646038</v>
      </c>
      <c r="H601" t="s">
        <v>34</v>
      </c>
      <c r="I601">
        <f>VLOOKUP(Table4[[#This Row],[Visitor]],'NHL Model'!$A$6:$B$38,2,FALSE)</f>
        <v>-0.15703092434902144</v>
      </c>
      <c r="J601">
        <f>($B$1+Table4[[#This Row],[Home Differential]])-Table4[[#This Row],[Away Differential]]</f>
        <v>-4.274439886601672E-2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0.50508205575037168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-0.81978323318233992</v>
      </c>
      <c r="H602" t="s">
        <v>30</v>
      </c>
      <c r="I602">
        <f>VLOOKUP(Table4[[#This Row],[Visitor]],'NHL Model'!$A$6:$B$38,2,FALSE)</f>
        <v>-0.22994539344581519</v>
      </c>
      <c r="J602">
        <f>($B$1+Table4[[#This Row],[Home Differential]])-Table4[[#This Row],[Away Differential]]</f>
        <v>-0.54120859029510249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0.59696966365281656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-0.35229536402491796</v>
      </c>
      <c r="H603" t="s">
        <v>14</v>
      </c>
      <c r="I603">
        <f>VLOOKUP(Table4[[#This Row],[Visitor]],'NHL Model'!$A$6:$B$38,2,FALSE)</f>
        <v>-0.39956044496834064</v>
      </c>
      <c r="J603">
        <f>($B$1+Table4[[#This Row],[Home Differential]])-Table4[[#This Row],[Away Differential]]</f>
        <v>9.5894330384844906E-2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0.53063203690768568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-0.97739270546148105</v>
      </c>
      <c r="H604" t="s">
        <v>19</v>
      </c>
      <c r="I604">
        <f>VLOOKUP(Table4[[#This Row],[Visitor]],'NHL Model'!$A$6:$B$38,2,FALSE)</f>
        <v>-0.75971379218342783</v>
      </c>
      <c r="J604">
        <f>($B$1+Table4[[#This Row],[Home Differential]])-Table4[[#This Row],[Away Differential]]</f>
        <v>-0.169049663836631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0.48009900335462136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-0.75181957250890208</v>
      </c>
      <c r="H605" t="s">
        <v>27</v>
      </c>
      <c r="I605">
        <f>VLOOKUP(Table4[[#This Row],[Visitor]],'NHL Model'!$A$6:$B$38,2,FALSE)</f>
        <v>-0.28566683768028334</v>
      </c>
      <c r="J605">
        <f>($B$1+Table4[[#This Row],[Home Differential]])-Table4[[#This Row],[Away Differential]]</f>
        <v>-0.41752348538719652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0.55215363126091599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0.41634187791115029</v>
      </c>
      <c r="H606" t="s">
        <v>18</v>
      </c>
      <c r="I606">
        <f>VLOOKUP(Table4[[#This Row],[Visitor]],'NHL Model'!$A$6:$B$38,2,FALSE)</f>
        <v>-0.69003864116815428</v>
      </c>
      <c r="J606">
        <f>($B$1+Table4[[#This Row],[Home Differential]])-Table4[[#This Row],[Away Differential]]</f>
        <v>1.1550097685207268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0.65069280161682108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0.12352843374450689</v>
      </c>
      <c r="H607" t="s">
        <v>33</v>
      </c>
      <c r="I607">
        <f>VLOOKUP(Table4[[#This Row],[Visitor]],'NHL Model'!$A$6:$B$38,2,FALSE)</f>
        <v>-0.63428770456303318</v>
      </c>
      <c r="J607">
        <f>($B$1+Table4[[#This Row],[Home Differential]])-Table4[[#This Row],[Away Differential]]</f>
        <v>0.80644538774896235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0.71571628888967354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0.35473499802405739</v>
      </c>
      <c r="H608" t="s">
        <v>15</v>
      </c>
      <c r="I608">
        <f>VLOOKUP(Table4[[#This Row],[Visitor]],'NHL Model'!$A$6:$B$38,2,FALSE)</f>
        <v>-0.40624923719383538</v>
      </c>
      <c r="J608">
        <f>($B$1+Table4[[#This Row],[Home Differential]])-Table4[[#This Row],[Away Differential]]</f>
        <v>0.80961348465931504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0.5769449413754536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-1.1693700053921123</v>
      </c>
      <c r="H609" t="s">
        <v>21</v>
      </c>
      <c r="I609">
        <f>VLOOKUP(Table4[[#This Row],[Visitor]],'NHL Model'!$A$6:$B$38,2,FALSE)</f>
        <v>-0.29972363155607096</v>
      </c>
      <c r="J609">
        <f>($B$1+Table4[[#This Row],[Home Differential]])-Table4[[#This Row],[Away Differential]]</f>
        <v>-0.82101712439461916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0.55844356437820575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1.5255226246883613</v>
      </c>
      <c r="H610" t="s">
        <v>13</v>
      </c>
      <c r="I610">
        <f>VLOOKUP(Table4[[#This Row],[Visitor]],'NHL Model'!$A$6:$B$38,2,FALSE)</f>
        <v>-0.43202172705875852</v>
      </c>
      <c r="J610">
        <f>($B$1+Table4[[#This Row],[Home Differential]])-Table4[[#This Row],[Away Differential]]</f>
        <v>2.006173601188542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0.81991750277185671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-0.479695961608754</v>
      </c>
      <c r="H611" t="s">
        <v>22</v>
      </c>
      <c r="I611">
        <f>VLOOKUP(Table4[[#This Row],[Visitor]],'NHL Model'!$A$6:$B$38,2,FALSE)</f>
        <v>0.24850541890141886</v>
      </c>
      <c r="J611">
        <f>($B$1+Table4[[#This Row],[Home Differential]])-Table4[[#This Row],[Away Differential]]</f>
        <v>-0.67957213106875058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0.54746376635955774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-0.45205624035379666</v>
      </c>
      <c r="H612" t="s">
        <v>28</v>
      </c>
      <c r="I612">
        <f>VLOOKUP(Table4[[#This Row],[Visitor]],'NHL Model'!$A$6:$B$38,2,FALSE)</f>
        <v>-0.81978323318233992</v>
      </c>
      <c r="J612">
        <f>($B$1+Table4[[#This Row],[Home Differential]])-Table4[[#This Row],[Away Differential]]</f>
        <v>0.41635624226996548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0.59199776936085102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-0.75181957250890208</v>
      </c>
      <c r="H613" t="s">
        <v>38</v>
      </c>
      <c r="I613">
        <f>VLOOKUP(Table4[[#This Row],[Visitor]],'NHL Model'!$A$6:$B$38,2,FALSE)</f>
        <v>-1.0671109812312936</v>
      </c>
      <c r="J613">
        <f>($B$1+Table4[[#This Row],[Home Differential]])-Table4[[#This Row],[Away Differential]]</f>
        <v>0.36392065816381369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0.57969185096418985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-1.4300915005812256</v>
      </c>
      <c r="H614" t="s">
        <v>23</v>
      </c>
      <c r="I614">
        <f>VLOOKUP(Table4[[#This Row],[Visitor]],'NHL Model'!$A$6:$B$38,2,FALSE)</f>
        <v>-0.73453218371466944</v>
      </c>
      <c r="J614">
        <f>($B$1+Table4[[#This Row],[Home Differential]])-Table4[[#This Row],[Away Differential]]</f>
        <v>-0.64693006742513393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0.53691615174076235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-0.38947416486586689</v>
      </c>
      <c r="H615" t="s">
        <v>29</v>
      </c>
      <c r="I615">
        <f>VLOOKUP(Table4[[#This Row],[Visitor]],'NHL Model'!$A$6:$B$38,2,FALSE)</f>
        <v>-1.4761804210410974</v>
      </c>
      <c r="J615">
        <f>($B$1+Table4[[#This Row],[Home Differential]])-Table4[[#This Row],[Away Differential]]</f>
        <v>1.1353355056166528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0.71541584182296969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-0.32012591315776179</v>
      </c>
      <c r="H616" t="s">
        <v>34</v>
      </c>
      <c r="I616">
        <f>VLOOKUP(Table4[[#This Row],[Visitor]],'NHL Model'!$A$6:$B$38,2,FALSE)</f>
        <v>-0.15703092434902144</v>
      </c>
      <c r="J616">
        <f>($B$1+Table4[[#This Row],[Home Differential]])-Table4[[#This Row],[Away Differential]]</f>
        <v>-0.11446573936731813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0.51612186097722001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-0.24840457265646038</v>
      </c>
      <c r="H617" t="s">
        <v>17</v>
      </c>
      <c r="I617">
        <f>VLOOKUP(Table4[[#This Row],[Visitor]],'NHL Model'!$A$6:$B$38,2,FALSE)</f>
        <v>-0.92247588734712094</v>
      </c>
      <c r="J617">
        <f>($B$1+Table4[[#This Row],[Home Differential]])-Table4[[#This Row],[Away Differential]]</f>
        <v>0.72270056413208272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0.62842029403813293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-0.35229536402491796</v>
      </c>
      <c r="H618" t="s">
        <v>30</v>
      </c>
      <c r="I618">
        <f>VLOOKUP(Table4[[#This Row],[Visitor]],'NHL Model'!$A$6:$B$38,2,FALSE)</f>
        <v>-0.22994539344581519</v>
      </c>
      <c r="J618">
        <f>($B$1+Table4[[#This Row],[Home Differential]])-Table4[[#This Row],[Away Differential]]</f>
        <v>-7.372072113768055E-2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0.54138812603130371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-0.479695961608754</v>
      </c>
      <c r="H619" t="s">
        <v>18</v>
      </c>
      <c r="I619">
        <f>VLOOKUP(Table4[[#This Row],[Visitor]],'NHL Model'!$A$6:$B$38,2,FALSE)</f>
        <v>-0.69003864116815428</v>
      </c>
      <c r="J619">
        <f>($B$1+Table4[[#This Row],[Home Differential]])-Table4[[#This Row],[Away Differential]]</f>
        <v>0.2589719290008225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0.52563558868801952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-0.39956044496834064</v>
      </c>
      <c r="H620" t="s">
        <v>25</v>
      </c>
      <c r="I620">
        <f>VLOOKUP(Table4[[#This Row],[Visitor]],'NHL Model'!$A$6:$B$38,2,FALSE)</f>
        <v>0.35473499802405739</v>
      </c>
      <c r="J620">
        <f>($B$1+Table4[[#This Row],[Home Differential]])-Table4[[#This Row],[Away Differential]]</f>
        <v>-0.70566619355097582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0.61652269821387395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-0.75971379218342783</v>
      </c>
      <c r="H621" t="s">
        <v>24</v>
      </c>
      <c r="I621">
        <f>VLOOKUP(Table4[[#This Row],[Visitor]],'NHL Model'!$A$6:$B$38,2,FALSE)</f>
        <v>2.1114018573289962E-3</v>
      </c>
      <c r="J621">
        <f>($B$1+Table4[[#This Row],[Home Differential]])-Table4[[#This Row],[Away Differential]]</f>
        <v>-0.71319594459933455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0.56556400265861584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-1.0671109812312936</v>
      </c>
      <c r="H622" t="s">
        <v>27</v>
      </c>
      <c r="I622">
        <f>VLOOKUP(Table4[[#This Row],[Visitor]],'NHL Model'!$A$6:$B$38,2,FALSE)</f>
        <v>-0.28566683768028334</v>
      </c>
      <c r="J622">
        <f>($B$1+Table4[[#This Row],[Home Differential]])-Table4[[#This Row],[Away Differential]]</f>
        <v>-0.732814894109588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0.58963991155141537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0.12352843374450689</v>
      </c>
      <c r="H623" t="s">
        <v>37</v>
      </c>
      <c r="I623">
        <f>VLOOKUP(Table4[[#This Row],[Visitor]],'NHL Model'!$A$6:$B$38,2,FALSE)</f>
        <v>0.41634187791115029</v>
      </c>
      <c r="J623">
        <f>($B$1+Table4[[#This Row],[Home Differential]])-Table4[[#This Row],[Away Differential]]</f>
        <v>-0.24418419472522118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0.49962028917427609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-0.81978323318233992</v>
      </c>
      <c r="H624" t="s">
        <v>24</v>
      </c>
      <c r="I624">
        <f>VLOOKUP(Table4[[#This Row],[Visitor]],'NHL Model'!$A$6:$B$38,2,FALSE)</f>
        <v>2.1114018573289962E-3</v>
      </c>
      <c r="J624">
        <f>($B$1+Table4[[#This Row],[Home Differential]])-Table4[[#This Row],[Away Differential]]</f>
        <v>-0.77326538559824665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0.57270590326194459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-1.1693700053921123</v>
      </c>
      <c r="H625" t="s">
        <v>27</v>
      </c>
      <c r="I625">
        <f>VLOOKUP(Table4[[#This Row],[Visitor]],'NHL Model'!$A$6:$B$38,2,FALSE)</f>
        <v>-0.28566683768028334</v>
      </c>
      <c r="J625">
        <f>($B$1+Table4[[#This Row],[Home Differential]])-Table4[[#This Row],[Away Differential]]</f>
        <v>-0.83507391827040678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0.60179790360536489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1.5255226246883613</v>
      </c>
      <c r="H626" t="s">
        <v>35</v>
      </c>
      <c r="I626">
        <f>VLOOKUP(Table4[[#This Row],[Visitor]],'NHL Model'!$A$6:$B$38,2,FALSE)</f>
        <v>-1.4300915005812256</v>
      </c>
      <c r="J626">
        <f>($B$1+Table4[[#This Row],[Home Differential]])-Table4[[#This Row],[Away Differential]]</f>
        <v>3.0042433747110091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0.17994412141822874</v>
      </c>
      <c r="H627" t="s">
        <v>23</v>
      </c>
      <c r="I627">
        <f>VLOOKUP(Table4[[#This Row],[Visitor]],'NHL Model'!$A$6:$B$38,2,FALSE)</f>
        <v>-0.73453218371466944</v>
      </c>
      <c r="J627">
        <f>($B$1+Table4[[#This Row],[Home Differential]])-Table4[[#This Row],[Away Differential]]</f>
        <v>0.96310555457432034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0.67361297502765261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-0.97739270546148105</v>
      </c>
      <c r="H628" t="s">
        <v>40</v>
      </c>
      <c r="I628">
        <f>VLOOKUP(Table4[[#This Row],[Visitor]],'NHL Model'!$A$6:$B$38,2,FALSE)</f>
        <v>-0.24840457265646038</v>
      </c>
      <c r="J628">
        <f>($B$1+Table4[[#This Row],[Home Differential]])-Table4[[#This Row],[Away Differential]]</f>
        <v>-0.68035888336359851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0.58017737311721029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-0.92247588734712094</v>
      </c>
      <c r="H629" t="s">
        <v>21</v>
      </c>
      <c r="I629">
        <f>VLOOKUP(Table4[[#This Row],[Visitor]],'NHL Model'!$A$6:$B$38,2,FALSE)</f>
        <v>-0.29972363155607096</v>
      </c>
      <c r="J629">
        <f>($B$1+Table4[[#This Row],[Home Differential]])-Table4[[#This Row],[Away Differential]]</f>
        <v>-0.57412300634962776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0.52204133619000936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-0.63428770456303318</v>
      </c>
      <c r="H630" t="s">
        <v>34</v>
      </c>
      <c r="I630">
        <f>VLOOKUP(Table4[[#This Row],[Visitor]],'NHL Model'!$A$6:$B$38,2,FALSE)</f>
        <v>-0.15703092434902144</v>
      </c>
      <c r="J630">
        <f>($B$1+Table4[[#This Row],[Home Differential]])-Table4[[#This Row],[Away Differential]]</f>
        <v>-0.42862753077258953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0.5534738364620726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-0.32012591315776179</v>
      </c>
      <c r="H631" t="s">
        <v>29</v>
      </c>
      <c r="I631">
        <f>VLOOKUP(Table4[[#This Row],[Visitor]],'NHL Model'!$A$6:$B$38,2,FALSE)</f>
        <v>-1.4761804210410974</v>
      </c>
      <c r="J631">
        <f>($B$1+Table4[[#This Row],[Home Differential]])-Table4[[#This Row],[Away Differential]]</f>
        <v>1.2046837573247577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0.6832297605934754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0.24850541890141886</v>
      </c>
      <c r="H632" t="s">
        <v>15</v>
      </c>
      <c r="I632">
        <f>VLOOKUP(Table4[[#This Row],[Visitor]],'NHL Model'!$A$6:$B$38,2,FALSE)</f>
        <v>-0.40624923719383538</v>
      </c>
      <c r="J632">
        <f>($B$1+Table4[[#This Row],[Home Differential]])-Table4[[#This Row],[Away Differential]]</f>
        <v>0.7033839055366764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0.54964759606016222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0.35473499802405739</v>
      </c>
      <c r="H633" t="s">
        <v>18</v>
      </c>
      <c r="I633">
        <f>VLOOKUP(Table4[[#This Row],[Visitor]],'NHL Model'!$A$6:$B$38,2,FALSE)</f>
        <v>-0.69003864116815428</v>
      </c>
      <c r="J633">
        <f>($B$1+Table4[[#This Row],[Home Differential]])-Table4[[#This Row],[Away Differential]]</f>
        <v>1.093402888633634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0.65173825511708838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-0.35229536402491796</v>
      </c>
      <c r="H634" t="s">
        <v>39</v>
      </c>
      <c r="I634">
        <f>VLOOKUP(Table4[[#This Row],[Visitor]],'NHL Model'!$A$6:$B$38,2,FALSE)</f>
        <v>0.17994412141822874</v>
      </c>
      <c r="J634">
        <f>($B$1+Table4[[#This Row],[Home Differential]])-Table4[[#This Row],[Away Differential]]</f>
        <v>-0.48361023600172448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0.61929614431789659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-0.43202172705875852</v>
      </c>
      <c r="H635" t="s">
        <v>37</v>
      </c>
      <c r="I635">
        <f>VLOOKUP(Table4[[#This Row],[Visitor]],'NHL Model'!$A$6:$B$38,2,FALSE)</f>
        <v>0.41634187791115029</v>
      </c>
      <c r="J635">
        <f>($B$1+Table4[[#This Row],[Home Differential]])-Table4[[#This Row],[Away Differential]]</f>
        <v>-0.7997343555284866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0.64756986402526195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-0.22994539344581519</v>
      </c>
      <c r="H636" t="s">
        <v>55</v>
      </c>
      <c r="I636">
        <f>VLOOKUP(Table4[[#This Row],[Visitor]],'NHL Model'!$A$6:$B$38,2,FALSE)</f>
        <v>-0.38947416486586689</v>
      </c>
      <c r="J636">
        <f>($B$1+Table4[[#This Row],[Home Differential]])-Table4[[#This Row],[Away Differential]]</f>
        <v>0.20815802086147392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0.56474875527483626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-0.45205624035379666</v>
      </c>
      <c r="H637" t="s">
        <v>22</v>
      </c>
      <c r="I637">
        <f>VLOOKUP(Table4[[#This Row],[Visitor]],'NHL Model'!$A$6:$B$38,2,FALSE)</f>
        <v>0.24850541890141886</v>
      </c>
      <c r="J637">
        <f>($B$1+Table4[[#This Row],[Home Differential]])-Table4[[#This Row],[Away Differential]]</f>
        <v>-0.6519324098137933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0.55577177017544688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-0.39956044496834064</v>
      </c>
      <c r="H638" t="s">
        <v>26</v>
      </c>
      <c r="I638">
        <f>VLOOKUP(Table4[[#This Row],[Visitor]],'NHL Model'!$A$6:$B$38,2,FALSE)</f>
        <v>-0.97739270546148105</v>
      </c>
      <c r="J638">
        <f>($B$1+Table4[[#This Row],[Home Differential]])-Table4[[#This Row],[Away Differential]]</f>
        <v>0.62646150993456262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0.61448256153815295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-0.75181957250890208</v>
      </c>
      <c r="H639" t="s">
        <v>29</v>
      </c>
      <c r="I639">
        <f>VLOOKUP(Table4[[#This Row],[Visitor]],'NHL Model'!$A$6:$B$38,2,FALSE)</f>
        <v>-1.4761804210410974</v>
      </c>
      <c r="J639">
        <f>($B$1+Table4[[#This Row],[Home Differential]])-Table4[[#This Row],[Away Differential]]</f>
        <v>0.77299009797361751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0.63190394242531633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-0.75971379218342783</v>
      </c>
      <c r="H640" t="s">
        <v>40</v>
      </c>
      <c r="I640">
        <f>VLOOKUP(Table4[[#This Row],[Visitor]],'NHL Model'!$A$6:$B$38,2,FALSE)</f>
        <v>-0.24840457265646038</v>
      </c>
      <c r="J640">
        <f>($B$1+Table4[[#This Row],[Home Differential]])-Table4[[#This Row],[Away Differential]]</f>
        <v>-0.46267997008554523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0.554296640148501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0.12352843374450689</v>
      </c>
      <c r="H641" t="s">
        <v>34</v>
      </c>
      <c r="I641">
        <f>VLOOKUP(Table4[[#This Row],[Visitor]],'NHL Model'!$A$6:$B$38,2,FALSE)</f>
        <v>-0.15703092434902144</v>
      </c>
      <c r="J641">
        <f>($B$1+Table4[[#This Row],[Home Differential]])-Table4[[#This Row],[Away Differential]]</f>
        <v>0.32918860753495055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0.61808594330483435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-0.479695961608754</v>
      </c>
      <c r="H642" t="s">
        <v>15</v>
      </c>
      <c r="I642">
        <f>VLOOKUP(Table4[[#This Row],[Visitor]],'NHL Model'!$A$6:$B$38,2,FALSE)</f>
        <v>-0.40624923719383538</v>
      </c>
      <c r="J642">
        <f>($B$1+Table4[[#This Row],[Home Differential]])-Table4[[#This Row],[Away Differential]]</f>
        <v>-2.4817474973496401E-2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0.54904994150268682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-1.4300915005812256</v>
      </c>
      <c r="H643" t="s">
        <v>20</v>
      </c>
      <c r="I643">
        <f>VLOOKUP(Table4[[#This Row],[Visitor]],'NHL Model'!$A$6:$B$38,2,FALSE)</f>
        <v>-0.32012591315776179</v>
      </c>
      <c r="J643">
        <f>($B$1+Table4[[#This Row],[Home Differential]])-Table4[[#This Row],[Away Differential]]</f>
        <v>-1.0613363379820415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0.58618660181482274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-1.0671109812312936</v>
      </c>
      <c r="H644" t="s">
        <v>32</v>
      </c>
      <c r="I644">
        <f>VLOOKUP(Table4[[#This Row],[Visitor]],'NHL Model'!$A$6:$B$38,2,FALSE)</f>
        <v>-0.75181957250890208</v>
      </c>
      <c r="J644">
        <f>($B$1+Table4[[#This Row],[Home Differential]])-Table4[[#This Row],[Away Differential]]</f>
        <v>-0.26666215928096926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0.49170455067641139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0.35473499802405739</v>
      </c>
      <c r="H645" t="s">
        <v>12</v>
      </c>
      <c r="I645">
        <f>VLOOKUP(Table4[[#This Row],[Visitor]],'NHL Model'!$A$6:$B$38,2,FALSE)</f>
        <v>1.5255226246883613</v>
      </c>
      <c r="J645">
        <f>($B$1+Table4[[#This Row],[Home Differential]])-Table4[[#This Row],[Away Differential]]</f>
        <v>-1.1221583772228816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0.62503809362156515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-0.81978323318233992</v>
      </c>
      <c r="H646" t="s">
        <v>23</v>
      </c>
      <c r="I646">
        <f>VLOOKUP(Table4[[#This Row],[Visitor]],'NHL Model'!$A$6:$B$38,2,FALSE)</f>
        <v>-0.73453218371466944</v>
      </c>
      <c r="J646">
        <f>($B$1+Table4[[#This Row],[Home Differential]])-Table4[[#This Row],[Away Differential]]</f>
        <v>-3.6621800026248263E-2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0.46435411502676022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-1.1693700053921123</v>
      </c>
      <c r="H647" t="s">
        <v>29</v>
      </c>
      <c r="I647">
        <f>VLOOKUP(Table4[[#This Row],[Visitor]],'NHL Model'!$A$6:$B$38,2,FALSE)</f>
        <v>-1.4761804210410974</v>
      </c>
      <c r="J647">
        <f>($B$1+Table4[[#This Row],[Home Differential]])-Table4[[#This Row],[Away Differential]]</f>
        <v>0.35543966509040725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0.58225967008086754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-0.97739270546148105</v>
      </c>
      <c r="H648" t="s">
        <v>14</v>
      </c>
      <c r="I648">
        <f>VLOOKUP(Table4[[#This Row],[Visitor]],'NHL Model'!$A$6:$B$38,2,FALSE)</f>
        <v>-0.39956044496834064</v>
      </c>
      <c r="J648">
        <f>($B$1+Table4[[#This Row],[Home Differential]])-Table4[[#This Row],[Away Differential]]</f>
        <v>-0.52920301105171819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0.54368833307920772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-0.92247588734712094</v>
      </c>
      <c r="H649" t="s">
        <v>27</v>
      </c>
      <c r="I649">
        <f>VLOOKUP(Table4[[#This Row],[Visitor]],'NHL Model'!$A$6:$B$38,2,FALSE)</f>
        <v>-0.28566683768028334</v>
      </c>
      <c r="J649">
        <f>($B$1+Table4[[#This Row],[Home Differential]])-Table4[[#This Row],[Away Differential]]</f>
        <v>-0.58817980022541538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0.5653439371223109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-0.43202172705875852</v>
      </c>
      <c r="H650" t="s">
        <v>34</v>
      </c>
      <c r="I650">
        <f>VLOOKUP(Table4[[#This Row],[Visitor]],'NHL Model'!$A$6:$B$38,2,FALSE)</f>
        <v>-0.15703092434902144</v>
      </c>
      <c r="J650">
        <f>($B$1+Table4[[#This Row],[Home Differential]])-Table4[[#This Row],[Away Differential]]</f>
        <v>-0.22636155326831486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0.52942561023008838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2.1114018573289962E-3</v>
      </c>
      <c r="H651" t="s">
        <v>55</v>
      </c>
      <c r="I651">
        <f>VLOOKUP(Table4[[#This Row],[Visitor]],'NHL Model'!$A$6:$B$38,2,FALSE)</f>
        <v>-0.38947416486586689</v>
      </c>
      <c r="J651">
        <f>($B$1+Table4[[#This Row],[Home Differential]])-Table4[[#This Row],[Away Differential]]</f>
        <v>0.44021481616461811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0.69245273123112461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-0.22994539344581519</v>
      </c>
      <c r="H652" t="s">
        <v>19</v>
      </c>
      <c r="I652">
        <f>VLOOKUP(Table4[[#This Row],[Visitor]],'NHL Model'!$A$6:$B$38,2,FALSE)</f>
        <v>-0.75971379218342783</v>
      </c>
      <c r="J652">
        <f>($B$1+Table4[[#This Row],[Home Differential]])-Table4[[#This Row],[Away Differential]]</f>
        <v>0.57839764817903483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0.60876805316980753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-0.45205624035379666</v>
      </c>
      <c r="H653" t="s">
        <v>40</v>
      </c>
      <c r="I653">
        <f>VLOOKUP(Table4[[#This Row],[Visitor]],'NHL Model'!$A$6:$B$38,2,FALSE)</f>
        <v>-0.24840457265646038</v>
      </c>
      <c r="J653">
        <f>($B$1+Table4[[#This Row],[Home Differential]])-Table4[[#This Row],[Away Differential]]</f>
        <v>-0.15502241825591406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0.51520544051956252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-0.63428770456303318</v>
      </c>
      <c r="H654" t="s">
        <v>37</v>
      </c>
      <c r="I654">
        <f>VLOOKUP(Table4[[#This Row],[Visitor]],'NHL Model'!$A$6:$B$38,2,FALSE)</f>
        <v>0.41634187791115029</v>
      </c>
      <c r="J654">
        <f>($B$1+Table4[[#This Row],[Home Differential]])-Table4[[#This Row],[Away Differential]]</f>
        <v>-1.0020003330327611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0.67161809025724617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-1.4300915005812256</v>
      </c>
      <c r="H655" t="s">
        <v>18</v>
      </c>
      <c r="I655">
        <f>VLOOKUP(Table4[[#This Row],[Visitor]],'NHL Model'!$A$6:$B$38,2,FALSE)</f>
        <v>-0.69003864116815428</v>
      </c>
      <c r="J655">
        <f>($B$1+Table4[[#This Row],[Home Differential]])-Table4[[#This Row],[Away Differential]]</f>
        <v>-0.69142360997164909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0.60149400413837961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-1.0671109812312936</v>
      </c>
      <c r="H656" t="s">
        <v>21</v>
      </c>
      <c r="I656">
        <f>VLOOKUP(Table4[[#This Row],[Visitor]],'NHL Model'!$A$6:$B$38,2,FALSE)</f>
        <v>-0.29972363155607096</v>
      </c>
      <c r="J656">
        <f>($B$1+Table4[[#This Row],[Home Differential]])-Table4[[#This Row],[Away Differential]]</f>
        <v>-0.71875810023380038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0.54628557232425623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0.24850541890141886</v>
      </c>
      <c r="H657" t="s">
        <v>10</v>
      </c>
      <c r="I657">
        <f>VLOOKUP(Table4[[#This Row],[Visitor]],'NHL Model'!$A$6:$B$38,2,FALSE)</f>
        <v>-0.35229536402491796</v>
      </c>
      <c r="J657">
        <f>($B$1+Table4[[#This Row],[Home Differential]])-Table4[[#This Row],[Away Differential]]</f>
        <v>0.64943003236775909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0.64325111860837225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-0.81978323318233992</v>
      </c>
      <c r="H658" t="s">
        <v>14</v>
      </c>
      <c r="I658">
        <f>VLOOKUP(Table4[[#This Row],[Visitor]],'NHL Model'!$A$6:$B$38,2,FALSE)</f>
        <v>-0.39956044496834064</v>
      </c>
      <c r="J658">
        <f>($B$1+Table4[[#This Row],[Home Differential]])-Table4[[#This Row],[Away Differential]]</f>
        <v>-0.37159353877257706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0.52494950071382718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-0.35229536402491796</v>
      </c>
      <c r="H659" t="s">
        <v>20</v>
      </c>
      <c r="I659">
        <f>VLOOKUP(Table4[[#This Row],[Visitor]],'NHL Model'!$A$6:$B$38,2,FALSE)</f>
        <v>-0.32012591315776179</v>
      </c>
      <c r="J659">
        <f>($B$1+Table4[[#This Row],[Home Differential]])-Table4[[#This Row],[Away Differential]]</f>
        <v>1.6459798574266049E-2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0.54195697252069241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0.17994412141822874</v>
      </c>
      <c r="H660" t="s">
        <v>18</v>
      </c>
      <c r="I660">
        <f>VLOOKUP(Table4[[#This Row],[Visitor]],'NHL Model'!$A$6:$B$38,2,FALSE)</f>
        <v>-0.69003864116815428</v>
      </c>
      <c r="J660">
        <f>($B$1+Table4[[#This Row],[Home Differential]])-Table4[[#This Row],[Away Differential]]</f>
        <v>0.91861201202780518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0.60921752514802441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-0.479695961608754</v>
      </c>
      <c r="H661" t="s">
        <v>12</v>
      </c>
      <c r="I661">
        <f>VLOOKUP(Table4[[#This Row],[Visitor]],'NHL Model'!$A$6:$B$38,2,FALSE)</f>
        <v>1.5255226246883613</v>
      </c>
      <c r="J661">
        <f>($B$1+Table4[[#This Row],[Home Differential]])-Table4[[#This Row],[Away Differential]]</f>
        <v>-1.956589336855693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0.75114539722726859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2.1114018573289962E-3</v>
      </c>
      <c r="H662" t="s">
        <v>25</v>
      </c>
      <c r="I662">
        <f>VLOOKUP(Table4[[#This Row],[Visitor]],'NHL Model'!$A$6:$B$38,2,FALSE)</f>
        <v>0.35473499802405739</v>
      </c>
      <c r="J662">
        <f>($B$1+Table4[[#This Row],[Home Differential]])-Table4[[#This Row],[Away Differential]]</f>
        <v>-0.30399434672530617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0.46541141924082713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-1.1693700053921123</v>
      </c>
      <c r="H663" t="s">
        <v>32</v>
      </c>
      <c r="I663">
        <f>VLOOKUP(Table4[[#This Row],[Visitor]],'NHL Model'!$A$6:$B$38,2,FALSE)</f>
        <v>-0.75181957250890208</v>
      </c>
      <c r="J663">
        <f>($B$1+Table4[[#This Row],[Home Differential]])-Table4[[#This Row],[Away Differential]]</f>
        <v>-0.36892118344178804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0.50386254273036091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-0.43202172705875852</v>
      </c>
      <c r="H664" t="s">
        <v>34</v>
      </c>
      <c r="I664">
        <f>VLOOKUP(Table4[[#This Row],[Visitor]],'NHL Model'!$A$6:$B$38,2,FALSE)</f>
        <v>-0.15703092434902144</v>
      </c>
      <c r="J664">
        <f>($B$1+Table4[[#This Row],[Home Differential]])-Table4[[#This Row],[Away Differential]]</f>
        <v>-0.22636155326831486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0.52942561023008838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-0.40624923719383538</v>
      </c>
      <c r="H665" t="s">
        <v>55</v>
      </c>
      <c r="I665">
        <f>VLOOKUP(Table4[[#This Row],[Visitor]],'NHL Model'!$A$6:$B$38,2,FALSE)</f>
        <v>-0.38947416486586689</v>
      </c>
      <c r="J665">
        <f>($B$1+Table4[[#This Row],[Home Differential]])-Table4[[#This Row],[Away Differential]]</f>
        <v>3.185417711345373E-2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0.54378727291218243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-0.45205624035379666</v>
      </c>
      <c r="H666" t="s">
        <v>26</v>
      </c>
      <c r="I666">
        <f>VLOOKUP(Table4[[#This Row],[Visitor]],'NHL Model'!$A$6:$B$38,2,FALSE)</f>
        <v>-0.97739270546148105</v>
      </c>
      <c r="J666">
        <f>($B$1+Table4[[#This Row],[Home Differential]])-Table4[[#This Row],[Away Differential]]</f>
        <v>0.57396571454910661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0.61073660172623156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0.24850541890141886</v>
      </c>
      <c r="H667" t="s">
        <v>31</v>
      </c>
      <c r="I667">
        <f>VLOOKUP(Table4[[#This Row],[Visitor]],'NHL Model'!$A$6:$B$38,2,FALSE)</f>
        <v>0.12352843374450689</v>
      </c>
      <c r="J667">
        <f>($B$1+Table4[[#This Row],[Home Differential]])-Table4[[#This Row],[Away Differential]]</f>
        <v>0.17360623459833419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0.56609529807353409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-0.73453218371466944</v>
      </c>
      <c r="H668" t="s">
        <v>38</v>
      </c>
      <c r="I668">
        <f>VLOOKUP(Table4[[#This Row],[Visitor]],'NHL Model'!$A$6:$B$38,2,FALSE)</f>
        <v>-1.0671109812312936</v>
      </c>
      <c r="J668">
        <f>($B$1+Table4[[#This Row],[Home Differential]])-Table4[[#This Row],[Away Differential]]</f>
        <v>0.38120804695804633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0.58174721905828863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0.35473499802405739</v>
      </c>
      <c r="H669" t="s">
        <v>39</v>
      </c>
      <c r="I669">
        <f>VLOOKUP(Table4[[#This Row],[Visitor]],'NHL Model'!$A$6:$B$38,2,FALSE)</f>
        <v>0.17994412141822874</v>
      </c>
      <c r="J669">
        <f>($B$1+Table4[[#This Row],[Home Differential]])-Table4[[#This Row],[Away Differential]]</f>
        <v>0.22342012604725087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0.50551069756942191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-0.92247588734712094</v>
      </c>
      <c r="H670" t="s">
        <v>29</v>
      </c>
      <c r="I670">
        <f>VLOOKUP(Table4[[#This Row],[Visitor]],'NHL Model'!$A$6:$B$38,2,FALSE)</f>
        <v>-1.4761804210410974</v>
      </c>
      <c r="J670">
        <f>($B$1+Table4[[#This Row],[Home Differential]])-Table4[[#This Row],[Away Differential]]</f>
        <v>0.60233378313539865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0.61865986964650477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-0.22994539344581519</v>
      </c>
      <c r="H671" t="s">
        <v>24</v>
      </c>
      <c r="I671">
        <f>VLOOKUP(Table4[[#This Row],[Visitor]],'NHL Model'!$A$6:$B$38,2,FALSE)</f>
        <v>2.1114018573289962E-3</v>
      </c>
      <c r="J671">
        <f>($B$1+Table4[[#This Row],[Home Differential]])-Table4[[#This Row],[Away Differential]]</f>
        <v>-0.18342754586172197</v>
      </c>
      <c r="K671" t="str">
        <f>IF(Table4[[#This Row],[HomeIce Differential]]&gt;0,Table4[[#This Row],[Home]],Table4[[#This Row],[Visitor]])</f>
        <v>New Jersey Devils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0.50257767910289641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-0.28566683768028334</v>
      </c>
      <c r="H672" t="s">
        <v>31</v>
      </c>
      <c r="I672">
        <f>VLOOKUP(Table4[[#This Row],[Visitor]],'NHL Model'!$A$6:$B$38,2,FALSE)</f>
        <v>0.12352843374450689</v>
      </c>
      <c r="J672">
        <f>($B$1+Table4[[#This Row],[Home Differential]])-Table4[[#This Row],[Away Differential]]</f>
        <v>-0.36056602198336801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0.49114502560903434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-0.75181957250890208</v>
      </c>
      <c r="H673" t="s">
        <v>21</v>
      </c>
      <c r="I673">
        <f>VLOOKUP(Table4[[#This Row],[Visitor]],'NHL Model'!$A$6:$B$38,2,FALSE)</f>
        <v>-0.29972363155607096</v>
      </c>
      <c r="J673">
        <f>($B$1+Table4[[#This Row],[Home Differential]])-Table4[[#This Row],[Away Differential]]</f>
        <v>-0.4034666915114089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0.50879929203375696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-0.63428770456303318</v>
      </c>
      <c r="H674" t="s">
        <v>28</v>
      </c>
      <c r="I674">
        <f>VLOOKUP(Table4[[#This Row],[Visitor]],'NHL Model'!$A$6:$B$38,2,FALSE)</f>
        <v>-0.81978323318233992</v>
      </c>
      <c r="J674">
        <f>($B$1+Table4[[#This Row],[Home Differential]])-Table4[[#This Row],[Away Differential]]</f>
        <v>0.23412477806072896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0.56783604884414396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0.41634187791115029</v>
      </c>
      <c r="H675" t="s">
        <v>12</v>
      </c>
      <c r="I675">
        <f>VLOOKUP(Table4[[#This Row],[Visitor]],'NHL Model'!$A$6:$B$38,2,FALSE)</f>
        <v>1.5255226246883613</v>
      </c>
      <c r="J675">
        <f>($B$1+Table4[[#This Row],[Home Differential]])-Table4[[#This Row],[Away Differential]]</f>
        <v>-1.0605514973357888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0.62609328891242544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-0.75971379218342783</v>
      </c>
      <c r="H676" t="s">
        <v>11</v>
      </c>
      <c r="I676">
        <f>VLOOKUP(Table4[[#This Row],[Visitor]],'NHL Model'!$A$6:$B$38,2,FALSE)</f>
        <v>-0.479695961608754</v>
      </c>
      <c r="J676">
        <f>($B$1+Table4[[#This Row],[Home Differential]])-Table4[[#This Row],[Away Differential]]</f>
        <v>-0.23138858113325161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0.48751073124234484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-0.24840457265646038</v>
      </c>
      <c r="H677" t="s">
        <v>20</v>
      </c>
      <c r="I677">
        <f>VLOOKUP(Table4[[#This Row],[Visitor]],'NHL Model'!$A$6:$B$38,2,FALSE)</f>
        <v>-0.32012591315776179</v>
      </c>
      <c r="J677">
        <f>($B$1+Table4[[#This Row],[Home Differential]])-Table4[[#This Row],[Away Differential]]</f>
        <v>0.12035058994272363</v>
      </c>
      <c r="K677" t="str">
        <f>IF(Table4[[#This Row],[HomeIce Differential]]&gt;0,Table4[[#This Row],[Home]],Table4[[#This Row],[Visitor]])</f>
        <v>Winnipeg Jets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0.55680445123120592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-0.35229536402491796</v>
      </c>
      <c r="H678" t="s">
        <v>35</v>
      </c>
      <c r="I678">
        <f>VLOOKUP(Table4[[#This Row],[Visitor]],'NHL Model'!$A$6:$B$38,2,FALSE)</f>
        <v>-1.4300915005812256</v>
      </c>
      <c r="J678">
        <f>($B$1+Table4[[#This Row],[Home Differential]])-Table4[[#This Row],[Away Differential]]</f>
        <v>1.1264253859977298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0.67392530394960304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-0.43202172705875852</v>
      </c>
      <c r="H679" t="s">
        <v>33</v>
      </c>
      <c r="I679">
        <f>VLOOKUP(Table4[[#This Row],[Visitor]],'NHL Model'!$A$6:$B$38,2,FALSE)</f>
        <v>-0.63428770456303318</v>
      </c>
      <c r="J679">
        <f>($B$1+Table4[[#This Row],[Home Differential]])-Table4[[#This Row],[Away Differential]]</f>
        <v>0.25089522694569688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0.56982995584607221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-0.69003864116815428</v>
      </c>
      <c r="H680" t="s">
        <v>16</v>
      </c>
      <c r="I680">
        <f>VLOOKUP(Table4[[#This Row],[Visitor]],'NHL Model'!$A$6:$B$38,2,FALSE)</f>
        <v>-1.1693700053921123</v>
      </c>
      <c r="J680">
        <f>($B$1+Table4[[#This Row],[Home Differential]])-Table4[[#This Row],[Away Differential]]</f>
        <v>0.52796061366538027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0.60277138862235968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-0.38947416486586689</v>
      </c>
      <c r="H681" t="s">
        <v>36</v>
      </c>
      <c r="I681">
        <f>VLOOKUP(Table4[[#This Row],[Visitor]],'NHL Model'!$A$6:$B$38,2,FALSE)</f>
        <v>-0.45205624035379666</v>
      </c>
      <c r="J681">
        <f>($B$1+Table4[[#This Row],[Home Differential]])-Table4[[#This Row],[Away Differential]]</f>
        <v>0.11121132492935198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0.59284020196486931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0.24850541890141886</v>
      </c>
      <c r="H682" t="s">
        <v>39</v>
      </c>
      <c r="I682">
        <f>VLOOKUP(Table4[[#This Row],[Visitor]],'NHL Model'!$A$6:$B$38,2,FALSE)</f>
        <v>0.17994412141822874</v>
      </c>
      <c r="J682">
        <f>($B$1+Table4[[#This Row],[Home Differential]])-Table4[[#This Row],[Away Differential]]</f>
        <v>0.11719054692461234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0.47821897592203411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-0.29972363155607096</v>
      </c>
      <c r="H683" t="s">
        <v>16</v>
      </c>
      <c r="I683">
        <f>VLOOKUP(Table4[[#This Row],[Visitor]],'NHL Model'!$A$6:$B$38,2,FALSE)</f>
        <v>-1.1693700053921123</v>
      </c>
      <c r="J683">
        <f>($B$1+Table4[[#This Row],[Home Differential]])-Table4[[#This Row],[Away Differential]]</f>
        <v>0.91827562327746359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0.69207908492296921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0.35473499802405739</v>
      </c>
      <c r="H684" t="s">
        <v>31</v>
      </c>
      <c r="I684">
        <f>VLOOKUP(Table4[[#This Row],[Visitor]],'NHL Model'!$A$6:$B$38,2,FALSE)</f>
        <v>0.12352843374450689</v>
      </c>
      <c r="J684">
        <f>($B$1+Table4[[#This Row],[Home Differential]])-Table4[[#This Row],[Away Differential]]</f>
        <v>0.27983581372097271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0.59327082013103827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1.5255226246883613</v>
      </c>
      <c r="H685" t="s">
        <v>36</v>
      </c>
      <c r="I685">
        <f>VLOOKUP(Table4[[#This Row],[Visitor]],'NHL Model'!$A$6:$B$38,2,FALSE)</f>
        <v>-0.45205624035379666</v>
      </c>
      <c r="J685">
        <f>($B$1+Table4[[#This Row],[Home Differential]])-Table4[[#This Row],[Away Differential]]</f>
        <v>2.0262081144835804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0.88446849528990801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-0.97739270546148105</v>
      </c>
      <c r="H686" t="s">
        <v>38</v>
      </c>
      <c r="I686">
        <f>VLOOKUP(Table4[[#This Row],[Visitor]],'NHL Model'!$A$6:$B$38,2,FALSE)</f>
        <v>-1.0671109812312936</v>
      </c>
      <c r="J686">
        <f>($B$1+Table4[[#This Row],[Home Differential]])-Table4[[#This Row],[Away Differential]]</f>
        <v>0.13834752521123472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0.55287254205205993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-0.69003864116815428</v>
      </c>
      <c r="H687" t="s">
        <v>11</v>
      </c>
      <c r="I687">
        <f>VLOOKUP(Table4[[#This Row],[Visitor]],'NHL Model'!$A$6:$B$38,2,FALSE)</f>
        <v>-0.479695961608754</v>
      </c>
      <c r="J687">
        <f>($B$1+Table4[[#This Row],[Home Differential]])-Table4[[#This Row],[Away Differential]]</f>
        <v>-0.16171343011797806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0.47922676863510139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-1.4761804210410974</v>
      </c>
      <c r="H688" t="s">
        <v>30</v>
      </c>
      <c r="I688">
        <f>VLOOKUP(Table4[[#This Row],[Visitor]],'NHL Model'!$A$6:$B$38,2,FALSE)</f>
        <v>-0.22994539344581519</v>
      </c>
      <c r="J688">
        <f>($B$1+Table4[[#This Row],[Home Differential]])-Table4[[#This Row],[Away Differential]]</f>
        <v>-1.19760577815386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0.67501139991729553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-0.40624923719383538</v>
      </c>
      <c r="H689" t="s">
        <v>23</v>
      </c>
      <c r="I689">
        <f>VLOOKUP(Table4[[#This Row],[Visitor]],'NHL Model'!$A$6:$B$38,2,FALSE)</f>
        <v>-0.73453218371466944</v>
      </c>
      <c r="J689">
        <f>($B$1+Table4[[#This Row],[Home Differential]])-Table4[[#This Row],[Away Differential]]</f>
        <v>0.37691219596225628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0.5848126267696343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-0.28566683768028334</v>
      </c>
      <c r="H690" t="s">
        <v>19</v>
      </c>
      <c r="I690">
        <f>VLOOKUP(Table4[[#This Row],[Visitor]],'NHL Model'!$A$6:$B$38,2,FALSE)</f>
        <v>-0.75971379218342783</v>
      </c>
      <c r="J690">
        <f>($B$1+Table4[[#This Row],[Home Differential]])-Table4[[#This Row],[Away Differential]]</f>
        <v>0.52267620394456671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0.63438916942673995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-0.39956044496834064</v>
      </c>
      <c r="H691" t="s">
        <v>24</v>
      </c>
      <c r="I691">
        <f>VLOOKUP(Table4[[#This Row],[Visitor]],'NHL Model'!$A$6:$B$38,2,FALSE)</f>
        <v>2.1114018573289962E-3</v>
      </c>
      <c r="J691">
        <f>($B$1+Table4[[#This Row],[Home Differential]])-Table4[[#This Row],[Away Differential]]</f>
        <v>-0.35304259738424743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0.52274390370326018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-0.75181957250890208</v>
      </c>
      <c r="H692" t="s">
        <v>34</v>
      </c>
      <c r="I692">
        <f>VLOOKUP(Table4[[#This Row],[Visitor]],'NHL Model'!$A$6:$B$38,2,FALSE)</f>
        <v>-0.15703092434902144</v>
      </c>
      <c r="J692">
        <f>($B$1+Table4[[#This Row],[Home Differential]])-Table4[[#This Row],[Away Differential]]</f>
        <v>-0.54615939871845842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0.56744767914537908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-0.32012591315776179</v>
      </c>
      <c r="H693" t="s">
        <v>28</v>
      </c>
      <c r="I693">
        <f>VLOOKUP(Table4[[#This Row],[Visitor]],'NHL Model'!$A$6:$B$38,2,FALSE)</f>
        <v>-0.81978323318233992</v>
      </c>
      <c r="J693">
        <f>($B$1+Table4[[#This Row],[Home Differential]])-Table4[[#This Row],[Away Differential]]</f>
        <v>0.54828656946600041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0.60518802432899643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-0.24840457265646038</v>
      </c>
      <c r="H694" t="s">
        <v>17</v>
      </c>
      <c r="I694">
        <f>VLOOKUP(Table4[[#This Row],[Visitor]],'NHL Model'!$A$6:$B$38,2,FALSE)</f>
        <v>-0.92247588734712094</v>
      </c>
      <c r="J694">
        <f>($B$1+Table4[[#This Row],[Home Differential]])-Table4[[#This Row],[Away Differential]]</f>
        <v>0.72270056413208272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0.62842029403813293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-0.35229536402491796</v>
      </c>
      <c r="H695" t="s">
        <v>22</v>
      </c>
      <c r="I695">
        <f>VLOOKUP(Table4[[#This Row],[Visitor]],'NHL Model'!$A$6:$B$38,2,FALSE)</f>
        <v>0.24850541890141886</v>
      </c>
      <c r="J695">
        <f>($B$1+Table4[[#This Row],[Home Differential]])-Table4[[#This Row],[Away Differential]]</f>
        <v>-0.55217153348491466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0.54641915430037047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-0.38947416486586689</v>
      </c>
      <c r="H696" t="s">
        <v>35</v>
      </c>
      <c r="I696">
        <f>VLOOKUP(Table4[[#This Row],[Visitor]],'NHL Model'!$A$6:$B$38,2,FALSE)</f>
        <v>-1.4300915005812256</v>
      </c>
      <c r="J696">
        <f>($B$1+Table4[[#This Row],[Home Differential]])-Table4[[#This Row],[Away Differential]]</f>
        <v>1.089246585156781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0.70993614227249291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-0.24840457265646038</v>
      </c>
      <c r="H697" t="s">
        <v>13</v>
      </c>
      <c r="I697">
        <f>VLOOKUP(Table4[[#This Row],[Visitor]],'NHL Model'!$A$6:$B$38,2,FALSE)</f>
        <v>-0.43202172705875852</v>
      </c>
      <c r="J697">
        <f>($B$1+Table4[[#This Row],[Home Differential]])-Table4[[#This Row],[Away Differential]]</f>
        <v>0.23224640384372036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0.50380319747021041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-0.29972363155607096</v>
      </c>
      <c r="H698" t="s">
        <v>15</v>
      </c>
      <c r="I698">
        <f>VLOOKUP(Table4[[#This Row],[Visitor]],'NHL Model'!$A$6:$B$38,2,FALSE)</f>
        <v>-0.40624923719383538</v>
      </c>
      <c r="J698">
        <f>($B$1+Table4[[#This Row],[Home Differential]])-Table4[[#This Row],[Away Differential]]</f>
        <v>0.15515485507918664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0.50166846943479748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-0.73453218371466944</v>
      </c>
      <c r="H699" t="s">
        <v>31</v>
      </c>
      <c r="I699">
        <f>VLOOKUP(Table4[[#This Row],[Visitor]],'NHL Model'!$A$6:$B$38,2,FALSE)</f>
        <v>0.12352843374450689</v>
      </c>
      <c r="J699">
        <f>($B$1+Table4[[#This Row],[Home Differential]])-Table4[[#This Row],[Away Differential]]</f>
        <v>-0.80943136801775406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0.57700582427613445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0.35473499802405739</v>
      </c>
      <c r="H700" t="s">
        <v>32</v>
      </c>
      <c r="I700">
        <f>VLOOKUP(Table4[[#This Row],[Visitor]],'NHL Model'!$A$6:$B$38,2,FALSE)</f>
        <v>-0.75181957250890208</v>
      </c>
      <c r="J700">
        <f>($B$1+Table4[[#This Row],[Home Differential]])-Table4[[#This Row],[Away Differential]]</f>
        <v>1.1551838199743818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0.71777568879223141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1.5255226246883613</v>
      </c>
      <c r="H701" t="s">
        <v>28</v>
      </c>
      <c r="I701">
        <f>VLOOKUP(Table4[[#This Row],[Visitor]],'NHL Model'!$A$6:$B$38,2,FALSE)</f>
        <v>-0.81978323318233992</v>
      </c>
      <c r="J701">
        <f>($B$1+Table4[[#This Row],[Home Differential]])-Table4[[#This Row],[Away Differential]]</f>
        <v>2.3939351073121236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0.92895459630390398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-0.92247588734712094</v>
      </c>
      <c r="H702" t="s">
        <v>13</v>
      </c>
      <c r="I702">
        <f>VLOOKUP(Table4[[#This Row],[Visitor]],'NHL Model'!$A$6:$B$38,2,FALSE)</f>
        <v>-0.43202172705875852</v>
      </c>
      <c r="J702">
        <f>($B$1+Table4[[#This Row],[Home Differential]])-Table4[[#This Row],[Away Differential]]</f>
        <v>-0.4418249108469402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0.57176113317073995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-0.15703092434902144</v>
      </c>
      <c r="H703" t="s">
        <v>30</v>
      </c>
      <c r="I703">
        <f>VLOOKUP(Table4[[#This Row],[Visitor]],'NHL Model'!$A$6:$B$38,2,FALSE)</f>
        <v>-0.22994539344581519</v>
      </c>
      <c r="J703">
        <f>($B$1+Table4[[#This Row],[Home Differential]])-Table4[[#This Row],[Away Differential]]</f>
        <v>0.12154371853821597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0.48182765883932965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-0.69003864116815428</v>
      </c>
      <c r="H704" t="s">
        <v>26</v>
      </c>
      <c r="I704">
        <f>VLOOKUP(Table4[[#This Row],[Visitor]],'NHL Model'!$A$6:$B$38,2,FALSE)</f>
        <v>-0.97739270546148105</v>
      </c>
      <c r="J704">
        <f>($B$1+Table4[[#This Row],[Home Differential]])-Table4[[#This Row],[Away Differential]]</f>
        <v>0.33598331373474899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0.5799464251900408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-1.4761804210410974</v>
      </c>
      <c r="H705" t="s">
        <v>10</v>
      </c>
      <c r="I705">
        <f>VLOOKUP(Table4[[#This Row],[Visitor]],'NHL Model'!$A$6:$B$38,2,FALSE)</f>
        <v>-0.35229536402491796</v>
      </c>
      <c r="J705">
        <f>($B$1+Table4[[#This Row],[Home Differential]])-Table4[[#This Row],[Away Differential]]</f>
        <v>-1.0752558075747571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0.58784154427190383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-0.45205624035379666</v>
      </c>
      <c r="H706" t="s">
        <v>11</v>
      </c>
      <c r="I706">
        <f>VLOOKUP(Table4[[#This Row],[Visitor]],'NHL Model'!$A$6:$B$38,2,FALSE)</f>
        <v>-0.479695961608754</v>
      </c>
      <c r="J706">
        <f>($B$1+Table4[[#This Row],[Home Differential]])-Table4[[#This Row],[Away Differential]]</f>
        <v>7.6268970696379557E-2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0.55156340790108949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-0.28566683768028334</v>
      </c>
      <c r="H707" t="s">
        <v>37</v>
      </c>
      <c r="I707">
        <f>VLOOKUP(Table4[[#This Row],[Visitor]],'NHL Model'!$A$6:$B$38,2,FALSE)</f>
        <v>0.41634187791115029</v>
      </c>
      <c r="J707">
        <f>($B$1+Table4[[#This Row],[Home Differential]])-Table4[[#This Row],[Away Differential]]</f>
        <v>-0.65337946615001141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0.59768294703431513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-0.39956044496834064</v>
      </c>
      <c r="H708" t="s">
        <v>16</v>
      </c>
      <c r="I708">
        <f>VLOOKUP(Table4[[#This Row],[Visitor]],'NHL Model'!$A$6:$B$38,2,FALSE)</f>
        <v>-1.1693700053921123</v>
      </c>
      <c r="J708">
        <f>($B$1+Table4[[#This Row],[Home Differential]])-Table4[[#This Row],[Away Differential]]</f>
        <v>0.81843880986519391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0.63730752497047183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-0.63428770456303318</v>
      </c>
      <c r="H709" t="s">
        <v>39</v>
      </c>
      <c r="I709">
        <f>VLOOKUP(Table4[[#This Row],[Visitor]],'NHL Model'!$A$6:$B$38,2,FALSE)</f>
        <v>0.17994412141822874</v>
      </c>
      <c r="J709">
        <f>($B$1+Table4[[#This Row],[Home Differential]])-Table4[[#This Row],[Away Differential]]</f>
        <v>-0.76560257653983976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0.65282336270935348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-0.75971379218342783</v>
      </c>
      <c r="H710" t="s">
        <v>38</v>
      </c>
      <c r="I710">
        <f>VLOOKUP(Table4[[#This Row],[Visitor]],'NHL Model'!$A$6:$B$38,2,FALSE)</f>
        <v>-1.0671109812312936</v>
      </c>
      <c r="J710">
        <f>($B$1+Table4[[#This Row],[Home Differential]])-Table4[[#This Row],[Away Differential]]</f>
        <v>0.35602643848928794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0.57875327502076923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-0.32012591315776179</v>
      </c>
      <c r="H711" t="s">
        <v>35</v>
      </c>
      <c r="I711">
        <f>VLOOKUP(Table4[[#This Row],[Visitor]],'NHL Model'!$A$6:$B$38,2,FALSE)</f>
        <v>-1.4300915005812256</v>
      </c>
      <c r="J711">
        <f>($B$1+Table4[[#This Row],[Home Differential]])-Table4[[#This Row],[Away Differential]]</f>
        <v>1.158594836864886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0.67775006104299862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-0.29972363155607096</v>
      </c>
      <c r="H712" t="s">
        <v>14</v>
      </c>
      <c r="I712">
        <f>VLOOKUP(Table4[[#This Row],[Visitor]],'NHL Model'!$A$6:$B$38,2,FALSE)</f>
        <v>-0.39956044496834064</v>
      </c>
      <c r="J712">
        <f>($B$1+Table4[[#This Row],[Home Differential]])-Table4[[#This Row],[Away Differential]]</f>
        <v>0.1484660628536919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0.58015173516244045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-1.4761804210410974</v>
      </c>
      <c r="H713" t="s">
        <v>22</v>
      </c>
      <c r="I713">
        <f>VLOOKUP(Table4[[#This Row],[Visitor]],'NHL Model'!$A$6:$B$38,2,FALSE)</f>
        <v>0.24850541890141886</v>
      </c>
      <c r="J713">
        <f>($B$1+Table4[[#This Row],[Home Differential]])-Table4[[#This Row],[Away Differential]]</f>
        <v>-1.676056590501094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0.68004242818636229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-0.63428770456303318</v>
      </c>
      <c r="H714" t="s">
        <v>20</v>
      </c>
      <c r="I714">
        <f>VLOOKUP(Table4[[#This Row],[Visitor]],'NHL Model'!$A$6:$B$38,2,FALSE)</f>
        <v>-0.32012591315776179</v>
      </c>
      <c r="J714">
        <f>($B$1+Table4[[#This Row],[Home Differential]])-Table4[[#This Row],[Away Differential]]</f>
        <v>-0.26553254196384918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0.49157024587076459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-0.38947416486586689</v>
      </c>
      <c r="H715" t="s">
        <v>28</v>
      </c>
      <c r="I715">
        <f>VLOOKUP(Table4[[#This Row],[Visitor]],'NHL Model'!$A$6:$B$38,2,FALSE)</f>
        <v>-0.81978323318233992</v>
      </c>
      <c r="J715">
        <f>($B$1+Table4[[#This Row],[Home Differential]])-Table4[[#This Row],[Away Differential]]</f>
        <v>0.47893831775789525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0.63737410555849072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-0.24840457265646038</v>
      </c>
      <c r="H716" t="s">
        <v>24</v>
      </c>
      <c r="I716">
        <f>VLOOKUP(Table4[[#This Row],[Visitor]],'NHL Model'!$A$6:$B$38,2,FALSE)</f>
        <v>2.1114018573289962E-3</v>
      </c>
      <c r="J716">
        <f>($B$1+Table4[[#This Row],[Home Differential]])-Table4[[#This Row],[Away Differential]]</f>
        <v>-0.20188672507236716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0.50226400493024481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-0.73453218371466944</v>
      </c>
      <c r="H717" t="s">
        <v>11</v>
      </c>
      <c r="I717">
        <f>VLOOKUP(Table4[[#This Row],[Visitor]],'NHL Model'!$A$6:$B$38,2,FALSE)</f>
        <v>-0.479695961608754</v>
      </c>
      <c r="J717">
        <f>($B$1+Table4[[#This Row],[Home Differential]])-Table4[[#This Row],[Away Differential]]</f>
        <v>-0.20620697266449323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0.48451678720482549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-0.35229536402491796</v>
      </c>
      <c r="H718" t="s">
        <v>17</v>
      </c>
      <c r="I718">
        <f>VLOOKUP(Table4[[#This Row],[Visitor]],'NHL Model'!$A$6:$B$38,2,FALSE)</f>
        <v>-0.92247588734712094</v>
      </c>
      <c r="J718">
        <f>($B$1+Table4[[#This Row],[Home Differential]])-Table4[[#This Row],[Away Differential]]</f>
        <v>0.61880977276362525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0.61357281532761931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1.5255226246883613</v>
      </c>
      <c r="H719" t="s">
        <v>19</v>
      </c>
      <c r="I719">
        <f>VLOOKUP(Table4[[#This Row],[Visitor]],'NHL Model'!$A$6:$B$38,2,FALSE)</f>
        <v>-0.75971379218342783</v>
      </c>
      <c r="J719">
        <f>($B$1+Table4[[#This Row],[Home Differential]])-Table4[[#This Row],[Away Differential]]</f>
        <v>2.3338656663132111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0.92181269570057522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-0.97739270546148105</v>
      </c>
      <c r="H720" t="s">
        <v>25</v>
      </c>
      <c r="I720">
        <f>VLOOKUP(Table4[[#This Row],[Visitor]],'NHL Model'!$A$6:$B$38,2,FALSE)</f>
        <v>0.35473499802405739</v>
      </c>
      <c r="J720">
        <f>($B$1+Table4[[#This Row],[Home Differential]])-Table4[[#This Row],[Away Differential]]</f>
        <v>-1.2834984540441163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0.68522353013793891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-0.43202172705875852</v>
      </c>
      <c r="H721" t="s">
        <v>39</v>
      </c>
      <c r="I721">
        <f>VLOOKUP(Table4[[#This Row],[Visitor]],'NHL Model'!$A$6:$B$38,2,FALSE)</f>
        <v>0.17994412141822874</v>
      </c>
      <c r="J721">
        <f>($B$1+Table4[[#This Row],[Home Differential]])-Table4[[#This Row],[Away Differential]]</f>
        <v>-0.56333659903556499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0.62877513647736927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-0.15703092434902144</v>
      </c>
      <c r="H722" t="s">
        <v>24</v>
      </c>
      <c r="I722">
        <f>VLOOKUP(Table4[[#This Row],[Visitor]],'NHL Model'!$A$6:$B$38,2,FALSE)</f>
        <v>2.1114018573289962E-3</v>
      </c>
      <c r="J722">
        <f>($B$1+Table4[[#This Row],[Home Differential]])-Table4[[#This Row],[Away Differential]]</f>
        <v>-0.11051307676492822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0.49390858076979849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-0.69003864116815428</v>
      </c>
      <c r="H723" t="s">
        <v>38</v>
      </c>
      <c r="I723">
        <f>VLOOKUP(Table4[[#This Row],[Visitor]],'NHL Model'!$A$6:$B$38,2,FALSE)</f>
        <v>-1.0671109812312936</v>
      </c>
      <c r="J723">
        <f>($B$1+Table4[[#This Row],[Home Differential]])-Table4[[#This Row],[Away Differential]]</f>
        <v>0.4257015895045615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0.58703723762801274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-0.40624923719383538</v>
      </c>
      <c r="H724" t="s">
        <v>32</v>
      </c>
      <c r="I724">
        <f>VLOOKUP(Table4[[#This Row],[Visitor]],'NHL Model'!$A$6:$B$38,2,FALSE)</f>
        <v>-0.75181957250890208</v>
      </c>
      <c r="J724">
        <f>($B$1+Table4[[#This Row],[Home Differential]])-Table4[[#This Row],[Away Differential]]</f>
        <v>0.39419958475648892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0.58686799486373298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-0.28566683768028334</v>
      </c>
      <c r="H725" t="s">
        <v>37</v>
      </c>
      <c r="I725">
        <f>VLOOKUP(Table4[[#This Row],[Visitor]],'NHL Model'!$A$6:$B$38,2,FALSE)</f>
        <v>0.41634187791115029</v>
      </c>
      <c r="J725">
        <f>($B$1+Table4[[#This Row],[Home Differential]])-Table4[[#This Row],[Away Differential]]</f>
        <v>-0.65337946615001141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0.59768294703431513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0.12352843374450689</v>
      </c>
      <c r="H726" t="s">
        <v>39</v>
      </c>
      <c r="I726">
        <f>VLOOKUP(Table4[[#This Row],[Visitor]],'NHL Model'!$A$6:$B$38,2,FALSE)</f>
        <v>0.17994412141822874</v>
      </c>
      <c r="J726">
        <f>($B$1+Table4[[#This Row],[Home Differential]])-Table4[[#This Row],[Away Differential]]</f>
        <v>-7.7864382322996306E-3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0.4809257613685809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-0.29972363155607096</v>
      </c>
      <c r="H727" t="s">
        <v>26</v>
      </c>
      <c r="I727">
        <f>VLOOKUP(Table4[[#This Row],[Visitor]],'NHL Model'!$A$6:$B$38,2,FALSE)</f>
        <v>-0.97739270546148105</v>
      </c>
      <c r="J727">
        <f>($B$1+Table4[[#This Row],[Home Differential]])-Table4[[#This Row],[Away Differential]]</f>
        <v>0.72629832334683231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0.66925412149065033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-0.81978323318233992</v>
      </c>
      <c r="H728" t="s">
        <v>16</v>
      </c>
      <c r="I728">
        <f>VLOOKUP(Table4[[#This Row],[Visitor]],'NHL Model'!$A$6:$B$38,2,FALSE)</f>
        <v>-1.1693700053921123</v>
      </c>
      <c r="J728">
        <f>($B$1+Table4[[#This Row],[Home Differential]])-Table4[[#This Row],[Away Differential]]</f>
        <v>0.39821602165119463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0.58734552541178742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-1.4761804210410974</v>
      </c>
      <c r="H729" t="s">
        <v>17</v>
      </c>
      <c r="I729">
        <f>VLOOKUP(Table4[[#This Row],[Visitor]],'NHL Model'!$A$6:$B$38,2,FALSE)</f>
        <v>-0.92247588734712094</v>
      </c>
      <c r="J729">
        <f>($B$1+Table4[[#This Row],[Home Differential]])-Table4[[#This Row],[Away Differential]]</f>
        <v>-0.50507528425255421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0.52005045855837251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-0.45205624035379666</v>
      </c>
      <c r="H730" t="s">
        <v>38</v>
      </c>
      <c r="I730">
        <f>VLOOKUP(Table4[[#This Row],[Visitor]],'NHL Model'!$A$6:$B$38,2,FALSE)</f>
        <v>-1.0671109812312936</v>
      </c>
      <c r="J730">
        <f>($B$1+Table4[[#This Row],[Home Differential]])-Table4[[#This Row],[Away Differential]]</f>
        <v>0.66368399031891911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0.61783024958888366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-0.39956044496834064</v>
      </c>
      <c r="H731" t="s">
        <v>37</v>
      </c>
      <c r="I731">
        <f>VLOOKUP(Table4[[#This Row],[Visitor]],'NHL Model'!$A$6:$B$38,2,FALSE)</f>
        <v>0.41634187791115029</v>
      </c>
      <c r="J731">
        <f>($B$1+Table4[[#This Row],[Home Differential]])-Table4[[#This Row],[Away Differential]]</f>
        <v>-0.76727307343806872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0.64371040992861772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-1.4300915005812256</v>
      </c>
      <c r="H732" t="s">
        <v>25</v>
      </c>
      <c r="I732">
        <f>VLOOKUP(Table4[[#This Row],[Visitor]],'NHL Model'!$A$6:$B$38,2,FALSE)</f>
        <v>0.35473499802405739</v>
      </c>
      <c r="J732">
        <f>($B$1+Table4[[#This Row],[Home Differential]])-Table4[[#This Row],[Away Differential]]</f>
        <v>-1.7361972491638609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0.73904673448656055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-0.38947416486586689</v>
      </c>
      <c r="H733" t="s">
        <v>19</v>
      </c>
      <c r="I733">
        <f>VLOOKUP(Table4[[#This Row],[Visitor]],'NHL Model'!$A$6:$B$38,2,FALSE)</f>
        <v>-0.75971379218342783</v>
      </c>
      <c r="J733">
        <f>($B$1+Table4[[#This Row],[Home Differential]])-Table4[[#This Row],[Away Differential]]</f>
        <v>0.41886887675898316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0.63023220495516197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-0.24840457265646038</v>
      </c>
      <c r="H734" t="s">
        <v>30</v>
      </c>
      <c r="I734">
        <f>VLOOKUP(Table4[[#This Row],[Visitor]],'NHL Model'!$A$6:$B$38,2,FALSE)</f>
        <v>-0.22994539344581519</v>
      </c>
      <c r="J734">
        <f>($B$1+Table4[[#This Row],[Home Differential]])-Table4[[#This Row],[Away Differential]]</f>
        <v>3.017007023077703E-2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0.47346656065501536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0.24850541890141886</v>
      </c>
      <c r="H735" t="s">
        <v>18</v>
      </c>
      <c r="I735">
        <f>VLOOKUP(Table4[[#This Row],[Visitor]],'NHL Model'!$A$6:$B$38,2,FALSE)</f>
        <v>-0.69003864116815428</v>
      </c>
      <c r="J735">
        <f>($B$1+Table4[[#This Row],[Home Differential]])-Table4[[#This Row],[Away Differential]]</f>
        <v>0.98717330951099536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0.624411310691383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-0.73453218371466944</v>
      </c>
      <c r="H736" t="s">
        <v>27</v>
      </c>
      <c r="I736">
        <f>VLOOKUP(Table4[[#This Row],[Visitor]],'NHL Model'!$A$6:$B$38,2,FALSE)</f>
        <v>-0.28566683768028334</v>
      </c>
      <c r="J736">
        <f>($B$1+Table4[[#This Row],[Home Differential]])-Table4[[#This Row],[Away Differential]]</f>
        <v>-0.40023609659296389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0.55009826316681731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-0.43202172705875852</v>
      </c>
      <c r="H737" t="s">
        <v>20</v>
      </c>
      <c r="I737">
        <f>VLOOKUP(Table4[[#This Row],[Visitor]],'NHL Model'!$A$6:$B$38,2,FALSE)</f>
        <v>-0.32012591315776179</v>
      </c>
      <c r="J737">
        <f>($B$1+Table4[[#This Row],[Home Differential]])-Table4[[#This Row],[Away Differential]]</f>
        <v>-6.3266564459574515E-2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0.46752201963878037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2.1114018573289962E-3</v>
      </c>
      <c r="H738" t="s">
        <v>32</v>
      </c>
      <c r="I738">
        <f>VLOOKUP(Table4[[#This Row],[Visitor]],'NHL Model'!$A$6:$B$38,2,FALSE)</f>
        <v>-0.75181957250890208</v>
      </c>
      <c r="J738">
        <f>($B$1+Table4[[#This Row],[Home Differential]])-Table4[[#This Row],[Away Differential]]</f>
        <v>0.80256022380765324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0.73553345318267527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-0.40624923719383538</v>
      </c>
      <c r="H739" t="s">
        <v>36</v>
      </c>
      <c r="I739">
        <f>VLOOKUP(Table4[[#This Row],[Visitor]],'NHL Model'!$A$6:$B$38,2,FALSE)</f>
        <v>-0.45205624035379666</v>
      </c>
      <c r="J739">
        <f>($B$1+Table4[[#This Row],[Home Differential]])-Table4[[#This Row],[Away Differential]]</f>
        <v>9.4436252601383497E-2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0.55039841778050169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-0.29972363155607096</v>
      </c>
      <c r="H740" t="s">
        <v>32</v>
      </c>
      <c r="I740">
        <f>VLOOKUP(Table4[[#This Row],[Visitor]],'NHL Model'!$A$6:$B$38,2,FALSE)</f>
        <v>-0.75181957250890208</v>
      </c>
      <c r="J740">
        <f>($B$1+Table4[[#This Row],[Home Differential]])-Table4[[#This Row],[Away Differential]]</f>
        <v>0.50072519039425334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0.64243481257852031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-0.73453218371466944</v>
      </c>
      <c r="H741" t="s">
        <v>18</v>
      </c>
      <c r="I741">
        <f>VLOOKUP(Table4[[#This Row],[Visitor]],'NHL Model'!$A$6:$B$38,2,FALSE)</f>
        <v>-0.69003864116815428</v>
      </c>
      <c r="J741">
        <f>($B$1+Table4[[#This Row],[Home Differential]])-Table4[[#This Row],[Away Differential]]</f>
        <v>4.1357068949070541E-3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0.48120387721647062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-0.81978323318233992</v>
      </c>
      <c r="H742" t="s">
        <v>38</v>
      </c>
      <c r="I742">
        <f>VLOOKUP(Table4[[#This Row],[Visitor]],'NHL Model'!$A$6:$B$38,2,FALSE)</f>
        <v>-1.0671109812312936</v>
      </c>
      <c r="J742">
        <f>($B$1+Table4[[#This Row],[Home Differential]])-Table4[[#This Row],[Away Differential]]</f>
        <v>0.29595699749037585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0.57161137441744048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-0.35229536402491796</v>
      </c>
      <c r="H743" t="s">
        <v>16</v>
      </c>
      <c r="I743">
        <f>VLOOKUP(Table4[[#This Row],[Visitor]],'NHL Model'!$A$6:$B$38,2,FALSE)</f>
        <v>-1.1693700053921123</v>
      </c>
      <c r="J743">
        <f>($B$1+Table4[[#This Row],[Home Differential]])-Table4[[#This Row],[Away Differential]]</f>
        <v>0.86570389080861654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0.64292706303330027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-0.92247588734712094</v>
      </c>
      <c r="H744" t="s">
        <v>30</v>
      </c>
      <c r="I744">
        <f>VLOOKUP(Table4[[#This Row],[Visitor]],'NHL Model'!$A$6:$B$38,2,FALSE)</f>
        <v>-0.22994539344581519</v>
      </c>
      <c r="J744">
        <f>($B$1+Table4[[#This Row],[Home Differential]])-Table4[[#This Row],[Away Differential]]</f>
        <v>-0.6439012444598835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0.60210348789245327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-0.15703092434902144</v>
      </c>
      <c r="H745" t="s">
        <v>40</v>
      </c>
      <c r="I745">
        <f>VLOOKUP(Table4[[#This Row],[Visitor]],'NHL Model'!$A$6:$B$38,2,FALSE)</f>
        <v>-0.24840457265646038</v>
      </c>
      <c r="J745">
        <f>($B$1+Table4[[#This Row],[Home Differential]])-Table4[[#This Row],[Away Differential]]</f>
        <v>0.14000289774886115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0.51735878174031658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-0.39956044496834064</v>
      </c>
      <c r="H746" t="s">
        <v>27</v>
      </c>
      <c r="I746">
        <f>VLOOKUP(Table4[[#This Row],[Visitor]],'NHL Model'!$A$6:$B$38,2,FALSE)</f>
        <v>-0.28566683768028334</v>
      </c>
      <c r="J746">
        <f>($B$1+Table4[[#This Row],[Home Differential]])-Table4[[#This Row],[Away Differential]]</f>
        <v>-6.526435784663509E-2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0.51027210824898106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-0.38947416486586689</v>
      </c>
      <c r="H747" t="s">
        <v>39</v>
      </c>
      <c r="I747">
        <f>VLOOKUP(Table4[[#This Row],[Visitor]],'NHL Model'!$A$6:$B$38,2,FALSE)</f>
        <v>0.17994412141822874</v>
      </c>
      <c r="J747">
        <f>($B$1+Table4[[#This Row],[Home Differential]])-Table4[[#This Row],[Away Differential]]</f>
        <v>-0.52078903684267341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0.58297136221106804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-0.32012591315776179</v>
      </c>
      <c r="H748" t="s">
        <v>19</v>
      </c>
      <c r="I748">
        <f>VLOOKUP(Table4[[#This Row],[Visitor]],'NHL Model'!$A$6:$B$38,2,FALSE)</f>
        <v>-0.75971379218342783</v>
      </c>
      <c r="J748">
        <f>($B$1+Table4[[#This Row],[Home Differential]])-Table4[[#This Row],[Away Differential]]</f>
        <v>0.48821712846708826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0.59804612372566768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0.24850541890141886</v>
      </c>
      <c r="H749" t="s">
        <v>33</v>
      </c>
      <c r="I749">
        <f>VLOOKUP(Table4[[#This Row],[Visitor]],'NHL Model'!$A$6:$B$38,2,FALSE)</f>
        <v>-0.63428770456303318</v>
      </c>
      <c r="J749">
        <f>($B$1+Table4[[#This Row],[Home Differential]])-Table4[[#This Row],[Away Differential]]</f>
        <v>0.93142237290587426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0.67677833699982914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0.35473499802405739</v>
      </c>
      <c r="H750" t="s">
        <v>11</v>
      </c>
      <c r="I750">
        <f>VLOOKUP(Table4[[#This Row],[Visitor]],'NHL Model'!$A$6:$B$38,2,FALSE)</f>
        <v>-0.479695961608754</v>
      </c>
      <c r="J750">
        <f>($B$1+Table4[[#This Row],[Home Differential]])-Table4[[#This Row],[Away Differential]]</f>
        <v>0.88306020907423366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0.68542180387921925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1.5255226246883613</v>
      </c>
      <c r="H751" t="s">
        <v>29</v>
      </c>
      <c r="I751">
        <f>VLOOKUP(Table4[[#This Row],[Visitor]],'NHL Model'!$A$6:$B$38,2,FALSE)</f>
        <v>-1.4761804210410974</v>
      </c>
      <c r="J751">
        <f>($B$1+Table4[[#This Row],[Home Differential]])-Table4[[#This Row],[Away Differential]]</f>
        <v>3.0503322951708807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-0.97739270546148105</v>
      </c>
      <c r="H752" t="s">
        <v>33</v>
      </c>
      <c r="I752">
        <f>VLOOKUP(Table4[[#This Row],[Visitor]],'NHL Model'!$A$6:$B$38,2,FALSE)</f>
        <v>-0.63428770456303318</v>
      </c>
      <c r="J752">
        <f>($B$1+Table4[[#This Row],[Home Differential]])-Table4[[#This Row],[Away Differential]]</f>
        <v>-0.29447575145702565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0.49501142198134851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-0.43202172705875852</v>
      </c>
      <c r="H753" t="s">
        <v>31</v>
      </c>
      <c r="I753">
        <f>VLOOKUP(Table4[[#This Row],[Visitor]],'NHL Model'!$A$6:$B$38,2,FALSE)</f>
        <v>0.12352843374450689</v>
      </c>
      <c r="J753">
        <f>($B$1+Table4[[#This Row],[Home Differential]])-Table4[[#This Row],[Away Differential]]</f>
        <v>-0.50692091136184314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0.54103912345494243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-1.4300915005812256</v>
      </c>
      <c r="H754" t="s">
        <v>37</v>
      </c>
      <c r="I754">
        <f>VLOOKUP(Table4[[#This Row],[Visitor]],'NHL Model'!$A$6:$B$38,2,FALSE)</f>
        <v>0.41634187791115029</v>
      </c>
      <c r="J754">
        <f>($B$1+Table4[[#This Row],[Home Differential]])-Table4[[#This Row],[Away Differential]]</f>
        <v>-1.7978041290509537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0.76623444620130432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0.12352843374450689</v>
      </c>
      <c r="H755" t="s">
        <v>13</v>
      </c>
      <c r="I755">
        <f>VLOOKUP(Table4[[#This Row],[Visitor]],'NHL Model'!$A$6:$B$38,2,FALSE)</f>
        <v>-0.43202172705875852</v>
      </c>
      <c r="J755">
        <f>($B$1+Table4[[#This Row],[Home Differential]])-Table4[[#This Row],[Away Differential]]</f>
        <v>0.60417941024468758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0.62738890746944309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-0.73453218371466944</v>
      </c>
      <c r="H756" t="s">
        <v>34</v>
      </c>
      <c r="I756">
        <f>VLOOKUP(Table4[[#This Row],[Visitor]],'NHL Model'!$A$6:$B$38,2,FALSE)</f>
        <v>-0.15703092434902144</v>
      </c>
      <c r="J756">
        <f>($B$1+Table4[[#This Row],[Home Differential]])-Table4[[#This Row],[Away Differential]]</f>
        <v>-0.52887200992422578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0.56539231105128029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-1.1693700053921123</v>
      </c>
      <c r="H757" t="s">
        <v>30</v>
      </c>
      <c r="I757">
        <f>VLOOKUP(Table4[[#This Row],[Visitor]],'NHL Model'!$A$6:$B$38,2,FALSE)</f>
        <v>-0.22994539344581519</v>
      </c>
      <c r="J757">
        <f>($B$1+Table4[[#This Row],[Home Differential]])-Table4[[#This Row],[Away Differential]]</f>
        <v>-0.8907953625048749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0.63853345945051598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-0.35229536402491796</v>
      </c>
      <c r="H758" t="s">
        <v>21</v>
      </c>
      <c r="I758">
        <f>VLOOKUP(Table4[[#This Row],[Visitor]],'NHL Model'!$A$6:$B$38,2,FALSE)</f>
        <v>-0.29972363155607096</v>
      </c>
      <c r="J758">
        <f>($B$1+Table4[[#This Row],[Home Differential]])-Table4[[#This Row],[Away Differential]]</f>
        <v>-3.9424830274247813E-3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0.46129823095899353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2.1114018573289962E-3</v>
      </c>
      <c r="H759" t="s">
        <v>25</v>
      </c>
      <c r="I759">
        <f>VLOOKUP(Table4[[#This Row],[Visitor]],'NHL Model'!$A$6:$B$38,2,FALSE)</f>
        <v>0.35473499802405739</v>
      </c>
      <c r="J759">
        <f>($B$1+Table4[[#This Row],[Home Differential]])-Table4[[#This Row],[Away Differential]]</f>
        <v>-0.30399434672530617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0.46541141924082713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-0.45205624035379666</v>
      </c>
      <c r="H760" t="s">
        <v>18</v>
      </c>
      <c r="I760">
        <f>VLOOKUP(Table4[[#This Row],[Visitor]],'NHL Model'!$A$6:$B$38,2,FALSE)</f>
        <v>-0.69003864116815428</v>
      </c>
      <c r="J760">
        <f>($B$1+Table4[[#This Row],[Home Differential]])-Table4[[#This Row],[Away Differential]]</f>
        <v>0.28661165025577984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0.5172979034560059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-0.28566683768028334</v>
      </c>
      <c r="H761" t="s">
        <v>15</v>
      </c>
      <c r="I761">
        <f>VLOOKUP(Table4[[#This Row],[Visitor]],'NHL Model'!$A$6:$B$38,2,FALSE)</f>
        <v>-0.40624923719383538</v>
      </c>
      <c r="J761">
        <f>($B$1+Table4[[#This Row],[Home Differential]])-Table4[[#This Row],[Away Differential]]</f>
        <v>0.16921164895497426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0.49244298567260902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-0.39956044496834064</v>
      </c>
      <c r="H762" t="s">
        <v>28</v>
      </c>
      <c r="I762">
        <f>VLOOKUP(Table4[[#This Row],[Visitor]],'NHL Model'!$A$6:$B$38,2,FALSE)</f>
        <v>-0.81978323318233992</v>
      </c>
      <c r="J762">
        <f>($B$1+Table4[[#This Row],[Home Differential]])-Table4[[#This Row],[Away Differential]]</f>
        <v>0.46885203765542149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0.59574372917277241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-0.38947416486586689</v>
      </c>
      <c r="H763" t="s">
        <v>32</v>
      </c>
      <c r="I763">
        <f>VLOOKUP(Table4[[#This Row],[Visitor]],'NHL Model'!$A$6:$B$38,2,FALSE)</f>
        <v>-0.75181957250890208</v>
      </c>
      <c r="J763">
        <f>($B$1+Table4[[#This Row],[Home Differential]])-Table4[[#This Row],[Away Differential]]</f>
        <v>0.41097465708445741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0.62929362901174135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-1.0671109812312936</v>
      </c>
      <c r="H764" t="s">
        <v>17</v>
      </c>
      <c r="I764">
        <f>VLOOKUP(Table4[[#This Row],[Visitor]],'NHL Model'!$A$6:$B$38,2,FALSE)</f>
        <v>-0.92247588734712094</v>
      </c>
      <c r="J764">
        <f>($B$1+Table4[[#This Row],[Home Differential]])-Table4[[#This Row],[Away Differential]]</f>
        <v>-9.6005844442750399E-2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0.47141452603764344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-0.32012591315776179</v>
      </c>
      <c r="H765" t="s">
        <v>29</v>
      </c>
      <c r="I765">
        <f>VLOOKUP(Table4[[#This Row],[Visitor]],'NHL Model'!$A$6:$B$38,2,FALSE)</f>
        <v>-1.4761804210410974</v>
      </c>
      <c r="J765">
        <f>($B$1+Table4[[#This Row],[Home Differential]])-Table4[[#This Row],[Away Differential]]</f>
        <v>1.2046837573247577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0.6832297605934754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-0.24840457265646038</v>
      </c>
      <c r="H766" t="s">
        <v>19</v>
      </c>
      <c r="I766">
        <f>VLOOKUP(Table4[[#This Row],[Visitor]],'NHL Model'!$A$6:$B$38,2,FALSE)</f>
        <v>-0.75971379218342783</v>
      </c>
      <c r="J766">
        <f>($B$1+Table4[[#This Row],[Home Differential]])-Table4[[#This Row],[Away Differential]]</f>
        <v>0.55993846896838972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0.60906884534278571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0.24850541890141886</v>
      </c>
      <c r="H767" t="s">
        <v>11</v>
      </c>
      <c r="I767">
        <f>VLOOKUP(Table4[[#This Row],[Visitor]],'NHL Model'!$A$6:$B$38,2,FALSE)</f>
        <v>-0.479695961608754</v>
      </c>
      <c r="J767">
        <f>($B$1+Table4[[#This Row],[Home Differential]])-Table4[[#This Row],[Away Differential]]</f>
        <v>0.77683062995159502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0.65839829477012357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0.17994412141822874</v>
      </c>
      <c r="H768" t="s">
        <v>37</v>
      </c>
      <c r="I768">
        <f>VLOOKUP(Table4[[#This Row],[Visitor]],'NHL Model'!$A$6:$B$38,2,FALSE)</f>
        <v>0.41634187791115029</v>
      </c>
      <c r="J768">
        <f>($B$1+Table4[[#This Row],[Home Differential]])-Table4[[#This Row],[Away Differential]]</f>
        <v>-0.18776850705149933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0.55565789623082285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-0.97739270546148105</v>
      </c>
      <c r="H769" t="s">
        <v>36</v>
      </c>
      <c r="I769">
        <f>VLOOKUP(Table4[[#This Row],[Visitor]],'NHL Model'!$A$6:$B$38,2,FALSE)</f>
        <v>-0.45205624035379666</v>
      </c>
      <c r="J769">
        <f>($B$1+Table4[[#This Row],[Home Differential]])-Table4[[#This Row],[Away Differential]]</f>
        <v>-0.47670721566626217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0.51750715638127331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-0.92247588734712094</v>
      </c>
      <c r="H770" t="s">
        <v>35</v>
      </c>
      <c r="I770">
        <f>VLOOKUP(Table4[[#This Row],[Visitor]],'NHL Model'!$A$6:$B$38,2,FALSE)</f>
        <v>-1.4300915005812256</v>
      </c>
      <c r="J770">
        <f>($B$1+Table4[[#This Row],[Home Differential]])-Table4[[#This Row],[Away Differential]]</f>
        <v>0.55624486267552686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0.61318017009602799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0.12352843374450689</v>
      </c>
      <c r="H771" t="s">
        <v>15</v>
      </c>
      <c r="I771">
        <f>VLOOKUP(Table4[[#This Row],[Visitor]],'NHL Model'!$A$6:$B$38,2,FALSE)</f>
        <v>-0.40624923719383538</v>
      </c>
      <c r="J771">
        <f>($B$1+Table4[[#This Row],[Home Differential]])-Table4[[#This Row],[Away Differential]]</f>
        <v>0.57840692037976449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0.59050828601431593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0.35473499802405739</v>
      </c>
      <c r="H772" t="s">
        <v>23</v>
      </c>
      <c r="I772">
        <f>VLOOKUP(Table4[[#This Row],[Visitor]],'NHL Model'!$A$6:$B$38,2,FALSE)</f>
        <v>-0.73453218371466944</v>
      </c>
      <c r="J772">
        <f>($B$1+Table4[[#This Row],[Home Differential]])-Table4[[#This Row],[Away Differential]]</f>
        <v>1.1378964311801489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0.71572032069813263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-1.1693700053921123</v>
      </c>
      <c r="H773" t="s">
        <v>24</v>
      </c>
      <c r="I773">
        <f>VLOOKUP(Table4[[#This Row],[Visitor]],'NHL Model'!$A$6:$B$38,2,FALSE)</f>
        <v>2.1114018573289962E-3</v>
      </c>
      <c r="J773">
        <f>($B$1+Table4[[#This Row],[Home Differential]])-Table4[[#This Row],[Away Differential]]</f>
        <v>-1.1228521578080191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0.61426969905964413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-0.35229536402491796</v>
      </c>
      <c r="H774" t="s">
        <v>40</v>
      </c>
      <c r="I774">
        <f>VLOOKUP(Table4[[#This Row],[Visitor]],'NHL Model'!$A$6:$B$38,2,FALSE)</f>
        <v>-0.24840457265646038</v>
      </c>
      <c r="J774">
        <f>($B$1+Table4[[#This Row],[Home Differential]])-Table4[[#This Row],[Away Differential]]</f>
        <v>-5.5261541927035362E-2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0.5058570031303169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1.5255226246883613</v>
      </c>
      <c r="H775" t="s">
        <v>22</v>
      </c>
      <c r="I775">
        <f>VLOOKUP(Table4[[#This Row],[Visitor]],'NHL Model'!$A$6:$B$38,2,FALSE)</f>
        <v>0.24850541890141886</v>
      </c>
      <c r="J775">
        <f>($B$1+Table4[[#This Row],[Home Differential]])-Table4[[#This Row],[Away Differential]]</f>
        <v>1.3256464552283647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0.78261150862994699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-0.479695961608754</v>
      </c>
      <c r="H776" t="s">
        <v>33</v>
      </c>
      <c r="I776">
        <f>VLOOKUP(Table4[[#This Row],[Visitor]],'NHL Model'!$A$6:$B$38,2,FALSE)</f>
        <v>-0.63428770456303318</v>
      </c>
      <c r="J776">
        <f>($B$1+Table4[[#This Row],[Home Differential]])-Table4[[#This Row],[Away Differential]]</f>
        <v>0.20322099239570141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0.57817839234240853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-0.75181957250890208</v>
      </c>
      <c r="H777" t="s">
        <v>14</v>
      </c>
      <c r="I777">
        <f>VLOOKUP(Table4[[#This Row],[Visitor]],'NHL Model'!$A$6:$B$38,2,FALSE)</f>
        <v>-0.39956044496834064</v>
      </c>
      <c r="J777">
        <f>($B$1+Table4[[#This Row],[Home Differential]])-Table4[[#This Row],[Away Differential]]</f>
        <v>-0.30362987809913922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0.5168690241670777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-0.75971379218342783</v>
      </c>
      <c r="H778" t="s">
        <v>34</v>
      </c>
      <c r="I778">
        <f>VLOOKUP(Table4[[#This Row],[Visitor]],'NHL Model'!$A$6:$B$38,2,FALSE)</f>
        <v>-0.15703092434902144</v>
      </c>
      <c r="J778">
        <f>($B$1+Table4[[#This Row],[Home Differential]])-Table4[[#This Row],[Away Differential]]</f>
        <v>-0.55405361839298417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0.5683862550887997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-1.0671109812312936</v>
      </c>
      <c r="H779" t="s">
        <v>30</v>
      </c>
      <c r="I779">
        <f>VLOOKUP(Table4[[#This Row],[Visitor]],'NHL Model'!$A$6:$B$38,2,FALSE)</f>
        <v>-0.22994539344581519</v>
      </c>
      <c r="J779">
        <f>($B$1+Table4[[#This Row],[Home Differential]])-Table4[[#This Row],[Away Differential]]</f>
        <v>-0.78853633834405612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0.62637546739656647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-0.32012591315776179</v>
      </c>
      <c r="H780" t="s">
        <v>27</v>
      </c>
      <c r="I780">
        <f>VLOOKUP(Table4[[#This Row],[Visitor]],'NHL Model'!$A$6:$B$38,2,FALSE)</f>
        <v>-0.28566683768028334</v>
      </c>
      <c r="J780">
        <f>($B$1+Table4[[#This Row],[Home Differential]])-Table4[[#This Row],[Away Differential]]</f>
        <v>1.4170173963943766E-2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0.49917218690724302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-0.81978323318233992</v>
      </c>
      <c r="H781" t="s">
        <v>36</v>
      </c>
      <c r="I781">
        <f>VLOOKUP(Table4[[#This Row],[Visitor]],'NHL Model'!$A$6:$B$38,2,FALSE)</f>
        <v>-0.45205624035379666</v>
      </c>
      <c r="J781">
        <f>($B$1+Table4[[#This Row],[Home Differential]])-Table4[[#This Row],[Away Differential]]</f>
        <v>-0.31909774338712105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0.49876832401589277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0.17994412141822874</v>
      </c>
      <c r="H782" t="s">
        <v>21</v>
      </c>
      <c r="I782">
        <f>VLOOKUP(Table4[[#This Row],[Visitor]],'NHL Model'!$A$6:$B$38,2,FALSE)</f>
        <v>-0.29972363155607096</v>
      </c>
      <c r="J782">
        <f>($B$1+Table4[[#This Row],[Home Differential]])-Table4[[#This Row],[Away Differential]]</f>
        <v>0.52829700241572186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0.62109359184051693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-0.92247588734712094</v>
      </c>
      <c r="H783" t="s">
        <v>24</v>
      </c>
      <c r="I783">
        <f>VLOOKUP(Table4[[#This Row],[Visitor]],'NHL Model'!$A$6:$B$38,2,FALSE)</f>
        <v>2.1114018573289962E-3</v>
      </c>
      <c r="J783">
        <f>($B$1+Table4[[#This Row],[Home Differential]])-Table4[[#This Row],[Away Differential]]</f>
        <v>-0.87595803976302766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0.57783043111104815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-0.43202172705875852</v>
      </c>
      <c r="H784" t="s">
        <v>15</v>
      </c>
      <c r="I784">
        <f>VLOOKUP(Table4[[#This Row],[Visitor]],'NHL Model'!$A$6:$B$38,2,FALSE)</f>
        <v>-0.40624923719383538</v>
      </c>
      <c r="J784">
        <f>($B$1+Table4[[#This Row],[Home Differential]])-Table4[[#This Row],[Away Differential]]</f>
        <v>2.2856759576499075E-2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0.44263606688462159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-0.69003864116815428</v>
      </c>
      <c r="H785" t="s">
        <v>34</v>
      </c>
      <c r="I785">
        <f>VLOOKUP(Table4[[#This Row],[Visitor]],'NHL Model'!$A$6:$B$38,2,FALSE)</f>
        <v>-0.15703092434902144</v>
      </c>
      <c r="J785">
        <f>($B$1+Table4[[#This Row],[Home Differential]])-Table4[[#This Row],[Away Differential]]</f>
        <v>-0.48437846737771062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0.56010229248155619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-1.4761804210410974</v>
      </c>
      <c r="H786" t="s">
        <v>23</v>
      </c>
      <c r="I786">
        <f>VLOOKUP(Table4[[#This Row],[Visitor]],'NHL Model'!$A$6:$B$38,2,FALSE)</f>
        <v>-0.73453218371466944</v>
      </c>
      <c r="J786">
        <f>($B$1+Table4[[#This Row],[Home Differential]])-Table4[[#This Row],[Away Differential]]</f>
        <v>-0.69301898788500571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0.54239585129123924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0.41634187791115029</v>
      </c>
      <c r="H787" t="s">
        <v>33</v>
      </c>
      <c r="I787">
        <f>VLOOKUP(Table4[[#This Row],[Visitor]],'NHL Model'!$A$6:$B$38,2,FALSE)</f>
        <v>-0.63428770456303318</v>
      </c>
      <c r="J787">
        <f>($B$1+Table4[[#This Row],[Home Differential]])-Table4[[#This Row],[Away Differential]]</f>
        <v>1.0992588319156056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0.70294142744841581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-0.24840457265646038</v>
      </c>
      <c r="H788" t="s">
        <v>35</v>
      </c>
      <c r="I788">
        <f>VLOOKUP(Table4[[#This Row],[Visitor]],'NHL Model'!$A$6:$B$38,2,FALSE)</f>
        <v>-1.4300915005812256</v>
      </c>
      <c r="J788">
        <f>($B$1+Table4[[#This Row],[Home Differential]])-Table4[[#This Row],[Away Differential]]</f>
        <v>1.2303161773661875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0.68877278266011666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-1.1693700053921123</v>
      </c>
      <c r="H789" t="s">
        <v>14</v>
      </c>
      <c r="I789">
        <f>VLOOKUP(Table4[[#This Row],[Visitor]],'NHL Model'!$A$6:$B$38,2,FALSE)</f>
        <v>-0.39956044496834064</v>
      </c>
      <c r="J789">
        <f>($B$1+Table4[[#This Row],[Home Differential]])-Table4[[#This Row],[Away Differential]]</f>
        <v>-0.72118031098234947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0.5665132965115266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1.5255226246883613</v>
      </c>
      <c r="H790" t="s">
        <v>31</v>
      </c>
      <c r="I790">
        <f>VLOOKUP(Table4[[#This Row],[Visitor]],'NHL Model'!$A$6:$B$38,2,FALSE)</f>
        <v>0.12352843374450689</v>
      </c>
      <c r="J790">
        <f>($B$1+Table4[[#This Row],[Home Differential]])-Table4[[#This Row],[Away Differential]]</f>
        <v>1.4506234403852767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0.79747053163484771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-0.75181957250890208</v>
      </c>
      <c r="H791" t="s">
        <v>30</v>
      </c>
      <c r="I791">
        <f>VLOOKUP(Table4[[#This Row],[Visitor]],'NHL Model'!$A$6:$B$38,2,FALSE)</f>
        <v>-0.22994539344581519</v>
      </c>
      <c r="J791">
        <f>($B$1+Table4[[#This Row],[Home Differential]])-Table4[[#This Row],[Away Differential]]</f>
        <v>-0.47324492962166465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0.58888918710606708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-0.75971379218342783</v>
      </c>
      <c r="H792" t="s">
        <v>26</v>
      </c>
      <c r="I792">
        <f>VLOOKUP(Table4[[#This Row],[Visitor]],'NHL Model'!$A$6:$B$38,2,FALSE)</f>
        <v>-0.97739270546148105</v>
      </c>
      <c r="J792">
        <f>($B$1+Table4[[#This Row],[Home Differential]])-Table4[[#This Row],[Away Differential]]</f>
        <v>0.26630816271947544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0.57166246258279729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-0.38947416486586689</v>
      </c>
      <c r="H793" t="s">
        <v>27</v>
      </c>
      <c r="I793">
        <f>VLOOKUP(Table4[[#This Row],[Visitor]],'NHL Model'!$A$6:$B$38,2,FALSE)</f>
        <v>-0.28566683768028334</v>
      </c>
      <c r="J793">
        <f>($B$1+Table4[[#This Row],[Home Differential]])-Table4[[#This Row],[Away Differential]]</f>
        <v>-5.5178077744161336E-2</v>
      </c>
      <c r="K793" t="str">
        <f>IF(Table4[[#This Row],[HomeIce Differential]]&gt;0,Table4[[#This Row],[Home]],Table4[[#This Row],[Visitor]])</f>
        <v>Philadelphia Flyers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0.46809880803375664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-1.0671109812312936</v>
      </c>
      <c r="H794" t="s">
        <v>22</v>
      </c>
      <c r="I794">
        <f>VLOOKUP(Table4[[#This Row],[Visitor]],'NHL Model'!$A$6:$B$38,2,FALSE)</f>
        <v>0.24850541890141886</v>
      </c>
      <c r="J794">
        <f>($B$1+Table4[[#This Row],[Home Differential]])-Table4[[#This Row],[Away Differential]]</f>
        <v>-1.2669871506912902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0.63140649566563323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-0.29972363155607096</v>
      </c>
      <c r="H795" t="s">
        <v>20</v>
      </c>
      <c r="I795">
        <f>VLOOKUP(Table4[[#This Row],[Visitor]],'NHL Model'!$A$6:$B$38,2,FALSE)</f>
        <v>-0.32012591315776179</v>
      </c>
      <c r="J795">
        <f>($B$1+Table4[[#This Row],[Home Differential]])-Table4[[#This Row],[Away Differential]]</f>
        <v>6.9031531043113048E-2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0.59110899441036135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0.35473499802405739</v>
      </c>
      <c r="H796" t="s">
        <v>10</v>
      </c>
      <c r="I796">
        <f>VLOOKUP(Table4[[#This Row],[Visitor]],'NHL Model'!$A$6:$B$38,2,FALSE)</f>
        <v>-0.35229536402491796</v>
      </c>
      <c r="J796">
        <f>($B$1+Table4[[#This Row],[Home Differential]])-Table4[[#This Row],[Away Differential]]</f>
        <v>0.75565961149039751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0.67027462771746793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-0.81978323318233992</v>
      </c>
      <c r="H797" t="s">
        <v>39</v>
      </c>
      <c r="I797">
        <f>VLOOKUP(Table4[[#This Row],[Visitor]],'NHL Model'!$A$6:$B$38,2,FALSE)</f>
        <v>0.17994412141822874</v>
      </c>
      <c r="J797">
        <f>($B$1+Table4[[#This Row],[Home Differential]])-Table4[[#This Row],[Away Differential]]</f>
        <v>-0.9510981051591465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0.67487768193940945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-0.92247588734712094</v>
      </c>
      <c r="H798" t="s">
        <v>14</v>
      </c>
      <c r="I798">
        <f>VLOOKUP(Table4[[#This Row],[Visitor]],'NHL Model'!$A$6:$B$38,2,FALSE)</f>
        <v>-0.39956044496834064</v>
      </c>
      <c r="J798">
        <f>($B$1+Table4[[#This Row],[Home Differential]])-Table4[[#This Row],[Away Differential]]</f>
        <v>-0.47428619293735808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0.53007402856293073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-0.15703092434902144</v>
      </c>
      <c r="H799" t="s">
        <v>26</v>
      </c>
      <c r="I799">
        <f>VLOOKUP(Table4[[#This Row],[Visitor]],'NHL Model'!$A$6:$B$38,2,FALSE)</f>
        <v>-0.97739270546148105</v>
      </c>
      <c r="J799">
        <f>($B$1+Table4[[#This Row],[Home Differential]])-Table4[[#This Row],[Away Differential]]</f>
        <v>0.86899103055388183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0.64331788447161464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-0.69003864116815428</v>
      </c>
      <c r="H800" t="s">
        <v>23</v>
      </c>
      <c r="I800">
        <f>VLOOKUP(Table4[[#This Row],[Visitor]],'NHL Model'!$A$6:$B$38,2,FALSE)</f>
        <v>-0.73453218371466944</v>
      </c>
      <c r="J800">
        <f>($B$1+Table4[[#This Row],[Home Differential]])-Table4[[#This Row],[Away Differential]]</f>
        <v>9.3122791987937381E-2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0.5510717481838121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-1.4761804210410974</v>
      </c>
      <c r="H801" t="s">
        <v>36</v>
      </c>
      <c r="I801">
        <f>VLOOKUP(Table4[[#This Row],[Visitor]],'NHL Model'!$A$6:$B$38,2,FALSE)</f>
        <v>-0.45205624035379666</v>
      </c>
      <c r="J801">
        <f>($B$1+Table4[[#This Row],[Home Differential]])-Table4[[#This Row],[Away Differential]]</f>
        <v>-0.97549493124587849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0.57681006028037174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-0.24840457265646038</v>
      </c>
      <c r="H802" t="s">
        <v>11</v>
      </c>
      <c r="I802">
        <f>VLOOKUP(Table4[[#This Row],[Visitor]],'NHL Model'!$A$6:$B$38,2,FALSE)</f>
        <v>-0.479695961608754</v>
      </c>
      <c r="J802">
        <f>($B$1+Table4[[#This Row],[Home Differential]])-Table4[[#This Row],[Away Differential]]</f>
        <v>0.27992063839371584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0.57577638448635282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-1.1693700053921123</v>
      </c>
      <c r="H803" t="s">
        <v>22</v>
      </c>
      <c r="I803">
        <f>VLOOKUP(Table4[[#This Row],[Visitor]],'NHL Model'!$A$6:$B$38,2,FALSE)</f>
        <v>0.24850541890141886</v>
      </c>
      <c r="J803">
        <f>($B$1+Table4[[#This Row],[Home Differential]])-Table4[[#This Row],[Away Differential]]</f>
        <v>-1.369246174852109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0.64356448771958275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-0.35229536402491796</v>
      </c>
      <c r="H804" t="s">
        <v>37</v>
      </c>
      <c r="I804">
        <f>VLOOKUP(Table4[[#This Row],[Visitor]],'NHL Model'!$A$6:$B$38,2,FALSE)</f>
        <v>0.41634187791115029</v>
      </c>
      <c r="J804">
        <f>($B$1+Table4[[#This Row],[Home Differential]])-Table4[[#This Row],[Away Differential]]</f>
        <v>-0.72000799249464609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0.63809087186578928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1.5255226246883613</v>
      </c>
      <c r="H805" t="s">
        <v>27</v>
      </c>
      <c r="I805">
        <f>VLOOKUP(Table4[[#This Row],[Visitor]],'NHL Model'!$A$6:$B$38,2,FALSE)</f>
        <v>-0.28566683768028334</v>
      </c>
      <c r="J805">
        <f>($B$1+Table4[[#This Row],[Home Differential]])-Table4[[#This Row],[Away Differential]]</f>
        <v>1.8598187118100669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0.82551702918460879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0.17994412141822874</v>
      </c>
      <c r="H806" t="s">
        <v>35</v>
      </c>
      <c r="I806">
        <f>VLOOKUP(Table4[[#This Row],[Visitor]],'NHL Model'!$A$6:$B$38,2,FALSE)</f>
        <v>-1.4300915005812256</v>
      </c>
      <c r="J806">
        <f>($B$1+Table4[[#This Row],[Home Differential]])-Table4[[#This Row],[Away Differential]]</f>
        <v>1.6586648714408765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0.75631085638250295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-0.75181957250890208</v>
      </c>
      <c r="H807" t="s">
        <v>31</v>
      </c>
      <c r="I807">
        <f>VLOOKUP(Table4[[#This Row],[Visitor]],'NHL Model'!$A$6:$B$38,2,FALSE)</f>
        <v>0.12352843374450689</v>
      </c>
      <c r="J807">
        <f>($B$1+Table4[[#This Row],[Home Differential]])-Table4[[#This Row],[Away Differential]]</f>
        <v>-0.8267187568119867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0.57906119237023312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-0.63428770456303318</v>
      </c>
      <c r="H808" t="s">
        <v>15</v>
      </c>
      <c r="I808">
        <f>VLOOKUP(Table4[[#This Row],[Visitor]],'NHL Model'!$A$6:$B$38,2,FALSE)</f>
        <v>-0.40624923719383538</v>
      </c>
      <c r="J808">
        <f>($B$1+Table4[[#This Row],[Home Differential]])-Table4[[#This Row],[Away Differential]]</f>
        <v>-0.17940921792777559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0.58141215934736257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-0.75971379218342783</v>
      </c>
      <c r="H809" t="s">
        <v>20</v>
      </c>
      <c r="I809">
        <f>VLOOKUP(Table4[[#This Row],[Visitor]],'NHL Model'!$A$6:$B$38,2,FALSE)</f>
        <v>-0.32012591315776179</v>
      </c>
      <c r="J809">
        <f>($B$1+Table4[[#This Row],[Home Differential]])-Table4[[#This Row],[Away Differential]]</f>
        <v>-0.39095862958424382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0.5064826644974918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-1.0671109812312936</v>
      </c>
      <c r="H810" t="s">
        <v>24</v>
      </c>
      <c r="I810">
        <f>VLOOKUP(Table4[[#This Row],[Visitor]],'NHL Model'!$A$6:$B$38,2,FALSE)</f>
        <v>2.1114018573289962E-3</v>
      </c>
      <c r="J810">
        <f>($B$1+Table4[[#This Row],[Home Differential]])-Table4[[#This Row],[Away Differential]]</f>
        <v>-1.0205931336472003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0.6021117070056945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-0.29972363155607096</v>
      </c>
      <c r="H811" t="s">
        <v>18</v>
      </c>
      <c r="I811">
        <f>VLOOKUP(Table4[[#This Row],[Visitor]],'NHL Model'!$A$6:$B$38,2,FALSE)</f>
        <v>-0.69003864116815428</v>
      </c>
      <c r="J811">
        <f>($B$1+Table4[[#This Row],[Home Differential]])-Table4[[#This Row],[Away Differential]]</f>
        <v>0.43894425905350554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0.57645971617074665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-0.81978323318233992</v>
      </c>
      <c r="H812" t="s">
        <v>37</v>
      </c>
      <c r="I812">
        <f>VLOOKUP(Table4[[#This Row],[Visitor]],'NHL Model'!$A$6:$B$38,2,FALSE)</f>
        <v>0.41634187791115029</v>
      </c>
      <c r="J812">
        <f>($B$1+Table4[[#This Row],[Home Differential]])-Table4[[#This Row],[Away Differential]]</f>
        <v>-1.1874958616520681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0.69367240948730213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-0.92247588734712094</v>
      </c>
      <c r="H813" t="s">
        <v>22</v>
      </c>
      <c r="I813">
        <f>VLOOKUP(Table4[[#This Row],[Visitor]],'NHL Model'!$A$6:$B$38,2,FALSE)</f>
        <v>0.24850541890141886</v>
      </c>
      <c r="J813">
        <f>($B$1+Table4[[#This Row],[Home Differential]])-Table4[[#This Row],[Away Differential]]</f>
        <v>-1.1223520568071175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0.60712521977098688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-0.15703092434902144</v>
      </c>
      <c r="H814" t="s">
        <v>11</v>
      </c>
      <c r="I814">
        <f>VLOOKUP(Table4[[#This Row],[Visitor]],'NHL Model'!$A$6:$B$38,2,FALSE)</f>
        <v>-0.479695961608754</v>
      </c>
      <c r="J814">
        <f>($B$1+Table4[[#This Row],[Home Differential]])-Table4[[#This Row],[Away Differential]]</f>
        <v>0.37129428670115477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0.58414469064647256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-1.4761804210410974</v>
      </c>
      <c r="H815" t="s">
        <v>55</v>
      </c>
      <c r="I815">
        <f>VLOOKUP(Table4[[#This Row],[Visitor]],'NHL Model'!$A$6:$B$38,2,FALSE)</f>
        <v>-0.38947416486586689</v>
      </c>
      <c r="J815">
        <f>($B$1+Table4[[#This Row],[Home Differential]])-Table4[[#This Row],[Away Differential]]</f>
        <v>-1.0380770067338083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0.58342120514869111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-0.22994539344581519</v>
      </c>
      <c r="H816" t="s">
        <v>23</v>
      </c>
      <c r="I816">
        <f>VLOOKUP(Table4[[#This Row],[Visitor]],'NHL Model'!$A$6:$B$38,2,FALSE)</f>
        <v>-0.73453218371466944</v>
      </c>
      <c r="J816">
        <f>($B$1+Table4[[#This Row],[Home Differential]])-Table4[[#This Row],[Away Differential]]</f>
        <v>0.55321603971027644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0.60577410913228813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-0.45205624035379666</v>
      </c>
      <c r="H817" t="s">
        <v>25</v>
      </c>
      <c r="I817">
        <f>VLOOKUP(Table4[[#This Row],[Visitor]],'NHL Model'!$A$6:$B$38,2,FALSE)</f>
        <v>0.35473499802405739</v>
      </c>
      <c r="J817">
        <f>($B$1+Table4[[#This Row],[Home Differential]])-Table4[[#This Row],[Away Differential]]</f>
        <v>-0.75816198893643183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0.62026145004998989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-1.4300915005812256</v>
      </c>
      <c r="H818" t="s">
        <v>13</v>
      </c>
      <c r="I818">
        <f>VLOOKUP(Table4[[#This Row],[Visitor]],'NHL Model'!$A$6:$B$38,2,FALSE)</f>
        <v>-0.43202172705875852</v>
      </c>
      <c r="J818">
        <f>($B$1+Table4[[#This Row],[Home Differential]])-Table4[[#This Row],[Away Differential]]</f>
        <v>-0.94944052408104485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0.63919864203563859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-0.24840457265646038</v>
      </c>
      <c r="H819" t="s">
        <v>26</v>
      </c>
      <c r="I819">
        <f>VLOOKUP(Table4[[#This Row],[Visitor]],'NHL Model'!$A$6:$B$38,2,FALSE)</f>
        <v>-0.97739270546148105</v>
      </c>
      <c r="J819">
        <f>($B$1+Table4[[#This Row],[Home Differential]])-Table4[[#This Row],[Away Differential]]</f>
        <v>0.77761738224644295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0.63494957831149501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-1.1693700053921123</v>
      </c>
      <c r="H820" t="s">
        <v>31</v>
      </c>
      <c r="I820">
        <f>VLOOKUP(Table4[[#This Row],[Visitor]],'NHL Model'!$A$6:$B$38,2,FALSE)</f>
        <v>0.12352843374450689</v>
      </c>
      <c r="J820">
        <f>($B$1+Table4[[#This Row],[Home Differential]])-Table4[[#This Row],[Away Differential]]</f>
        <v>-1.244269189695197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0.62870546471468203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-0.35229536402491796</v>
      </c>
      <c r="H821" t="s">
        <v>11</v>
      </c>
      <c r="I821">
        <f>VLOOKUP(Table4[[#This Row],[Visitor]],'NHL Model'!$A$6:$B$38,2,FALSE)</f>
        <v>-0.479695961608754</v>
      </c>
      <c r="J821">
        <f>($B$1+Table4[[#This Row],[Home Differential]])-Table4[[#This Row],[Away Differential]]</f>
        <v>0.17602984702525826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0.56092890577583931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-0.45205624035379666</v>
      </c>
      <c r="H822" t="s">
        <v>20</v>
      </c>
      <c r="I822">
        <f>VLOOKUP(Table4[[#This Row],[Visitor]],'NHL Model'!$A$6:$B$38,2,FALSE)</f>
        <v>-0.32012591315776179</v>
      </c>
      <c r="J822">
        <f>($B$1+Table4[[#This Row],[Home Differential]])-Table4[[#This Row],[Away Differential]]</f>
        <v>-8.3301077754612651E-2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0.46740852535405741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-0.75181957250890208</v>
      </c>
      <c r="H823" t="s">
        <v>24</v>
      </c>
      <c r="I823">
        <f>VLOOKUP(Table4[[#This Row],[Visitor]],'NHL Model'!$A$6:$B$38,2,FALSE)</f>
        <v>2.1114018573289962E-3</v>
      </c>
      <c r="J823">
        <f>($B$1+Table4[[#This Row],[Home Differential]])-Table4[[#This Row],[Away Differential]]</f>
        <v>-0.7053017249248088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0.56462542671519522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-0.75971379218342783</v>
      </c>
      <c r="H824" t="s">
        <v>12</v>
      </c>
      <c r="I824">
        <f>VLOOKUP(Table4[[#This Row],[Visitor]],'NHL Model'!$A$6:$B$38,2,FALSE)</f>
        <v>1.5255226246883613</v>
      </c>
      <c r="J824">
        <f>($B$1+Table4[[#This Row],[Home Differential]])-Table4[[#This Row],[Away Differential]]</f>
        <v>-2.2366071674303667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0.79854250867303911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-1.0671109812312936</v>
      </c>
      <c r="H825" t="s">
        <v>14</v>
      </c>
      <c r="I825">
        <f>VLOOKUP(Table4[[#This Row],[Visitor]],'NHL Model'!$A$6:$B$38,2,FALSE)</f>
        <v>-0.39956044496834064</v>
      </c>
      <c r="J825">
        <f>($B$1+Table4[[#This Row],[Home Differential]])-Table4[[#This Row],[Away Differential]]</f>
        <v>-0.61892128682153069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0.55435530445757708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-0.81978323318233992</v>
      </c>
      <c r="H826" t="s">
        <v>13</v>
      </c>
      <c r="I826">
        <f>VLOOKUP(Table4[[#This Row],[Visitor]],'NHL Model'!$A$6:$B$38,2,FALSE)</f>
        <v>-0.43202172705875852</v>
      </c>
      <c r="J826">
        <f>($B$1+Table4[[#This Row],[Home Differential]])-Table4[[#This Row],[Away Differential]]</f>
        <v>-0.33913225668215918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0.5666366053216364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-0.92247588734712094</v>
      </c>
      <c r="H827" t="s">
        <v>31</v>
      </c>
      <c r="I827">
        <f>VLOOKUP(Table4[[#This Row],[Visitor]],'NHL Model'!$A$6:$B$38,2,FALSE)</f>
        <v>0.12352843374450689</v>
      </c>
      <c r="J827">
        <f>($B$1+Table4[[#This Row],[Home Differential]])-Table4[[#This Row],[Away Differential]]</f>
        <v>-0.99737507165020567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0.59226619676608616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-0.40624923719383538</v>
      </c>
      <c r="H828" t="s">
        <v>21</v>
      </c>
      <c r="I828">
        <f>VLOOKUP(Table4[[#This Row],[Visitor]],'NHL Model'!$A$6:$B$38,2,FALSE)</f>
        <v>-0.29972363155607096</v>
      </c>
      <c r="J828">
        <f>($B$1+Table4[[#This Row],[Home Differential]])-Table4[[#This Row],[Away Differential]]</f>
        <v>-5.7896356196342202E-2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0.46771302678411192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-0.28566683768028334</v>
      </c>
      <c r="H829" t="s">
        <v>30</v>
      </c>
      <c r="I829">
        <f>VLOOKUP(Table4[[#This Row],[Visitor]],'NHL Model'!$A$6:$B$38,2,FALSE)</f>
        <v>-0.22994539344581519</v>
      </c>
      <c r="J829">
        <f>($B$1+Table4[[#This Row],[Home Differential]])-Table4[[#This Row],[Away Differential]]</f>
        <v>-7.0921947930459306E-3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0.50084321993727721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0.41634187791115029</v>
      </c>
      <c r="H830" t="s">
        <v>55</v>
      </c>
      <c r="I830">
        <f>VLOOKUP(Table4[[#This Row],[Visitor]],'NHL Model'!$A$6:$B$38,2,FALSE)</f>
        <v>-0.38947416486586689</v>
      </c>
      <c r="J830">
        <f>($B$1+Table4[[#This Row],[Home Differential]])-Table4[[#This Row],[Away Differential]]</f>
        <v>0.85444529221843935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0.67383454818017174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-0.29972363155607096</v>
      </c>
      <c r="H831" t="s">
        <v>29</v>
      </c>
      <c r="I831">
        <f>VLOOKUP(Table4[[#This Row],[Visitor]],'NHL Model'!$A$6:$B$38,2,FALSE)</f>
        <v>-1.4761804210410974</v>
      </c>
      <c r="J831">
        <f>($B$1+Table4[[#This Row],[Home Differential]])-Table4[[#This Row],[Away Differential]]</f>
        <v>1.2250860389264486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0.72855702538974876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-0.97739270546148105</v>
      </c>
      <c r="H832" t="s">
        <v>13</v>
      </c>
      <c r="I832">
        <f>VLOOKUP(Table4[[#This Row],[Visitor]],'NHL Model'!$A$6:$B$38,2,FALSE)</f>
        <v>-0.43202172705875852</v>
      </c>
      <c r="J832">
        <f>($B$1+Table4[[#This Row],[Home Differential]])-Table4[[#This Row],[Away Differential]]</f>
        <v>-0.49674172896130031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0.58537543768701694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-0.479695961608754</v>
      </c>
      <c r="H833" t="s">
        <v>55</v>
      </c>
      <c r="I833">
        <f>VLOOKUP(Table4[[#This Row],[Visitor]],'NHL Model'!$A$6:$B$38,2,FALSE)</f>
        <v>-0.38947416486586689</v>
      </c>
      <c r="J833">
        <f>($B$1+Table4[[#This Row],[Home Differential]])-Table4[[#This Row],[Away Differential]]</f>
        <v>-4.1592547301464888E-2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0.45092848692583565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-0.15703092434902144</v>
      </c>
      <c r="H834" t="s">
        <v>10</v>
      </c>
      <c r="I834">
        <f>VLOOKUP(Table4[[#This Row],[Visitor]],'NHL Model'!$A$6:$B$38,2,FALSE)</f>
        <v>-0.35229536402491796</v>
      </c>
      <c r="J834">
        <f>($B$1+Table4[[#This Row],[Home Differential]])-Table4[[#This Row],[Away Differential]]</f>
        <v>0.24389368911731873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0.56899751448472125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-0.69003864116815428</v>
      </c>
      <c r="H835" t="s">
        <v>20</v>
      </c>
      <c r="I835">
        <f>VLOOKUP(Table4[[#This Row],[Visitor]],'NHL Model'!$A$6:$B$38,2,FALSE)</f>
        <v>-0.32012591315776179</v>
      </c>
      <c r="J835">
        <f>($B$1+Table4[[#This Row],[Home Differential]])-Table4[[#This Row],[Away Differential]]</f>
        <v>-0.32128347856897027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0.49819870189024829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2.1114018573289962E-3</v>
      </c>
      <c r="H836" t="s">
        <v>40</v>
      </c>
      <c r="I836">
        <f>VLOOKUP(Table4[[#This Row],[Visitor]],'NHL Model'!$A$6:$B$38,2,FALSE)</f>
        <v>-0.24840457265646038</v>
      </c>
      <c r="J836">
        <f>($B$1+Table4[[#This Row],[Home Differential]])-Table4[[#This Row],[Away Differential]]</f>
        <v>0.29914522395521159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0.63865937809835804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-0.75181957250890208</v>
      </c>
      <c r="H837" t="s">
        <v>22</v>
      </c>
      <c r="I837">
        <f>VLOOKUP(Table4[[#This Row],[Visitor]],'NHL Model'!$A$6:$B$38,2,FALSE)</f>
        <v>0.24850541890141886</v>
      </c>
      <c r="J837">
        <f>($B$1+Table4[[#This Row],[Home Differential]])-Table4[[#This Row],[Away Differential]]</f>
        <v>-0.95169574196889872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0.59392021537513395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-1.4300915005812256</v>
      </c>
      <c r="H838" t="s">
        <v>39</v>
      </c>
      <c r="I838">
        <f>VLOOKUP(Table4[[#This Row],[Visitor]],'NHL Model'!$A$6:$B$38,2,FALSE)</f>
        <v>0.17994412141822874</v>
      </c>
      <c r="J838">
        <f>($B$1+Table4[[#This Row],[Home Differential]])-Table4[[#This Row],[Away Differential]]</f>
        <v>-1.5614063725580321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0.74743971865341163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-0.75971379218342783</v>
      </c>
      <c r="H839" t="s">
        <v>23</v>
      </c>
      <c r="I839">
        <f>VLOOKUP(Table4[[#This Row],[Visitor]],'NHL Model'!$A$6:$B$38,2,FALSE)</f>
        <v>-0.73453218371466944</v>
      </c>
      <c r="J839">
        <f>($B$1+Table4[[#This Row],[Home Differential]])-Table4[[#This Row],[Away Differential]]</f>
        <v>2.344764097266383E-2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0.54278778557656859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-1.0671109812312936</v>
      </c>
      <c r="H840" t="s">
        <v>33</v>
      </c>
      <c r="I840">
        <f>VLOOKUP(Table4[[#This Row],[Visitor]],'NHL Model'!$A$6:$B$38,2,FALSE)</f>
        <v>-0.63428770456303318</v>
      </c>
      <c r="J840">
        <f>($B$1+Table4[[#This Row],[Home Differential]])-Table4[[#This Row],[Away Differential]]</f>
        <v>-0.38419402722683815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0.50567839335971787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-0.81978323318233992</v>
      </c>
      <c r="H841" t="s">
        <v>27</v>
      </c>
      <c r="I841">
        <f>VLOOKUP(Table4[[#This Row],[Visitor]],'NHL Model'!$A$6:$B$38,2,FALSE)</f>
        <v>-0.28566683768028334</v>
      </c>
      <c r="J841">
        <f>($B$1+Table4[[#This Row],[Home Differential]])-Table4[[#This Row],[Away Differential]]</f>
        <v>-0.48548714606063437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0.56023410780766547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-0.22994539344581519</v>
      </c>
      <c r="H842" t="s">
        <v>15</v>
      </c>
      <c r="I842">
        <f>VLOOKUP(Table4[[#This Row],[Visitor]],'NHL Model'!$A$6:$B$38,2,FALSE)</f>
        <v>-0.40624923719383538</v>
      </c>
      <c r="J842">
        <f>($B$1+Table4[[#This Row],[Home Differential]])-Table4[[#This Row],[Away Differential]]</f>
        <v>0.22493309318944241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0.46666174558162976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-0.45205624035379666</v>
      </c>
      <c r="H843" t="s">
        <v>12</v>
      </c>
      <c r="I843">
        <f>VLOOKUP(Table4[[#This Row],[Visitor]],'NHL Model'!$A$6:$B$38,2,FALSE)</f>
        <v>1.5255226246883613</v>
      </c>
      <c r="J843">
        <f>($B$1+Table4[[#This Row],[Home Differential]])-Table4[[#This Row],[Away Differential]]</f>
        <v>-1.9289496156007357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0.75946116155379939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-0.29972363155607096</v>
      </c>
      <c r="H844" t="s">
        <v>27</v>
      </c>
      <c r="I844">
        <f>VLOOKUP(Table4[[#This Row],[Visitor]],'NHL Model'!$A$6:$B$38,2,FALSE)</f>
        <v>-0.28566683768028334</v>
      </c>
      <c r="J844">
        <f>($B$1+Table4[[#This Row],[Home Differential]])-Table4[[#This Row],[Away Differential]]</f>
        <v>3.4572455565634597E-2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0.54509406667081872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-0.73453218371466944</v>
      </c>
      <c r="H845" t="s">
        <v>13</v>
      </c>
      <c r="I845">
        <f>VLOOKUP(Table4[[#This Row],[Visitor]],'NHL Model'!$A$6:$B$38,2,FALSE)</f>
        <v>-0.43202172705875852</v>
      </c>
      <c r="J845">
        <f>($B$1+Table4[[#This Row],[Home Differential]])-Table4[[#This Row],[Away Differential]]</f>
        <v>-0.2538812072144887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0.55650076068078824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0.35473499802405739</v>
      </c>
      <c r="H846" t="s">
        <v>55</v>
      </c>
      <c r="I846">
        <f>VLOOKUP(Table4[[#This Row],[Visitor]],'NHL Model'!$A$6:$B$38,2,FALSE)</f>
        <v>-0.38947416486586689</v>
      </c>
      <c r="J846">
        <f>($B$1+Table4[[#This Row],[Home Differential]])-Table4[[#This Row],[Away Differential]]</f>
        <v>0.79283841233134655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0.67469496684068075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-0.97739270546148105</v>
      </c>
      <c r="H847" t="s">
        <v>22</v>
      </c>
      <c r="I847">
        <f>VLOOKUP(Table4[[#This Row],[Visitor]],'NHL Model'!$A$6:$B$38,2,FALSE)</f>
        <v>0.24850541890141886</v>
      </c>
      <c r="J847">
        <f>($B$1+Table4[[#This Row],[Home Differential]])-Table4[[#This Row],[Away Differential]]</f>
        <v>-1.1772688749214777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0.62073952428726387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-0.92247588734712094</v>
      </c>
      <c r="H848" t="s">
        <v>33</v>
      </c>
      <c r="I848">
        <f>VLOOKUP(Table4[[#This Row],[Visitor]],'NHL Model'!$A$6:$B$38,2,FALSE)</f>
        <v>-0.63428770456303318</v>
      </c>
      <c r="J848">
        <f>($B$1+Table4[[#This Row],[Home Differential]])-Table4[[#This Row],[Away Differential]]</f>
        <v>-0.23955893334266554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0.48143618584803027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-0.15703092434902144</v>
      </c>
      <c r="H849" t="s">
        <v>16</v>
      </c>
      <c r="I849">
        <f>VLOOKUP(Table4[[#This Row],[Visitor]],'NHL Model'!$A$6:$B$38,2,FALSE)</f>
        <v>-1.1693700053921123</v>
      </c>
      <c r="J849">
        <f>($B$1+Table4[[#This Row],[Home Differential]])-Table4[[#This Row],[Away Differential]]</f>
        <v>1.060968330484513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0.66614284790393352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-0.69003864116815428</v>
      </c>
      <c r="H850" t="s">
        <v>12</v>
      </c>
      <c r="I850">
        <f>VLOOKUP(Table4[[#This Row],[Visitor]],'NHL Model'!$A$6:$B$38,2,FALSE)</f>
        <v>1.5255226246883613</v>
      </c>
      <c r="J850">
        <f>($B$1+Table4[[#This Row],[Home Differential]])-Table4[[#This Row],[Away Differential]]</f>
        <v>-2.1669320164150934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0.7902585460657956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2.1114018573289962E-3</v>
      </c>
      <c r="H851" t="s">
        <v>29</v>
      </c>
      <c r="I851">
        <f>VLOOKUP(Table4[[#This Row],[Visitor]],'NHL Model'!$A$6:$B$38,2,FALSE)</f>
        <v>-1.4761804210410974</v>
      </c>
      <c r="J851">
        <f>($B$1+Table4[[#This Row],[Home Differential]])-Table4[[#This Row],[Away Differential]]</f>
        <v>1.5269210723398485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0.82165566599390361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-0.40624923719383538</v>
      </c>
      <c r="H852" t="s">
        <v>30</v>
      </c>
      <c r="I852">
        <f>VLOOKUP(Table4[[#This Row],[Visitor]],'NHL Model'!$A$6:$B$38,2,FALSE)</f>
        <v>-0.22994539344581519</v>
      </c>
      <c r="J852">
        <f>($B$1+Table4[[#This Row],[Home Differential]])-Table4[[#This Row],[Away Differential]]</f>
        <v>-0.12767459430659797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0.5478029218564221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-0.39956044496834064</v>
      </c>
      <c r="H853" t="s">
        <v>10</v>
      </c>
      <c r="I853">
        <f>VLOOKUP(Table4[[#This Row],[Visitor]],'NHL Model'!$A$6:$B$38,2,FALSE)</f>
        <v>-0.35229536402491796</v>
      </c>
      <c r="J853">
        <f>($B$1+Table4[[#This Row],[Home Differential]])-Table4[[#This Row],[Away Differential]]</f>
        <v>1.3641684979995294E-3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0.54016219155125955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-0.75181957250890208</v>
      </c>
      <c r="H854" t="s">
        <v>19</v>
      </c>
      <c r="I854">
        <f>VLOOKUP(Table4[[#This Row],[Visitor]],'NHL Model'!$A$6:$B$38,2,FALSE)</f>
        <v>-0.75971379218342783</v>
      </c>
      <c r="J854">
        <f>($B$1+Table4[[#This Row],[Home Differential]])-Table4[[#This Row],[Away Differential]]</f>
        <v>5.6523469115947966E-2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0.54672030555750861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-1.4300915005812256</v>
      </c>
      <c r="H855" t="s">
        <v>11</v>
      </c>
      <c r="I855">
        <f>VLOOKUP(Table4[[#This Row],[Visitor]],'NHL Model'!$A$6:$B$38,2,FALSE)</f>
        <v>-0.479695961608754</v>
      </c>
      <c r="J855">
        <f>($B$1+Table4[[#This Row],[Home Differential]])-Table4[[#This Row],[Away Differential]]</f>
        <v>-0.90176628953104943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0.56721466855967584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0.41634187791115029</v>
      </c>
      <c r="H856" t="s">
        <v>40</v>
      </c>
      <c r="I856">
        <f>VLOOKUP(Table4[[#This Row],[Visitor]],'NHL Model'!$A$6:$B$38,2,FALSE)</f>
        <v>-0.24840457265646038</v>
      </c>
      <c r="J856">
        <f>($B$1+Table4[[#This Row],[Home Differential]])-Table4[[#This Row],[Away Differential]]</f>
        <v>0.71337570000903283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0.61814947707582102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-1.0671109812312936</v>
      </c>
      <c r="H857" t="s">
        <v>31</v>
      </c>
      <c r="I857">
        <f>VLOOKUP(Table4[[#This Row],[Visitor]],'NHL Model'!$A$6:$B$38,2,FALSE)</f>
        <v>0.12352843374450689</v>
      </c>
      <c r="J857">
        <f>($B$1+Table4[[#This Row],[Home Differential]])-Table4[[#This Row],[Away Differential]]</f>
        <v>-1.1420101655343782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0.61654747266073251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-0.32012591315776179</v>
      </c>
      <c r="H858" t="s">
        <v>39</v>
      </c>
      <c r="I858">
        <f>VLOOKUP(Table4[[#This Row],[Visitor]],'NHL Model'!$A$6:$B$38,2,FALSE)</f>
        <v>0.17994412141822874</v>
      </c>
      <c r="J858">
        <f>($B$1+Table4[[#This Row],[Home Differential]])-Table4[[#This Row],[Away Differential]]</f>
        <v>-0.45144078513456831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0.61547138722450101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-0.35229536402491796</v>
      </c>
      <c r="H859" t="s">
        <v>28</v>
      </c>
      <c r="I859">
        <f>VLOOKUP(Table4[[#This Row],[Visitor]],'NHL Model'!$A$6:$B$38,2,FALSE)</f>
        <v>-0.81978323318233992</v>
      </c>
      <c r="J859">
        <f>($B$1+Table4[[#This Row],[Home Differential]])-Table4[[#This Row],[Away Differential]]</f>
        <v>0.51611711859884424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0.60136326723560085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-0.73453218371466944</v>
      </c>
      <c r="H860" t="s">
        <v>18</v>
      </c>
      <c r="I860">
        <f>VLOOKUP(Table4[[#This Row],[Visitor]],'NHL Model'!$A$6:$B$38,2,FALSE)</f>
        <v>-0.69003864116815428</v>
      </c>
      <c r="J860">
        <f>($B$1+Table4[[#This Row],[Home Differential]])-Table4[[#This Row],[Away Differential]]</f>
        <v>4.1357068949070541E-3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0.48120387721647062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-1.1693700053921123</v>
      </c>
      <c r="H861" t="s">
        <v>33</v>
      </c>
      <c r="I861">
        <f>VLOOKUP(Table4[[#This Row],[Visitor]],'NHL Model'!$A$6:$B$38,2,FALSE)</f>
        <v>-0.63428770456303318</v>
      </c>
      <c r="J861">
        <f>($B$1+Table4[[#This Row],[Home Differential]])-Table4[[#This Row],[Away Differential]]</f>
        <v>-0.48645305138765693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0.51783638541366739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-0.97739270546148105</v>
      </c>
      <c r="H862" t="s">
        <v>12</v>
      </c>
      <c r="I862">
        <f>VLOOKUP(Table4[[#This Row],[Visitor]],'NHL Model'!$A$6:$B$38,2,FALSE)</f>
        <v>1.5255226246883613</v>
      </c>
      <c r="J862">
        <f>($B$1+Table4[[#This Row],[Home Differential]])-Table4[[#This Row],[Away Differential]]</f>
        <v>-2.4542860807084201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0.82442324164174829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-0.92247588734712094</v>
      </c>
      <c r="H863" t="s">
        <v>34</v>
      </c>
      <c r="I863">
        <f>VLOOKUP(Table4[[#This Row],[Visitor]],'NHL Model'!$A$6:$B$38,2,FALSE)</f>
        <v>-0.15703092434902144</v>
      </c>
      <c r="J863">
        <f>($B$1+Table4[[#This Row],[Home Differential]])-Table4[[#This Row],[Away Differential]]</f>
        <v>-0.71681571355667728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0.58063798500677388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-0.479695961608754</v>
      </c>
      <c r="H864" t="s">
        <v>40</v>
      </c>
      <c r="I864">
        <f>VLOOKUP(Table4[[#This Row],[Visitor]],'NHL Model'!$A$6:$B$38,2,FALSE)</f>
        <v>-0.24840457265646038</v>
      </c>
      <c r="J864">
        <f>($B$1+Table4[[#This Row],[Home Differential]])-Table4[[#This Row],[Away Differential]]</f>
        <v>-0.1826621395108714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0.5068659609053221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-0.22994539344581519</v>
      </c>
      <c r="H865" t="s">
        <v>29</v>
      </c>
      <c r="I865">
        <f>VLOOKUP(Table4[[#This Row],[Visitor]],'NHL Model'!$A$6:$B$38,2,FALSE)</f>
        <v>-1.4761804210410974</v>
      </c>
      <c r="J865">
        <f>($B$1+Table4[[#This Row],[Home Differential]])-Table4[[#This Row],[Away Differential]]</f>
        <v>1.2948642770367045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0.69395169003761525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-0.45205624035379666</v>
      </c>
      <c r="H866" t="s">
        <v>24</v>
      </c>
      <c r="I866">
        <f>VLOOKUP(Table4[[#This Row],[Visitor]],'NHL Model'!$A$6:$B$38,2,FALSE)</f>
        <v>2.1114018573289962E-3</v>
      </c>
      <c r="J866">
        <f>($B$1+Table4[[#This Row],[Home Differential]])-Table4[[#This Row],[Away Differential]]</f>
        <v>-0.40553839276970344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0.52647698151550815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-0.28566683768028334</v>
      </c>
      <c r="H867" t="s">
        <v>13</v>
      </c>
      <c r="I867">
        <f>VLOOKUP(Table4[[#This Row],[Visitor]],'NHL Model'!$A$6:$B$38,2,FALSE)</f>
        <v>-0.43202172705875852</v>
      </c>
      <c r="J867">
        <f>($B$1+Table4[[#This Row],[Home Differential]])-Table4[[#This Row],[Away Differential]]</f>
        <v>0.1949841388198974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0.52951157268378146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-0.39956044496834064</v>
      </c>
      <c r="H868" t="s">
        <v>15</v>
      </c>
      <c r="I868">
        <f>VLOOKUP(Table4[[#This Row],[Visitor]],'NHL Model'!$A$6:$B$38,2,FALSE)</f>
        <v>-0.40624923719383538</v>
      </c>
      <c r="J868">
        <f>($B$1+Table4[[#This Row],[Home Differential]])-Table4[[#This Row],[Away Differential]]</f>
        <v>5.5318041666916951E-2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0.44649552098126588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-1.4300915005812256</v>
      </c>
      <c r="H869" t="s">
        <v>28</v>
      </c>
      <c r="I869">
        <f>VLOOKUP(Table4[[#This Row],[Visitor]],'NHL Model'!$A$6:$B$38,2,FALSE)</f>
        <v>-0.81978323318233992</v>
      </c>
      <c r="J869">
        <f>($B$1+Table4[[#This Row],[Home Differential]])-Table4[[#This Row],[Away Differential]]</f>
        <v>-0.56167901795746344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0.52678030709991419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-0.38947416486586689</v>
      </c>
      <c r="H870" t="s">
        <v>39</v>
      </c>
      <c r="I870">
        <f>VLOOKUP(Table4[[#This Row],[Visitor]],'NHL Model'!$A$6:$B$38,2,FALSE)</f>
        <v>0.17994412141822874</v>
      </c>
      <c r="J870">
        <f>($B$1+Table4[[#This Row],[Home Differential]])-Table4[[#This Row],[Away Differential]]</f>
        <v>-0.52078903684267341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0.58297136221106804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-1.0671109812312936</v>
      </c>
      <c r="H871" t="s">
        <v>19</v>
      </c>
      <c r="I871">
        <f>VLOOKUP(Table4[[#This Row],[Visitor]],'NHL Model'!$A$6:$B$38,2,FALSE)</f>
        <v>-0.75971379218342783</v>
      </c>
      <c r="J871">
        <f>($B$1+Table4[[#This Row],[Home Differential]])-Table4[[#This Row],[Away Differential]]</f>
        <v>-0.25876793960644351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0.49076597473299072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-0.32012591315776179</v>
      </c>
      <c r="H872" t="s">
        <v>32</v>
      </c>
      <c r="I872">
        <f>VLOOKUP(Table4[[#This Row],[Visitor]],'NHL Model'!$A$6:$B$38,2,FALSE)</f>
        <v>-0.75181957250890208</v>
      </c>
      <c r="J872">
        <f>($B$1+Table4[[#This Row],[Home Differential]])-Table4[[#This Row],[Away Differential]]</f>
        <v>0.48032290879256251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0.59710754778224706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0.24850541890141886</v>
      </c>
      <c r="H873" t="s">
        <v>25</v>
      </c>
      <c r="I873">
        <f>VLOOKUP(Table4[[#This Row],[Visitor]],'NHL Model'!$A$6:$B$38,2,FALSE)</f>
        <v>0.35473499802405739</v>
      </c>
      <c r="J873">
        <f>($B$1+Table4[[#This Row],[Home Differential]])-Table4[[#This Row],[Away Differential]]</f>
        <v>-5.7600329681216311E-2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0.51317745182201213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0.12352843374450689</v>
      </c>
      <c r="H874" t="s">
        <v>20</v>
      </c>
      <c r="I874">
        <f>VLOOKUP(Table4[[#This Row],[Visitor]],'NHL Model'!$A$6:$B$38,2,FALSE)</f>
        <v>-0.32012591315776179</v>
      </c>
      <c r="J874">
        <f>($B$1+Table4[[#This Row],[Home Differential]])-Table4[[#This Row],[Away Differential]]</f>
        <v>0.4922835963436909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0.67836431340482106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0.35473499802405739</v>
      </c>
      <c r="H875" t="s">
        <v>13</v>
      </c>
      <c r="I875">
        <f>VLOOKUP(Table4[[#This Row],[Visitor]],'NHL Model'!$A$6:$B$38,2,FALSE)</f>
        <v>-0.43202172705875852</v>
      </c>
      <c r="J875">
        <f>($B$1+Table4[[#This Row],[Home Differential]])-Table4[[#This Row],[Away Differential]]</f>
        <v>0.83538597452423813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0.61402832478377911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0.41634187791115029</v>
      </c>
      <c r="H876" t="s">
        <v>21</v>
      </c>
      <c r="I876">
        <f>VLOOKUP(Table4[[#This Row],[Visitor]],'NHL Model'!$A$6:$B$38,2,FALSE)</f>
        <v>-0.29972363155607096</v>
      </c>
      <c r="J876">
        <f>($B$1+Table4[[#This Row],[Home Differential]])-Table4[[#This Row],[Away Differential]]</f>
        <v>0.76469475890864347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0.66234624719170876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-1.1693700053921123</v>
      </c>
      <c r="H877" t="s">
        <v>19</v>
      </c>
      <c r="I877">
        <f>VLOOKUP(Table4[[#This Row],[Visitor]],'NHL Model'!$A$6:$B$38,2,FALSE)</f>
        <v>-0.75971379218342783</v>
      </c>
      <c r="J877">
        <f>($B$1+Table4[[#This Row],[Home Differential]])-Table4[[#This Row],[Away Differential]]</f>
        <v>-0.36102696376726229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0.50292396678694029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-0.35229536402491796</v>
      </c>
      <c r="H878" t="s">
        <v>33</v>
      </c>
      <c r="I878">
        <f>VLOOKUP(Table4[[#This Row],[Visitor]],'NHL Model'!$A$6:$B$38,2,FALSE)</f>
        <v>-0.63428770456303318</v>
      </c>
      <c r="J878">
        <f>($B$1+Table4[[#This Row],[Home Differential]])-Table4[[#This Row],[Away Differential]]</f>
        <v>0.33062158997953744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0.57930894800554489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1.5255226246883613</v>
      </c>
      <c r="H879" t="s">
        <v>26</v>
      </c>
      <c r="I879">
        <f>VLOOKUP(Table4[[#This Row],[Visitor]],'NHL Model'!$A$6:$B$38,2,FALSE)</f>
        <v>-0.97739270546148105</v>
      </c>
      <c r="J879">
        <f>($B$1+Table4[[#This Row],[Home Differential]])-Table4[[#This Row],[Away Differential]]</f>
        <v>2.5515445795912646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0.94769342866928441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0.17994412141822874</v>
      </c>
      <c r="H880" t="s">
        <v>40</v>
      </c>
      <c r="I880">
        <f>VLOOKUP(Table4[[#This Row],[Visitor]],'NHL Model'!$A$6:$B$38,2,FALSE)</f>
        <v>-0.24840457265646038</v>
      </c>
      <c r="J880">
        <f>($B$1+Table4[[#This Row],[Home Differential]])-Table4[[#This Row],[Away Differential]]</f>
        <v>0.47697794351611134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0.57670985123091012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-0.479695961608754</v>
      </c>
      <c r="H881" t="s">
        <v>23</v>
      </c>
      <c r="I881">
        <f>VLOOKUP(Table4[[#This Row],[Visitor]],'NHL Model'!$A$6:$B$38,2,FALSE)</f>
        <v>-0.73453218371466944</v>
      </c>
      <c r="J881">
        <f>($B$1+Table4[[#This Row],[Home Differential]])-Table4[[#This Row],[Away Differential]]</f>
        <v>0.30346547154733766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0.59009686693161634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-0.15703092434902144</v>
      </c>
      <c r="H882" t="s">
        <v>18</v>
      </c>
      <c r="I882">
        <f>VLOOKUP(Table4[[#This Row],[Visitor]],'NHL Model'!$A$6:$B$38,2,FALSE)</f>
        <v>-0.69003864116815428</v>
      </c>
      <c r="J882">
        <f>($B$1+Table4[[#This Row],[Home Differential]])-Table4[[#This Row],[Away Differential]]</f>
        <v>0.58163696626055506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0.54986535506776857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-1.4761804210410974</v>
      </c>
      <c r="H883" t="s">
        <v>35</v>
      </c>
      <c r="I883">
        <f>VLOOKUP(Table4[[#This Row],[Visitor]],'NHL Model'!$A$6:$B$38,2,FALSE)</f>
        <v>-1.4300915005812256</v>
      </c>
      <c r="J883">
        <f>($B$1+Table4[[#This Row],[Home Differential]])-Table4[[#This Row],[Away Differential]]</f>
        <v>2.5403289815504326E-3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0.54030203006361122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-0.39956044496834064</v>
      </c>
      <c r="H884" t="s">
        <v>36</v>
      </c>
      <c r="I884">
        <f>VLOOKUP(Table4[[#This Row],[Visitor]],'NHL Model'!$A$6:$B$38,2,FALSE)</f>
        <v>-0.45205624035379666</v>
      </c>
      <c r="J884">
        <f>($B$1+Table4[[#This Row],[Home Differential]])-Table4[[#This Row],[Away Differential]]</f>
        <v>0.10112504482687823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0.55119367554279164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-0.38947416486586689</v>
      </c>
      <c r="H885" t="s">
        <v>38</v>
      </c>
      <c r="I885">
        <f>VLOOKUP(Table4[[#This Row],[Visitor]],'NHL Model'!$A$6:$B$38,2,FALSE)</f>
        <v>-1.0671109812312936</v>
      </c>
      <c r="J885">
        <f>($B$1+Table4[[#This Row],[Home Differential]])-Table4[[#This Row],[Away Differential]]</f>
        <v>0.72626606580684894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0.66327180877921477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0.24850541890141886</v>
      </c>
      <c r="H886" t="s">
        <v>30</v>
      </c>
      <c r="I886">
        <f>VLOOKUP(Table4[[#This Row],[Visitor]],'NHL Model'!$A$6:$B$38,2,FALSE)</f>
        <v>-0.22994539344581519</v>
      </c>
      <c r="J886">
        <f>($B$1+Table4[[#This Row],[Home Differential]])-Table4[[#This Row],[Away Differential]]</f>
        <v>0.5270800617886563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0.55633758229772956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0.12352843374450689</v>
      </c>
      <c r="H887" t="s">
        <v>32</v>
      </c>
      <c r="I887">
        <f>VLOOKUP(Table4[[#This Row],[Visitor]],'NHL Model'!$A$6:$B$38,2,FALSE)</f>
        <v>-0.75181957250890208</v>
      </c>
      <c r="J887">
        <f>($B$1+Table4[[#This Row],[Home Differential]])-Table4[[#This Row],[Away Differential]]</f>
        <v>0.92397725569483113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0.72969013157298002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0.35473499802405739</v>
      </c>
      <c r="H888" t="s">
        <v>36</v>
      </c>
      <c r="I888">
        <f>VLOOKUP(Table4[[#This Row],[Visitor]],'NHL Model'!$A$6:$B$38,2,FALSE)</f>
        <v>-0.45205624035379666</v>
      </c>
      <c r="J888">
        <f>($B$1+Table4[[#This Row],[Home Differential]])-Table4[[#This Row],[Away Differential]]</f>
        <v>0.85542048781927627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0.68132226174535937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-0.92247588734712094</v>
      </c>
      <c r="H889" t="s">
        <v>19</v>
      </c>
      <c r="I889">
        <f>VLOOKUP(Table4[[#This Row],[Visitor]],'NHL Model'!$A$6:$B$38,2,FALSE)</f>
        <v>-0.75971379218342783</v>
      </c>
      <c r="J889">
        <f>($B$1+Table4[[#This Row],[Home Differential]])-Table4[[#This Row],[Away Differential]]</f>
        <v>-0.11413284572227089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0.46652376722130312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2.1114018573289962E-3</v>
      </c>
      <c r="H890" t="s">
        <v>28</v>
      </c>
      <c r="I890">
        <f>VLOOKUP(Table4[[#This Row],[Visitor]],'NHL Model'!$A$6:$B$38,2,FALSE)</f>
        <v>-0.81978323318233992</v>
      </c>
      <c r="J890">
        <f>($B$1+Table4[[#This Row],[Home Differential]])-Table4[[#This Row],[Away Differential]]</f>
        <v>0.87052388448109119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0.74361392972942464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-0.22994539344581519</v>
      </c>
      <c r="H891" t="s">
        <v>14</v>
      </c>
      <c r="I891">
        <f>VLOOKUP(Table4[[#This Row],[Visitor]],'NHL Model'!$A$6:$B$38,2,FALSE)</f>
        <v>-0.39956044496834064</v>
      </c>
      <c r="J891">
        <f>($B$1+Table4[[#This Row],[Home Differential]])-Table4[[#This Row],[Away Differential]]</f>
        <v>0.21824430096394767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0.54517872344522111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-0.28566683768028334</v>
      </c>
      <c r="H892" t="s">
        <v>22</v>
      </c>
      <c r="I892">
        <f>VLOOKUP(Table4[[#This Row],[Visitor]],'NHL Model'!$A$6:$B$38,2,FALSE)</f>
        <v>0.24850541890141886</v>
      </c>
      <c r="J892">
        <f>($B$1+Table4[[#This Row],[Home Differential]])-Table4[[#This Row],[Away Differential]]</f>
        <v>-0.48554300714027998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0.506004048613935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0.41634187791115029</v>
      </c>
      <c r="H893" t="s">
        <v>23</v>
      </c>
      <c r="I893">
        <f>VLOOKUP(Table4[[#This Row],[Visitor]],'NHL Model'!$A$6:$B$38,2,FALSE)</f>
        <v>-0.73453218371466944</v>
      </c>
      <c r="J893">
        <f>($B$1+Table4[[#This Row],[Home Differential]])-Table4[[#This Row],[Away Differential]]</f>
        <v>1.199503311067242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0.71485990203762362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-0.81978323318233992</v>
      </c>
      <c r="H894" t="s">
        <v>10</v>
      </c>
      <c r="I894">
        <f>VLOOKUP(Table4[[#This Row],[Visitor]],'NHL Model'!$A$6:$B$38,2,FALSE)</f>
        <v>-0.35229536402491796</v>
      </c>
      <c r="J894">
        <f>($B$1+Table4[[#This Row],[Home Differential]])-Table4[[#This Row],[Away Differential]]</f>
        <v>-0.41885861971599975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0.50979980800742497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-1.1693700053921123</v>
      </c>
      <c r="H895" t="s">
        <v>17</v>
      </c>
      <c r="I895">
        <f>VLOOKUP(Table4[[#This Row],[Visitor]],'NHL Model'!$A$6:$B$38,2,FALSE)</f>
        <v>-0.92247588734712094</v>
      </c>
      <c r="J895">
        <f>($B$1+Table4[[#This Row],[Home Differential]])-Table4[[#This Row],[Away Differential]]</f>
        <v>-0.19826486860356918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0.48357251809159302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1.5255226246883613</v>
      </c>
      <c r="H896" t="s">
        <v>33</v>
      </c>
      <c r="I896">
        <f>VLOOKUP(Table4[[#This Row],[Visitor]],'NHL Model'!$A$6:$B$38,2,FALSE)</f>
        <v>-0.63428770456303318</v>
      </c>
      <c r="J896">
        <f>($B$1+Table4[[#This Row],[Home Differential]])-Table4[[#This Row],[Away Differential]]</f>
        <v>2.2084395786928166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0.90690027707384802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0.17994412141822874</v>
      </c>
      <c r="H897" t="s">
        <v>35</v>
      </c>
      <c r="I897">
        <f>VLOOKUP(Table4[[#This Row],[Visitor]],'NHL Model'!$A$6:$B$38,2,FALSE)</f>
        <v>-1.4300915005812256</v>
      </c>
      <c r="J897">
        <f>($B$1+Table4[[#This Row],[Home Differential]])-Table4[[#This Row],[Away Differential]]</f>
        <v>1.6586648714408765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0.75631085638250295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-0.479695961608754</v>
      </c>
      <c r="H898" t="s">
        <v>21</v>
      </c>
      <c r="I898">
        <f>VLOOKUP(Table4[[#This Row],[Visitor]],'NHL Model'!$A$6:$B$38,2,FALSE)</f>
        <v>-0.29972363155607096</v>
      </c>
      <c r="J898">
        <f>($B$1+Table4[[#This Row],[Home Differential]])-Table4[[#This Row],[Away Differential]]</f>
        <v>-0.13134308061126082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0.4624244246714852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-0.43202172705875852</v>
      </c>
      <c r="H899" t="s">
        <v>32</v>
      </c>
      <c r="I899">
        <f>VLOOKUP(Table4[[#This Row],[Visitor]],'NHL Model'!$A$6:$B$38,2,FALSE)</f>
        <v>-0.75181957250890208</v>
      </c>
      <c r="J899">
        <f>($B$1+Table4[[#This Row],[Home Differential]])-Table4[[#This Row],[Away Differential]]</f>
        <v>0.36842709489156578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0.58380379852937869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-1.4761804210410974</v>
      </c>
      <c r="H900" t="s">
        <v>34</v>
      </c>
      <c r="I900">
        <f>VLOOKUP(Table4[[#This Row],[Visitor]],'NHL Model'!$A$6:$B$38,2,FALSE)</f>
        <v>-0.15703092434902144</v>
      </c>
      <c r="J900">
        <f>($B$1+Table4[[#This Row],[Home Differential]])-Table4[[#This Row],[Away Differential]]</f>
        <v>-1.2705202472506536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0.65356989195660742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-0.38947416486586689</v>
      </c>
      <c r="H901" t="s">
        <v>26</v>
      </c>
      <c r="I901">
        <f>VLOOKUP(Table4[[#This Row],[Visitor]],'NHL Model'!$A$6:$B$38,2,FALSE)</f>
        <v>-0.97739270546148105</v>
      </c>
      <c r="J901">
        <f>($B$1+Table4[[#This Row],[Home Differential]])-Table4[[#This Row],[Away Differential]]</f>
        <v>0.63654779003703643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0.65611293792387126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-0.32012591315776179</v>
      </c>
      <c r="H902" t="s">
        <v>38</v>
      </c>
      <c r="I902">
        <f>VLOOKUP(Table4[[#This Row],[Visitor]],'NHL Model'!$A$6:$B$38,2,FALSE)</f>
        <v>-1.0671109812312936</v>
      </c>
      <c r="J902">
        <f>($B$1+Table4[[#This Row],[Home Differential]])-Table4[[#This Row],[Away Differential]]</f>
        <v>0.79561431751495393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0.63101766913234891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-0.24840457265646038</v>
      </c>
      <c r="H903" t="s">
        <v>18</v>
      </c>
      <c r="I903">
        <f>VLOOKUP(Table4[[#This Row],[Visitor]],'NHL Model'!$A$6:$B$38,2,FALSE)</f>
        <v>-0.69003864116815428</v>
      </c>
      <c r="J903">
        <f>($B$1+Table4[[#This Row],[Home Differential]])-Table4[[#This Row],[Away Differential]]</f>
        <v>0.49026331795311612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0.54151088004126924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-0.73453218371466944</v>
      </c>
      <c r="H904" t="s">
        <v>14</v>
      </c>
      <c r="I904">
        <f>VLOOKUP(Table4[[#This Row],[Visitor]],'NHL Model'!$A$6:$B$38,2,FALSE)</f>
        <v>-0.39956044496834064</v>
      </c>
      <c r="J904">
        <f>($B$1+Table4[[#This Row],[Home Differential]])-Table4[[#This Row],[Away Differential]]</f>
        <v>-0.28634248930490658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0.51481365607297902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2.1114018573289962E-3</v>
      </c>
      <c r="H905" t="s">
        <v>30</v>
      </c>
      <c r="I905">
        <f>VLOOKUP(Table4[[#This Row],[Visitor]],'NHL Model'!$A$6:$B$38,2,FALSE)</f>
        <v>-0.22994539344581519</v>
      </c>
      <c r="J905">
        <f>($B$1+Table4[[#This Row],[Home Differential]])-Table4[[#This Row],[Away Differential]]</f>
        <v>0.28068604474456638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0.60410361487891462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-0.40624923719383538</v>
      </c>
      <c r="H906" t="s">
        <v>25</v>
      </c>
      <c r="I906">
        <f>VLOOKUP(Table4[[#This Row],[Visitor]],'NHL Model'!$A$6:$B$38,2,FALSE)</f>
        <v>0.35473499802405739</v>
      </c>
      <c r="J906">
        <f>($B$1+Table4[[#This Row],[Home Differential]])-Table4[[#This Row],[Away Differential]]</f>
        <v>-0.71235498577647061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0.6173179559761639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-0.28566683768028334</v>
      </c>
      <c r="H907" t="s">
        <v>36</v>
      </c>
      <c r="I907">
        <f>VLOOKUP(Table4[[#This Row],[Visitor]],'NHL Model'!$A$6:$B$38,2,FALSE)</f>
        <v>-0.45205624035379666</v>
      </c>
      <c r="J907">
        <f>($B$1+Table4[[#This Row],[Home Differential]])-Table4[[#This Row],[Away Differential]]</f>
        <v>0.21501865211493554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0.59699301510791924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0.41634187791115029</v>
      </c>
      <c r="H908" t="s">
        <v>11</v>
      </c>
      <c r="I908">
        <f>VLOOKUP(Table4[[#This Row],[Visitor]],'NHL Model'!$A$6:$B$38,2,FALSE)</f>
        <v>-0.479695961608754</v>
      </c>
      <c r="J908">
        <f>($B$1+Table4[[#This Row],[Home Differential]])-Table4[[#This Row],[Away Differential]]</f>
        <v>0.94466708896132645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0.68456138521871024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-0.32012591315776179</v>
      </c>
      <c r="H909" t="s">
        <v>13</v>
      </c>
      <c r="I909">
        <f>VLOOKUP(Table4[[#This Row],[Visitor]],'NHL Model'!$A$6:$B$38,2,FALSE)</f>
        <v>-0.43202172705875852</v>
      </c>
      <c r="J909">
        <f>($B$1+Table4[[#This Row],[Home Differential]])-Table4[[#This Row],[Away Differential]]</f>
        <v>0.16052506334241895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0.49276968939327204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0.24850541890141886</v>
      </c>
      <c r="H910" t="s">
        <v>29</v>
      </c>
      <c r="I910">
        <f>VLOOKUP(Table4[[#This Row],[Visitor]],'NHL Model'!$A$6:$B$38,2,FALSE)</f>
        <v>-1.4761804210410974</v>
      </c>
      <c r="J910">
        <f>($B$1+Table4[[#This Row],[Home Differential]])-Table4[[#This Row],[Away Differential]]</f>
        <v>1.7733150893839384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0.77687439249436407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0.12352843374450689</v>
      </c>
      <c r="H911" t="s">
        <v>17</v>
      </c>
      <c r="I911">
        <f>VLOOKUP(Table4[[#This Row],[Visitor]],'NHL Model'!$A$6:$B$38,2,FALSE)</f>
        <v>-0.92247588734712094</v>
      </c>
      <c r="J911">
        <f>($B$1+Table4[[#This Row],[Home Differential]])-Table4[[#This Row],[Away Differential]]</f>
        <v>1.0946335705330501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0.74998015621174807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0.17994412141822874</v>
      </c>
      <c r="H912" t="s">
        <v>32</v>
      </c>
      <c r="I912">
        <f>VLOOKUP(Table4[[#This Row],[Visitor]],'NHL Model'!$A$6:$B$38,2,FALSE)</f>
        <v>-0.75181957250890208</v>
      </c>
      <c r="J912">
        <f>($B$1+Table4[[#This Row],[Home Differential]])-Table4[[#This Row],[Away Differential]]</f>
        <v>0.98039294336855298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0.67566834312175128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-0.43202172705875852</v>
      </c>
      <c r="H913" t="s">
        <v>20</v>
      </c>
      <c r="I913">
        <f>VLOOKUP(Table4[[#This Row],[Visitor]],'NHL Model'!$A$6:$B$38,2,FALSE)</f>
        <v>-0.32012591315776179</v>
      </c>
      <c r="J913">
        <f>($B$1+Table4[[#This Row],[Home Differential]])-Table4[[#This Row],[Away Differential]]</f>
        <v>-6.3266564459574515E-2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0.46752201963878037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2.1114018573289962E-3</v>
      </c>
      <c r="H914" t="s">
        <v>23</v>
      </c>
      <c r="I914">
        <f>VLOOKUP(Table4[[#This Row],[Visitor]],'NHL Model'!$A$6:$B$38,2,FALSE)</f>
        <v>-0.73453218371466944</v>
      </c>
      <c r="J914">
        <f>($B$1+Table4[[#This Row],[Home Differential]])-Table4[[#This Row],[Away Differential]]</f>
        <v>0.7852728350134206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0.73347808508857648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0.41634187791115029</v>
      </c>
      <c r="H915" t="s">
        <v>19</v>
      </c>
      <c r="I915">
        <f>VLOOKUP(Table4[[#This Row],[Visitor]],'NHL Model'!$A$6:$B$38,2,FALSE)</f>
        <v>-0.75971379218342783</v>
      </c>
      <c r="J915">
        <f>($B$1+Table4[[#This Row],[Home Differential]])-Table4[[#This Row],[Away Differential]]</f>
        <v>1.2246849195360003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0.71785384607514302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-0.38947416486586689</v>
      </c>
      <c r="H916" t="s">
        <v>12</v>
      </c>
      <c r="I916">
        <f>VLOOKUP(Table4[[#This Row],[Visitor]],'NHL Model'!$A$6:$B$38,2,FALSE)</f>
        <v>1.5255226246883613</v>
      </c>
      <c r="J916">
        <f>($B$1+Table4[[#This Row],[Home Differential]])-Table4[[#This Row],[Away Differential]]</f>
        <v>-1.8663675401128059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0.71352015340205521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-1.0671109812312936</v>
      </c>
      <c r="H917" t="s">
        <v>40</v>
      </c>
      <c r="I917">
        <f>VLOOKUP(Table4[[#This Row],[Visitor]],'NHL Model'!$A$6:$B$38,2,FALSE)</f>
        <v>-0.24840457265646038</v>
      </c>
      <c r="J917">
        <f>($B$1+Table4[[#This Row],[Home Differential]])-Table4[[#This Row],[Away Differential]]</f>
        <v>-0.77007715913341102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0.59084434449557965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0.24850541890141886</v>
      </c>
      <c r="H918" t="s">
        <v>27</v>
      </c>
      <c r="I918">
        <f>VLOOKUP(Table4[[#This Row],[Visitor]],'NHL Model'!$A$6:$B$38,2,FALSE)</f>
        <v>-0.28566683768028334</v>
      </c>
      <c r="J918">
        <f>($B$1+Table4[[#This Row],[Home Differential]])-Table4[[#This Row],[Away Differential]]</f>
        <v>0.58280150602312442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0.59310116958266912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-0.29972363155607096</v>
      </c>
      <c r="H919" t="s">
        <v>28</v>
      </c>
      <c r="I919">
        <f>VLOOKUP(Table4[[#This Row],[Visitor]],'NHL Model'!$A$6:$B$38,2,FALSE)</f>
        <v>-0.81978323318233992</v>
      </c>
      <c r="J919">
        <f>($B$1+Table4[[#This Row],[Home Differential]])-Table4[[#This Row],[Away Differential]]</f>
        <v>0.56868885106769118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0.65051528912526979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0.35473499802405739</v>
      </c>
      <c r="H920" t="s">
        <v>37</v>
      </c>
      <c r="I920">
        <f>VLOOKUP(Table4[[#This Row],[Visitor]],'NHL Model'!$A$6:$B$38,2,FALSE)</f>
        <v>0.41634187791115029</v>
      </c>
      <c r="J920">
        <f>($B$1+Table4[[#This Row],[Home Differential]])-Table4[[#This Row],[Away Differential]]</f>
        <v>-1.2977630445670685E-2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0.51317087033995235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1.5255226246883613</v>
      </c>
      <c r="H921" t="s">
        <v>34</v>
      </c>
      <c r="I921">
        <f>VLOOKUP(Table4[[#This Row],[Visitor]],'NHL Model'!$A$6:$B$38,2,FALSE)</f>
        <v>-0.15703092434902144</v>
      </c>
      <c r="J921">
        <f>($B$1+Table4[[#This Row],[Home Differential]])-Table4[[#This Row],[Away Differential]]</f>
        <v>1.7311827984788049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0.81022298130014569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-0.479695961608754</v>
      </c>
      <c r="H922" t="s">
        <v>19</v>
      </c>
      <c r="I922">
        <f>VLOOKUP(Table4[[#This Row],[Visitor]],'NHL Model'!$A$6:$B$38,2,FALSE)</f>
        <v>-0.75971379218342783</v>
      </c>
      <c r="J922">
        <f>($B$1+Table4[[#This Row],[Home Differential]])-Table4[[#This Row],[Away Differential]]</f>
        <v>0.32864708001609605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0.59309081096913574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-0.43202172705875852</v>
      </c>
      <c r="H923" t="s">
        <v>17</v>
      </c>
      <c r="I923">
        <f>VLOOKUP(Table4[[#This Row],[Visitor]],'NHL Model'!$A$6:$B$38,2,FALSE)</f>
        <v>-0.92247588734712094</v>
      </c>
      <c r="J923">
        <f>($B$1+Table4[[#This Row],[Home Differential]])-Table4[[#This Row],[Away Differential]]</f>
        <v>0.53908340972978464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0.60409382316814664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-0.69003864116815428</v>
      </c>
      <c r="H924" t="s">
        <v>30</v>
      </c>
      <c r="I924">
        <f>VLOOKUP(Table4[[#This Row],[Visitor]],'NHL Model'!$A$6:$B$38,2,FALSE)</f>
        <v>-0.22994539344581519</v>
      </c>
      <c r="J924">
        <f>($B$1+Table4[[#This Row],[Home Differential]])-Table4[[#This Row],[Away Differential]]</f>
        <v>-0.41146399828091684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0.5815438004422443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-1.4761804210410974</v>
      </c>
      <c r="H925" t="s">
        <v>10</v>
      </c>
      <c r="I925">
        <f>VLOOKUP(Table4[[#This Row],[Visitor]],'NHL Model'!$A$6:$B$38,2,FALSE)</f>
        <v>-0.35229536402491796</v>
      </c>
      <c r="J925">
        <f>($B$1+Table4[[#This Row],[Home Differential]])-Table4[[#This Row],[Away Differential]]</f>
        <v>-1.0752558075747571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0.58784154427190383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-0.40624923719383538</v>
      </c>
      <c r="H926" t="s">
        <v>27</v>
      </c>
      <c r="I926">
        <f>VLOOKUP(Table4[[#This Row],[Visitor]],'NHL Model'!$A$6:$B$38,2,FALSE)</f>
        <v>-0.28566683768028334</v>
      </c>
      <c r="J926">
        <f>($B$1+Table4[[#This Row],[Home Differential]])-Table4[[#This Row],[Away Differential]]</f>
        <v>-7.1953150072129823E-2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0.51106736601127101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-0.45205624035379666</v>
      </c>
      <c r="H927" t="s">
        <v>26</v>
      </c>
      <c r="I927">
        <f>VLOOKUP(Table4[[#This Row],[Visitor]],'NHL Model'!$A$6:$B$38,2,FALSE)</f>
        <v>-0.97739270546148105</v>
      </c>
      <c r="J927">
        <f>($B$1+Table4[[#This Row],[Home Differential]])-Table4[[#This Row],[Away Differential]]</f>
        <v>0.57396571454910661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0.61073660172623156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-0.39956044496834064</v>
      </c>
      <c r="H928" t="s">
        <v>24</v>
      </c>
      <c r="I928">
        <f>VLOOKUP(Table4[[#This Row],[Visitor]],'NHL Model'!$A$6:$B$38,2,FALSE)</f>
        <v>2.1114018573289962E-3</v>
      </c>
      <c r="J928">
        <f>($B$1+Table4[[#This Row],[Home Differential]])-Table4[[#This Row],[Away Differential]]</f>
        <v>-0.35304259738424743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0.52274390370326018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-0.63428770456303318</v>
      </c>
      <c r="H929" t="s">
        <v>16</v>
      </c>
      <c r="I929">
        <f>VLOOKUP(Table4[[#This Row],[Visitor]],'NHL Model'!$A$6:$B$38,2,FALSE)</f>
        <v>-1.1693700053921123</v>
      </c>
      <c r="J929">
        <f>($B$1+Table4[[#This Row],[Home Differential]])-Table4[[#This Row],[Away Differential]]</f>
        <v>0.58371155027050137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0.60939984464184338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-1.4300915005812256</v>
      </c>
      <c r="H930" t="s">
        <v>32</v>
      </c>
      <c r="I930">
        <f>VLOOKUP(Table4[[#This Row],[Visitor]],'NHL Model'!$A$6:$B$38,2,FALSE)</f>
        <v>-0.75181957250890208</v>
      </c>
      <c r="J930">
        <f>($B$1+Table4[[#This Row],[Home Differential]])-Table4[[#This Row],[Away Differential]]</f>
        <v>-0.62964267863090129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0.53486078364666367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0.12352843374450689</v>
      </c>
      <c r="H931" t="s">
        <v>40</v>
      </c>
      <c r="I931">
        <f>VLOOKUP(Table4[[#This Row],[Visitor]],'NHL Model'!$A$6:$B$38,2,FALSE)</f>
        <v>-0.24840457265646038</v>
      </c>
      <c r="J931">
        <f>($B$1+Table4[[#This Row],[Home Differential]])-Table4[[#This Row],[Away Differential]]</f>
        <v>0.42056225584238949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0.63209191248704721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-0.479695961608754</v>
      </c>
      <c r="H932" t="s">
        <v>23</v>
      </c>
      <c r="I932">
        <f>VLOOKUP(Table4[[#This Row],[Visitor]],'NHL Model'!$A$6:$B$38,2,FALSE)</f>
        <v>-0.73453218371466944</v>
      </c>
      <c r="J932">
        <f>($B$1+Table4[[#This Row],[Home Differential]])-Table4[[#This Row],[Away Differential]]</f>
        <v>0.30346547154733766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0.59009686693161634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-0.38947416486586689</v>
      </c>
      <c r="H933" t="s">
        <v>34</v>
      </c>
      <c r="I933">
        <f>VLOOKUP(Table4[[#This Row],[Visitor]],'NHL Model'!$A$6:$B$38,2,FALSE)</f>
        <v>-0.15703092434902144</v>
      </c>
      <c r="J933">
        <f>($B$1+Table4[[#This Row],[Home Differential]])-Table4[[#This Row],[Away Differential]]</f>
        <v>-0.18381399107542323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0.48339285591821968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0.24850541890141886</v>
      </c>
      <c r="H934" t="s">
        <v>20</v>
      </c>
      <c r="I934">
        <f>VLOOKUP(Table4[[#This Row],[Visitor]],'NHL Model'!$A$6:$B$38,2,FALSE)</f>
        <v>-0.32012591315776179</v>
      </c>
      <c r="J934">
        <f>($B$1+Table4[[#This Row],[Home Differential]])-Table4[[#This Row],[Away Differential]]</f>
        <v>0.61726058150060292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0.63942636151497667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0.35473499802405739</v>
      </c>
      <c r="H935" t="s">
        <v>26</v>
      </c>
      <c r="I935">
        <f>VLOOKUP(Table4[[#This Row],[Visitor]],'NHL Model'!$A$6:$B$38,2,FALSE)</f>
        <v>-0.97739270546148105</v>
      </c>
      <c r="J935">
        <f>($B$1+Table4[[#This Row],[Home Differential]])-Table4[[#This Row],[Away Differential]]</f>
        <v>1.3807569529269608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0.74459499770436133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-0.81978323318233992</v>
      </c>
      <c r="H936" t="s">
        <v>30</v>
      </c>
      <c r="I936">
        <f>VLOOKUP(Table4[[#This Row],[Visitor]],'NHL Model'!$A$6:$B$38,2,FALSE)</f>
        <v>-0.22994539344581519</v>
      </c>
      <c r="J936">
        <f>($B$1+Table4[[#This Row],[Home Differential]])-Table4[[#This Row],[Away Differential]]</f>
        <v>-0.54120859029510249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0.59696966365281656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1.5255226246883613</v>
      </c>
      <c r="H937" t="s">
        <v>10</v>
      </c>
      <c r="I937">
        <f>VLOOKUP(Table4[[#This Row],[Visitor]],'NHL Model'!$A$6:$B$38,2,FALSE)</f>
        <v>-0.35229536402491796</v>
      </c>
      <c r="J937">
        <f>($B$1+Table4[[#This Row],[Home Differential]])-Table4[[#This Row],[Away Differential]]</f>
        <v>1.9264472381547015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0.87337305868239112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0.17994412141822874</v>
      </c>
      <c r="H938" t="s">
        <v>29</v>
      </c>
      <c r="I938">
        <f>VLOOKUP(Table4[[#This Row],[Visitor]],'NHL Model'!$A$6:$B$38,2,FALSE)</f>
        <v>-1.4761804210410974</v>
      </c>
      <c r="J938">
        <f>($B$1+Table4[[#This Row],[Home Differential]])-Table4[[#This Row],[Away Differential]]</f>
        <v>1.7047537919007483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0.76179055593297973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-0.43202172705875852</v>
      </c>
      <c r="H939" t="s">
        <v>16</v>
      </c>
      <c r="I939">
        <f>VLOOKUP(Table4[[#This Row],[Visitor]],'NHL Model'!$A$6:$B$38,2,FALSE)</f>
        <v>-1.1693700053921123</v>
      </c>
      <c r="J939">
        <f>($B$1+Table4[[#This Row],[Home Differential]])-Table4[[#This Row],[Away Differential]]</f>
        <v>0.78597752777477603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0.6334480708738276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-0.69003864116815428</v>
      </c>
      <c r="H940" t="s">
        <v>22</v>
      </c>
      <c r="I940">
        <f>VLOOKUP(Table4[[#This Row],[Visitor]],'NHL Model'!$A$6:$B$38,2,FALSE)</f>
        <v>0.24850541890141886</v>
      </c>
      <c r="J940">
        <f>($B$1+Table4[[#This Row],[Home Differential]])-Table4[[#This Row],[Away Differential]]</f>
        <v>-0.88991481062815092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0.58657482871131106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-0.40624923719383538</v>
      </c>
      <c r="H941" t="s">
        <v>14</v>
      </c>
      <c r="I941">
        <f>VLOOKUP(Table4[[#This Row],[Visitor]],'NHL Model'!$A$6:$B$38,2,FALSE)</f>
        <v>-0.39956044496834064</v>
      </c>
      <c r="J941">
        <f>($B$1+Table4[[#This Row],[Home Differential]])-Table4[[#This Row],[Away Differential]]</f>
        <v>4.1940457215927485E-2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0.52421724108256729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-0.28566683768028334</v>
      </c>
      <c r="H942" t="s">
        <v>21</v>
      </c>
      <c r="I942">
        <f>VLOOKUP(Table4[[#This Row],[Visitor]],'NHL Model'!$A$6:$B$38,2,FALSE)</f>
        <v>-0.29972363155607096</v>
      </c>
      <c r="J942">
        <f>($B$1+Table4[[#This Row],[Home Differential]])-Table4[[#This Row],[Away Differential]]</f>
        <v>6.2686043317209839E-2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0.57888157054330569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-0.75181957250890208</v>
      </c>
      <c r="H943" t="s">
        <v>38</v>
      </c>
      <c r="I943">
        <f>VLOOKUP(Table4[[#This Row],[Visitor]],'NHL Model'!$A$6:$B$38,2,FALSE)</f>
        <v>-1.0671109812312936</v>
      </c>
      <c r="J943">
        <f>($B$1+Table4[[#This Row],[Home Differential]])-Table4[[#This Row],[Away Differential]]</f>
        <v>0.36392065816381369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0.57969185096418985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-0.63428770456303318</v>
      </c>
      <c r="H944" t="s">
        <v>17</v>
      </c>
      <c r="I944">
        <f>VLOOKUP(Table4[[#This Row],[Visitor]],'NHL Model'!$A$6:$B$38,2,FALSE)</f>
        <v>-0.92247588734712094</v>
      </c>
      <c r="J944">
        <f>($B$1+Table4[[#This Row],[Home Differential]])-Table4[[#This Row],[Away Differential]]</f>
        <v>0.33681743222550997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0.58004559693616242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-1.4300915005812256</v>
      </c>
      <c r="H945" t="s">
        <v>24</v>
      </c>
      <c r="I945">
        <f>VLOOKUP(Table4[[#This Row],[Visitor]],'NHL Model'!$A$6:$B$38,2,FALSE)</f>
        <v>2.1114018573289962E-3</v>
      </c>
      <c r="J945">
        <f>($B$1+Table4[[#This Row],[Home Differential]])-Table4[[#This Row],[Away Differential]]</f>
        <v>-1.3835736529971323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0.64526793997594678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0.41634187791115029</v>
      </c>
      <c r="H946" t="s">
        <v>23</v>
      </c>
      <c r="I946">
        <f>VLOOKUP(Table4[[#This Row],[Visitor]],'NHL Model'!$A$6:$B$38,2,FALSE)</f>
        <v>-0.73453218371466944</v>
      </c>
      <c r="J946">
        <f>($B$1+Table4[[#This Row],[Home Differential]])-Table4[[#This Row],[Away Differential]]</f>
        <v>1.199503311067242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0.71485990203762362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-0.75971379218342783</v>
      </c>
      <c r="H947" t="s">
        <v>36</v>
      </c>
      <c r="I947">
        <f>VLOOKUP(Table4[[#This Row],[Visitor]],'NHL Model'!$A$6:$B$38,2,FALSE)</f>
        <v>-0.45205624035379666</v>
      </c>
      <c r="J947">
        <f>($B$1+Table4[[#This Row],[Home Differential]])-Table4[[#This Row],[Away Differential]]</f>
        <v>-0.25902830238820895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0.49162642341256396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0.12352843374450689</v>
      </c>
      <c r="H948" t="s">
        <v>16</v>
      </c>
      <c r="I948">
        <f>VLOOKUP(Table4[[#This Row],[Visitor]],'NHL Model'!$A$6:$B$38,2,FALSE)</f>
        <v>-1.1693700053921123</v>
      </c>
      <c r="J948">
        <f>($B$1+Table4[[#This Row],[Home Differential]])-Table4[[#This Row],[Away Differential]]</f>
        <v>1.3415276885780414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0.77933440391742892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-0.15703092434902144</v>
      </c>
      <c r="H949" t="s">
        <v>35</v>
      </c>
      <c r="I949">
        <f>VLOOKUP(Table4[[#This Row],[Visitor]],'NHL Model'!$A$6:$B$38,2,FALSE)</f>
        <v>-1.4300915005812256</v>
      </c>
      <c r="J949">
        <f>($B$1+Table4[[#This Row],[Home Differential]])-Table4[[#This Row],[Away Differential]]</f>
        <v>1.3216898256736265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0.69714108882023629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-0.22994539344581519</v>
      </c>
      <c r="H950" t="s">
        <v>11</v>
      </c>
      <c r="I950">
        <f>VLOOKUP(Table4[[#This Row],[Visitor]],'NHL Model'!$A$6:$B$38,2,FALSE)</f>
        <v>-0.479695961608754</v>
      </c>
      <c r="J950">
        <f>($B$1+Table4[[#This Row],[Home Differential]])-Table4[[#This Row],[Away Differential]]</f>
        <v>0.29837981760436105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0.57547559231337475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-0.39956044496834064</v>
      </c>
      <c r="H951" t="s">
        <v>20</v>
      </c>
      <c r="I951">
        <f>VLOOKUP(Table4[[#This Row],[Visitor]],'NHL Model'!$A$6:$B$38,2,FALSE)</f>
        <v>-0.32012591315776179</v>
      </c>
      <c r="J951">
        <f>($B$1+Table4[[#This Row],[Home Differential]])-Table4[[#This Row],[Away Differential]]</f>
        <v>-3.0805282369156639E-2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0.46366256554213614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-0.63428770456303318</v>
      </c>
      <c r="H952" t="s">
        <v>40</v>
      </c>
      <c r="I952">
        <f>VLOOKUP(Table4[[#This Row],[Visitor]],'NHL Model'!$A$6:$B$38,2,FALSE)</f>
        <v>-0.24840457265646038</v>
      </c>
      <c r="J952">
        <f>($B$1+Table4[[#This Row],[Home Differential]])-Table4[[#This Row],[Away Differential]]</f>
        <v>-0.33725388246515059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0.53938422152177379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-0.38947416486586689</v>
      </c>
      <c r="H953" t="s">
        <v>10</v>
      </c>
      <c r="I953">
        <f>VLOOKUP(Table4[[#This Row],[Visitor]],'NHL Model'!$A$6:$B$38,2,FALSE)</f>
        <v>-0.35229536402491796</v>
      </c>
      <c r="J953">
        <f>($B$1+Table4[[#This Row],[Home Differential]])-Table4[[#This Row],[Away Differential]]</f>
        <v>1.1450448600473284E-2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0.58179256793697787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-0.43202172705875852</v>
      </c>
      <c r="H954" t="s">
        <v>12</v>
      </c>
      <c r="I954">
        <f>VLOOKUP(Table4[[#This Row],[Visitor]],'NHL Model'!$A$6:$B$38,2,FALSE)</f>
        <v>1.5255226246883613</v>
      </c>
      <c r="J954">
        <f>($B$1+Table4[[#This Row],[Home Differential]])-Table4[[#This Row],[Away Differential]]</f>
        <v>-1.9089151023056976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0.75958186381432768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-1.4761804210410974</v>
      </c>
      <c r="H955" t="s">
        <v>26</v>
      </c>
      <c r="I955">
        <f>VLOOKUP(Table4[[#This Row],[Visitor]],'NHL Model'!$A$6:$B$38,2,FALSE)</f>
        <v>-0.97739270546148105</v>
      </c>
      <c r="J955">
        <f>($B$1+Table4[[#This Row],[Home Differential]])-Table4[[#This Row],[Away Differential]]</f>
        <v>-0.4501584661381941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0.51352117428501054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-0.40624923719383538</v>
      </c>
      <c r="H956" t="s">
        <v>28</v>
      </c>
      <c r="I956">
        <f>VLOOKUP(Table4[[#This Row],[Visitor]],'NHL Model'!$A$6:$B$38,2,FALSE)</f>
        <v>-0.81978323318233992</v>
      </c>
      <c r="J956">
        <f>($B$1+Table4[[#This Row],[Home Differential]])-Table4[[#This Row],[Away Differential]]</f>
        <v>0.46216324542992676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0.59494847141048246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-0.75181957250890208</v>
      </c>
      <c r="H957" t="s">
        <v>25</v>
      </c>
      <c r="I957">
        <f>VLOOKUP(Table4[[#This Row],[Visitor]],'NHL Model'!$A$6:$B$38,2,FALSE)</f>
        <v>0.35473499802405739</v>
      </c>
      <c r="J957">
        <f>($B$1+Table4[[#This Row],[Home Differential]])-Table4[[#This Row],[Away Differential]]</f>
        <v>-1.0579253210915374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0.65840422122580899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-0.75971379218342783</v>
      </c>
      <c r="H958" t="s">
        <v>27</v>
      </c>
      <c r="I958">
        <f>VLOOKUP(Table4[[#This Row],[Visitor]],'NHL Model'!$A$6:$B$38,2,FALSE)</f>
        <v>-0.28566683768028334</v>
      </c>
      <c r="J958">
        <f>($B$1+Table4[[#This Row],[Home Differential]])-Table4[[#This Row],[Away Differential]]</f>
        <v>-0.42541770506172227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0.55309220720433672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-1.0671109812312936</v>
      </c>
      <c r="H959" t="s">
        <v>39</v>
      </c>
      <c r="I959">
        <f>VLOOKUP(Table4[[#This Row],[Visitor]],'NHL Model'!$A$6:$B$38,2,FALSE)</f>
        <v>0.17994412141822874</v>
      </c>
      <c r="J959">
        <f>($B$1+Table4[[#This Row],[Home Differential]])-Table4[[#This Row],[Away Differential]]</f>
        <v>-1.1984258532081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0.70428348568315935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0.12352843374450689</v>
      </c>
      <c r="H960" t="s">
        <v>12</v>
      </c>
      <c r="I960">
        <f>VLOOKUP(Table4[[#This Row],[Visitor]],'NHL Model'!$A$6:$B$38,2,FALSE)</f>
        <v>1.5255226246883613</v>
      </c>
      <c r="J960">
        <f>($B$1+Table4[[#This Row],[Home Differential]])-Table4[[#This Row],[Away Differential]]</f>
        <v>-1.3533649415024323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0.61161129775878442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-0.29972363155607096</v>
      </c>
      <c r="H961" t="s">
        <v>14</v>
      </c>
      <c r="I961">
        <f>VLOOKUP(Table4[[#This Row],[Visitor]],'NHL Model'!$A$6:$B$38,2,FALSE)</f>
        <v>-0.39956044496834064</v>
      </c>
      <c r="J961">
        <f>($B$1+Table4[[#This Row],[Home Differential]])-Table4[[#This Row],[Away Differential]]</f>
        <v>0.1484660628536919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0.58015173516244045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-0.73453218371466944</v>
      </c>
      <c r="H962" t="s">
        <v>20</v>
      </c>
      <c r="I962">
        <f>VLOOKUP(Table4[[#This Row],[Visitor]],'NHL Model'!$A$6:$B$38,2,FALSE)</f>
        <v>-0.32012591315776179</v>
      </c>
      <c r="J962">
        <f>($B$1+Table4[[#This Row],[Home Differential]])-Table4[[#This Row],[Away Differential]]</f>
        <v>-0.36577702111548543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0.50348872045997239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-0.81978323318233992</v>
      </c>
      <c r="H963" t="s">
        <v>29</v>
      </c>
      <c r="I963">
        <f>VLOOKUP(Table4[[#This Row],[Visitor]],'NHL Model'!$A$6:$B$38,2,FALSE)</f>
        <v>-1.4761804210410974</v>
      </c>
      <c r="J963">
        <f>($B$1+Table4[[#This Row],[Home Differential]])-Table4[[#This Row],[Away Differential]]</f>
        <v>0.70502643730017966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0.62382346587856696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-1.1693700053921123</v>
      </c>
      <c r="H964" t="s">
        <v>39</v>
      </c>
      <c r="I964">
        <f>VLOOKUP(Table4[[#This Row],[Visitor]],'NHL Model'!$A$6:$B$38,2,FALSE)</f>
        <v>0.17994412141822874</v>
      </c>
      <c r="J964">
        <f>($B$1+Table4[[#This Row],[Home Differential]])-Table4[[#This Row],[Away Differential]]</f>
        <v>-1.3006848773689188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0.71644147773710887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-0.92247588734712094</v>
      </c>
      <c r="H965" t="s">
        <v>36</v>
      </c>
      <c r="I965">
        <f>VLOOKUP(Table4[[#This Row],[Visitor]],'NHL Model'!$A$6:$B$38,2,FALSE)</f>
        <v>-0.45205624035379666</v>
      </c>
      <c r="J965">
        <f>($B$1+Table4[[#This Row],[Home Differential]])-Table4[[#This Row],[Away Differential]]</f>
        <v>-0.42179039755190206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0.50392989162539581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-0.15703092434902144</v>
      </c>
      <c r="H966" t="s">
        <v>37</v>
      </c>
      <c r="I966">
        <f>VLOOKUP(Table4[[#This Row],[Visitor]],'NHL Model'!$A$6:$B$38,2,FALSE)</f>
        <v>0.41634187791115029</v>
      </c>
      <c r="J966">
        <f>($B$1+Table4[[#This Row],[Home Differential]])-Table4[[#This Row],[Away Differential]]</f>
        <v>-0.52474355281874951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0.61487508699515603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2.1114018573289962E-3</v>
      </c>
      <c r="H967" t="s">
        <v>11</v>
      </c>
      <c r="I967">
        <f>VLOOKUP(Table4[[#This Row],[Visitor]],'NHL Model'!$A$6:$B$38,2,FALSE)</f>
        <v>-0.479695961608754</v>
      </c>
      <c r="J967">
        <f>($B$1+Table4[[#This Row],[Home Differential]])-Table4[[#This Row],[Away Differential]]</f>
        <v>0.53043661290750521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0.7031795682696631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-0.63428770456303318</v>
      </c>
      <c r="H968" t="s">
        <v>18</v>
      </c>
      <c r="I968">
        <f>VLOOKUP(Table4[[#This Row],[Visitor]],'NHL Model'!$A$6:$B$38,2,FALSE)</f>
        <v>-0.69003864116815428</v>
      </c>
      <c r="J968">
        <f>($B$1+Table4[[#This Row],[Home Differential]])-Table4[[#This Row],[Away Differential]]</f>
        <v>0.10438018604654331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0.49312235180567843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-0.24840457265646038</v>
      </c>
      <c r="H969" t="s">
        <v>10</v>
      </c>
      <c r="I969">
        <f>VLOOKUP(Table4[[#This Row],[Visitor]],'NHL Model'!$A$6:$B$38,2,FALSE)</f>
        <v>-0.35229536402491796</v>
      </c>
      <c r="J969">
        <f>($B$1+Table4[[#This Row],[Home Differential]])-Table4[[#This Row],[Away Differential]]</f>
        <v>0.1525200408098798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0.56062920832460161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0.24850541890141886</v>
      </c>
      <c r="H970" t="s">
        <v>55</v>
      </c>
      <c r="I970">
        <f>VLOOKUP(Table4[[#This Row],[Visitor]],'NHL Model'!$A$6:$B$38,2,FALSE)</f>
        <v>-0.38947416486586689</v>
      </c>
      <c r="J970">
        <f>($B$1+Table4[[#This Row],[Home Differential]])-Table4[[#This Row],[Away Differential]]</f>
        <v>0.68660883320870791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0.64767145773158508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0.12352843374450689</v>
      </c>
      <c r="H971" t="s">
        <v>30</v>
      </c>
      <c r="I971">
        <f>VLOOKUP(Table4[[#This Row],[Visitor]],'NHL Model'!$A$6:$B$38,2,FALSE)</f>
        <v>-0.22994539344581519</v>
      </c>
      <c r="J971">
        <f>($B$1+Table4[[#This Row],[Home Differential]])-Table4[[#This Row],[Away Differential]]</f>
        <v>0.40210307663174427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0.59710344786476677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-0.97739270546148105</v>
      </c>
      <c r="H972" t="s">
        <v>20</v>
      </c>
      <c r="I972">
        <f>VLOOKUP(Table4[[#This Row],[Visitor]],'NHL Model'!$A$6:$B$38,2,FALSE)</f>
        <v>-0.32012591315776179</v>
      </c>
      <c r="J972">
        <f>($B$1+Table4[[#This Row],[Home Differential]])-Table4[[#This Row],[Away Differential]]</f>
        <v>-0.60863754286229699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0.53236339746620109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2.1114018573289962E-3</v>
      </c>
      <c r="H973" t="s">
        <v>19</v>
      </c>
      <c r="I973">
        <f>VLOOKUP(Table4[[#This Row],[Visitor]],'NHL Model'!$A$6:$B$38,2,FALSE)</f>
        <v>-0.75971379218342783</v>
      </c>
      <c r="J973">
        <f>($B$1+Table4[[#This Row],[Home Differential]])-Table4[[#This Row],[Away Differential]]</f>
        <v>0.81045444348217899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0.73647202912609588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-0.75181957250890208</v>
      </c>
      <c r="H974" t="s">
        <v>35</v>
      </c>
      <c r="I974">
        <f>VLOOKUP(Table4[[#This Row],[Visitor]],'NHL Model'!$A$6:$B$38,2,FALSE)</f>
        <v>-1.4300915005812256</v>
      </c>
      <c r="J974">
        <f>($B$1+Table4[[#This Row],[Home Differential]])-Table4[[#This Row],[Away Differential]]</f>
        <v>0.72690117751374572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0.62642424287483967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-1.0671109812312936</v>
      </c>
      <c r="H975" t="s">
        <v>25</v>
      </c>
      <c r="I975">
        <f>VLOOKUP(Table4[[#This Row],[Visitor]],'NHL Model'!$A$6:$B$38,2,FALSE)</f>
        <v>0.35473499802405739</v>
      </c>
      <c r="J975">
        <f>($B$1+Table4[[#This Row],[Home Differential]])-Table4[[#This Row],[Away Differential]]</f>
        <v>-1.3732167298139286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0.69589050151630827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-0.81978323318233992</v>
      </c>
      <c r="H976" t="s">
        <v>11</v>
      </c>
      <c r="I976">
        <f>VLOOKUP(Table4[[#This Row],[Visitor]],'NHL Model'!$A$6:$B$38,2,FALSE)</f>
        <v>-0.479695961608754</v>
      </c>
      <c r="J976">
        <f>($B$1+Table4[[#This Row],[Home Differential]])-Table4[[#This Row],[Away Differential]]</f>
        <v>-0.29145802213216371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0.49465263184567365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-1.1693700053921123</v>
      </c>
      <c r="H977" t="s">
        <v>36</v>
      </c>
      <c r="I977">
        <f>VLOOKUP(Table4[[#This Row],[Visitor]],'NHL Model'!$A$6:$B$38,2,FALSE)</f>
        <v>-0.45205624035379666</v>
      </c>
      <c r="J977">
        <f>($B$1+Table4[[#This Row],[Home Differential]])-Table4[[#This Row],[Away Differential]]</f>
        <v>-0.66868451559689346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0.54033211981359219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-0.43202172705875852</v>
      </c>
      <c r="H978" t="s">
        <v>30</v>
      </c>
      <c r="I978">
        <f>VLOOKUP(Table4[[#This Row],[Visitor]],'NHL Model'!$A$6:$B$38,2,FALSE)</f>
        <v>-0.22994539344581519</v>
      </c>
      <c r="J978">
        <f>($B$1+Table4[[#This Row],[Home Differential]])-Table4[[#This Row],[Away Differential]]</f>
        <v>-0.15344708417152111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0.55086711819077638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-1.4761804210410974</v>
      </c>
      <c r="H979" t="s">
        <v>21</v>
      </c>
      <c r="I979">
        <f>VLOOKUP(Table4[[#This Row],[Visitor]],'NHL Model'!$A$6:$B$38,2,FALSE)</f>
        <v>-0.29972363155607096</v>
      </c>
      <c r="J979">
        <f>($B$1+Table4[[#This Row],[Home Differential]])-Table4[[#This Row],[Away Differential]]</f>
        <v>-1.1278275400436042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0.5949215048449854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-0.40624923719383538</v>
      </c>
      <c r="H980" t="s">
        <v>19</v>
      </c>
      <c r="I980">
        <f>VLOOKUP(Table4[[#This Row],[Visitor]],'NHL Model'!$A$6:$B$38,2,FALSE)</f>
        <v>-0.75971379218342783</v>
      </c>
      <c r="J980">
        <f>($B$1+Table4[[#This Row],[Home Differential]])-Table4[[#This Row],[Away Differential]]</f>
        <v>0.40209380443101467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0.58780657080715371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-0.28566683768028334</v>
      </c>
      <c r="H981" t="s">
        <v>55</v>
      </c>
      <c r="I981">
        <f>VLOOKUP(Table4[[#This Row],[Visitor]],'NHL Model'!$A$6:$B$38,2,FALSE)</f>
        <v>-0.38947416486586689</v>
      </c>
      <c r="J981">
        <f>($B$1+Table4[[#This Row],[Home Differential]])-Table4[[#This Row],[Away Differential]]</f>
        <v>0.15243657662700577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0.59036987153176868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-0.39956044496834064</v>
      </c>
      <c r="H982" t="s">
        <v>23</v>
      </c>
      <c r="I982">
        <f>VLOOKUP(Table4[[#This Row],[Visitor]],'NHL Model'!$A$6:$B$38,2,FALSE)</f>
        <v>-0.73453218371466944</v>
      </c>
      <c r="J982">
        <f>($B$1+Table4[[#This Row],[Home Differential]])-Table4[[#This Row],[Away Differential]]</f>
        <v>0.38360098818775101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0.58560788453192425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-0.24840457265646038</v>
      </c>
      <c r="H983" t="s">
        <v>37</v>
      </c>
      <c r="I983">
        <f>VLOOKUP(Table4[[#This Row],[Visitor]],'NHL Model'!$A$6:$B$38,2,FALSE)</f>
        <v>0.41634187791115029</v>
      </c>
      <c r="J983">
        <f>($B$1+Table4[[#This Row],[Home Differential]])-Table4[[#This Row],[Away Differential]]</f>
        <v>-0.6161172011261884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0.62325268451431171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0.12352843374450689</v>
      </c>
      <c r="H984" t="s">
        <v>18</v>
      </c>
      <c r="I984">
        <f>VLOOKUP(Table4[[#This Row],[Visitor]],'NHL Model'!$A$6:$B$38,2,FALSE)</f>
        <v>-0.69003864116815428</v>
      </c>
      <c r="J984">
        <f>($B$1+Table4[[#This Row],[Home Differential]])-Table4[[#This Row],[Away Differential]]</f>
        <v>0.86219632435408333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0.66501003416535542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-0.35229536402491796</v>
      </c>
      <c r="H985" t="s">
        <v>38</v>
      </c>
      <c r="I985">
        <f>VLOOKUP(Table4[[#This Row],[Visitor]],'NHL Model'!$A$6:$B$38,2,FALSE)</f>
        <v>-1.0671109812312936</v>
      </c>
      <c r="J985">
        <f>($B$1+Table4[[#This Row],[Home Differential]])-Table4[[#This Row],[Away Differential]]</f>
        <v>0.76344486664779776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0.62719291203895333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0.17994412141822874</v>
      </c>
      <c r="H986" t="s">
        <v>12</v>
      </c>
      <c r="I986">
        <f>VLOOKUP(Table4[[#This Row],[Visitor]],'NHL Model'!$A$6:$B$38,2,FALSE)</f>
        <v>1.5255226246883613</v>
      </c>
      <c r="J986">
        <f>($B$1+Table4[[#This Row],[Home Differential]])-Table4[[#This Row],[Away Differential]]</f>
        <v>-1.2969492538287104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0.66756856538122211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-0.97739270546148105</v>
      </c>
      <c r="H987" t="s">
        <v>11</v>
      </c>
      <c r="I987">
        <f>VLOOKUP(Table4[[#This Row],[Visitor]],'NHL Model'!$A$6:$B$38,2,FALSE)</f>
        <v>-0.479695961608754</v>
      </c>
      <c r="J987">
        <f>($B$1+Table4[[#This Row],[Home Differential]])-Table4[[#This Row],[Away Differential]]</f>
        <v>-0.44906749441130484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0.51339146421105419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-0.92247588734712094</v>
      </c>
      <c r="H988" t="s">
        <v>25</v>
      </c>
      <c r="I988">
        <f>VLOOKUP(Table4[[#This Row],[Visitor]],'NHL Model'!$A$6:$B$38,2,FALSE)</f>
        <v>0.35473499802405739</v>
      </c>
      <c r="J988">
        <f>($B$1+Table4[[#This Row],[Home Differential]])-Table4[[#This Row],[Away Differential]]</f>
        <v>-1.2285816359297561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0.67161852201219507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-0.63428770456303318</v>
      </c>
      <c r="H989" t="s">
        <v>35</v>
      </c>
      <c r="I989">
        <f>VLOOKUP(Table4[[#This Row],[Visitor]],'NHL Model'!$A$6:$B$38,2,FALSE)</f>
        <v>-1.4300915005812256</v>
      </c>
      <c r="J989">
        <f>($B$1+Table4[[#This Row],[Home Differential]])-Table4[[#This Row],[Away Differential]]</f>
        <v>0.84443304545961462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0.64039808555814615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-0.32012591315776179</v>
      </c>
      <c r="H990" t="s">
        <v>34</v>
      </c>
      <c r="I990">
        <f>VLOOKUP(Table4[[#This Row],[Visitor]],'NHL Model'!$A$6:$B$38,2,FALSE)</f>
        <v>-0.15703092434902144</v>
      </c>
      <c r="J990">
        <f>($B$1+Table4[[#This Row],[Home Differential]])-Table4[[#This Row],[Away Differential]]</f>
        <v>-0.11446573936731813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0.51612186097722001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-0.29972363155607096</v>
      </c>
      <c r="H991" t="s">
        <v>22</v>
      </c>
      <c r="I991">
        <f>VLOOKUP(Table4[[#This Row],[Visitor]],'NHL Model'!$A$6:$B$38,2,FALSE)</f>
        <v>0.24850541890141886</v>
      </c>
      <c r="J991">
        <f>($B$1+Table4[[#This Row],[Home Differential]])-Table4[[#This Row],[Away Differential]]</f>
        <v>-0.4995998010160676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0.49689945604561586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-0.73453218371466944</v>
      </c>
      <c r="H992" t="s">
        <v>29</v>
      </c>
      <c r="I992">
        <f>VLOOKUP(Table4[[#This Row],[Visitor]],'NHL Model'!$A$6:$B$38,2,FALSE)</f>
        <v>-1.4761804210410974</v>
      </c>
      <c r="J992">
        <f>($B$1+Table4[[#This Row],[Home Differential]])-Table4[[#This Row],[Away Differential]]</f>
        <v>0.79027748676785015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0.63395931051941512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-0.81978323318233992</v>
      </c>
      <c r="H993" t="s">
        <v>55</v>
      </c>
      <c r="I993">
        <f>VLOOKUP(Table4[[#This Row],[Visitor]],'NHL Model'!$A$6:$B$38,2,FALSE)</f>
        <v>-0.38947416486586689</v>
      </c>
      <c r="J993">
        <f>($B$1+Table4[[#This Row],[Home Differential]])-Table4[[#This Row],[Away Differential]]</f>
        <v>-0.38167981887505081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0.50537946888421215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-1.1693700053921123</v>
      </c>
      <c r="H994" t="s">
        <v>25</v>
      </c>
      <c r="I994">
        <f>VLOOKUP(Table4[[#This Row],[Visitor]],'NHL Model'!$A$6:$B$38,2,FALSE)</f>
        <v>0.35473499802405739</v>
      </c>
      <c r="J994">
        <f>($B$1+Table4[[#This Row],[Home Differential]])-Table4[[#This Row],[Away Differential]]</f>
        <v>-1.4754757539747474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0.70804849357025779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-0.43202172705875852</v>
      </c>
      <c r="H995" t="s">
        <v>18</v>
      </c>
      <c r="I995">
        <f>VLOOKUP(Table4[[#This Row],[Visitor]],'NHL Model'!$A$6:$B$38,2,FALSE)</f>
        <v>-0.69003864116815428</v>
      </c>
      <c r="J995">
        <f>($B$1+Table4[[#This Row],[Home Differential]])-Table4[[#This Row],[Away Differential]]</f>
        <v>0.30664616355081797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0.51717057803766264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2.1114018573289962E-3</v>
      </c>
      <c r="H996" t="s">
        <v>15</v>
      </c>
      <c r="I996">
        <f>VLOOKUP(Table4[[#This Row],[Visitor]],'NHL Model'!$A$6:$B$38,2,FALSE)</f>
        <v>-0.40624923719383538</v>
      </c>
      <c r="J996">
        <f>($B$1+Table4[[#This Row],[Home Differential]])-Table4[[#This Row],[Away Differential]]</f>
        <v>0.45698988849258659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0.59772961633958965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-0.39956044496834064</v>
      </c>
      <c r="H997" t="s">
        <v>27</v>
      </c>
      <c r="I997">
        <f>VLOOKUP(Table4[[#This Row],[Visitor]],'NHL Model'!$A$6:$B$38,2,FALSE)</f>
        <v>-0.28566683768028334</v>
      </c>
      <c r="J997">
        <f>($B$1+Table4[[#This Row],[Home Differential]])-Table4[[#This Row],[Away Differential]]</f>
        <v>-6.526435784663509E-2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0.51027210824898106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-0.75181957250890208</v>
      </c>
      <c r="H998" t="s">
        <v>36</v>
      </c>
      <c r="I998">
        <f>VLOOKUP(Table4[[#This Row],[Visitor]],'NHL Model'!$A$6:$B$38,2,FALSE)</f>
        <v>-0.45205624035379666</v>
      </c>
      <c r="J998">
        <f>($B$1+Table4[[#This Row],[Home Differential]])-Table4[[#This Row],[Away Differential]]</f>
        <v>-0.2511340827136832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0.49068784746914335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-0.63428770456303318</v>
      </c>
      <c r="H999" t="s">
        <v>30</v>
      </c>
      <c r="I999">
        <f>VLOOKUP(Table4[[#This Row],[Visitor]],'NHL Model'!$A$6:$B$38,2,FALSE)</f>
        <v>-0.22994539344581519</v>
      </c>
      <c r="J999">
        <f>($B$1+Table4[[#This Row],[Home Differential]])-Table4[[#This Row],[Away Differential]]</f>
        <v>-0.35571306167579575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0.5749153444227606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-0.75971379218342783</v>
      </c>
      <c r="H1000" t="s">
        <v>37</v>
      </c>
      <c r="I1000">
        <f>VLOOKUP(Table4[[#This Row],[Visitor]],'NHL Model'!$A$6:$B$38,2,FALSE)</f>
        <v>0.41634187791115029</v>
      </c>
      <c r="J1000">
        <f>($B$1+Table4[[#This Row],[Home Differential]])-Table4[[#This Row],[Away Differential]]</f>
        <v>-1.1274264206531559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0.68653050888397338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-0.24840457265646038</v>
      </c>
      <c r="H1001" t="s">
        <v>38</v>
      </c>
      <c r="I1001">
        <f>VLOOKUP(Table4[[#This Row],[Visitor]],'NHL Model'!$A$6:$B$38,2,FALSE)</f>
        <v>-1.0671109812312936</v>
      </c>
      <c r="J1001">
        <f>($B$1+Table4[[#This Row],[Home Differential]])-Table4[[#This Row],[Away Differential]]</f>
        <v>0.86733565801625545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0.64204322617414711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0.12352843374450689</v>
      </c>
      <c r="H1002" t="s">
        <v>35</v>
      </c>
      <c r="I1002">
        <f>VLOOKUP(Table4[[#This Row],[Visitor]],'NHL Model'!$A$6:$B$38,2,FALSE)</f>
        <v>-1.4300915005812256</v>
      </c>
      <c r="J1002">
        <f>($B$1+Table4[[#This Row],[Home Differential]])-Table4[[#This Row],[Away Differential]]</f>
        <v>1.6022491837671546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0.81033264483373169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-0.73453218371466944</v>
      </c>
      <c r="H1003" t="s">
        <v>37</v>
      </c>
      <c r="I1003">
        <f>VLOOKUP(Table4[[#This Row],[Visitor]],'NHL Model'!$A$6:$B$38,2,FALSE)</f>
        <v>0.41634187791115029</v>
      </c>
      <c r="J1003">
        <f>($B$1+Table4[[#This Row],[Home Differential]])-Table4[[#This Row],[Away Differential]]</f>
        <v>-1.1022448121843975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0.68353656484645398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1.5255226246883613</v>
      </c>
      <c r="H1004" t="s">
        <v>34</v>
      </c>
      <c r="I1004">
        <f>VLOOKUP(Table4[[#This Row],[Visitor]],'NHL Model'!$A$6:$B$38,2,FALSE)</f>
        <v>-0.15703092434902144</v>
      </c>
      <c r="J1004">
        <f>($B$1+Table4[[#This Row],[Home Differential]])-Table4[[#This Row],[Away Differential]]</f>
        <v>1.7311827984788049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0.81022298130014569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0.17994412141822874</v>
      </c>
      <c r="H1005" t="s">
        <v>10</v>
      </c>
      <c r="I1005">
        <f>VLOOKUP(Table4[[#This Row],[Visitor]],'NHL Model'!$A$6:$B$38,2,FALSE)</f>
        <v>-0.35229536402491796</v>
      </c>
      <c r="J1005">
        <f>($B$1+Table4[[#This Row],[Home Differential]])-Table4[[#This Row],[Away Differential]]</f>
        <v>0.58086873488456892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0.62816728204698791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2.1114018573289962E-3</v>
      </c>
      <c r="H1006" t="s">
        <v>26</v>
      </c>
      <c r="I1006">
        <f>VLOOKUP(Table4[[#This Row],[Visitor]],'NHL Model'!$A$6:$B$38,2,FALSE)</f>
        <v>-0.97739270546148105</v>
      </c>
      <c r="J1006">
        <f>($B$1+Table4[[#This Row],[Home Differential]])-Table4[[#This Row],[Away Differential]]</f>
        <v>1.0281333567602322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0.76235276209480518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-0.39956044496834064</v>
      </c>
      <c r="H1007" t="s">
        <v>21</v>
      </c>
      <c r="I1007">
        <f>VLOOKUP(Table4[[#This Row],[Visitor]],'NHL Model'!$A$6:$B$38,2,FALSE)</f>
        <v>-0.29972363155607096</v>
      </c>
      <c r="J1007">
        <f>($B$1+Table4[[#This Row],[Home Differential]])-Table4[[#This Row],[Away Differential]]</f>
        <v>-5.1207563970847469E-2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0.46691776902182197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-0.32012591315776179</v>
      </c>
      <c r="H1008" t="s">
        <v>17</v>
      </c>
      <c r="I1008">
        <f>VLOOKUP(Table4[[#This Row],[Visitor]],'NHL Model'!$A$6:$B$38,2,FALSE)</f>
        <v>-0.92247588734712094</v>
      </c>
      <c r="J1008">
        <f>($B$1+Table4[[#This Row],[Home Differential]])-Table4[[#This Row],[Away Differential]]</f>
        <v>0.65097922363078142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0.61739757242101501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-0.35229536402491796</v>
      </c>
      <c r="H1009" t="s">
        <v>55</v>
      </c>
      <c r="I1009">
        <f>VLOOKUP(Table4[[#This Row],[Visitor]],'NHL Model'!$A$6:$B$38,2,FALSE)</f>
        <v>-0.38947416486586689</v>
      </c>
      <c r="J1009">
        <f>($B$1+Table4[[#This Row],[Home Differential]])-Table4[[#This Row],[Away Differential]]</f>
        <v>8.5808050282371151E-2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0.55020206873730082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-0.28566683768028334</v>
      </c>
      <c r="H1010" t="s">
        <v>15</v>
      </c>
      <c r="I1010">
        <f>VLOOKUP(Table4[[#This Row],[Visitor]],'NHL Model'!$A$6:$B$38,2,FALSE)</f>
        <v>-0.40624923719383538</v>
      </c>
      <c r="J1010">
        <f>($B$1+Table4[[#This Row],[Home Differential]])-Table4[[#This Row],[Away Differential]]</f>
        <v>0.16921164895497426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0.49244298567260902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-1.0671109812312936</v>
      </c>
      <c r="H1011" t="s">
        <v>36</v>
      </c>
      <c r="I1011">
        <f>VLOOKUP(Table4[[#This Row],[Visitor]],'NHL Model'!$A$6:$B$38,2,FALSE)</f>
        <v>-0.45205624035379666</v>
      </c>
      <c r="J1011">
        <f>($B$1+Table4[[#This Row],[Home Differential]])-Table4[[#This Row],[Away Differential]]</f>
        <v>-0.56642549143607468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0.52817412775964268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0.24850541890141886</v>
      </c>
      <c r="H1012" t="s">
        <v>16</v>
      </c>
      <c r="I1012">
        <f>VLOOKUP(Table4[[#This Row],[Visitor]],'NHL Model'!$A$6:$B$38,2,FALSE)</f>
        <v>-1.1693700053921123</v>
      </c>
      <c r="J1012">
        <f>($B$1+Table4[[#This Row],[Home Differential]])-Table4[[#This Row],[Away Differential]]</f>
        <v>1.4665046737349534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0.74039645202758453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-0.29972363155607096</v>
      </c>
      <c r="H1013" t="s">
        <v>13</v>
      </c>
      <c r="I1013">
        <f>VLOOKUP(Table4[[#This Row],[Visitor]],'NHL Model'!$A$6:$B$38,2,FALSE)</f>
        <v>-0.43202172705875852</v>
      </c>
      <c r="J1013">
        <f>($B$1+Table4[[#This Row],[Home Differential]])-Table4[[#This Row],[Away Differential]]</f>
        <v>0.18092734494410978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0.53875256856942944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-0.73453218371466944</v>
      </c>
      <c r="H1014" t="s">
        <v>33</v>
      </c>
      <c r="I1014">
        <f>VLOOKUP(Table4[[#This Row],[Visitor]],'NHL Model'!$A$6:$B$38,2,FALSE)</f>
        <v>-0.63428770456303318</v>
      </c>
      <c r="J1014">
        <f>($B$1+Table4[[#This Row],[Home Differential]])-Table4[[#This Row],[Away Differential]]</f>
        <v>-5.1615229710214039E-2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0.46613674497511987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0.35473499802405739</v>
      </c>
      <c r="H1015" t="s">
        <v>14</v>
      </c>
      <c r="I1015">
        <f>VLOOKUP(Table4[[#This Row],[Visitor]],'NHL Model'!$A$6:$B$38,2,FALSE)</f>
        <v>-0.39956044496834064</v>
      </c>
      <c r="J1015">
        <f>($B$1+Table4[[#This Row],[Home Differential]])-Table4[[#This Row],[Away Differential]]</f>
        <v>0.80292469243382025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0.6554629883341937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1.5255226246883613</v>
      </c>
      <c r="H1016" t="s">
        <v>17</v>
      </c>
      <c r="I1016">
        <f>VLOOKUP(Table4[[#This Row],[Visitor]],'NHL Model'!$A$6:$B$38,2,FALSE)</f>
        <v>-0.92247588734712094</v>
      </c>
      <c r="J1016">
        <f>($B$1+Table4[[#This Row],[Home Differential]])-Table4[[#This Row],[Away Differential]]</f>
        <v>2.4966277614769044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0.94116414439592244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0.17994412141822874</v>
      </c>
      <c r="H1017" t="s">
        <v>20</v>
      </c>
      <c r="I1017">
        <f>VLOOKUP(Table4[[#This Row],[Visitor]],'NHL Model'!$A$6:$B$38,2,FALSE)</f>
        <v>-0.32012591315776179</v>
      </c>
      <c r="J1017">
        <f>($B$1+Table4[[#This Row],[Home Differential]])-Table4[[#This Row],[Away Differential]]</f>
        <v>0.54869928401741275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0.62434252495359233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-0.479695961608754</v>
      </c>
      <c r="H1018" t="s">
        <v>26</v>
      </c>
      <c r="I1018">
        <f>VLOOKUP(Table4[[#This Row],[Visitor]],'NHL Model'!$A$6:$B$38,2,FALSE)</f>
        <v>-0.97739270546148105</v>
      </c>
      <c r="J1018">
        <f>($B$1+Table4[[#This Row],[Home Differential]])-Table4[[#This Row],[Away Differential]]</f>
        <v>0.54632599329414933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0.61897154393784504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-0.15703092434902144</v>
      </c>
      <c r="H1019" t="s">
        <v>55</v>
      </c>
      <c r="I1019">
        <f>VLOOKUP(Table4[[#This Row],[Visitor]],'NHL Model'!$A$6:$B$38,2,FALSE)</f>
        <v>-0.38947416486586689</v>
      </c>
      <c r="J1019">
        <f>($B$1+Table4[[#This Row],[Home Differential]])-Table4[[#This Row],[Away Differential]]</f>
        <v>0.28107248995826767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0.57341785360793407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-0.69003864116815428</v>
      </c>
      <c r="H1020" t="s">
        <v>19</v>
      </c>
      <c r="I1020">
        <f>VLOOKUP(Table4[[#This Row],[Visitor]],'NHL Model'!$A$6:$B$38,2,FALSE)</f>
        <v>-0.75971379218342783</v>
      </c>
      <c r="J1020">
        <f>($B$1+Table4[[#This Row],[Home Differential]])-Table4[[#This Row],[Away Differential]]</f>
        <v>0.11830440045669577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0.55406569222133151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-0.40624923719383538</v>
      </c>
      <c r="H1021" t="s">
        <v>16</v>
      </c>
      <c r="I1021">
        <f>VLOOKUP(Table4[[#This Row],[Visitor]],'NHL Model'!$A$6:$B$38,2,FALSE)</f>
        <v>-1.1693700053921123</v>
      </c>
      <c r="J1021">
        <f>($B$1+Table4[[#This Row],[Home Differential]])-Table4[[#This Row],[Away Differential]]</f>
        <v>0.81175001763969923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0.63651226720818188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-0.75181957250890208</v>
      </c>
      <c r="H1022" t="s">
        <v>29</v>
      </c>
      <c r="I1022">
        <f>VLOOKUP(Table4[[#This Row],[Visitor]],'NHL Model'!$A$6:$B$38,2,FALSE)</f>
        <v>-1.4761804210410974</v>
      </c>
      <c r="J1022">
        <f>($B$1+Table4[[#This Row],[Home Differential]])-Table4[[#This Row],[Away Differential]]</f>
        <v>0.77299009797361751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0.63190394242531633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-1.4300915005812256</v>
      </c>
      <c r="H1023" t="s">
        <v>30</v>
      </c>
      <c r="I1023">
        <f>VLOOKUP(Table4[[#This Row],[Visitor]],'NHL Model'!$A$6:$B$38,2,FALSE)</f>
        <v>-0.22994539344581519</v>
      </c>
      <c r="J1023">
        <f>($B$1+Table4[[#This Row],[Home Differential]])-Table4[[#This Row],[Away Differential]]</f>
        <v>-1.1515168576939883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0.66953170036681875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0.41634187791115029</v>
      </c>
      <c r="H1024" t="s">
        <v>28</v>
      </c>
      <c r="I1024">
        <f>VLOOKUP(Table4[[#This Row],[Visitor]],'NHL Model'!$A$6:$B$38,2,FALSE)</f>
        <v>-0.81978323318233992</v>
      </c>
      <c r="J1024">
        <f>($B$1+Table4[[#This Row],[Home Differential]])-Table4[[#This Row],[Away Differential]]</f>
        <v>1.2847543605349125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0.72499574667847178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-0.24840457265646038</v>
      </c>
      <c r="H1025" t="s">
        <v>31</v>
      </c>
      <c r="I1025">
        <f>VLOOKUP(Table4[[#This Row],[Visitor]],'NHL Model'!$A$6:$B$38,2,FALSE)</f>
        <v>0.12352843374450689</v>
      </c>
      <c r="J1025">
        <f>($B$1+Table4[[#This Row],[Home Differential]])-Table4[[#This Row],[Away Differential]]</f>
        <v>-0.32330375695954505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0.51669977058528271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-0.45205624035379666</v>
      </c>
      <c r="H1026" t="s">
        <v>18</v>
      </c>
      <c r="I1026">
        <f>VLOOKUP(Table4[[#This Row],[Visitor]],'NHL Model'!$A$6:$B$38,2,FALSE)</f>
        <v>-0.69003864116815428</v>
      </c>
      <c r="J1026">
        <f>($B$1+Table4[[#This Row],[Home Differential]])-Table4[[#This Row],[Away Differential]]</f>
        <v>0.28661165025577984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0.5172979034560059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-0.28566683768028334</v>
      </c>
      <c r="H1027" t="s">
        <v>22</v>
      </c>
      <c r="I1027">
        <f>VLOOKUP(Table4[[#This Row],[Visitor]],'NHL Model'!$A$6:$B$38,2,FALSE)</f>
        <v>0.24850541890141886</v>
      </c>
      <c r="J1027">
        <f>($B$1+Table4[[#This Row],[Home Differential]])-Table4[[#This Row],[Away Differential]]</f>
        <v>-0.48554300714027998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0.506004048613935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-0.29972363155607096</v>
      </c>
      <c r="H1028" t="s">
        <v>33</v>
      </c>
      <c r="I1028">
        <f>VLOOKUP(Table4[[#This Row],[Visitor]],'NHL Model'!$A$6:$B$38,2,FALSE)</f>
        <v>-0.63428770456303318</v>
      </c>
      <c r="J1028">
        <f>($B$1+Table4[[#This Row],[Home Differential]])-Table4[[#This Row],[Away Differential]]</f>
        <v>0.38319332244838444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0.62846096989521383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-0.73453218371466944</v>
      </c>
      <c r="H1029" t="s">
        <v>22</v>
      </c>
      <c r="I1029">
        <f>VLOOKUP(Table4[[#This Row],[Visitor]],'NHL Model'!$A$6:$B$38,2,FALSE)</f>
        <v>0.24850541890141886</v>
      </c>
      <c r="J1029">
        <f>($B$1+Table4[[#This Row],[Home Differential]])-Table4[[#This Row],[Away Differential]]</f>
        <v>-0.93440835317466608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0.59186484728103517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0.35473499802405739</v>
      </c>
      <c r="H1030" t="s">
        <v>35</v>
      </c>
      <c r="I1030">
        <f>VLOOKUP(Table4[[#This Row],[Visitor]],'NHL Model'!$A$6:$B$38,2,FALSE)</f>
        <v>-1.4300915005812256</v>
      </c>
      <c r="J1030">
        <f>($B$1+Table4[[#This Row],[Home Differential]])-Table4[[#This Row],[Away Differential]]</f>
        <v>1.8334557480467053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0.79841820205298297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0.17994412141822874</v>
      </c>
      <c r="H1031" t="s">
        <v>17</v>
      </c>
      <c r="I1031">
        <f>VLOOKUP(Table4[[#This Row],[Visitor]],'NHL Model'!$A$6:$B$38,2,FALSE)</f>
        <v>-0.92247588734712094</v>
      </c>
      <c r="J1031">
        <f>($B$1+Table4[[#This Row],[Home Differential]])-Table4[[#This Row],[Away Differential]]</f>
        <v>1.151049258206772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0.69595836776051923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-0.479695961608754</v>
      </c>
      <c r="H1032" t="s">
        <v>28</v>
      </c>
      <c r="I1032">
        <f>VLOOKUP(Table4[[#This Row],[Visitor]],'NHL Model'!$A$6:$B$38,2,FALSE)</f>
        <v>-0.81978323318233992</v>
      </c>
      <c r="J1032">
        <f>($B$1+Table4[[#This Row],[Home Differential]])-Table4[[#This Row],[Away Differential]]</f>
        <v>0.38871652101500814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0.60023271157246449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-0.15703092434902144</v>
      </c>
      <c r="H1033" t="s">
        <v>27</v>
      </c>
      <c r="I1033">
        <f>VLOOKUP(Table4[[#This Row],[Visitor]],'NHL Model'!$A$6:$B$38,2,FALSE)</f>
        <v>-0.28566683768028334</v>
      </c>
      <c r="J1033">
        <f>($B$1+Table4[[#This Row],[Home Differential]])-Table4[[#This Row],[Away Differential]]</f>
        <v>0.17726516277268412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0.51856321468448063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2.1114018573289962E-3</v>
      </c>
      <c r="H1034" t="s">
        <v>16</v>
      </c>
      <c r="I1034">
        <f>VLOOKUP(Table4[[#This Row],[Visitor]],'NHL Model'!$A$6:$B$38,2,FALSE)</f>
        <v>-1.1693700053921123</v>
      </c>
      <c r="J1034">
        <f>($B$1+Table4[[#This Row],[Home Differential]])-Table4[[#This Row],[Away Differential]]</f>
        <v>1.2201106566908635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0.78517772552712406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-0.75181957250890208</v>
      </c>
      <c r="H1035" t="s">
        <v>12</v>
      </c>
      <c r="I1035">
        <f>VLOOKUP(Table4[[#This Row],[Visitor]],'NHL Model'!$A$6:$B$38,2,FALSE)</f>
        <v>1.5255226246883613</v>
      </c>
      <c r="J1035">
        <f>($B$1+Table4[[#This Row],[Home Differential]])-Table4[[#This Row],[Away Differential]]</f>
        <v>-2.2287129477558412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0.79760393272961849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0.41634187791115029</v>
      </c>
      <c r="H1036" t="s">
        <v>26</v>
      </c>
      <c r="I1036">
        <f>VLOOKUP(Table4[[#This Row],[Visitor]],'NHL Model'!$A$6:$B$38,2,FALSE)</f>
        <v>-0.97739270546148105</v>
      </c>
      <c r="J1036">
        <f>($B$1+Table4[[#This Row],[Home Differential]])-Table4[[#This Row],[Away Differential]]</f>
        <v>1.4423638328140536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0.74373457904385232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-0.75971379218342783</v>
      </c>
      <c r="H1037" t="s">
        <v>31</v>
      </c>
      <c r="I1037">
        <f>VLOOKUP(Table4[[#This Row],[Visitor]],'NHL Model'!$A$6:$B$38,2,FALSE)</f>
        <v>0.12352843374450689</v>
      </c>
      <c r="J1037">
        <f>($B$1+Table4[[#This Row],[Home Differential]])-Table4[[#This Row],[Away Differential]]</f>
        <v>-0.83461297648651245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0.57999976831365385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-0.38947416486586689</v>
      </c>
      <c r="H1038" t="s">
        <v>10</v>
      </c>
      <c r="I1038">
        <f>VLOOKUP(Table4[[#This Row],[Visitor]],'NHL Model'!$A$6:$B$38,2,FALSE)</f>
        <v>-0.35229536402491796</v>
      </c>
      <c r="J1038">
        <f>($B$1+Table4[[#This Row],[Home Differential]])-Table4[[#This Row],[Away Differential]]</f>
        <v>1.1450448600473284E-2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0.58179256793697787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-1.0671109812312936</v>
      </c>
      <c r="H1039" t="s">
        <v>29</v>
      </c>
      <c r="I1039">
        <f>VLOOKUP(Table4[[#This Row],[Visitor]],'NHL Model'!$A$6:$B$38,2,FALSE)</f>
        <v>-1.4761804210410974</v>
      </c>
      <c r="J1039">
        <f>($B$1+Table4[[#This Row],[Home Differential]])-Table4[[#This Row],[Away Differential]]</f>
        <v>0.45769868925122603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0.59441766213481706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-0.32012591315776179</v>
      </c>
      <c r="H1040" t="s">
        <v>14</v>
      </c>
      <c r="I1040">
        <f>VLOOKUP(Table4[[#This Row],[Visitor]],'NHL Model'!$A$6:$B$38,2,FALSE)</f>
        <v>-0.39956044496834064</v>
      </c>
      <c r="J1040">
        <f>($B$1+Table4[[#This Row],[Home Differential]])-Table4[[#This Row],[Away Differential]]</f>
        <v>0.12806378125200107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0.53445679400108126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-0.24840457265646038</v>
      </c>
      <c r="H1041" t="s">
        <v>15</v>
      </c>
      <c r="I1041">
        <f>VLOOKUP(Table4[[#This Row],[Visitor]],'NHL Model'!$A$6:$B$38,2,FALSE)</f>
        <v>-0.40624923719383538</v>
      </c>
      <c r="J1041">
        <f>($B$1+Table4[[#This Row],[Home Differential]])-Table4[[#This Row],[Away Differential]]</f>
        <v>0.20647391397879722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0.46694483830943528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-0.22994539344581519</v>
      </c>
      <c r="H1042" t="s">
        <v>13</v>
      </c>
      <c r="I1042">
        <f>VLOOKUP(Table4[[#This Row],[Visitor]],'NHL Model'!$A$6:$B$38,2,FALSE)</f>
        <v>-0.43202172705875852</v>
      </c>
      <c r="J1042">
        <f>($B$1+Table4[[#This Row],[Home Differential]])-Table4[[#This Row],[Away Differential]]</f>
        <v>0.25070558305436552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0.50349161883741189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-1.4300915005812256</v>
      </c>
      <c r="H1043" t="s">
        <v>17</v>
      </c>
      <c r="I1043">
        <f>VLOOKUP(Table4[[#This Row],[Visitor]],'NHL Model'!$A$6:$B$38,2,FALSE)</f>
        <v>-0.92247588734712094</v>
      </c>
      <c r="J1043">
        <f>($B$1+Table4[[#This Row],[Home Differential]])-Table4[[#This Row],[Away Differential]]</f>
        <v>-0.45898636379268243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0.51457075900789573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-0.73453218371466944</v>
      </c>
      <c r="H1044" t="s">
        <v>19</v>
      </c>
      <c r="I1044">
        <f>VLOOKUP(Table4[[#This Row],[Visitor]],'NHL Model'!$A$6:$B$38,2,FALSE)</f>
        <v>-0.75971379218342783</v>
      </c>
      <c r="J1044">
        <f>($B$1+Table4[[#This Row],[Home Differential]])-Table4[[#This Row],[Away Differential]]</f>
        <v>7.3810857910180605E-2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0.5487756736516074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0.17994412141822874</v>
      </c>
      <c r="H1045" t="s">
        <v>26</v>
      </c>
      <c r="I1045">
        <f>VLOOKUP(Table4[[#This Row],[Visitor]],'NHL Model'!$A$6:$B$38,2,FALSE)</f>
        <v>-0.97739270546148105</v>
      </c>
      <c r="J1045">
        <f>($B$1+Table4[[#This Row],[Home Differential]])-Table4[[#This Row],[Away Differential]]</f>
        <v>1.205966076321132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0.7024876520338813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-0.15703092434902144</v>
      </c>
      <c r="H1046" t="s">
        <v>15</v>
      </c>
      <c r="I1046">
        <f>VLOOKUP(Table4[[#This Row],[Visitor]],'NHL Model'!$A$6:$B$38,2,FALSE)</f>
        <v>-0.40624923719383538</v>
      </c>
      <c r="J1046">
        <f>($B$1+Table4[[#This Row],[Home Differential]])-Table4[[#This Row],[Away Differential]]</f>
        <v>0.29784756228623616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0.47533084391472757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-0.69003864116815428</v>
      </c>
      <c r="H1047" t="s">
        <v>33</v>
      </c>
      <c r="I1047">
        <f>VLOOKUP(Table4[[#This Row],[Visitor]],'NHL Model'!$A$6:$B$38,2,FALSE)</f>
        <v>-0.63428770456303318</v>
      </c>
      <c r="J1047">
        <f>($B$1+Table4[[#This Row],[Home Differential]])-Table4[[#This Row],[Away Differential]]</f>
        <v>-7.1216871636988754E-3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0.46084672640539576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2.1114018573289962E-3</v>
      </c>
      <c r="H1048" t="s">
        <v>13</v>
      </c>
      <c r="I1048">
        <f>VLOOKUP(Table4[[#This Row],[Visitor]],'NHL Model'!$A$6:$B$38,2,FALSE)</f>
        <v>-0.43202172705875852</v>
      </c>
      <c r="J1048">
        <f>($B$1+Table4[[#This Row],[Home Differential]])-Table4[[#This Row],[Away Differential]]</f>
        <v>0.48276237835750974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0.6343206631819267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-0.22994539344581519</v>
      </c>
      <c r="H1049" t="s">
        <v>16</v>
      </c>
      <c r="I1049">
        <f>VLOOKUP(Table4[[#This Row],[Visitor]],'NHL Model'!$A$6:$B$38,2,FALSE)</f>
        <v>-1.1693700053921123</v>
      </c>
      <c r="J1049">
        <f>($B$1+Table4[[#This Row],[Home Differential]])-Table4[[#This Row],[Away Differential]]</f>
        <v>0.98805386138771933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0.65747374957083571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-0.45205624035379666</v>
      </c>
      <c r="H1050" t="s">
        <v>31</v>
      </c>
      <c r="I1050">
        <f>VLOOKUP(Table4[[#This Row],[Visitor]],'NHL Model'!$A$6:$B$38,2,FALSE)</f>
        <v>0.12352843374450689</v>
      </c>
      <c r="J1050">
        <f>($B$1+Table4[[#This Row],[Home Differential]])-Table4[[#This Row],[Away Differential]]</f>
        <v>-0.52695542465688128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0.54091274717054616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-0.28566683768028334</v>
      </c>
      <c r="H1051" t="s">
        <v>28</v>
      </c>
      <c r="I1051">
        <f>VLOOKUP(Table4[[#This Row],[Visitor]],'NHL Model'!$A$6:$B$38,2,FALSE)</f>
        <v>-0.81978323318233992</v>
      </c>
      <c r="J1051">
        <f>($B$1+Table4[[#This Row],[Home Differential]])-Table4[[#This Row],[Away Differential]]</f>
        <v>0.5827456449434788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0.64153107003006871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0.41634187791115029</v>
      </c>
      <c r="H1052" t="s">
        <v>25</v>
      </c>
      <c r="I1052">
        <f>VLOOKUP(Table4[[#This Row],[Visitor]],'NHL Model'!$A$6:$B$38,2,FALSE)</f>
        <v>0.35473499802405739</v>
      </c>
      <c r="J1052">
        <f>($B$1+Table4[[#This Row],[Home Differential]])-Table4[[#This Row],[Away Differential]]</f>
        <v>0.11023612932851512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0.51310642259138406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-0.38947416486586689</v>
      </c>
      <c r="H1053" t="s">
        <v>14</v>
      </c>
      <c r="I1053">
        <f>VLOOKUP(Table4[[#This Row],[Visitor]],'NHL Model'!$A$6:$B$38,2,FALSE)</f>
        <v>-0.39956044496834064</v>
      </c>
      <c r="J1053">
        <f>($B$1+Table4[[#This Row],[Home Differential]])-Table4[[#This Row],[Away Differential]]</f>
        <v>5.8715529543895972E-2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0.56698092855370363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-1.0671109812312936</v>
      </c>
      <c r="H1054" t="s">
        <v>32</v>
      </c>
      <c r="I1054">
        <f>VLOOKUP(Table4[[#This Row],[Visitor]],'NHL Model'!$A$6:$B$38,2,FALSE)</f>
        <v>-0.75181957250890208</v>
      </c>
      <c r="J1054">
        <f>($B$1+Table4[[#This Row],[Home Differential]])-Table4[[#This Row],[Away Differential]]</f>
        <v>-0.26666215928096926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0.49170455067641139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-0.32012591315776179</v>
      </c>
      <c r="H1055" t="s">
        <v>10</v>
      </c>
      <c r="I1055">
        <f>VLOOKUP(Table4[[#This Row],[Visitor]],'NHL Model'!$A$6:$B$38,2,FALSE)</f>
        <v>-0.35229536402491796</v>
      </c>
      <c r="J1055">
        <f>($B$1+Table4[[#This Row],[Home Differential]])-Table4[[#This Row],[Away Differential]]</f>
        <v>8.0798700308578386E-2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0.54960648670748358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-0.24840457265646038</v>
      </c>
      <c r="H1056" t="s">
        <v>12</v>
      </c>
      <c r="I1056">
        <f>VLOOKUP(Table4[[#This Row],[Visitor]],'NHL Model'!$A$6:$B$38,2,FALSE)</f>
        <v>1.5255226246883613</v>
      </c>
      <c r="J1056">
        <f>($B$1+Table4[[#This Row],[Home Differential]])-Table4[[#This Row],[Away Differential]]</f>
        <v>-1.7252979479033994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0.73524818496853594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0.24850541890141886</v>
      </c>
      <c r="H1057" t="s">
        <v>21</v>
      </c>
      <c r="I1057">
        <f>VLOOKUP(Table4[[#This Row],[Visitor]],'NHL Model'!$A$6:$B$38,2,FALSE)</f>
        <v>-0.29972363155607096</v>
      </c>
      <c r="J1057">
        <f>($B$1+Table4[[#This Row],[Home Differential]])-Table4[[#This Row],[Away Differential]]</f>
        <v>0.59685829989891204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0.63618030657813951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-0.92247588734712094</v>
      </c>
      <c r="H1058" t="s">
        <v>29</v>
      </c>
      <c r="I1058">
        <f>VLOOKUP(Table4[[#This Row],[Visitor]],'NHL Model'!$A$6:$B$38,2,FALSE)</f>
        <v>-1.4761804210410974</v>
      </c>
      <c r="J1058">
        <f>($B$1+Table4[[#This Row],[Home Differential]])-Table4[[#This Row],[Away Differential]]</f>
        <v>0.60233378313539865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0.61865986964650477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-0.15703092434902144</v>
      </c>
      <c r="H1059" t="s">
        <v>19</v>
      </c>
      <c r="I1059">
        <f>VLOOKUP(Table4[[#This Row],[Visitor]],'NHL Model'!$A$6:$B$38,2,FALSE)</f>
        <v>-0.75971379218342783</v>
      </c>
      <c r="J1059">
        <f>($B$1+Table4[[#This Row],[Home Differential]])-Table4[[#This Row],[Away Differential]]</f>
        <v>0.65131211727582861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0.61743715150290535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-0.69003864116815428</v>
      </c>
      <c r="H1060" t="s">
        <v>31</v>
      </c>
      <c r="I1060">
        <f>VLOOKUP(Table4[[#This Row],[Visitor]],'NHL Model'!$A$6:$B$38,2,FALSE)</f>
        <v>0.12352843374450689</v>
      </c>
      <c r="J1060">
        <f>($B$1+Table4[[#This Row],[Home Differential]])-Table4[[#This Row],[Away Differential]]</f>
        <v>-0.7649378254712389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0.57171580570641034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-0.45205624035379666</v>
      </c>
      <c r="H1061" t="s">
        <v>33</v>
      </c>
      <c r="I1061">
        <f>VLOOKUP(Table4[[#This Row],[Visitor]],'NHL Model'!$A$6:$B$38,2,FALSE)</f>
        <v>-0.63428770456303318</v>
      </c>
      <c r="J1061">
        <f>($B$1+Table4[[#This Row],[Home Differential]])-Table4[[#This Row],[Away Differential]]</f>
        <v>0.23086071365065874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0.56994345013079506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-0.75181957250890208</v>
      </c>
      <c r="H1062" t="s">
        <v>11</v>
      </c>
      <c r="I1062">
        <f>VLOOKUP(Table4[[#This Row],[Visitor]],'NHL Model'!$A$6:$B$38,2,FALSE)</f>
        <v>-0.479695961608754</v>
      </c>
      <c r="J1062">
        <f>($B$1+Table4[[#This Row],[Home Differential]])-Table4[[#This Row],[Away Differential]]</f>
        <v>-0.22349436145872587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0.48657215529892422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-0.24840457265646038</v>
      </c>
      <c r="H1063" t="s">
        <v>35</v>
      </c>
      <c r="I1063">
        <f>VLOOKUP(Table4[[#This Row],[Visitor]],'NHL Model'!$A$6:$B$38,2,FALSE)</f>
        <v>-1.4300915005812256</v>
      </c>
      <c r="J1063">
        <f>($B$1+Table4[[#This Row],[Home Differential]])-Table4[[#This Row],[Away Differential]]</f>
        <v>1.2303161773661875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0.68877278266011666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1.5255226246883613</v>
      </c>
      <c r="H1064" t="s">
        <v>14</v>
      </c>
      <c r="I1064">
        <f>VLOOKUP(Table4[[#This Row],[Visitor]],'NHL Model'!$A$6:$B$38,2,FALSE)</f>
        <v>-0.39956044496834064</v>
      </c>
      <c r="J1064">
        <f>($B$1+Table4[[#This Row],[Home Differential]])-Table4[[#This Row],[Away Differential]]</f>
        <v>1.9737123190981243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0.85966269983800314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0.17994412141822874</v>
      </c>
      <c r="H1065" t="s">
        <v>55</v>
      </c>
      <c r="I1065">
        <f>VLOOKUP(Table4[[#This Row],[Visitor]],'NHL Model'!$A$6:$B$38,2,FALSE)</f>
        <v>-0.38947416486586689</v>
      </c>
      <c r="J1065">
        <f>($B$1+Table4[[#This Row],[Home Differential]])-Table4[[#This Row],[Away Differential]]</f>
        <v>0.61804753572551785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0.63258762117020073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-0.97739270546148105</v>
      </c>
      <c r="H1066" t="s">
        <v>16</v>
      </c>
      <c r="I1066">
        <f>VLOOKUP(Table4[[#This Row],[Visitor]],'NHL Model'!$A$6:$B$38,2,FALSE)</f>
        <v>-1.1693700053921123</v>
      </c>
      <c r="J1066">
        <f>($B$1+Table4[[#This Row],[Home Differential]])-Table4[[#This Row],[Away Differential]]</f>
        <v>0.2406065493720535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0.56860669304640687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2.1114018573289962E-3</v>
      </c>
      <c r="H1067" t="s">
        <v>21</v>
      </c>
      <c r="I1067">
        <f>VLOOKUP(Table4[[#This Row],[Visitor]],'NHL Model'!$A$6:$B$38,2,FALSE)</f>
        <v>-0.29972363155607096</v>
      </c>
      <c r="J1067">
        <f>($B$1+Table4[[#This Row],[Home Differential]])-Table4[[#This Row],[Away Differential]]</f>
        <v>0.35046428285482217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0.68101238890893501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-0.40624923719383538</v>
      </c>
      <c r="H1068" t="s">
        <v>13</v>
      </c>
      <c r="I1068">
        <f>VLOOKUP(Table4[[#This Row],[Visitor]],'NHL Model'!$A$6:$B$38,2,FALSE)</f>
        <v>-0.43202172705875852</v>
      </c>
      <c r="J1068">
        <f>($B$1+Table4[[#This Row],[Home Differential]])-Table4[[#This Row],[Away Differential]]</f>
        <v>7.440173930634536E-2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0.48253013647475806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-0.81978323318233992</v>
      </c>
      <c r="H1069" t="s">
        <v>25</v>
      </c>
      <c r="I1069">
        <f>VLOOKUP(Table4[[#This Row],[Visitor]],'NHL Model'!$A$6:$B$38,2,FALSE)</f>
        <v>0.35473499802405739</v>
      </c>
      <c r="J1069">
        <f>($B$1+Table4[[#This Row],[Home Differential]])-Table4[[#This Row],[Away Differential]]</f>
        <v>-1.1258889817649751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0.66648469777255837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-0.35229536402491796</v>
      </c>
      <c r="H1070" t="s">
        <v>34</v>
      </c>
      <c r="I1070">
        <f>VLOOKUP(Table4[[#This Row],[Visitor]],'NHL Model'!$A$6:$B$38,2,FALSE)</f>
        <v>-0.15703092434902144</v>
      </c>
      <c r="J1070">
        <f>($B$1+Table4[[#This Row],[Home Differential]])-Table4[[#This Row],[Away Differential]]</f>
        <v>-0.1466351902344743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0.5199466180706156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-0.92247588734712094</v>
      </c>
      <c r="H1071" t="s">
        <v>33</v>
      </c>
      <c r="I1071">
        <f>VLOOKUP(Table4[[#This Row],[Visitor]],'NHL Model'!$A$6:$B$38,2,FALSE)</f>
        <v>-0.63428770456303318</v>
      </c>
      <c r="J1071">
        <f>($B$1+Table4[[#This Row],[Home Differential]])-Table4[[#This Row],[Away Differential]]</f>
        <v>-0.23955893334266554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0.48143618584803027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-0.69003864116815428</v>
      </c>
      <c r="H1072" t="s">
        <v>21</v>
      </c>
      <c r="I1072">
        <f>VLOOKUP(Table4[[#This Row],[Visitor]],'NHL Model'!$A$6:$B$38,2,FALSE)</f>
        <v>-0.29972363155607096</v>
      </c>
      <c r="J1072">
        <f>($B$1+Table4[[#This Row],[Home Differential]])-Table4[[#This Row],[Away Differential]]</f>
        <v>-0.3416857601706611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0.50145390536993406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-0.75181957250890208</v>
      </c>
      <c r="H1073" t="s">
        <v>37</v>
      </c>
      <c r="I1073">
        <f>VLOOKUP(Table4[[#This Row],[Visitor]],'NHL Model'!$A$6:$B$38,2,FALSE)</f>
        <v>0.41634187791115029</v>
      </c>
      <c r="J1073">
        <f>($B$1+Table4[[#This Row],[Home Differential]])-Table4[[#This Row],[Away Differential]]</f>
        <v>-1.1195322009786302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0.68559193294055265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-0.75971379218342783</v>
      </c>
      <c r="H1074" t="s">
        <v>30</v>
      </c>
      <c r="I1074">
        <f>VLOOKUP(Table4[[#This Row],[Visitor]],'NHL Model'!$A$6:$B$38,2,FALSE)</f>
        <v>-0.22994539344581519</v>
      </c>
      <c r="J1074">
        <f>($B$1+Table4[[#This Row],[Home Differential]])-Table4[[#This Row],[Away Differential]]</f>
        <v>-0.48113914929619039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0.58982776304948781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-1.0671109812312936</v>
      </c>
      <c r="H1075" t="s">
        <v>11</v>
      </c>
      <c r="I1075">
        <f>VLOOKUP(Table4[[#This Row],[Visitor]],'NHL Model'!$A$6:$B$38,2,FALSE)</f>
        <v>-0.479695961608754</v>
      </c>
      <c r="J1075">
        <f>($B$1+Table4[[#This Row],[Home Differential]])-Table4[[#This Row],[Away Differential]]</f>
        <v>-0.5387857701811174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0.52405843558942355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-0.32012591315776179</v>
      </c>
      <c r="H1076" t="s">
        <v>23</v>
      </c>
      <c r="I1076">
        <f>VLOOKUP(Table4[[#This Row],[Visitor]],'NHL Model'!$A$6:$B$38,2,FALSE)</f>
        <v>-0.73453218371466944</v>
      </c>
      <c r="J1076">
        <f>($B$1+Table4[[#This Row],[Home Differential]])-Table4[[#This Row],[Away Differential]]</f>
        <v>0.46303551999832987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0.59505217968814828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-0.24840457265646038</v>
      </c>
      <c r="H1077" t="s">
        <v>29</v>
      </c>
      <c r="I1077">
        <f>VLOOKUP(Table4[[#This Row],[Visitor]],'NHL Model'!$A$6:$B$38,2,FALSE)</f>
        <v>-1.4761804210410974</v>
      </c>
      <c r="J1077">
        <f>($B$1+Table4[[#This Row],[Home Differential]])-Table4[[#This Row],[Away Differential]]</f>
        <v>1.2764050978260593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0.69425248221059344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0.12352843374450689</v>
      </c>
      <c r="H1078" t="s">
        <v>27</v>
      </c>
      <c r="I1078">
        <f>VLOOKUP(Table4[[#This Row],[Visitor]],'NHL Model'!$A$6:$B$38,2,FALSE)</f>
        <v>-0.28566683768028334</v>
      </c>
      <c r="J1078">
        <f>($B$1+Table4[[#This Row],[Home Differential]])-Table4[[#This Row],[Away Differential]]</f>
        <v>0.45782452086621245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0.63337999118929733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0.35473499802405739</v>
      </c>
      <c r="H1079" t="s">
        <v>14</v>
      </c>
      <c r="I1079">
        <f>VLOOKUP(Table4[[#This Row],[Visitor]],'NHL Model'!$A$6:$B$38,2,FALSE)</f>
        <v>-0.39956044496834064</v>
      </c>
      <c r="J1079">
        <f>($B$1+Table4[[#This Row],[Home Differential]])-Table4[[#This Row],[Away Differential]]</f>
        <v>0.80292469243382025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0.6554629883341937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-1.1693700053921123</v>
      </c>
      <c r="H1080" t="s">
        <v>35</v>
      </c>
      <c r="I1080">
        <f>VLOOKUP(Table4[[#This Row],[Visitor]],'NHL Model'!$A$6:$B$38,2,FALSE)</f>
        <v>-1.4300915005812256</v>
      </c>
      <c r="J1080">
        <f>($B$1+Table4[[#This Row],[Home Differential]])-Table4[[#This Row],[Away Differential]]</f>
        <v>0.30935074463053547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0.57677997053039076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1.5255226246883613</v>
      </c>
      <c r="H1081" t="s">
        <v>39</v>
      </c>
      <c r="I1081">
        <f>VLOOKUP(Table4[[#This Row],[Visitor]],'NHL Model'!$A$6:$B$38,2,FALSE)</f>
        <v>0.17994412141822874</v>
      </c>
      <c r="J1081">
        <f>($B$1+Table4[[#This Row],[Home Differential]])-Table4[[#This Row],[Away Differential]]</f>
        <v>1.3942077527115548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0.71198152804713688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-0.40624923719383538</v>
      </c>
      <c r="H1082" t="s">
        <v>24</v>
      </c>
      <c r="I1082">
        <f>VLOOKUP(Table4[[#This Row],[Visitor]],'NHL Model'!$A$6:$B$38,2,FALSE)</f>
        <v>2.1114018573289962E-3</v>
      </c>
      <c r="J1082">
        <f>($B$1+Table4[[#This Row],[Home Differential]])-Table4[[#This Row],[Away Differential]]</f>
        <v>-0.35973138960974216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0.52353916146555013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0.24850541890141886</v>
      </c>
      <c r="H1083" t="s">
        <v>36</v>
      </c>
      <c r="I1083">
        <f>VLOOKUP(Table4[[#This Row],[Visitor]],'NHL Model'!$A$6:$B$38,2,FALSE)</f>
        <v>-0.45205624035379666</v>
      </c>
      <c r="J1083">
        <f>($B$1+Table4[[#This Row],[Home Differential]])-Table4[[#This Row],[Away Differential]]</f>
        <v>0.74919090869663774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0.65429175114275318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-0.29972363155607096</v>
      </c>
      <c r="H1084" t="s">
        <v>40</v>
      </c>
      <c r="I1084">
        <f>VLOOKUP(Table4[[#This Row],[Visitor]],'NHL Model'!$A$6:$B$38,2,FALSE)</f>
        <v>-0.24840457265646038</v>
      </c>
      <c r="J1084">
        <f>($B$1+Table4[[#This Row],[Home Differential]])-Table4[[#This Row],[Away Differential]]</f>
        <v>-2.6898094581883636E-3</v>
      </c>
      <c r="K1084" t="str">
        <f>IF(Table4[[#This Row],[HomeIce Differential]]&gt;0,Table4[[#This Row],[Home]],Table4[[#This Row],[Visitor]])</f>
        <v>Winnipeg Jets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0.45613375589493388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-0.81978323318233992</v>
      </c>
      <c r="H1085" t="s">
        <v>15</v>
      </c>
      <c r="I1085">
        <f>VLOOKUP(Table4[[#This Row],[Visitor]],'NHL Model'!$A$6:$B$38,2,FALSE)</f>
        <v>-0.40624923719383538</v>
      </c>
      <c r="J1085">
        <f>($B$1+Table4[[#This Row],[Home Differential]])-Table4[[#This Row],[Away Differential]]</f>
        <v>-0.36490474654708233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0.60346647857741853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-0.97739270546148105</v>
      </c>
      <c r="H1086" t="s">
        <v>18</v>
      </c>
      <c r="I1086">
        <f>VLOOKUP(Table4[[#This Row],[Visitor]],'NHL Model'!$A$6:$B$38,2,FALSE)</f>
        <v>-0.69003864116815428</v>
      </c>
      <c r="J1086">
        <f>($B$1+Table4[[#This Row],[Home Differential]])-Table4[[#This Row],[Away Differential]]</f>
        <v>-0.23872481485190455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0.54767079978975797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-0.92247588734712094</v>
      </c>
      <c r="H1087" t="s">
        <v>11</v>
      </c>
      <c r="I1087">
        <f>VLOOKUP(Table4[[#This Row],[Visitor]],'NHL Model'!$A$6:$B$38,2,FALSE)</f>
        <v>-0.479695961608754</v>
      </c>
      <c r="J1087">
        <f>($B$1+Table4[[#This Row],[Home Differential]])-Table4[[#This Row],[Away Differential]]</f>
        <v>-0.39415067629694472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0.4998162280777359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-0.43202172705875852</v>
      </c>
      <c r="H1088" t="s">
        <v>27</v>
      </c>
      <c r="I1088">
        <f>VLOOKUP(Table4[[#This Row],[Visitor]],'NHL Model'!$A$6:$B$38,2,FALSE)</f>
        <v>-0.28566683768028334</v>
      </c>
      <c r="J1088">
        <f>($B$1+Table4[[#This Row],[Home Differential]])-Table4[[#This Row],[Away Differential]]</f>
        <v>-9.7725639937052966E-2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0.51413156234562529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-0.15703092434902144</v>
      </c>
      <c r="H1089" t="s">
        <v>10</v>
      </c>
      <c r="I1089">
        <f>VLOOKUP(Table4[[#This Row],[Visitor]],'NHL Model'!$A$6:$B$38,2,FALSE)</f>
        <v>-0.35229536402491796</v>
      </c>
      <c r="J1089">
        <f>($B$1+Table4[[#This Row],[Home Differential]])-Table4[[#This Row],[Away Differential]]</f>
        <v>0.24389368911731873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0.56899751448472125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-1.4761804210410974</v>
      </c>
      <c r="H1090" t="s">
        <v>32</v>
      </c>
      <c r="I1090">
        <f>VLOOKUP(Table4[[#This Row],[Visitor]],'NHL Model'!$A$6:$B$38,2,FALSE)</f>
        <v>-0.75181957250890208</v>
      </c>
      <c r="J1090">
        <f>($B$1+Table4[[#This Row],[Home Differential]])-Table4[[#This Row],[Away Differential]]</f>
        <v>-0.67573159909077307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0.54034048319714045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-0.45205624035379666</v>
      </c>
      <c r="H1091" t="s">
        <v>30</v>
      </c>
      <c r="I1091">
        <f>VLOOKUP(Table4[[#This Row],[Visitor]],'NHL Model'!$A$6:$B$38,2,FALSE)</f>
        <v>-0.22994539344581519</v>
      </c>
      <c r="J1091">
        <f>($B$1+Table4[[#This Row],[Home Differential]])-Table4[[#This Row],[Away Differential]]</f>
        <v>-0.17348159746655925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0.55074641593024809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-0.63428770456303318</v>
      </c>
      <c r="H1092" t="s">
        <v>23</v>
      </c>
      <c r="I1092">
        <f>VLOOKUP(Table4[[#This Row],[Visitor]],'NHL Model'!$A$6:$B$38,2,FALSE)</f>
        <v>-0.73453218371466944</v>
      </c>
      <c r="J1092">
        <f>($B$1+Table4[[#This Row],[Home Differential]])-Table4[[#This Row],[Away Differential]]</f>
        <v>0.14887372859305847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0.5577002042032958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-1.0671109812312936</v>
      </c>
      <c r="H1093" t="s">
        <v>37</v>
      </c>
      <c r="I1093">
        <f>VLOOKUP(Table4[[#This Row],[Visitor]],'NHL Model'!$A$6:$B$38,2,FALSE)</f>
        <v>0.41634187791115029</v>
      </c>
      <c r="J1093">
        <f>($B$1+Table4[[#This Row],[Home Differential]])-Table4[[#This Row],[Away Differential]]</f>
        <v>-1.4348236097010216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0.72307821323105204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-0.32012591315776179</v>
      </c>
      <c r="H1094" t="s">
        <v>55</v>
      </c>
      <c r="I1094">
        <f>VLOOKUP(Table4[[#This Row],[Visitor]],'NHL Model'!$A$6:$B$38,2,FALSE)</f>
        <v>-0.38947416486586689</v>
      </c>
      <c r="J1094">
        <f>($B$1+Table4[[#This Row],[Home Differential]])-Table4[[#This Row],[Away Differential]]</f>
        <v>0.11797750114952732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0.5540268258306964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-1.1693700053921123</v>
      </c>
      <c r="H1095" t="s">
        <v>11</v>
      </c>
      <c r="I1095">
        <f>VLOOKUP(Table4[[#This Row],[Visitor]],'NHL Model'!$A$6:$B$38,2,FALSE)</f>
        <v>-0.479695961608754</v>
      </c>
      <c r="J1095">
        <f>($B$1+Table4[[#This Row],[Home Differential]])-Table4[[#This Row],[Away Differential]]</f>
        <v>-0.64104479434193617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0.53621642764337307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-0.35229536402491796</v>
      </c>
      <c r="H1096" t="s">
        <v>12</v>
      </c>
      <c r="I1096">
        <f>VLOOKUP(Table4[[#This Row],[Visitor]],'NHL Model'!$A$6:$B$38,2,FALSE)</f>
        <v>1.5255226246883613</v>
      </c>
      <c r="J1096">
        <f>($B$1+Table4[[#This Row],[Home Differential]])-Table4[[#This Row],[Away Differential]]</f>
        <v>-1.8291887392718571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0.75010287165485501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-0.75971379218342783</v>
      </c>
      <c r="H1097" t="s">
        <v>25</v>
      </c>
      <c r="I1097">
        <f>VLOOKUP(Table4[[#This Row],[Visitor]],'NHL Model'!$A$6:$B$38,2,FALSE)</f>
        <v>0.35473499802405739</v>
      </c>
      <c r="J1097">
        <f>($B$1+Table4[[#This Row],[Home Differential]])-Table4[[#This Row],[Away Differential]]</f>
        <v>-1.0658195407660629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0.65934279716922961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-0.38947416486586689</v>
      </c>
      <c r="H1098" t="s">
        <v>31</v>
      </c>
      <c r="I1098">
        <f>VLOOKUP(Table4[[#This Row],[Visitor]],'NHL Model'!$A$6:$B$38,2,FALSE)</f>
        <v>0.12352843374450689</v>
      </c>
      <c r="J1098">
        <f>($B$1+Table4[[#This Row],[Home Differential]])-Table4[[#This Row],[Away Differential]]</f>
        <v>-0.46437334916895157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0.49521123964945191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0.24850541890141886</v>
      </c>
      <c r="H1099" t="s">
        <v>24</v>
      </c>
      <c r="I1099">
        <f>VLOOKUP(Table4[[#This Row],[Visitor]],'NHL Model'!$A$6:$B$38,2,FALSE)</f>
        <v>2.1114018573289962E-3</v>
      </c>
      <c r="J1099">
        <f>($B$1+Table4[[#This Row],[Home Differential]])-Table4[[#This Row],[Away Differential]]</f>
        <v>0.29502326648551208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0.58053106372857211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-0.81978323318233992</v>
      </c>
      <c r="H1100" t="s">
        <v>32</v>
      </c>
      <c r="I1100">
        <f>VLOOKUP(Table4[[#This Row],[Visitor]],'NHL Model'!$A$6:$B$38,2,FALSE)</f>
        <v>-0.75181957250890208</v>
      </c>
      <c r="J1100">
        <f>($B$1+Table4[[#This Row],[Home Differential]])-Table4[[#This Row],[Away Differential]]</f>
        <v>-1.9334411232015625E-2</v>
      </c>
      <c r="K1100" t="str">
        <f>IF(Table4[[#This Row],[HomeIce Differential]]&gt;0,Table4[[#This Row],[Home]],Table4[[#This Row],[Visitor]])</f>
        <v>Seattle Kraken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0.46229874693266149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-0.97739270546148105</v>
      </c>
      <c r="H1101" t="s">
        <v>21</v>
      </c>
      <c r="I1101">
        <f>VLOOKUP(Table4[[#This Row],[Visitor]],'NHL Model'!$A$6:$B$38,2,FALSE)</f>
        <v>-0.29972363155607096</v>
      </c>
      <c r="J1101">
        <f>($B$1+Table4[[#This Row],[Home Differential]])-Table4[[#This Row],[Away Differential]]</f>
        <v>-0.62903982446398787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0.53561860094588687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-0.92247588734712094</v>
      </c>
      <c r="H1102" t="s">
        <v>37</v>
      </c>
      <c r="I1102">
        <f>VLOOKUP(Table4[[#This Row],[Visitor]],'NHL Model'!$A$6:$B$38,2,FALSE)</f>
        <v>0.41634187791115029</v>
      </c>
      <c r="J1102">
        <f>($B$1+Table4[[#This Row],[Home Differential]])-Table4[[#This Row],[Away Differential]]</f>
        <v>-1.2901885158168489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0.69885031518856211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-0.43202172705875852</v>
      </c>
      <c r="H1103" t="s">
        <v>23</v>
      </c>
      <c r="I1103">
        <f>VLOOKUP(Table4[[#This Row],[Visitor]],'NHL Model'!$A$6:$B$38,2,FALSE)</f>
        <v>-0.73453218371466944</v>
      </c>
      <c r="J1103">
        <f>($B$1+Table4[[#This Row],[Home Differential]])-Table4[[#This Row],[Away Differential]]</f>
        <v>0.35113970609733314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0.58174843043528002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-0.15703092434902144</v>
      </c>
      <c r="H1104" t="s">
        <v>39</v>
      </c>
      <c r="I1104">
        <f>VLOOKUP(Table4[[#This Row],[Visitor]],'NHL Model'!$A$6:$B$38,2,FALSE)</f>
        <v>0.17994412141822874</v>
      </c>
      <c r="J1104">
        <f>($B$1+Table4[[#This Row],[Home Differential]])-Table4[[#This Row],[Away Differential]]</f>
        <v>-0.28834579632582796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0.59608035944726334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-0.69003864116815428</v>
      </c>
      <c r="H1105" t="s">
        <v>30</v>
      </c>
      <c r="I1105">
        <f>VLOOKUP(Table4[[#This Row],[Visitor]],'NHL Model'!$A$6:$B$38,2,FALSE)</f>
        <v>-0.22994539344581519</v>
      </c>
      <c r="J1105">
        <f>($B$1+Table4[[#This Row],[Home Differential]])-Table4[[#This Row],[Away Differential]]</f>
        <v>-0.41146399828091684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0.5815438004422443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-1.4761804210410974</v>
      </c>
      <c r="H1106" t="s">
        <v>20</v>
      </c>
      <c r="I1106">
        <f>VLOOKUP(Table4[[#This Row],[Visitor]],'NHL Model'!$A$6:$B$38,2,FALSE)</f>
        <v>-0.32012591315776179</v>
      </c>
      <c r="J1106">
        <f>($B$1+Table4[[#This Row],[Home Differential]])-Table4[[#This Row],[Away Differential]]</f>
        <v>-1.1074252584419133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0.59166630136529952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-0.45205624035379666</v>
      </c>
      <c r="H1107" t="s">
        <v>19</v>
      </c>
      <c r="I1107">
        <f>VLOOKUP(Table4[[#This Row],[Visitor]],'NHL Model'!$A$6:$B$38,2,FALSE)</f>
        <v>-0.75971379218342783</v>
      </c>
      <c r="J1107">
        <f>($B$1+Table4[[#This Row],[Home Differential]])-Table4[[#This Row],[Away Differential]]</f>
        <v>0.35628680127105339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0.58485586875752227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-0.39956044496834064</v>
      </c>
      <c r="H1108" t="s">
        <v>40</v>
      </c>
      <c r="I1108">
        <f>VLOOKUP(Table4[[#This Row],[Visitor]],'NHL Model'!$A$6:$B$38,2,FALSE)</f>
        <v>-0.24840457265646038</v>
      </c>
      <c r="J1108">
        <f>($B$1+Table4[[#This Row],[Home Differential]])-Table4[[#This Row],[Away Differential]]</f>
        <v>-0.10252662287045805</v>
      </c>
      <c r="K1108" t="str">
        <f>IF(Table4[[#This Row],[HomeIce Differential]]&gt;0,Table4[[#This Row],[Home]],Table4[[#This Row],[Visitor]])</f>
        <v>Winnipeg Jets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0.51147654119314534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-0.63428770456303318</v>
      </c>
      <c r="H1109" t="s">
        <v>27</v>
      </c>
      <c r="I1109">
        <f>VLOOKUP(Table4[[#This Row],[Visitor]],'NHL Model'!$A$6:$B$38,2,FALSE)</f>
        <v>-0.28566683768028334</v>
      </c>
      <c r="J1109">
        <f>($B$1+Table4[[#This Row],[Home Differential]])-Table4[[#This Row],[Away Differential]]</f>
        <v>-0.29999161744132763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0.53817978857760951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-1.0671109812312936</v>
      </c>
      <c r="H1110" t="s">
        <v>35</v>
      </c>
      <c r="I1110">
        <f>VLOOKUP(Table4[[#This Row],[Visitor]],'NHL Model'!$A$6:$B$38,2,FALSE)</f>
        <v>-1.4300915005812256</v>
      </c>
      <c r="J1110">
        <f>($B$1+Table4[[#This Row],[Home Differential]])-Table4[[#This Row],[Away Differential]]</f>
        <v>0.41160976879135425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0.58893796258434028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0.12352843374450689</v>
      </c>
      <c r="H1111" t="s">
        <v>23</v>
      </c>
      <c r="I1111">
        <f>VLOOKUP(Table4[[#This Row],[Visitor]],'NHL Model'!$A$6:$B$38,2,FALSE)</f>
        <v>-0.73453218371466944</v>
      </c>
      <c r="J1111">
        <f>($B$1+Table4[[#This Row],[Home Differential]])-Table4[[#This Row],[Away Differential]]</f>
        <v>0.9066898669005985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0.72763476347888134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-1.1693700053921123</v>
      </c>
      <c r="H1112" t="s">
        <v>37</v>
      </c>
      <c r="I1112">
        <f>VLOOKUP(Table4[[#This Row],[Visitor]],'NHL Model'!$A$6:$B$38,2,FALSE)</f>
        <v>0.41634187791115029</v>
      </c>
      <c r="J1112">
        <f>($B$1+Table4[[#This Row],[Home Differential]])-Table4[[#This Row],[Away Differential]]</f>
        <v>-1.5370826338618404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0.73523620528500155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-0.35229536402491796</v>
      </c>
      <c r="H1113" t="s">
        <v>29</v>
      </c>
      <c r="I1113">
        <f>VLOOKUP(Table4[[#This Row],[Visitor]],'NHL Model'!$A$6:$B$38,2,FALSE)</f>
        <v>-1.4761804210410974</v>
      </c>
      <c r="J1113">
        <f>($B$1+Table4[[#This Row],[Home Differential]])-Table4[[#This Row],[Away Differential]]</f>
        <v>1.1725143064576016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0.67940500350007982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0.17994412141822874</v>
      </c>
      <c r="H1114" t="s">
        <v>20</v>
      </c>
      <c r="I1114">
        <f>VLOOKUP(Table4[[#This Row],[Visitor]],'NHL Model'!$A$6:$B$38,2,FALSE)</f>
        <v>-0.32012591315776179</v>
      </c>
      <c r="J1114">
        <f>($B$1+Table4[[#This Row],[Home Differential]])-Table4[[#This Row],[Away Differential]]</f>
        <v>0.54869928401741275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0.62434252495359233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-0.22994539344581519</v>
      </c>
      <c r="H1115" t="s">
        <v>28</v>
      </c>
      <c r="I1115">
        <f>VLOOKUP(Table4[[#This Row],[Visitor]],'NHL Model'!$A$6:$B$38,2,FALSE)</f>
        <v>-0.81978323318233992</v>
      </c>
      <c r="J1115">
        <f>($B$1+Table4[[#This Row],[Home Differential]])-Table4[[#This Row],[Away Differential]]</f>
        <v>0.63846708917794692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0.61590995377313629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-0.40624923719383538</v>
      </c>
      <c r="H1116" t="s">
        <v>40</v>
      </c>
      <c r="I1116">
        <f>VLOOKUP(Table4[[#This Row],[Visitor]],'NHL Model'!$A$6:$B$38,2,FALSE)</f>
        <v>-0.24840457265646038</v>
      </c>
      <c r="J1116">
        <f>($B$1+Table4[[#This Row],[Home Differential]])-Table4[[#This Row],[Away Differential]]</f>
        <v>-0.10921541509595278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0.51227179895543529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-0.39956044496834064</v>
      </c>
      <c r="H1117" t="s">
        <v>25</v>
      </c>
      <c r="I1117">
        <f>VLOOKUP(Table4[[#This Row],[Visitor]],'NHL Model'!$A$6:$B$38,2,FALSE)</f>
        <v>0.35473499802405739</v>
      </c>
      <c r="J1117">
        <f>($B$1+Table4[[#This Row],[Home Differential]])-Table4[[#This Row],[Away Differential]]</f>
        <v>-0.70566619355097582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0.61652269821387395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-0.38947416486586689</v>
      </c>
      <c r="H1118" t="s">
        <v>13</v>
      </c>
      <c r="I1118">
        <f>VLOOKUP(Table4[[#This Row],[Visitor]],'NHL Model'!$A$6:$B$38,2,FALSE)</f>
        <v>-0.43202172705875852</v>
      </c>
      <c r="J1118">
        <f>($B$1+Table4[[#This Row],[Home Differential]])-Table4[[#This Row],[Away Differential]]</f>
        <v>9.1176811634313848E-2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0.52554626500328905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0.24850541890141886</v>
      </c>
      <c r="H1119" t="s">
        <v>12</v>
      </c>
      <c r="I1119">
        <f>VLOOKUP(Table4[[#This Row],[Visitor]],'NHL Model'!$A$6:$B$38,2,FALSE)</f>
        <v>1.5255226246883613</v>
      </c>
      <c r="J1119">
        <f>($B$1+Table4[[#This Row],[Home Differential]])-Table4[[#This Row],[Away Differential]]</f>
        <v>-1.2283879563455202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0.65237716332582152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-0.40624923719383538</v>
      </c>
      <c r="H1120" t="s">
        <v>36</v>
      </c>
      <c r="I1120">
        <f>VLOOKUP(Table4[[#This Row],[Visitor]],'NHL Model'!$A$6:$B$38,2,FALSE)</f>
        <v>-0.45205624035379666</v>
      </c>
      <c r="J1120">
        <f>($B$1+Table4[[#This Row],[Home Differential]])-Table4[[#This Row],[Away Differential]]</f>
        <v>9.4436252601383497E-2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0.55039841778050169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-0.29972363155607096</v>
      </c>
      <c r="H1121" t="s">
        <v>19</v>
      </c>
      <c r="I1121">
        <f>VLOOKUP(Table4[[#This Row],[Visitor]],'NHL Model'!$A$6:$B$38,2,FALSE)</f>
        <v>-0.75971379218342783</v>
      </c>
      <c r="J1121">
        <f>($B$1+Table4[[#This Row],[Home Differential]])-Table4[[#This Row],[Away Differential]]</f>
        <v>0.50861941006877909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0.64337338852194104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-1.1693700053921123</v>
      </c>
      <c r="H1122" t="s">
        <v>13</v>
      </c>
      <c r="I1122">
        <f>VLOOKUP(Table4[[#This Row],[Visitor]],'NHL Model'!$A$6:$B$38,2,FALSE)</f>
        <v>-0.43202172705875852</v>
      </c>
      <c r="J1122">
        <f>($B$1+Table4[[#This Row],[Home Differential]])-Table4[[#This Row],[Away Differential]]</f>
        <v>-0.6887190288919316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0.60820040111933582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0.17994412141822874</v>
      </c>
      <c r="H1123" t="s">
        <v>24</v>
      </c>
      <c r="I1123">
        <f>VLOOKUP(Table4[[#This Row],[Visitor]],'NHL Model'!$A$6:$B$38,2,FALSE)</f>
        <v>2.1114018573289962E-3</v>
      </c>
      <c r="J1123">
        <f>($B$1+Table4[[#This Row],[Home Differential]])-Table4[[#This Row],[Away Differential]]</f>
        <v>0.22646196900232196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0.56538652471333328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-0.97739270546148105</v>
      </c>
      <c r="H1124" t="s">
        <v>36</v>
      </c>
      <c r="I1124">
        <f>VLOOKUP(Table4[[#This Row],[Visitor]],'NHL Model'!$A$6:$B$38,2,FALSE)</f>
        <v>-0.45205624035379666</v>
      </c>
      <c r="J1124">
        <f>($B$1+Table4[[#This Row],[Home Differential]])-Table4[[#This Row],[Away Differential]]</f>
        <v>-0.47670721566626217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0.51750715638127331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-0.479695961608754</v>
      </c>
      <c r="H1125" t="s">
        <v>32</v>
      </c>
      <c r="I1125">
        <f>VLOOKUP(Table4[[#This Row],[Visitor]],'NHL Model'!$A$6:$B$38,2,FALSE)</f>
        <v>-0.75181957250890208</v>
      </c>
      <c r="J1125">
        <f>($B$1+Table4[[#This Row],[Home Differential]])-Table4[[#This Row],[Away Differential]]</f>
        <v>0.3207528603415703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0.59215223502571512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-0.69003864116815428</v>
      </c>
      <c r="H1126" t="s">
        <v>25</v>
      </c>
      <c r="I1126">
        <f>VLOOKUP(Table4[[#This Row],[Visitor]],'NHL Model'!$A$6:$B$38,2,FALSE)</f>
        <v>0.35473499802405739</v>
      </c>
      <c r="J1126">
        <f>($B$1+Table4[[#This Row],[Home Differential]])-Table4[[#This Row],[Away Differential]]</f>
        <v>-0.99614438975078945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0.6510588345619861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-1.4761804210410974</v>
      </c>
      <c r="H1127" t="s">
        <v>33</v>
      </c>
      <c r="I1127">
        <f>VLOOKUP(Table4[[#This Row],[Visitor]],'NHL Model'!$A$6:$B$38,2,FALSE)</f>
        <v>-0.63428770456303318</v>
      </c>
      <c r="J1127">
        <f>($B$1+Table4[[#This Row],[Home Differential]])-Table4[[#This Row],[Away Differential]]</f>
        <v>-0.79326346703664197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0.55431432588044693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-0.22994539344581519</v>
      </c>
      <c r="H1128" t="s">
        <v>10</v>
      </c>
      <c r="I1128">
        <f>VLOOKUP(Table4[[#This Row],[Visitor]],'NHL Model'!$A$6:$B$38,2,FALSE)</f>
        <v>-0.35229536402491796</v>
      </c>
      <c r="J1128">
        <f>($B$1+Table4[[#This Row],[Home Differential]])-Table4[[#This Row],[Away Differential]]</f>
        <v>0.17097922002052499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0.56032841615162343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-0.28566683768028334</v>
      </c>
      <c r="H1129" t="s">
        <v>28</v>
      </c>
      <c r="I1129">
        <f>VLOOKUP(Table4[[#This Row],[Visitor]],'NHL Model'!$A$6:$B$38,2,FALSE)</f>
        <v>-0.81978323318233992</v>
      </c>
      <c r="J1129">
        <f>($B$1+Table4[[#This Row],[Home Differential]])-Table4[[#This Row],[Away Differential]]</f>
        <v>0.5827456449434788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0.64153107003006871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-0.39956044496834064</v>
      </c>
      <c r="H1130" t="s">
        <v>12</v>
      </c>
      <c r="I1130">
        <f>VLOOKUP(Table4[[#This Row],[Visitor]],'NHL Model'!$A$6:$B$38,2,FALSE)</f>
        <v>1.5255226246883613</v>
      </c>
      <c r="J1130">
        <f>($B$1+Table4[[#This Row],[Home Differential]])-Table4[[#This Row],[Away Differential]]</f>
        <v>-1.8764538202152798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0.75572240971768345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-1.4300915005812256</v>
      </c>
      <c r="H1131" t="s">
        <v>22</v>
      </c>
      <c r="I1131">
        <f>VLOOKUP(Table4[[#This Row],[Visitor]],'NHL Model'!$A$6:$B$38,2,FALSE)</f>
        <v>0.24850541890141886</v>
      </c>
      <c r="J1131">
        <f>($B$1+Table4[[#This Row],[Home Differential]])-Table4[[#This Row],[Away Differential]]</f>
        <v>-1.6299676700412222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0.67456272863588551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0.41634187791115029</v>
      </c>
      <c r="H1132" t="s">
        <v>34</v>
      </c>
      <c r="I1132">
        <f>VLOOKUP(Table4[[#This Row],[Visitor]],'NHL Model'!$A$6:$B$38,2,FALSE)</f>
        <v>-0.15703092434902144</v>
      </c>
      <c r="J1132">
        <f>($B$1+Table4[[#This Row],[Home Differential]])-Table4[[#This Row],[Away Differential]]</f>
        <v>0.62200205170159395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0.60407284030573893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-0.38947416486586689</v>
      </c>
      <c r="H1133" t="s">
        <v>17</v>
      </c>
      <c r="I1133">
        <f>VLOOKUP(Table4[[#This Row],[Visitor]],'NHL Model'!$A$6:$B$38,2,FALSE)</f>
        <v>-0.92247588734712094</v>
      </c>
      <c r="J1133">
        <f>($B$1+Table4[[#This Row],[Home Differential]])-Table4[[#This Row],[Away Differential]]</f>
        <v>0.58163097192267621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0.64958365365050919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-1.0671109812312936</v>
      </c>
      <c r="H1134" t="s">
        <v>31</v>
      </c>
      <c r="I1134">
        <f>VLOOKUP(Table4[[#This Row],[Visitor]],'NHL Model'!$A$6:$B$38,2,FALSE)</f>
        <v>0.12352843374450689</v>
      </c>
      <c r="J1134">
        <f>($B$1+Table4[[#This Row],[Home Differential]])-Table4[[#This Row],[Away Differential]]</f>
        <v>-1.1420101655343782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0.61654747266073251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-0.24840457265646038</v>
      </c>
      <c r="H1135" t="s">
        <v>20</v>
      </c>
      <c r="I1135">
        <f>VLOOKUP(Table4[[#This Row],[Visitor]],'NHL Model'!$A$6:$B$38,2,FALSE)</f>
        <v>-0.32012591315776179</v>
      </c>
      <c r="J1135">
        <f>($B$1+Table4[[#This Row],[Home Differential]])-Table4[[#This Row],[Away Differential]]</f>
        <v>0.12035058994272363</v>
      </c>
      <c r="K1135" t="str">
        <f>IF(Table4[[#This Row],[HomeIce Differential]]&gt;0,Table4[[#This Row],[Home]],Table4[[#This Row],[Visitor]])</f>
        <v>Winnipeg Jets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0.55680445123120592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-0.73453218371466944</v>
      </c>
      <c r="H1136" t="s">
        <v>21</v>
      </c>
      <c r="I1136">
        <f>VLOOKUP(Table4[[#This Row],[Visitor]],'NHL Model'!$A$6:$B$38,2,FALSE)</f>
        <v>-0.29972363155607096</v>
      </c>
      <c r="J1136">
        <f>($B$1+Table4[[#This Row],[Home Differential]])-Table4[[#This Row],[Away Differential]]</f>
        <v>-0.38617930271717626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0.50674392393965828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-0.75971379218342783</v>
      </c>
      <c r="H1137" t="s">
        <v>15</v>
      </c>
      <c r="I1137">
        <f>VLOOKUP(Table4[[#This Row],[Visitor]],'NHL Model'!$A$6:$B$38,2,FALSE)</f>
        <v>-0.40624923719383538</v>
      </c>
      <c r="J1137">
        <f>($B$1+Table4[[#This Row],[Home Differential]])-Table4[[#This Row],[Away Differential]]</f>
        <v>-0.30483530554817023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0.59632457797408978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-1.1693700053921123</v>
      </c>
      <c r="H1138" t="s">
        <v>31</v>
      </c>
      <c r="I1138">
        <f>VLOOKUP(Table4[[#This Row],[Visitor]],'NHL Model'!$A$6:$B$38,2,FALSE)</f>
        <v>0.12352843374450689</v>
      </c>
      <c r="J1138">
        <f>($B$1+Table4[[#This Row],[Home Differential]])-Table4[[#This Row],[Away Differential]]</f>
        <v>-1.244269189695197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0.62870546471468203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-0.479695961608754</v>
      </c>
      <c r="H1139" t="s">
        <v>34</v>
      </c>
      <c r="I1139">
        <f>VLOOKUP(Table4[[#This Row],[Visitor]],'NHL Model'!$A$6:$B$38,2,FALSE)</f>
        <v>-0.15703092434902144</v>
      </c>
      <c r="J1139">
        <f>($B$1+Table4[[#This Row],[Home Differential]])-Table4[[#This Row],[Away Differential]]</f>
        <v>-0.27403578781831034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0.5209533244415524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-0.69003864116815428</v>
      </c>
      <c r="H1140" t="s">
        <v>28</v>
      </c>
      <c r="I1140">
        <f>VLOOKUP(Table4[[#This Row],[Visitor]],'NHL Model'!$A$6:$B$38,2,FALSE)</f>
        <v>-0.81978323318233992</v>
      </c>
      <c r="J1140">
        <f>($B$1+Table4[[#This Row],[Home Differential]])-Table4[[#This Row],[Away Differential]]</f>
        <v>0.17837384145560786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0.56120759282466026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-1.4761804210410974</v>
      </c>
      <c r="H1141" t="s">
        <v>24</v>
      </c>
      <c r="I1141">
        <f>VLOOKUP(Table4[[#This Row],[Visitor]],'NHL Model'!$A$6:$B$38,2,FALSE)</f>
        <v>2.1114018573289962E-3</v>
      </c>
      <c r="J1141">
        <f>($B$1+Table4[[#This Row],[Home Differential]])-Table4[[#This Row],[Away Differential]]</f>
        <v>-1.4296625734570041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0.65074763952642356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-0.22994539344581519</v>
      </c>
      <c r="H1142" t="s">
        <v>39</v>
      </c>
      <c r="I1142">
        <f>VLOOKUP(Table4[[#This Row],[Visitor]],'NHL Model'!$A$6:$B$38,2,FALSE)</f>
        <v>0.17994412141822874</v>
      </c>
      <c r="J1142">
        <f>($B$1+Table4[[#This Row],[Home Differential]])-Table4[[#This Row],[Away Differential]]</f>
        <v>-0.36126026542262168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0.60474945778036115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-0.45205624035379666</v>
      </c>
      <c r="H1143" t="s">
        <v>14</v>
      </c>
      <c r="I1143">
        <f>VLOOKUP(Table4[[#This Row],[Visitor]],'NHL Model'!$A$6:$B$38,2,FALSE)</f>
        <v>-0.39956044496834064</v>
      </c>
      <c r="J1143">
        <f>($B$1+Table4[[#This Row],[Home Differential]])-Table4[[#This Row],[Away Differential]]</f>
        <v>-3.8665459440337946E-3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0.47872057896739068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-0.28566683768028334</v>
      </c>
      <c r="H1144" t="s">
        <v>10</v>
      </c>
      <c r="I1144">
        <f>VLOOKUP(Table4[[#This Row],[Visitor]],'NHL Model'!$A$6:$B$38,2,FALSE)</f>
        <v>-0.35229536402491796</v>
      </c>
      <c r="J1144">
        <f>($B$1+Table4[[#This Row],[Home Differential]])-Table4[[#This Row],[Away Differential]]</f>
        <v>0.11525777578605684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0.58594953240855585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-1.4300915005812256</v>
      </c>
      <c r="H1145" t="s">
        <v>33</v>
      </c>
      <c r="I1145">
        <f>VLOOKUP(Table4[[#This Row],[Visitor]],'NHL Model'!$A$6:$B$38,2,FALSE)</f>
        <v>-0.63428770456303318</v>
      </c>
      <c r="J1145">
        <f>($B$1+Table4[[#This Row],[Home Differential]])-Table4[[#This Row],[Away Differential]]</f>
        <v>-0.74717454657677018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0.54883462632997015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0.41634187791115029</v>
      </c>
      <c r="H1146" t="s">
        <v>32</v>
      </c>
      <c r="I1146">
        <f>VLOOKUP(Table4[[#This Row],[Visitor]],'NHL Model'!$A$6:$B$38,2,FALSE)</f>
        <v>-0.75181957250890208</v>
      </c>
      <c r="J1146">
        <f>($B$1+Table4[[#This Row],[Home Differential]])-Table4[[#This Row],[Away Differential]]</f>
        <v>1.2167906998614746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0.71691527013172229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-0.38947416486586689</v>
      </c>
      <c r="H1147" t="s">
        <v>22</v>
      </c>
      <c r="I1147">
        <f>VLOOKUP(Table4[[#This Row],[Visitor]],'NHL Model'!$A$6:$B$38,2,FALSE)</f>
        <v>0.24850541890141886</v>
      </c>
      <c r="J1147">
        <f>($B$1+Table4[[#This Row],[Home Differential]])-Table4[[#This Row],[Away Differential]]</f>
        <v>-0.58935033432586348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0.51007026265435262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-1.0671109812312936</v>
      </c>
      <c r="H1148" t="s">
        <v>13</v>
      </c>
      <c r="I1148">
        <f>VLOOKUP(Table4[[#This Row],[Visitor]],'NHL Model'!$A$6:$B$38,2,FALSE)</f>
        <v>-0.43202172705875852</v>
      </c>
      <c r="J1148">
        <f>($B$1+Table4[[#This Row],[Home Differential]])-Table4[[#This Row],[Away Differential]]</f>
        <v>-0.58646000473111282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0.5960424090653863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-0.32012591315776179</v>
      </c>
      <c r="H1149" t="s">
        <v>17</v>
      </c>
      <c r="I1149">
        <f>VLOOKUP(Table4[[#This Row],[Visitor]],'NHL Model'!$A$6:$B$38,2,FALSE)</f>
        <v>-0.92247588734712094</v>
      </c>
      <c r="J1149">
        <f>($B$1+Table4[[#This Row],[Home Differential]])-Table4[[#This Row],[Away Differential]]</f>
        <v>0.65097922363078142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0.61739757242101501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-0.24840457265646038</v>
      </c>
      <c r="H1150" t="s">
        <v>12</v>
      </c>
      <c r="I1150">
        <f>VLOOKUP(Table4[[#This Row],[Visitor]],'NHL Model'!$A$6:$B$38,2,FALSE)</f>
        <v>1.5255226246883613</v>
      </c>
      <c r="J1150">
        <f>($B$1+Table4[[#This Row],[Home Differential]])-Table4[[#This Row],[Away Differential]]</f>
        <v>-1.7252979479033994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0.73524818496853594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-0.73453218371466944</v>
      </c>
      <c r="H1151" t="s">
        <v>26</v>
      </c>
      <c r="I1151">
        <f>VLOOKUP(Table4[[#This Row],[Visitor]],'NHL Model'!$A$6:$B$38,2,FALSE)</f>
        <v>-0.97739270546148105</v>
      </c>
      <c r="J1151">
        <f>($B$1+Table4[[#This Row],[Home Differential]])-Table4[[#This Row],[Away Differential]]</f>
        <v>0.29148977118823383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0.5746564066203167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-0.40624923719383538</v>
      </c>
      <c r="H1152" t="s">
        <v>10</v>
      </c>
      <c r="I1152">
        <f>VLOOKUP(Table4[[#This Row],[Visitor]],'NHL Model'!$A$6:$B$38,2,FALSE)</f>
        <v>-0.35229536402491796</v>
      </c>
      <c r="J1152">
        <f>($B$1+Table4[[#This Row],[Home Differential]])-Table4[[#This Row],[Away Differential]]</f>
        <v>-5.3246237274952035E-3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0.46063306621103045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-0.29972363155607096</v>
      </c>
      <c r="H1153" t="s">
        <v>34</v>
      </c>
      <c r="I1153">
        <f>VLOOKUP(Table4[[#This Row],[Visitor]],'NHL Model'!$A$6:$B$38,2,FALSE)</f>
        <v>-0.15703092434902144</v>
      </c>
      <c r="J1153">
        <f>($B$1+Table4[[#This Row],[Home Differential]])-Table4[[#This Row],[Away Differential]]</f>
        <v>-9.4063457765627301E-2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0.47019998121364437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-0.73453218371466944</v>
      </c>
      <c r="H1154" t="s">
        <v>32</v>
      </c>
      <c r="I1154">
        <f>VLOOKUP(Table4[[#This Row],[Visitor]],'NHL Model'!$A$6:$B$38,2,FALSE)</f>
        <v>-0.75181957250890208</v>
      </c>
      <c r="J1154">
        <f>($B$1+Table4[[#This Row],[Home Differential]])-Table4[[#This Row],[Away Differential]]</f>
        <v>6.5916638235654856E-2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0.54783709770818667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0.35473499802405739</v>
      </c>
      <c r="H1155" t="s">
        <v>24</v>
      </c>
      <c r="I1155">
        <f>VLOOKUP(Table4[[#This Row],[Visitor]],'NHL Model'!$A$6:$B$38,2,FALSE)</f>
        <v>2.1114018573289962E-3</v>
      </c>
      <c r="J1155">
        <f>($B$1+Table4[[#This Row],[Home Differential]])-Table4[[#This Row],[Away Differential]]</f>
        <v>0.40125284560815061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0.60770658578607628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-0.81978323318233992</v>
      </c>
      <c r="H1156" t="s">
        <v>33</v>
      </c>
      <c r="I1156">
        <f>VLOOKUP(Table4[[#This Row],[Visitor]],'NHL Model'!$A$6:$B$38,2,FALSE)</f>
        <v>-0.63428770456303318</v>
      </c>
      <c r="J1156">
        <f>($B$1+Table4[[#This Row],[Home Differential]])-Table4[[#This Row],[Away Differential]]</f>
        <v>-0.13686627917788452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0.47627258961596802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-1.1693700053921123</v>
      </c>
      <c r="H1157" t="s">
        <v>38</v>
      </c>
      <c r="I1157">
        <f>VLOOKUP(Table4[[#This Row],[Visitor]],'NHL Model'!$A$6:$B$38,2,FALSE)</f>
        <v>-1.0671109812312936</v>
      </c>
      <c r="J1157">
        <f>($B$1+Table4[[#This Row],[Home Differential]])-Table4[[#This Row],[Away Differential]]</f>
        <v>-5.3629774719396561E-2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0.46995242138025889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1.5255226246883613</v>
      </c>
      <c r="H1158" t="s">
        <v>40</v>
      </c>
      <c r="I1158">
        <f>VLOOKUP(Table4[[#This Row],[Visitor]],'NHL Model'!$A$6:$B$38,2,FALSE)</f>
        <v>-0.24840457265646038</v>
      </c>
      <c r="J1158">
        <f>($B$1+Table4[[#This Row],[Home Differential]])-Table4[[#This Row],[Away Differential]]</f>
        <v>1.8225564467862438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0.82416779778301974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-0.97739270546148105</v>
      </c>
      <c r="H1159" t="s">
        <v>27</v>
      </c>
      <c r="I1159">
        <f>VLOOKUP(Table4[[#This Row],[Visitor]],'NHL Model'!$A$6:$B$38,2,FALSE)</f>
        <v>-0.28566683768028334</v>
      </c>
      <c r="J1159">
        <f>($B$1+Table4[[#This Row],[Home Differential]])-Table4[[#This Row],[Away Differential]]</f>
        <v>-0.64309661833977549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0.57897294017304601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-0.92247588734712094</v>
      </c>
      <c r="H1160" t="s">
        <v>31</v>
      </c>
      <c r="I1160">
        <f>VLOOKUP(Table4[[#This Row],[Visitor]],'NHL Model'!$A$6:$B$38,2,FALSE)</f>
        <v>0.12352843374450689</v>
      </c>
      <c r="J1160">
        <f>($B$1+Table4[[#This Row],[Home Differential]])-Table4[[#This Row],[Away Differential]]</f>
        <v>-0.99737507165020567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0.59226619676608616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-0.43202172705875852</v>
      </c>
      <c r="H1161" t="s">
        <v>55</v>
      </c>
      <c r="I1161">
        <f>VLOOKUP(Table4[[#This Row],[Visitor]],'NHL Model'!$A$6:$B$38,2,FALSE)</f>
        <v>-0.38947416486586689</v>
      </c>
      <c r="J1161">
        <f>($B$1+Table4[[#This Row],[Home Differential]])-Table4[[#This Row],[Away Differential]]</f>
        <v>6.0816872485305873E-3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0.54072307657782814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-1.4761804210410974</v>
      </c>
      <c r="H1162" t="s">
        <v>18</v>
      </c>
      <c r="I1162">
        <f>VLOOKUP(Table4[[#This Row],[Visitor]],'NHL Model'!$A$6:$B$38,2,FALSE)</f>
        <v>-0.69003864116815428</v>
      </c>
      <c r="J1162">
        <f>($B$1+Table4[[#This Row],[Home Differential]])-Table4[[#This Row],[Away Differential]]</f>
        <v>-0.73751253043152087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0.60697370368885639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-0.22994539344581519</v>
      </c>
      <c r="H1163" t="s">
        <v>11</v>
      </c>
      <c r="I1163">
        <f>VLOOKUP(Table4[[#This Row],[Visitor]],'NHL Model'!$A$6:$B$38,2,FALSE)</f>
        <v>-0.479695961608754</v>
      </c>
      <c r="J1163">
        <f>($B$1+Table4[[#This Row],[Home Differential]])-Table4[[#This Row],[Away Differential]]</f>
        <v>0.29837981760436105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0.57547559231337475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-0.39956044496834064</v>
      </c>
      <c r="H1164" t="s">
        <v>39</v>
      </c>
      <c r="I1164">
        <f>VLOOKUP(Table4[[#This Row],[Visitor]],'NHL Model'!$A$6:$B$38,2,FALSE)</f>
        <v>0.17994412141822874</v>
      </c>
      <c r="J1164">
        <f>($B$1+Table4[[#This Row],[Home Differential]])-Table4[[#This Row],[Away Differential]]</f>
        <v>-0.53087531694514722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0.62491568238072503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-1.4300915005812256</v>
      </c>
      <c r="H1165" t="s">
        <v>19</v>
      </c>
      <c r="I1165">
        <f>VLOOKUP(Table4[[#This Row],[Visitor]],'NHL Model'!$A$6:$B$38,2,FALSE)</f>
        <v>-0.75971379218342783</v>
      </c>
      <c r="J1165">
        <f>($B$1+Table4[[#This Row],[Home Differential]])-Table4[[#This Row],[Away Differential]]</f>
        <v>-0.62174845895637554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0.53392220770324306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0.41634187791115029</v>
      </c>
      <c r="H1166" t="s">
        <v>36</v>
      </c>
      <c r="I1166">
        <f>VLOOKUP(Table4[[#This Row],[Visitor]],'NHL Model'!$A$6:$B$38,2,FALSE)</f>
        <v>-0.45205624035379666</v>
      </c>
      <c r="J1166">
        <f>($B$1+Table4[[#This Row],[Home Differential]])-Table4[[#This Row],[Away Differential]]</f>
        <v>0.91702736770636917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0.68045769175632242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-0.32012591315776179</v>
      </c>
      <c r="H1167" t="s">
        <v>22</v>
      </c>
      <c r="I1167">
        <f>VLOOKUP(Table4[[#This Row],[Visitor]],'NHL Model'!$A$6:$B$38,2,FALSE)</f>
        <v>0.24850541890141886</v>
      </c>
      <c r="J1167">
        <f>($B$1+Table4[[#This Row],[Home Differential]])-Table4[[#This Row],[Away Differential]]</f>
        <v>-0.52000208261775849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0.54259439720697489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0.35473499802405739</v>
      </c>
      <c r="H1168" t="s">
        <v>18</v>
      </c>
      <c r="I1168">
        <f>VLOOKUP(Table4[[#This Row],[Visitor]],'NHL Model'!$A$6:$B$38,2,FALSE)</f>
        <v>-0.69003864116815428</v>
      </c>
      <c r="J1168">
        <f>($B$1+Table4[[#This Row],[Home Differential]])-Table4[[#This Row],[Away Differential]]</f>
        <v>1.093402888633634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0.65173825511708838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-0.81978323318233992</v>
      </c>
      <c r="H1169" t="s">
        <v>21</v>
      </c>
      <c r="I1169">
        <f>VLOOKUP(Table4[[#This Row],[Visitor]],'NHL Model'!$A$6:$B$38,2,FALSE)</f>
        <v>-0.29972363155607096</v>
      </c>
      <c r="J1169">
        <f>($B$1+Table4[[#This Row],[Home Differential]])-Table4[[#This Row],[Away Differential]]</f>
        <v>-0.47143035218484675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0.51687976858050644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2.1114018573289962E-3</v>
      </c>
      <c r="H1170" t="s">
        <v>10</v>
      </c>
      <c r="I1170">
        <f>VLOOKUP(Table4[[#This Row],[Visitor]],'NHL Model'!$A$6:$B$38,2,FALSE)</f>
        <v>-0.35229536402491796</v>
      </c>
      <c r="J1170">
        <f>($B$1+Table4[[#This Row],[Home Differential]])-Table4[[#This Row],[Away Differential]]</f>
        <v>0.40303601532366917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0.68803239210791178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-0.40624923719383538</v>
      </c>
      <c r="H1171" t="s">
        <v>11</v>
      </c>
      <c r="I1171">
        <f>VLOOKUP(Table4[[#This Row],[Visitor]],'NHL Model'!$A$6:$B$38,2,FALSE)</f>
        <v>-0.479695961608754</v>
      </c>
      <c r="J1171">
        <f>($B$1+Table4[[#This Row],[Home Differential]])-Table4[[#This Row],[Away Differential]]</f>
        <v>0.12207597385634084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0.55451410995072092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-0.28566683768028334</v>
      </c>
      <c r="H1172" t="s">
        <v>39</v>
      </c>
      <c r="I1172">
        <f>VLOOKUP(Table4[[#This Row],[Visitor]],'NHL Model'!$A$6:$B$38,2,FALSE)</f>
        <v>0.17994412141822874</v>
      </c>
      <c r="J1172">
        <f>($B$1+Table4[[#This Row],[Home Differential]])-Table4[[#This Row],[Away Differential]]</f>
        <v>-0.41698170965708986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0.57898841922861999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0.41634187791115029</v>
      </c>
      <c r="H1173" t="s">
        <v>29</v>
      </c>
      <c r="I1173">
        <f>VLOOKUP(Table4[[#This Row],[Visitor]],'NHL Model'!$A$6:$B$38,2,FALSE)</f>
        <v>-1.4761804210410974</v>
      </c>
      <c r="J1173">
        <f>($B$1+Table4[[#This Row],[Home Differential]])-Table4[[#This Row],[Away Differential]]</f>
        <v>1.9411515483936699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0.80303748294295074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0.12352843374450689</v>
      </c>
      <c r="H1174" t="s">
        <v>19</v>
      </c>
      <c r="I1174">
        <f>VLOOKUP(Table4[[#This Row],[Visitor]],'NHL Model'!$A$6:$B$38,2,FALSE)</f>
        <v>-0.75971379218342783</v>
      </c>
      <c r="J1174">
        <f>($B$1+Table4[[#This Row],[Home Differential]])-Table4[[#This Row],[Away Differential]]</f>
        <v>0.93187147536935688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0.73062870751640074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1.5255226246883613</v>
      </c>
      <c r="H1175" t="s">
        <v>16</v>
      </c>
      <c r="I1175">
        <f>VLOOKUP(Table4[[#This Row],[Visitor]],'NHL Model'!$A$6:$B$38,2,FALSE)</f>
        <v>-1.1693700053921123</v>
      </c>
      <c r="J1175">
        <f>($B$1+Table4[[#This Row],[Home Differential]])-Table4[[#This Row],[Away Differential]]</f>
        <v>2.7435218795218956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0.9705183921016034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-0.22994539344581519</v>
      </c>
      <c r="H1176" t="s">
        <v>14</v>
      </c>
      <c r="I1176">
        <f>VLOOKUP(Table4[[#This Row],[Visitor]],'NHL Model'!$A$6:$B$38,2,FALSE)</f>
        <v>-0.39956044496834064</v>
      </c>
      <c r="J1176">
        <f>($B$1+Table4[[#This Row],[Home Differential]])-Table4[[#This Row],[Away Differential]]</f>
        <v>0.21824430096394767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0.54517872344522111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-0.63428770456303318</v>
      </c>
      <c r="H1177" t="s">
        <v>35</v>
      </c>
      <c r="I1177">
        <f>VLOOKUP(Table4[[#This Row],[Visitor]],'NHL Model'!$A$6:$B$38,2,FALSE)</f>
        <v>-1.4300915005812256</v>
      </c>
      <c r="J1177">
        <f>($B$1+Table4[[#This Row],[Home Differential]])-Table4[[#This Row],[Away Differential]]</f>
        <v>0.84443304545961462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0.64039808555814615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-0.32012591315776179</v>
      </c>
      <c r="H1178" t="s">
        <v>38</v>
      </c>
      <c r="I1178">
        <f>VLOOKUP(Table4[[#This Row],[Visitor]],'NHL Model'!$A$6:$B$38,2,FALSE)</f>
        <v>-1.0671109812312936</v>
      </c>
      <c r="J1178">
        <f>($B$1+Table4[[#This Row],[Home Differential]])-Table4[[#This Row],[Away Differential]]</f>
        <v>0.79561431751495393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0.63101766913234891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-0.29972363155607096</v>
      </c>
      <c r="H1179" t="s">
        <v>39</v>
      </c>
      <c r="I1179">
        <f>VLOOKUP(Table4[[#This Row],[Visitor]],'NHL Model'!$A$6:$B$38,2,FALSE)</f>
        <v>0.17994412141822874</v>
      </c>
      <c r="J1179">
        <f>($B$1+Table4[[#This Row],[Home Differential]])-Table4[[#This Row],[Away Differential]]</f>
        <v>-0.43103850353287748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0.56976644254190245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-0.73453218371466944</v>
      </c>
      <c r="H1180" t="s">
        <v>30</v>
      </c>
      <c r="I1180">
        <f>VLOOKUP(Table4[[#This Row],[Visitor]],'NHL Model'!$A$6:$B$38,2,FALSE)</f>
        <v>-0.22994539344581519</v>
      </c>
      <c r="J1180">
        <f>($B$1+Table4[[#This Row],[Home Differential]])-Table4[[#This Row],[Away Differential]]</f>
        <v>-0.45595754082743201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0.58683381901196841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-0.81978323318233992</v>
      </c>
      <c r="H1181" t="s">
        <v>25</v>
      </c>
      <c r="I1181">
        <f>VLOOKUP(Table4[[#This Row],[Visitor]],'NHL Model'!$A$6:$B$38,2,FALSE)</f>
        <v>0.35473499802405739</v>
      </c>
      <c r="J1181">
        <f>($B$1+Table4[[#This Row],[Home Differential]])-Table4[[#This Row],[Away Differential]]</f>
        <v>-1.1258889817649751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0.66648469777255837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-0.35229536402491796</v>
      </c>
      <c r="H1182" t="s">
        <v>40</v>
      </c>
      <c r="I1182">
        <f>VLOOKUP(Table4[[#This Row],[Visitor]],'NHL Model'!$A$6:$B$38,2,FALSE)</f>
        <v>-0.24840457265646038</v>
      </c>
      <c r="J1182">
        <f>($B$1+Table4[[#This Row],[Home Differential]])-Table4[[#This Row],[Away Differential]]</f>
        <v>-5.5261541927035362E-2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0.5058570031303169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-0.92247588734712094</v>
      </c>
      <c r="H1183" t="s">
        <v>32</v>
      </c>
      <c r="I1183">
        <f>VLOOKUP(Table4[[#This Row],[Visitor]],'NHL Model'!$A$6:$B$38,2,FALSE)</f>
        <v>-0.75181957250890208</v>
      </c>
      <c r="J1183">
        <f>($B$1+Table4[[#This Row],[Home Differential]])-Table4[[#This Row],[Away Differential]]</f>
        <v>-0.12202706539679664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0.46746234316472379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-0.479695961608754</v>
      </c>
      <c r="H1184" t="s">
        <v>36</v>
      </c>
      <c r="I1184">
        <f>VLOOKUP(Table4[[#This Row],[Visitor]],'NHL Model'!$A$6:$B$38,2,FALSE)</f>
        <v>-0.45205624035379666</v>
      </c>
      <c r="J1184">
        <f>($B$1+Table4[[#This Row],[Home Differential]])-Table4[[#This Row],[Away Differential]]</f>
        <v>2.0989528186464879E-2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0.55568701989312852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-0.40624923719383538</v>
      </c>
      <c r="H1185" t="s">
        <v>24</v>
      </c>
      <c r="I1185">
        <f>VLOOKUP(Table4[[#This Row],[Visitor]],'NHL Model'!$A$6:$B$38,2,FALSE)</f>
        <v>2.1114018573289962E-3</v>
      </c>
      <c r="J1185">
        <f>($B$1+Table4[[#This Row],[Home Differential]])-Table4[[#This Row],[Away Differential]]</f>
        <v>-0.35973138960974216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0.52353916146555013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-0.39956044496834064</v>
      </c>
      <c r="H1186" t="s">
        <v>26</v>
      </c>
      <c r="I1186">
        <f>VLOOKUP(Table4[[#This Row],[Visitor]],'NHL Model'!$A$6:$B$38,2,FALSE)</f>
        <v>-0.97739270546148105</v>
      </c>
      <c r="J1186">
        <f>($B$1+Table4[[#This Row],[Home Differential]])-Table4[[#This Row],[Away Differential]]</f>
        <v>0.62646150993456262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0.61448256153815295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0.41634187791115029</v>
      </c>
      <c r="H1187" t="s">
        <v>18</v>
      </c>
      <c r="I1187">
        <f>VLOOKUP(Table4[[#This Row],[Visitor]],'NHL Model'!$A$6:$B$38,2,FALSE)</f>
        <v>-0.69003864116815428</v>
      </c>
      <c r="J1187">
        <f>($B$1+Table4[[#This Row],[Home Differential]])-Table4[[#This Row],[Away Differential]]</f>
        <v>1.1550097685207268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0.65069280161682108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0.24850541890141886</v>
      </c>
      <c r="H1188" t="s">
        <v>27</v>
      </c>
      <c r="I1188">
        <f>VLOOKUP(Table4[[#This Row],[Visitor]],'NHL Model'!$A$6:$B$38,2,FALSE)</f>
        <v>-0.28566683768028334</v>
      </c>
      <c r="J1188">
        <f>($B$1+Table4[[#This Row],[Home Differential]])-Table4[[#This Row],[Away Differential]]</f>
        <v>0.58280150602312442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0.59310116958266912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1.5255226246883613</v>
      </c>
      <c r="H1189" t="s">
        <v>38</v>
      </c>
      <c r="I1189">
        <f>VLOOKUP(Table4[[#This Row],[Visitor]],'NHL Model'!$A$6:$B$38,2,FALSE)</f>
        <v>-1.0671109812312936</v>
      </c>
      <c r="J1189">
        <f>($B$1+Table4[[#This Row],[Home Differential]])-Table4[[#This Row],[Away Differential]]</f>
        <v>2.6412628553610773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0.95505614416607854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-0.43202172705875852</v>
      </c>
      <c r="H1190" t="s">
        <v>35</v>
      </c>
      <c r="I1190">
        <f>VLOOKUP(Table4[[#This Row],[Visitor]],'NHL Model'!$A$6:$B$38,2,FALSE)</f>
        <v>-1.4300915005812256</v>
      </c>
      <c r="J1190">
        <f>($B$1+Table4[[#This Row],[Home Differential]])-Table4[[#This Row],[Away Differential]]</f>
        <v>1.0466990229638893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0.66444631179013036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-0.63428770456303318</v>
      </c>
      <c r="H1191" t="s">
        <v>31</v>
      </c>
      <c r="I1191">
        <f>VLOOKUP(Table4[[#This Row],[Visitor]],'NHL Model'!$A$6:$B$38,2,FALSE)</f>
        <v>0.12352843374450689</v>
      </c>
      <c r="J1191">
        <f>($B$1+Table4[[#This Row],[Home Differential]])-Table4[[#This Row],[Away Differential]]</f>
        <v>-0.70918688886611791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0.56508734968692664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0.35473499802405739</v>
      </c>
      <c r="H1192" t="s">
        <v>28</v>
      </c>
      <c r="I1192">
        <f>VLOOKUP(Table4[[#This Row],[Visitor]],'NHL Model'!$A$6:$B$38,2,FALSE)</f>
        <v>-0.81978323318233992</v>
      </c>
      <c r="J1192">
        <f>($B$1+Table4[[#This Row],[Home Differential]])-Table4[[#This Row],[Away Differential]]</f>
        <v>1.2231474806478195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0.72585616533898079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0.17994412141822874</v>
      </c>
      <c r="H1193" t="s">
        <v>40</v>
      </c>
      <c r="I1193">
        <f>VLOOKUP(Table4[[#This Row],[Visitor]],'NHL Model'!$A$6:$B$38,2,FALSE)</f>
        <v>-0.24840457265646038</v>
      </c>
      <c r="J1193">
        <f>($B$1+Table4[[#This Row],[Home Differential]])-Table4[[#This Row],[Away Differential]]</f>
        <v>0.47697794351611134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0.57670985123091012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-0.92247588734712094</v>
      </c>
      <c r="H1194" t="s">
        <v>10</v>
      </c>
      <c r="I1194">
        <f>VLOOKUP(Table4[[#This Row],[Visitor]],'NHL Model'!$A$6:$B$38,2,FALSE)</f>
        <v>-0.35229536402491796</v>
      </c>
      <c r="J1194">
        <f>($B$1+Table4[[#This Row],[Home Differential]])-Table4[[#This Row],[Away Differential]]</f>
        <v>-0.52155127388078082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0.51496340423948717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-0.479695961608754</v>
      </c>
      <c r="H1195" t="s">
        <v>21</v>
      </c>
      <c r="I1195">
        <f>VLOOKUP(Table4[[#This Row],[Visitor]],'NHL Model'!$A$6:$B$38,2,FALSE)</f>
        <v>-0.29972363155607096</v>
      </c>
      <c r="J1195">
        <f>($B$1+Table4[[#This Row],[Home Differential]])-Table4[[#This Row],[Away Differential]]</f>
        <v>-0.13134308061126082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0.4624244246714852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-0.43202172705875852</v>
      </c>
      <c r="H1196" t="s">
        <v>29</v>
      </c>
      <c r="I1196">
        <f>VLOOKUP(Table4[[#This Row],[Visitor]],'NHL Model'!$A$6:$B$38,2,FALSE)</f>
        <v>-1.4761804210410974</v>
      </c>
      <c r="J1196">
        <f>($B$1+Table4[[#This Row],[Home Differential]])-Table4[[#This Row],[Away Differential]]</f>
        <v>1.0927879434237611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0.66992601134060714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-0.15703092434902144</v>
      </c>
      <c r="H1197" t="s">
        <v>38</v>
      </c>
      <c r="I1197">
        <f>VLOOKUP(Table4[[#This Row],[Visitor]],'NHL Model'!$A$6:$B$38,2,FALSE)</f>
        <v>-1.0671109812312936</v>
      </c>
      <c r="J1197">
        <f>($B$1+Table4[[#This Row],[Home Differential]])-Table4[[#This Row],[Away Differential]]</f>
        <v>0.95870930632369433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0.65040869690958658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2.1114018573289962E-3</v>
      </c>
      <c r="H1198" t="s">
        <v>22</v>
      </c>
      <c r="I1198">
        <f>VLOOKUP(Table4[[#This Row],[Visitor]],'NHL Model'!$A$6:$B$38,2,FALSE)</f>
        <v>0.24850541890141886</v>
      </c>
      <c r="J1198">
        <f>($B$1+Table4[[#This Row],[Home Differential]])-Table4[[#This Row],[Away Differential]]</f>
        <v>-0.19776476760266765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0.40282340387343696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-0.40624923719383538</v>
      </c>
      <c r="H1199" t="s">
        <v>18</v>
      </c>
      <c r="I1199">
        <f>VLOOKUP(Table4[[#This Row],[Visitor]],'NHL Model'!$A$6:$B$38,2,FALSE)</f>
        <v>-0.69003864116815428</v>
      </c>
      <c r="J1199">
        <f>($B$1+Table4[[#This Row],[Home Differential]])-Table4[[#This Row],[Away Differential]]</f>
        <v>0.33241865341574112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0.52023477437201693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-0.45205624035379666</v>
      </c>
      <c r="H1200" t="s">
        <v>23</v>
      </c>
      <c r="I1200">
        <f>VLOOKUP(Table4[[#This Row],[Visitor]],'NHL Model'!$A$6:$B$38,2,FALSE)</f>
        <v>-0.73453218371466944</v>
      </c>
      <c r="J1200">
        <f>($B$1+Table4[[#This Row],[Home Differential]])-Table4[[#This Row],[Away Differential]]</f>
        <v>0.331105192802295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0.58186192472000287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-0.28566683768028334</v>
      </c>
      <c r="H1201" t="s">
        <v>26</v>
      </c>
      <c r="I1201">
        <f>VLOOKUP(Table4[[#This Row],[Visitor]],'NHL Model'!$A$6:$B$38,2,FALSE)</f>
        <v>-0.97739270546148105</v>
      </c>
      <c r="J1201">
        <f>($B$1+Table4[[#This Row],[Home Differential]])-Table4[[#This Row],[Away Differential]]</f>
        <v>0.74035511722261993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0.66026990239544925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-0.75181957250890208</v>
      </c>
      <c r="H1202" t="s">
        <v>55</v>
      </c>
      <c r="I1202">
        <f>VLOOKUP(Table4[[#This Row],[Visitor]],'NHL Model'!$A$6:$B$38,2,FALSE)</f>
        <v>-0.38947416486586689</v>
      </c>
      <c r="J1202">
        <f>($B$1+Table4[[#This Row],[Home Differential]])-Table4[[#This Row],[Away Differential]]</f>
        <v>-0.31371615820161297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0.49729899233746266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-0.63428770456303318</v>
      </c>
      <c r="H1203" t="s">
        <v>19</v>
      </c>
      <c r="I1203">
        <f>VLOOKUP(Table4[[#This Row],[Visitor]],'NHL Model'!$A$6:$B$38,2,FALSE)</f>
        <v>-0.75971379218342783</v>
      </c>
      <c r="J1203">
        <f>($B$1+Table4[[#This Row],[Home Differential]])-Table4[[#This Row],[Away Differential]]</f>
        <v>0.17405533706181686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0.5606941482408152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0.41634187791115029</v>
      </c>
      <c r="H1204" t="s">
        <v>14</v>
      </c>
      <c r="I1204">
        <f>VLOOKUP(Table4[[#This Row],[Visitor]],'NHL Model'!$A$6:$B$38,2,FALSE)</f>
        <v>-0.39956044496834064</v>
      </c>
      <c r="J1204">
        <f>($B$1+Table4[[#This Row],[Home Differential]])-Table4[[#This Row],[Away Differential]]</f>
        <v>0.86453157232091316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0.65451181924252422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-0.32012591315776179</v>
      </c>
      <c r="H1205" t="s">
        <v>16</v>
      </c>
      <c r="I1205">
        <f>VLOOKUP(Table4[[#This Row],[Visitor]],'NHL Model'!$A$6:$B$38,2,FALSE)</f>
        <v>-1.1693700053921123</v>
      </c>
      <c r="J1205">
        <f>($B$1+Table4[[#This Row],[Home Differential]])-Table4[[#This Row],[Away Differential]]</f>
        <v>0.89787334167577271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0.64675182012669585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0.12352843374450689</v>
      </c>
      <c r="H1206" t="s">
        <v>35</v>
      </c>
      <c r="I1206">
        <f>VLOOKUP(Table4[[#This Row],[Visitor]],'NHL Model'!$A$6:$B$38,2,FALSE)</f>
        <v>-1.4300915005812256</v>
      </c>
      <c r="J1206">
        <f>($B$1+Table4[[#This Row],[Home Differential]])-Table4[[#This Row],[Away Differential]]</f>
        <v>1.6022491837671546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0.81033264483373169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-0.22994539344581519</v>
      </c>
      <c r="H1207" t="s">
        <v>27</v>
      </c>
      <c r="I1207">
        <f>VLOOKUP(Table4[[#This Row],[Visitor]],'NHL Model'!$A$6:$B$38,2,FALSE)</f>
        <v>-0.28566683768028334</v>
      </c>
      <c r="J1207">
        <f>($B$1+Table4[[#This Row],[Home Differential]])-Table4[[#This Row],[Away Differential]]</f>
        <v>0.10435069367589037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0.50989411635138282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0.12352843374450689</v>
      </c>
      <c r="H1208" t="s">
        <v>16</v>
      </c>
      <c r="I1208">
        <f>VLOOKUP(Table4[[#This Row],[Visitor]],'NHL Model'!$A$6:$B$38,2,FALSE)</f>
        <v>-1.1693700053921123</v>
      </c>
      <c r="J1208">
        <f>($B$1+Table4[[#This Row],[Home Differential]])-Table4[[#This Row],[Away Differential]]</f>
        <v>1.3415276885780414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0.77933440391742892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0.35473499802405739</v>
      </c>
      <c r="H1209" t="s">
        <v>30</v>
      </c>
      <c r="I1209">
        <f>VLOOKUP(Table4[[#This Row],[Visitor]],'NHL Model'!$A$6:$B$38,2,FALSE)</f>
        <v>-0.22994539344581519</v>
      </c>
      <c r="J1209">
        <f>($B$1+Table4[[#This Row],[Home Differential]])-Table4[[#This Row],[Away Differential]]</f>
        <v>0.63330964091129482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0.58367665200198626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-0.81978323318233992</v>
      </c>
      <c r="H1210" t="s">
        <v>40</v>
      </c>
      <c r="I1210">
        <f>VLOOKUP(Table4[[#This Row],[Visitor]],'NHL Model'!$A$6:$B$38,2,FALSE)</f>
        <v>-0.24840457265646038</v>
      </c>
      <c r="J1210">
        <f>($B$1+Table4[[#This Row],[Home Differential]])-Table4[[#This Row],[Away Differential]]</f>
        <v>-0.52274941108445727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0.56143854075182975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0.17994412141822874</v>
      </c>
      <c r="H1211" t="s">
        <v>12</v>
      </c>
      <c r="I1211">
        <f>VLOOKUP(Table4[[#This Row],[Visitor]],'NHL Model'!$A$6:$B$38,2,FALSE)</f>
        <v>1.5255226246883613</v>
      </c>
      <c r="J1211">
        <f>($B$1+Table4[[#This Row],[Home Differential]])-Table4[[#This Row],[Away Differential]]</f>
        <v>-1.2969492538287104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0.66756856538122211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-0.92247588734712094</v>
      </c>
      <c r="H1212" t="s">
        <v>20</v>
      </c>
      <c r="I1212">
        <f>VLOOKUP(Table4[[#This Row],[Visitor]],'NHL Model'!$A$6:$B$38,2,FALSE)</f>
        <v>-0.32012591315776179</v>
      </c>
      <c r="J1212">
        <f>($B$1+Table4[[#This Row],[Home Differential]])-Table4[[#This Row],[Away Differential]]</f>
        <v>-0.55372072474793699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0.51878816133288286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-0.43202172705875852</v>
      </c>
      <c r="H1213" t="s">
        <v>19</v>
      </c>
      <c r="I1213">
        <f>VLOOKUP(Table4[[#This Row],[Visitor]],'NHL Model'!$A$6:$B$38,2,FALSE)</f>
        <v>-0.75971379218342783</v>
      </c>
      <c r="J1213">
        <f>($B$1+Table4[[#This Row],[Home Differential]])-Table4[[#This Row],[Away Differential]]</f>
        <v>0.37632131456609152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0.58474237447279942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2.1114018573289962E-3</v>
      </c>
      <c r="H1214" t="s">
        <v>18</v>
      </c>
      <c r="I1214">
        <f>VLOOKUP(Table4[[#This Row],[Visitor]],'NHL Model'!$A$6:$B$38,2,FALSE)</f>
        <v>-0.69003864116815428</v>
      </c>
      <c r="J1214">
        <f>($B$1+Table4[[#This Row],[Home Differential]])-Table4[[#This Row],[Away Differential]]</f>
        <v>0.74077929246690544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0.67185805229410134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-0.40624923719383538</v>
      </c>
      <c r="H1215" t="s">
        <v>26</v>
      </c>
      <c r="I1215">
        <f>VLOOKUP(Table4[[#This Row],[Visitor]],'NHL Model'!$A$6:$B$38,2,FALSE)</f>
        <v>-0.97739270546148105</v>
      </c>
      <c r="J1215">
        <f>($B$1+Table4[[#This Row],[Home Differential]])-Table4[[#This Row],[Away Differential]]</f>
        <v>0.61977271770906794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0.613687303775863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-0.45205624035379666</v>
      </c>
      <c r="H1216" t="s">
        <v>34</v>
      </c>
      <c r="I1216">
        <f>VLOOKUP(Table4[[#This Row],[Visitor]],'NHL Model'!$A$6:$B$38,2,FALSE)</f>
        <v>-0.15703092434902144</v>
      </c>
      <c r="J1216">
        <f>($B$1+Table4[[#This Row],[Home Differential]])-Table4[[#This Row],[Away Differential]]</f>
        <v>-0.246396066563353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0.52929503233563502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-0.39956044496834064</v>
      </c>
      <c r="H1217" t="s">
        <v>11</v>
      </c>
      <c r="I1217">
        <f>VLOOKUP(Table4[[#This Row],[Visitor]],'NHL Model'!$A$6:$B$38,2,FALSE)</f>
        <v>-0.479695961608754</v>
      </c>
      <c r="J1217">
        <f>($B$1+Table4[[#This Row],[Home Differential]])-Table4[[#This Row],[Away Differential]]</f>
        <v>0.12876476608183557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0.55530936771301087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-0.75181957250890208</v>
      </c>
      <c r="H1218" t="s">
        <v>10</v>
      </c>
      <c r="I1218">
        <f>VLOOKUP(Table4[[#This Row],[Visitor]],'NHL Model'!$A$6:$B$38,2,FALSE)</f>
        <v>-0.35229536402491796</v>
      </c>
      <c r="J1218">
        <f>($B$1+Table4[[#This Row],[Home Differential]])-Table4[[#This Row],[Away Differential]]</f>
        <v>-0.3508949590425619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0.50171933146067549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-0.63428770456303318</v>
      </c>
      <c r="H1219" t="s">
        <v>29</v>
      </c>
      <c r="I1219">
        <f>VLOOKUP(Table4[[#This Row],[Visitor]],'NHL Model'!$A$6:$B$38,2,FALSE)</f>
        <v>-1.4761804210410974</v>
      </c>
      <c r="J1219">
        <f>($B$1+Table4[[#This Row],[Home Differential]])-Table4[[#This Row],[Away Differential]]</f>
        <v>0.8905219659194864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0.64587778510862293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0.41634187791115029</v>
      </c>
      <c r="H1220" t="s">
        <v>21</v>
      </c>
      <c r="I1220">
        <f>VLOOKUP(Table4[[#This Row],[Visitor]],'NHL Model'!$A$6:$B$38,2,FALSE)</f>
        <v>-0.29972363155607096</v>
      </c>
      <c r="J1220">
        <f>($B$1+Table4[[#This Row],[Home Differential]])-Table4[[#This Row],[Away Differential]]</f>
        <v>0.76469475890864347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0.66234624719170876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-1.0671109812312936</v>
      </c>
      <c r="H1221" t="s">
        <v>55</v>
      </c>
      <c r="I1221">
        <f>VLOOKUP(Table4[[#This Row],[Visitor]],'NHL Model'!$A$6:$B$38,2,FALSE)</f>
        <v>-0.38947416486586689</v>
      </c>
      <c r="J1221">
        <f>($B$1+Table4[[#This Row],[Home Differential]])-Table4[[#This Row],[Away Differential]]</f>
        <v>-0.6290075669240045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0.53478527262796205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0.24850541890141886</v>
      </c>
      <c r="H1222" t="s">
        <v>23</v>
      </c>
      <c r="I1222">
        <f>VLOOKUP(Table4[[#This Row],[Visitor]],'NHL Model'!$A$6:$B$38,2,FALSE)</f>
        <v>-0.73453218371466944</v>
      </c>
      <c r="J1222">
        <f>($B$1+Table4[[#This Row],[Home Differential]])-Table4[[#This Row],[Away Differential]]</f>
        <v>1.0316668520575105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0.68869681158903695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1.5255226246883613</v>
      </c>
      <c r="H1223" t="s">
        <v>35</v>
      </c>
      <c r="I1223">
        <f>VLOOKUP(Table4[[#This Row],[Visitor]],'NHL Model'!$A$6:$B$38,2,FALSE)</f>
        <v>-1.4300915005812256</v>
      </c>
      <c r="J1223">
        <f>($B$1+Table4[[#This Row],[Home Differential]])-Table4[[#This Row],[Away Differential]]</f>
        <v>3.0042433747110091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-0.97739270546148105</v>
      </c>
      <c r="H1224" t="s">
        <v>34</v>
      </c>
      <c r="I1224">
        <f>VLOOKUP(Table4[[#This Row],[Visitor]],'NHL Model'!$A$6:$B$38,2,FALSE)</f>
        <v>-0.15703092434902144</v>
      </c>
      <c r="J1224">
        <f>($B$1+Table4[[#This Row],[Home Differential]])-Table4[[#This Row],[Away Differential]]</f>
        <v>-0.77173253167103739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0.59426698805750899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-0.69003864116815428</v>
      </c>
      <c r="H1225" t="s">
        <v>24</v>
      </c>
      <c r="I1225">
        <f>VLOOKUP(Table4[[#This Row],[Visitor]],'NHL Model'!$A$6:$B$38,2,FALSE)</f>
        <v>2.1114018573289962E-3</v>
      </c>
      <c r="J1225">
        <f>($B$1+Table4[[#This Row],[Home Differential]])-Table4[[#This Row],[Away Differential]]</f>
        <v>-0.643520793584061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0.55728004005137233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-0.40624923719383538</v>
      </c>
      <c r="H1226" t="s">
        <v>22</v>
      </c>
      <c r="I1226">
        <f>VLOOKUP(Table4[[#This Row],[Visitor]],'NHL Model'!$A$6:$B$38,2,FALSE)</f>
        <v>0.24850541890141886</v>
      </c>
      <c r="J1226">
        <f>($B$1+Table4[[#This Row],[Home Differential]])-Table4[[#This Row],[Away Differential]]</f>
        <v>-0.60612540665383197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0.55283395012548886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-0.45205624035379666</v>
      </c>
      <c r="H1227" t="s">
        <v>25</v>
      </c>
      <c r="I1227">
        <f>VLOOKUP(Table4[[#This Row],[Visitor]],'NHL Model'!$A$6:$B$38,2,FALSE)</f>
        <v>0.35473499802405739</v>
      </c>
      <c r="J1227">
        <f>($B$1+Table4[[#This Row],[Home Differential]])-Table4[[#This Row],[Away Differential]]</f>
        <v>-0.75816198893643183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0.62026145004998989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-0.28566683768028334</v>
      </c>
      <c r="H1228" t="s">
        <v>21</v>
      </c>
      <c r="I1228">
        <f>VLOOKUP(Table4[[#This Row],[Visitor]],'NHL Model'!$A$6:$B$38,2,FALSE)</f>
        <v>-0.29972363155607096</v>
      </c>
      <c r="J1228">
        <f>($B$1+Table4[[#This Row],[Home Differential]])-Table4[[#This Row],[Away Differential]]</f>
        <v>6.2686043317209839E-2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0.57888157054330569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-0.39956044496834064</v>
      </c>
      <c r="H1229" t="s">
        <v>11</v>
      </c>
      <c r="I1229">
        <f>VLOOKUP(Table4[[#This Row],[Visitor]],'NHL Model'!$A$6:$B$38,2,FALSE)</f>
        <v>-0.479695961608754</v>
      </c>
      <c r="J1229">
        <f>($B$1+Table4[[#This Row],[Home Differential]])-Table4[[#This Row],[Away Differential]]</f>
        <v>0.12876476608183557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0.55530936771301087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-0.73453218371466944</v>
      </c>
      <c r="H1230" t="s">
        <v>37</v>
      </c>
      <c r="I1230">
        <f>VLOOKUP(Table4[[#This Row],[Visitor]],'NHL Model'!$A$6:$B$38,2,FALSE)</f>
        <v>0.41634187791115029</v>
      </c>
      <c r="J1230">
        <f>($B$1+Table4[[#This Row],[Home Differential]])-Table4[[#This Row],[Away Differential]]</f>
        <v>-1.1022448121843975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0.68353656484645398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-0.43202172705875852</v>
      </c>
      <c r="H1231" t="s">
        <v>29</v>
      </c>
      <c r="I1231">
        <f>VLOOKUP(Table4[[#This Row],[Visitor]],'NHL Model'!$A$6:$B$38,2,FALSE)</f>
        <v>-1.4761804210410974</v>
      </c>
      <c r="J1231">
        <f>($B$1+Table4[[#This Row],[Home Differential]])-Table4[[#This Row],[Away Differential]]</f>
        <v>1.0927879434237611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0.66992601134060714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-0.63428770456303318</v>
      </c>
      <c r="H1232" t="s">
        <v>10</v>
      </c>
      <c r="I1232">
        <f>VLOOKUP(Table4[[#This Row],[Visitor]],'NHL Model'!$A$6:$B$38,2,FALSE)</f>
        <v>-0.35229536402491796</v>
      </c>
      <c r="J1232">
        <f>($B$1+Table4[[#This Row],[Home Differential]])-Table4[[#This Row],[Away Differential]]</f>
        <v>-0.23336309109669301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0.48774548877736895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-0.24840457265646038</v>
      </c>
      <c r="H1233" t="s">
        <v>32</v>
      </c>
      <c r="I1233">
        <f>VLOOKUP(Table4[[#This Row],[Visitor]],'NHL Model'!$A$6:$B$38,2,FALSE)</f>
        <v>-0.75181957250890208</v>
      </c>
      <c r="J1233">
        <f>($B$1+Table4[[#This Row],[Home Differential]])-Table4[[#This Row],[Away Differential]]</f>
        <v>0.55204424929386398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0.60813026939936499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0.12352843374450689</v>
      </c>
      <c r="H1234" t="s">
        <v>29</v>
      </c>
      <c r="I1234">
        <f>VLOOKUP(Table4[[#This Row],[Visitor]],'NHL Model'!$A$6:$B$38,2,FALSE)</f>
        <v>-1.4761804210410974</v>
      </c>
      <c r="J1234">
        <f>($B$1+Table4[[#This Row],[Home Differential]])-Table4[[#This Row],[Away Differential]]</f>
        <v>1.6483381042270264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0.81581234438420847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0.35473499802405739</v>
      </c>
      <c r="H1235" t="s">
        <v>21</v>
      </c>
      <c r="I1235">
        <f>VLOOKUP(Table4[[#This Row],[Visitor]],'NHL Model'!$A$6:$B$38,2,FALSE)</f>
        <v>-0.29972363155607096</v>
      </c>
      <c r="J1235">
        <f>($B$1+Table4[[#This Row],[Home Differential]])-Table4[[#This Row],[Away Differential]]</f>
        <v>0.70308787902155057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0.6632108171807457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0.17994412141822874</v>
      </c>
      <c r="H1236" t="s">
        <v>16</v>
      </c>
      <c r="I1236">
        <f>VLOOKUP(Table4[[#This Row],[Visitor]],'NHL Model'!$A$6:$B$38,2,FALSE)</f>
        <v>-1.1693700053921123</v>
      </c>
      <c r="J1236">
        <f>($B$1+Table4[[#This Row],[Home Differential]])-Table4[[#This Row],[Away Differential]]</f>
        <v>1.3979433762517632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0.72531261546620018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-0.97739270546148105</v>
      </c>
      <c r="H1237" t="s">
        <v>28</v>
      </c>
      <c r="I1237">
        <f>VLOOKUP(Table4[[#This Row],[Visitor]],'NHL Model'!$A$6:$B$38,2,FALSE)</f>
        <v>-0.81978323318233992</v>
      </c>
      <c r="J1237">
        <f>($B$1+Table4[[#This Row],[Home Differential]])-Table4[[#This Row],[Away Differential]]</f>
        <v>-0.10898022283771891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0.4729571027512926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-0.15703092434902144</v>
      </c>
      <c r="H1238" t="s">
        <v>32</v>
      </c>
      <c r="I1238">
        <f>VLOOKUP(Table4[[#This Row],[Visitor]],'NHL Model'!$A$6:$B$38,2,FALSE)</f>
        <v>-0.75181957250890208</v>
      </c>
      <c r="J1238">
        <f>($B$1+Table4[[#This Row],[Home Differential]])-Table4[[#This Row],[Away Differential]]</f>
        <v>0.64341789760130286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0.61649857555948473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-0.69003864116815428</v>
      </c>
      <c r="H1239" t="s">
        <v>11</v>
      </c>
      <c r="I1239">
        <f>VLOOKUP(Table4[[#This Row],[Visitor]],'NHL Model'!$A$6:$B$38,2,FALSE)</f>
        <v>-0.479695961608754</v>
      </c>
      <c r="J1239">
        <f>($B$1+Table4[[#This Row],[Home Differential]])-Table4[[#This Row],[Away Differential]]</f>
        <v>-0.16171343011797806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0.47922676863510139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2.1114018573289962E-3</v>
      </c>
      <c r="H1240" t="s">
        <v>27</v>
      </c>
      <c r="I1240">
        <f>VLOOKUP(Table4[[#This Row],[Visitor]],'NHL Model'!$A$6:$B$38,2,FALSE)</f>
        <v>-0.28566683768028334</v>
      </c>
      <c r="J1240">
        <f>($B$1+Table4[[#This Row],[Home Differential]])-Table4[[#This Row],[Away Differential]]</f>
        <v>0.33640748897903455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0.63999685711320664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-0.45205624035379666</v>
      </c>
      <c r="H1241" t="s">
        <v>37</v>
      </c>
      <c r="I1241">
        <f>VLOOKUP(Table4[[#This Row],[Visitor]],'NHL Model'!$A$6:$B$38,2,FALSE)</f>
        <v>0.41634187791115029</v>
      </c>
      <c r="J1241">
        <f>($B$1+Table4[[#This Row],[Home Differential]])-Table4[[#This Row],[Away Differential]]</f>
        <v>-0.81976886882352473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0.64746566109957515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-1.4300915005812256</v>
      </c>
      <c r="H1242" t="s">
        <v>12</v>
      </c>
      <c r="I1242">
        <f>VLOOKUP(Table4[[#This Row],[Visitor]],'NHL Model'!$A$6:$B$38,2,FALSE)</f>
        <v>1.5255226246883613</v>
      </c>
      <c r="J1242">
        <f>($B$1+Table4[[#This Row],[Home Differential]])-Table4[[#This Row],[Away Differential]]</f>
        <v>-2.9069848758281647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0.87824644599037005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-0.38947416486586689</v>
      </c>
      <c r="H1243" t="s">
        <v>17</v>
      </c>
      <c r="I1243">
        <f>VLOOKUP(Table4[[#This Row],[Visitor]],'NHL Model'!$A$6:$B$38,2,FALSE)</f>
        <v>-0.92247588734712094</v>
      </c>
      <c r="J1243">
        <f>($B$1+Table4[[#This Row],[Home Differential]])-Table4[[#This Row],[Away Differential]]</f>
        <v>0.58163097192267621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0.64958365365050919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-1.0671109812312936</v>
      </c>
      <c r="H1244" t="s">
        <v>20</v>
      </c>
      <c r="I1244">
        <f>VLOOKUP(Table4[[#This Row],[Visitor]],'NHL Model'!$A$6:$B$38,2,FALSE)</f>
        <v>-0.32012591315776179</v>
      </c>
      <c r="J1244">
        <f>($B$1+Table4[[#This Row],[Home Differential]])-Table4[[#This Row],[Away Differential]]</f>
        <v>-0.69835581863210949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0.54303036884457045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-0.40624923719383538</v>
      </c>
      <c r="H1245" t="s">
        <v>23</v>
      </c>
      <c r="I1245">
        <f>VLOOKUP(Table4[[#This Row],[Visitor]],'NHL Model'!$A$6:$B$38,2,FALSE)</f>
        <v>-0.73453218371466944</v>
      </c>
      <c r="J1245">
        <f>($B$1+Table4[[#This Row],[Home Differential]])-Table4[[#This Row],[Away Differential]]</f>
        <v>0.37691219596225628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0.5848126267696343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-0.63428770456303318</v>
      </c>
      <c r="H1246" t="s">
        <v>17</v>
      </c>
      <c r="I1246">
        <f>VLOOKUP(Table4[[#This Row],[Visitor]],'NHL Model'!$A$6:$B$38,2,FALSE)</f>
        <v>-0.92247588734712094</v>
      </c>
      <c r="J1246">
        <f>($B$1+Table4[[#This Row],[Home Differential]])-Table4[[#This Row],[Away Differential]]</f>
        <v>0.33681743222550997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0.58004559693616242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-0.75971379218342783</v>
      </c>
      <c r="H1247" t="s">
        <v>22</v>
      </c>
      <c r="I1247">
        <f>VLOOKUP(Table4[[#This Row],[Visitor]],'NHL Model'!$A$6:$B$38,2,FALSE)</f>
        <v>0.24850541890141886</v>
      </c>
      <c r="J1247">
        <f>($B$1+Table4[[#This Row],[Home Differential]])-Table4[[#This Row],[Away Differential]]</f>
        <v>-0.95958996164342447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0.59485879131855457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0.12352843374450689</v>
      </c>
      <c r="H1248" t="s">
        <v>33</v>
      </c>
      <c r="I1248">
        <f>VLOOKUP(Table4[[#This Row],[Visitor]],'NHL Model'!$A$6:$B$38,2,FALSE)</f>
        <v>-0.63428770456303318</v>
      </c>
      <c r="J1248">
        <f>($B$1+Table4[[#This Row],[Home Differential]])-Table4[[#This Row],[Away Differential]]</f>
        <v>0.80644538774896235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0.71571628888967354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-0.73453218371466944</v>
      </c>
      <c r="H1249" t="s">
        <v>28</v>
      </c>
      <c r="I1249">
        <f>VLOOKUP(Table4[[#This Row],[Visitor]],'NHL Model'!$A$6:$B$38,2,FALSE)</f>
        <v>-0.81978323318233992</v>
      </c>
      <c r="J1249">
        <f>($B$1+Table4[[#This Row],[Home Differential]])-Table4[[#This Row],[Away Differential]]</f>
        <v>0.1338802989090927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0.55591757425493615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-0.35229536402491796</v>
      </c>
      <c r="H1250" t="s">
        <v>25</v>
      </c>
      <c r="I1250">
        <f>VLOOKUP(Table4[[#This Row],[Visitor]],'NHL Model'!$A$6:$B$38,2,FALSE)</f>
        <v>0.35473499802405739</v>
      </c>
      <c r="J1250">
        <f>($B$1+Table4[[#This Row],[Home Differential]])-Table4[[#This Row],[Away Differential]]</f>
        <v>-0.65840111260755307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0.61090316015104551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1.5255226246883613</v>
      </c>
      <c r="H1251" t="s">
        <v>16</v>
      </c>
      <c r="I1251">
        <f>VLOOKUP(Table4[[#This Row],[Visitor]],'NHL Model'!$A$6:$B$38,2,FALSE)</f>
        <v>-1.1693700053921123</v>
      </c>
      <c r="J1251">
        <f>($B$1+Table4[[#This Row],[Home Differential]])-Table4[[#This Row],[Away Differential]]</f>
        <v>2.7435218795218956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0.9705183921016034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0.17994412141822874</v>
      </c>
      <c r="H1252" t="s">
        <v>34</v>
      </c>
      <c r="I1252">
        <f>VLOOKUP(Table4[[#This Row],[Visitor]],'NHL Model'!$A$6:$B$38,2,FALSE)</f>
        <v>-0.15703092434902144</v>
      </c>
      <c r="J1252">
        <f>($B$1+Table4[[#This Row],[Home Differential]])-Table4[[#This Row],[Away Differential]]</f>
        <v>0.3856042952086724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0.56262458935638349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-0.97739270546148105</v>
      </c>
      <c r="H1253" t="s">
        <v>27</v>
      </c>
      <c r="I1253">
        <f>VLOOKUP(Table4[[#This Row],[Visitor]],'NHL Model'!$A$6:$B$38,2,FALSE)</f>
        <v>-0.28566683768028334</v>
      </c>
      <c r="J1253">
        <f>($B$1+Table4[[#This Row],[Home Differential]])-Table4[[#This Row],[Away Differential]]</f>
        <v>-0.64309661833977549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0.57897294017304601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-0.43202172705875852</v>
      </c>
      <c r="H1254" t="s">
        <v>38</v>
      </c>
      <c r="I1254">
        <f>VLOOKUP(Table4[[#This Row],[Visitor]],'NHL Model'!$A$6:$B$38,2,FALSE)</f>
        <v>-1.0671109812312936</v>
      </c>
      <c r="J1254">
        <f>($B$1+Table4[[#This Row],[Home Differential]])-Table4[[#This Row],[Away Differential]]</f>
        <v>0.68371850361395725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0.61771391987948066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-0.69003864116815428</v>
      </c>
      <c r="H1255" t="s">
        <v>37</v>
      </c>
      <c r="I1255">
        <f>VLOOKUP(Table4[[#This Row],[Visitor]],'NHL Model'!$A$6:$B$38,2,FALSE)</f>
        <v>0.41634187791115029</v>
      </c>
      <c r="J1255">
        <f>($B$1+Table4[[#This Row],[Home Differential]])-Table4[[#This Row],[Away Differential]]</f>
        <v>-1.0577512696378824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0.67824654627672987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2.1114018573289962E-3</v>
      </c>
      <c r="H1256" t="s">
        <v>14</v>
      </c>
      <c r="I1256">
        <f>VLOOKUP(Table4[[#This Row],[Visitor]],'NHL Model'!$A$6:$B$38,2,FALSE)</f>
        <v>-0.39956044496834064</v>
      </c>
      <c r="J1256">
        <f>($B$1+Table4[[#This Row],[Home Differential]])-Table4[[#This Row],[Away Differential]]</f>
        <v>0.45030109626709186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0.67422778733461908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-0.22994539344581519</v>
      </c>
      <c r="H1257" t="s">
        <v>19</v>
      </c>
      <c r="I1257">
        <f>VLOOKUP(Table4[[#This Row],[Visitor]],'NHL Model'!$A$6:$B$38,2,FALSE)</f>
        <v>-0.75971379218342783</v>
      </c>
      <c r="J1257">
        <f>($B$1+Table4[[#This Row],[Home Differential]])-Table4[[#This Row],[Away Differential]]</f>
        <v>0.57839764817903483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0.60876805316980753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-0.45205624035379666</v>
      </c>
      <c r="H1258" t="s">
        <v>11</v>
      </c>
      <c r="I1258">
        <f>VLOOKUP(Table4[[#This Row],[Visitor]],'NHL Model'!$A$6:$B$38,2,FALSE)</f>
        <v>-0.479695961608754</v>
      </c>
      <c r="J1258">
        <f>($B$1+Table4[[#This Row],[Home Differential]])-Table4[[#This Row],[Away Differential]]</f>
        <v>7.6268970696379557E-2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0.55156340790108949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-0.75181957250890208</v>
      </c>
      <c r="H1259" t="s">
        <v>20</v>
      </c>
      <c r="I1259">
        <f>VLOOKUP(Table4[[#This Row],[Visitor]],'NHL Model'!$A$6:$B$38,2,FALSE)</f>
        <v>-0.32012591315776179</v>
      </c>
      <c r="J1259">
        <f>($B$1+Table4[[#This Row],[Home Differential]])-Table4[[#This Row],[Away Differential]]</f>
        <v>-0.38306440990971807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0.50554408855407107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-1.4300915005812256</v>
      </c>
      <c r="H1260" t="s">
        <v>40</v>
      </c>
      <c r="I1260">
        <f>VLOOKUP(Table4[[#This Row],[Visitor]],'NHL Model'!$A$6:$B$38,2,FALSE)</f>
        <v>-0.24840457265646038</v>
      </c>
      <c r="J1260">
        <f>($B$1+Table4[[#This Row],[Home Differential]])-Table4[[#This Row],[Away Differential]]</f>
        <v>-1.133057678483343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0.63400057746583194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-0.38947416486586689</v>
      </c>
      <c r="H1261" t="s">
        <v>29</v>
      </c>
      <c r="I1261">
        <f>VLOOKUP(Table4[[#This Row],[Visitor]],'NHL Model'!$A$6:$B$38,2,FALSE)</f>
        <v>-1.4761804210410974</v>
      </c>
      <c r="J1261">
        <f>($B$1+Table4[[#This Row],[Home Differential]])-Table4[[#This Row],[Away Differential]]</f>
        <v>1.1353355056166528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0.71541584182296969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-0.29972363155607096</v>
      </c>
      <c r="H1262" t="s">
        <v>37</v>
      </c>
      <c r="I1262">
        <f>VLOOKUP(Table4[[#This Row],[Visitor]],'NHL Model'!$A$6:$B$38,2,FALSE)</f>
        <v>0.41634187791115029</v>
      </c>
      <c r="J1262">
        <f>($B$1+Table4[[#This Row],[Home Differential]])-Table4[[#This Row],[Away Differential]]</f>
        <v>-0.66743626002579903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0.58844512562587048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-0.35229536402491796</v>
      </c>
      <c r="H1263" t="s">
        <v>35</v>
      </c>
      <c r="I1263">
        <f>VLOOKUP(Table4[[#This Row],[Visitor]],'NHL Model'!$A$6:$B$38,2,FALSE)</f>
        <v>-1.4300915005812256</v>
      </c>
      <c r="J1263">
        <f>($B$1+Table4[[#This Row],[Home Differential]])-Table4[[#This Row],[Away Differential]]</f>
        <v>1.1264253859977298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0.67392530394960304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1.5255226246883613</v>
      </c>
      <c r="H1264" t="s">
        <v>20</v>
      </c>
      <c r="I1264">
        <f>VLOOKUP(Table4[[#This Row],[Visitor]],'NHL Model'!$A$6:$B$38,2,FALSE)</f>
        <v>-0.32012591315776179</v>
      </c>
      <c r="J1264">
        <f>($B$1+Table4[[#This Row],[Home Differential]])-Table4[[#This Row],[Away Differential]]</f>
        <v>1.8942777872875454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0.86954830158899554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0.17994412141822874</v>
      </c>
      <c r="H1265" t="s">
        <v>15</v>
      </c>
      <c r="I1265">
        <f>VLOOKUP(Table4[[#This Row],[Visitor]],'NHL Model'!$A$6:$B$38,2,FALSE)</f>
        <v>-0.40624923719383538</v>
      </c>
      <c r="J1265">
        <f>($B$1+Table4[[#This Row],[Home Differential]])-Table4[[#This Row],[Away Differential]]</f>
        <v>0.63482260805348634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0.53449304000482512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-0.97739270546148105</v>
      </c>
      <c r="H1266" t="s">
        <v>24</v>
      </c>
      <c r="I1266">
        <f>VLOOKUP(Table4[[#This Row],[Visitor]],'NHL Model'!$A$6:$B$38,2,FALSE)</f>
        <v>2.1114018573289962E-3</v>
      </c>
      <c r="J1266">
        <f>($B$1+Table4[[#This Row],[Home Differential]])-Table4[[#This Row],[Away Differential]]</f>
        <v>-0.93087485787738777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0.59144473562732514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-0.43202172705875852</v>
      </c>
      <c r="H1267" t="s">
        <v>17</v>
      </c>
      <c r="I1267">
        <f>VLOOKUP(Table4[[#This Row],[Visitor]],'NHL Model'!$A$6:$B$38,2,FALSE)</f>
        <v>-0.92247588734712094</v>
      </c>
      <c r="J1267">
        <f>($B$1+Table4[[#This Row],[Home Differential]])-Table4[[#This Row],[Away Differential]]</f>
        <v>0.53908340972978464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0.60409382316814664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-0.69003864116815428</v>
      </c>
      <c r="H1268" t="s">
        <v>28</v>
      </c>
      <c r="I1268">
        <f>VLOOKUP(Table4[[#This Row],[Visitor]],'NHL Model'!$A$6:$B$38,2,FALSE)</f>
        <v>-0.81978323318233992</v>
      </c>
      <c r="J1268">
        <f>($B$1+Table4[[#This Row],[Home Differential]])-Table4[[#This Row],[Away Differential]]</f>
        <v>0.17837384145560786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0.56120759282466026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-1.4761804210410974</v>
      </c>
      <c r="H1269" t="s">
        <v>34</v>
      </c>
      <c r="I1269">
        <f>VLOOKUP(Table4[[#This Row],[Visitor]],'NHL Model'!$A$6:$B$38,2,FALSE)</f>
        <v>-0.15703092434902144</v>
      </c>
      <c r="J1269">
        <f>($B$1+Table4[[#This Row],[Home Differential]])-Table4[[#This Row],[Away Differential]]</f>
        <v>-1.2705202472506536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0.65356989195660742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-0.22994539344581519</v>
      </c>
      <c r="H1270" t="s">
        <v>36</v>
      </c>
      <c r="I1270">
        <f>VLOOKUP(Table4[[#This Row],[Visitor]],'NHL Model'!$A$6:$B$38,2,FALSE)</f>
        <v>-0.45205624035379666</v>
      </c>
      <c r="J1270">
        <f>($B$1+Table4[[#This Row],[Home Differential]])-Table4[[#This Row],[Away Differential]]</f>
        <v>0.27074009634940366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0.57135990014315552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-0.39956044496834064</v>
      </c>
      <c r="H1271" t="s">
        <v>22</v>
      </c>
      <c r="I1271">
        <f>VLOOKUP(Table4[[#This Row],[Visitor]],'NHL Model'!$A$6:$B$38,2,FALSE)</f>
        <v>0.24850541890141886</v>
      </c>
      <c r="J1271">
        <f>($B$1+Table4[[#This Row],[Home Differential]])-Table4[[#This Row],[Away Differential]]</f>
        <v>-0.59943661442833729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0.55203869236319891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-0.75181957250890208</v>
      </c>
      <c r="H1272" t="s">
        <v>16</v>
      </c>
      <c r="I1272">
        <f>VLOOKUP(Table4[[#This Row],[Visitor]],'NHL Model'!$A$6:$B$38,2,FALSE)</f>
        <v>-1.1693700053921123</v>
      </c>
      <c r="J1272">
        <f>($B$1+Table4[[#This Row],[Home Differential]])-Table4[[#This Row],[Away Differential]]</f>
        <v>0.46617968232463247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0.5954260019585369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-0.63428770456303318</v>
      </c>
      <c r="H1273" t="s">
        <v>38</v>
      </c>
      <c r="I1273">
        <f>VLOOKUP(Table4[[#This Row],[Visitor]],'NHL Model'!$A$6:$B$38,2,FALSE)</f>
        <v>-1.0671109812312936</v>
      </c>
      <c r="J1273">
        <f>($B$1+Table4[[#This Row],[Home Differential]])-Table4[[#This Row],[Away Differential]]</f>
        <v>0.48145252610968259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0.59366569364749644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-0.75971379218342783</v>
      </c>
      <c r="H1274" t="s">
        <v>11</v>
      </c>
      <c r="I1274">
        <f>VLOOKUP(Table4[[#This Row],[Visitor]],'NHL Model'!$A$6:$B$38,2,FALSE)</f>
        <v>-0.479695961608754</v>
      </c>
      <c r="J1274">
        <f>($B$1+Table4[[#This Row],[Home Differential]])-Table4[[#This Row],[Away Differential]]</f>
        <v>-0.23138858113325161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0.48751073124234484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-0.38947416486586689</v>
      </c>
      <c r="H1275" t="s">
        <v>25</v>
      </c>
      <c r="I1275">
        <f>VLOOKUP(Table4[[#This Row],[Visitor]],'NHL Model'!$A$6:$B$38,2,FALSE)</f>
        <v>0.35473499802405739</v>
      </c>
      <c r="J1275">
        <f>($B$1+Table4[[#This Row],[Home Differential]])-Table4[[#This Row],[Away Differential]]</f>
        <v>-0.69557991344850212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0.57432044189824571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-0.24840457265646038</v>
      </c>
      <c r="H1276" t="s">
        <v>27</v>
      </c>
      <c r="I1276">
        <f>VLOOKUP(Table4[[#This Row],[Visitor]],'NHL Model'!$A$6:$B$38,2,FALSE)</f>
        <v>-0.28566683768028334</v>
      </c>
      <c r="J1276">
        <f>($B$1+Table4[[#This Row],[Home Differential]])-Table4[[#This Row],[Away Differential]]</f>
        <v>8.5891514465245178E-2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0.51021199213409141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0.12352843374450689</v>
      </c>
      <c r="H1277" t="s">
        <v>38</v>
      </c>
      <c r="I1277">
        <f>VLOOKUP(Table4[[#This Row],[Visitor]],'NHL Model'!$A$6:$B$38,2,FALSE)</f>
        <v>-1.0671109812312936</v>
      </c>
      <c r="J1277">
        <f>($B$1+Table4[[#This Row],[Home Differential]])-Table4[[#This Row],[Away Differential]]</f>
        <v>1.2392686644172226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0.76378005728406118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-0.81978323318233992</v>
      </c>
      <c r="H1278" t="s">
        <v>21</v>
      </c>
      <c r="I1278">
        <f>VLOOKUP(Table4[[#This Row],[Visitor]],'NHL Model'!$A$6:$B$38,2,FALSE)</f>
        <v>-0.29972363155607096</v>
      </c>
      <c r="J1278">
        <f>($B$1+Table4[[#This Row],[Home Differential]])-Table4[[#This Row],[Away Differential]]</f>
        <v>-0.47143035218484675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0.51687976858050644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-1.1693700053921123</v>
      </c>
      <c r="H1279" t="s">
        <v>55</v>
      </c>
      <c r="I1279">
        <f>VLOOKUP(Table4[[#This Row],[Visitor]],'NHL Model'!$A$6:$B$38,2,FALSE)</f>
        <v>-0.38947416486586689</v>
      </c>
      <c r="J1279">
        <f>($B$1+Table4[[#This Row],[Home Differential]])-Table4[[#This Row],[Away Differential]]</f>
        <v>-0.73126659108482328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0.54694326468191157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2.1114018573289962E-3</v>
      </c>
      <c r="H1280" t="s">
        <v>36</v>
      </c>
      <c r="I1280">
        <f>VLOOKUP(Table4[[#This Row],[Visitor]],'NHL Model'!$A$6:$B$38,2,FALSE)</f>
        <v>-0.45205624035379666</v>
      </c>
      <c r="J1280">
        <f>($B$1+Table4[[#This Row],[Home Differential]])-Table4[[#This Row],[Away Differential]]</f>
        <v>0.50279689165254782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0.69912383347354867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-0.22994539344581519</v>
      </c>
      <c r="H1281" t="s">
        <v>18</v>
      </c>
      <c r="I1281">
        <f>VLOOKUP(Table4[[#This Row],[Visitor]],'NHL Model'!$A$6:$B$38,2,FALSE)</f>
        <v>-0.69003864116815428</v>
      </c>
      <c r="J1281">
        <f>($B$1+Table4[[#This Row],[Home Differential]])-Table4[[#This Row],[Away Differential]]</f>
        <v>0.50872249716376128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0.54119625673467076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0.24850541890141886</v>
      </c>
      <c r="H1282" t="s">
        <v>14</v>
      </c>
      <c r="I1282">
        <f>VLOOKUP(Table4[[#This Row],[Visitor]],'NHL Model'!$A$6:$B$38,2,FALSE)</f>
        <v>-0.39956044496834064</v>
      </c>
      <c r="J1282">
        <f>($B$1+Table4[[#This Row],[Home Differential]])-Table4[[#This Row],[Away Differential]]</f>
        <v>0.69669511331118172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0.62828746627668952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-0.35229536402491796</v>
      </c>
      <c r="H1283" t="s">
        <v>23</v>
      </c>
      <c r="I1283">
        <f>VLOOKUP(Table4[[#This Row],[Visitor]],'NHL Model'!$A$6:$B$38,2,FALSE)</f>
        <v>-0.73453218371466944</v>
      </c>
      <c r="J1283">
        <f>($B$1+Table4[[#This Row],[Home Differential]])-Table4[[#This Row],[Away Differential]]</f>
        <v>0.4308660691311737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0.59122742259475269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-0.92247588734712094</v>
      </c>
      <c r="H1284" t="s">
        <v>12</v>
      </c>
      <c r="I1284">
        <f>VLOOKUP(Table4[[#This Row],[Visitor]],'NHL Model'!$A$6:$B$38,2,FALSE)</f>
        <v>1.5255226246883613</v>
      </c>
      <c r="J1284">
        <f>($B$1+Table4[[#This Row],[Home Differential]])-Table4[[#This Row],[Away Differential]]</f>
        <v>-2.3993692625940599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0.81081823351600457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-0.479695961608754</v>
      </c>
      <c r="H1285" t="s">
        <v>15</v>
      </c>
      <c r="I1285">
        <f>VLOOKUP(Table4[[#This Row],[Visitor]],'NHL Model'!$A$6:$B$38,2,FALSE)</f>
        <v>-0.40624923719383538</v>
      </c>
      <c r="J1285">
        <f>($B$1+Table4[[#This Row],[Home Differential]])-Table4[[#This Row],[Away Differential]]</f>
        <v>-2.4817474973496401E-2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0.54904994150268682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-1.4761804210410974</v>
      </c>
      <c r="H1286" t="s">
        <v>33</v>
      </c>
      <c r="I1286">
        <f>VLOOKUP(Table4[[#This Row],[Visitor]],'NHL Model'!$A$6:$B$38,2,FALSE)</f>
        <v>-0.63428770456303318</v>
      </c>
      <c r="J1286">
        <f>($B$1+Table4[[#This Row],[Home Differential]])-Table4[[#This Row],[Away Differential]]</f>
        <v>-0.79326346703664197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0.55431432588044693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-0.28566683768028334</v>
      </c>
      <c r="H1287" t="s">
        <v>25</v>
      </c>
      <c r="I1287">
        <f>VLOOKUP(Table4[[#This Row],[Visitor]],'NHL Model'!$A$6:$B$38,2,FALSE)</f>
        <v>0.35473499802405739</v>
      </c>
      <c r="J1287">
        <f>($B$1+Table4[[#This Row],[Home Differential]])-Table4[[#This Row],[Away Differential]]</f>
        <v>-0.59177258626291851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0.57035825405701901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-0.75181957250890208</v>
      </c>
      <c r="H1288" t="s">
        <v>13</v>
      </c>
      <c r="I1288">
        <f>VLOOKUP(Table4[[#This Row],[Visitor]],'NHL Model'!$A$6:$B$38,2,FALSE)</f>
        <v>-0.43202172705875852</v>
      </c>
      <c r="J1288">
        <f>($B$1+Table4[[#This Row],[Home Differential]])-Table4[[#This Row],[Away Differential]]</f>
        <v>-0.27116859600872134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0.55855612877488692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-1.4300915005812256</v>
      </c>
      <c r="H1289" t="s">
        <v>34</v>
      </c>
      <c r="I1289">
        <f>VLOOKUP(Table4[[#This Row],[Visitor]],'NHL Model'!$A$6:$B$38,2,FALSE)</f>
        <v>-0.15703092434902144</v>
      </c>
      <c r="J1289">
        <f>($B$1+Table4[[#This Row],[Home Differential]])-Table4[[#This Row],[Away Differential]]</f>
        <v>-1.224431326790782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0.64809019240613064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0.41634187791115029</v>
      </c>
      <c r="H1290" t="s">
        <v>26</v>
      </c>
      <c r="I1290">
        <f>VLOOKUP(Table4[[#This Row],[Visitor]],'NHL Model'!$A$6:$B$38,2,FALSE)</f>
        <v>-0.97739270546148105</v>
      </c>
      <c r="J1290">
        <f>($B$1+Table4[[#This Row],[Home Differential]])-Table4[[#This Row],[Away Differential]]</f>
        <v>1.4423638328140536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0.74373457904385232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-0.75971379218342783</v>
      </c>
      <c r="H1291" t="s">
        <v>39</v>
      </c>
      <c r="I1291">
        <f>VLOOKUP(Table4[[#This Row],[Visitor]],'NHL Model'!$A$6:$B$38,2,FALSE)</f>
        <v>0.17994412141822874</v>
      </c>
      <c r="J1291">
        <f>($B$1+Table4[[#This Row],[Home Differential]])-Table4[[#This Row],[Away Differential]]</f>
        <v>-0.8910286641602343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0.66773578133608069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-0.32012591315776179</v>
      </c>
      <c r="H1292" t="s">
        <v>40</v>
      </c>
      <c r="I1292">
        <f>VLOOKUP(Table4[[#This Row],[Visitor]],'NHL Model'!$A$6:$B$38,2,FALSE)</f>
        <v>-0.24840457265646038</v>
      </c>
      <c r="J1292">
        <f>($B$1+Table4[[#This Row],[Home Differential]])-Table4[[#This Row],[Away Differential]]</f>
        <v>-2.3092091059879194E-2</v>
      </c>
      <c r="K1292" t="str">
        <f>IF(Table4[[#This Row],[HomeIce Differential]]&gt;0,Table4[[#This Row],[Home]],Table4[[#This Row],[Visitor]])</f>
        <v>Winnipeg Jets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0.50203224603692131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-0.29972363155607096</v>
      </c>
      <c r="H1293" t="s">
        <v>24</v>
      </c>
      <c r="I1293">
        <f>VLOOKUP(Table4[[#This Row],[Visitor]],'NHL Model'!$A$6:$B$38,2,FALSE)</f>
        <v>2.1114018573289962E-3</v>
      </c>
      <c r="J1293">
        <f>($B$1+Table4[[#This Row],[Home Differential]])-Table4[[#This Row],[Away Differential]]</f>
        <v>-0.25320578397197774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0.46760466738567713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-0.81978323318233992</v>
      </c>
      <c r="H1294" t="s">
        <v>22</v>
      </c>
      <c r="I1294">
        <f>VLOOKUP(Table4[[#This Row],[Visitor]],'NHL Model'!$A$6:$B$38,2,FALSE)</f>
        <v>0.24850541890141886</v>
      </c>
      <c r="J1294">
        <f>($B$1+Table4[[#This Row],[Home Differential]])-Table4[[#This Row],[Away Differential]]</f>
        <v>-1.0196594026423367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0.60200069192188344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-1.1693700053921123</v>
      </c>
      <c r="H1295" t="s">
        <v>12</v>
      </c>
      <c r="I1295">
        <f>VLOOKUP(Table4[[#This Row],[Visitor]],'NHL Model'!$A$6:$B$38,2,FALSE)</f>
        <v>1.5255226246883613</v>
      </c>
      <c r="J1295">
        <f>($B$1+Table4[[#This Row],[Home Differential]])-Table4[[#This Row],[Away Differential]]</f>
        <v>-2.6462633806390512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0.84724820507406728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-0.15703092434902144</v>
      </c>
      <c r="H1296" t="s">
        <v>31</v>
      </c>
      <c r="I1296">
        <f>VLOOKUP(Table4[[#This Row],[Visitor]],'NHL Model'!$A$6:$B$38,2,FALSE)</f>
        <v>0.12352843374450689</v>
      </c>
      <c r="J1296">
        <f>($B$1+Table4[[#This Row],[Home Differential]])-Table4[[#This Row],[Away Differential]]</f>
        <v>-0.23193010865210612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0.5083443464248365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-0.22994539344581519</v>
      </c>
      <c r="H1297" t="s">
        <v>25</v>
      </c>
      <c r="I1297">
        <f>VLOOKUP(Table4[[#This Row],[Visitor]],'NHL Model'!$A$6:$B$38,2,FALSE)</f>
        <v>0.35473499802405739</v>
      </c>
      <c r="J1297">
        <f>($B$1+Table4[[#This Row],[Home Differential]])-Table4[[#This Row],[Away Differential]]</f>
        <v>-0.53605114202845039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0.59635647361351007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-0.28566683768028334</v>
      </c>
      <c r="H1298" t="s">
        <v>18</v>
      </c>
      <c r="I1298">
        <f>VLOOKUP(Table4[[#This Row],[Visitor]],'NHL Model'!$A$6:$B$38,2,FALSE)</f>
        <v>-0.69003864116815428</v>
      </c>
      <c r="J1298">
        <f>($B$1+Table4[[#This Row],[Home Differential]])-Table4[[#This Row],[Away Differential]]</f>
        <v>0.45300105292929316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0.56722812496841801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-1.4300915005812256</v>
      </c>
      <c r="H1299" t="s">
        <v>14</v>
      </c>
      <c r="I1299">
        <f>VLOOKUP(Table4[[#This Row],[Visitor]],'NHL Model'!$A$6:$B$38,2,FALSE)</f>
        <v>-0.39956044496834064</v>
      </c>
      <c r="J1299">
        <f>($B$1+Table4[[#This Row],[Home Differential]])-Table4[[#This Row],[Away Differential]]</f>
        <v>-0.98190180617146272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0.59751153742782936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-0.38947416486586689</v>
      </c>
      <c r="H1300" t="s">
        <v>40</v>
      </c>
      <c r="I1300">
        <f>VLOOKUP(Table4[[#This Row],[Visitor]],'NHL Model'!$A$6:$B$38,2,FALSE)</f>
        <v>-0.24840457265646038</v>
      </c>
      <c r="J1300">
        <f>($B$1+Table4[[#This Row],[Home Differential]])-Table4[[#This Row],[Away Differential]]</f>
        <v>-9.2440342767984296E-2</v>
      </c>
      <c r="K1300" t="str">
        <f>IF(Table4[[#This Row],[HomeIce Differential]]&gt;0,Table4[[#This Row],[Home]],Table4[[#This Row],[Visitor]])</f>
        <v>Winnipeg Jets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0.46932394234863184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-1.0671109812312936</v>
      </c>
      <c r="H1301" t="s">
        <v>13</v>
      </c>
      <c r="I1301">
        <f>VLOOKUP(Table4[[#This Row],[Visitor]],'NHL Model'!$A$6:$B$38,2,FALSE)</f>
        <v>-0.43202172705875852</v>
      </c>
      <c r="J1301">
        <f>($B$1+Table4[[#This Row],[Home Differential]])-Table4[[#This Row],[Away Differential]]</f>
        <v>-0.58646000473111282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0.5960424090653863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-0.73453218371466944</v>
      </c>
      <c r="H1302" t="s">
        <v>39</v>
      </c>
      <c r="I1302">
        <f>VLOOKUP(Table4[[#This Row],[Visitor]],'NHL Model'!$A$6:$B$38,2,FALSE)</f>
        <v>0.17994412141822874</v>
      </c>
      <c r="J1302">
        <f>($B$1+Table4[[#This Row],[Home Differential]])-Table4[[#This Row],[Away Differential]]</f>
        <v>-0.86584705569147591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0.66474183729856129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-0.35229536402491796</v>
      </c>
      <c r="H1303" t="s">
        <v>33</v>
      </c>
      <c r="I1303">
        <f>VLOOKUP(Table4[[#This Row],[Visitor]],'NHL Model'!$A$6:$B$38,2,FALSE)</f>
        <v>-0.63428770456303318</v>
      </c>
      <c r="J1303">
        <f>($B$1+Table4[[#This Row],[Home Differential]])-Table4[[#This Row],[Away Differential]]</f>
        <v>0.33062158997953744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0.57930894800554489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-0.479695961608754</v>
      </c>
      <c r="H1304" t="s">
        <v>26</v>
      </c>
      <c r="I1304">
        <f>VLOOKUP(Table4[[#This Row],[Visitor]],'NHL Model'!$A$6:$B$38,2,FALSE)</f>
        <v>-0.97739270546148105</v>
      </c>
      <c r="J1304">
        <f>($B$1+Table4[[#This Row],[Home Differential]])-Table4[[#This Row],[Away Differential]]</f>
        <v>0.54632599329414933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0.61897154393784504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-0.45205624035379666</v>
      </c>
      <c r="H1305" t="s">
        <v>19</v>
      </c>
      <c r="I1305">
        <f>VLOOKUP(Table4[[#This Row],[Visitor]],'NHL Model'!$A$6:$B$38,2,FALSE)</f>
        <v>-0.75971379218342783</v>
      </c>
      <c r="J1305">
        <f>($B$1+Table4[[#This Row],[Home Differential]])-Table4[[#This Row],[Away Differential]]</f>
        <v>0.35628680127105339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0.58485586875752227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0.41634187791115029</v>
      </c>
      <c r="H1306" t="s">
        <v>15</v>
      </c>
      <c r="I1306">
        <f>VLOOKUP(Table4[[#This Row],[Visitor]],'NHL Model'!$A$6:$B$38,2,FALSE)</f>
        <v>-0.40624923719383538</v>
      </c>
      <c r="J1306">
        <f>($B$1+Table4[[#This Row],[Home Differential]])-Table4[[#This Row],[Away Differential]]</f>
        <v>0.87122036454640783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0.57590766232101209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-0.32012591315776179</v>
      </c>
      <c r="H1307" t="s">
        <v>32</v>
      </c>
      <c r="I1307">
        <f>VLOOKUP(Table4[[#This Row],[Visitor]],'NHL Model'!$A$6:$B$38,2,FALSE)</f>
        <v>-0.75181957250890208</v>
      </c>
      <c r="J1307">
        <f>($B$1+Table4[[#This Row],[Home Differential]])-Table4[[#This Row],[Away Differential]]</f>
        <v>0.48032290879256251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0.59710754778224706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-1.1693700053921123</v>
      </c>
      <c r="H1308" t="s">
        <v>13</v>
      </c>
      <c r="I1308">
        <f>VLOOKUP(Table4[[#This Row],[Visitor]],'NHL Model'!$A$6:$B$38,2,FALSE)</f>
        <v>-0.43202172705875852</v>
      </c>
      <c r="J1308">
        <f>($B$1+Table4[[#This Row],[Home Differential]])-Table4[[#This Row],[Away Differential]]</f>
        <v>-0.6887190288919316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0.60820040111933582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1.5255226246883613</v>
      </c>
      <c r="H1309" t="s">
        <v>32</v>
      </c>
      <c r="I1309">
        <f>VLOOKUP(Table4[[#This Row],[Visitor]],'NHL Model'!$A$6:$B$38,2,FALSE)</f>
        <v>-0.75181957250890208</v>
      </c>
      <c r="J1309">
        <f>($B$1+Table4[[#This Row],[Home Differential]])-Table4[[#This Row],[Away Differential]]</f>
        <v>2.3259714466386856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0.9208741197571545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-0.92247588734712094</v>
      </c>
      <c r="H1310" t="s">
        <v>38</v>
      </c>
      <c r="I1310">
        <f>VLOOKUP(Table4[[#This Row],[Visitor]],'NHL Model'!$A$6:$B$38,2,FALSE)</f>
        <v>-1.0671109812312936</v>
      </c>
      <c r="J1310">
        <f>($B$1+Table4[[#This Row],[Home Differential]])-Table4[[#This Row],[Away Differential]]</f>
        <v>0.19326434332559483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0.5664562461353847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-1.4761804210410974</v>
      </c>
      <c r="H1311" t="s">
        <v>31</v>
      </c>
      <c r="I1311">
        <f>VLOOKUP(Table4[[#This Row],[Visitor]],'NHL Model'!$A$6:$B$38,2,FALSE)</f>
        <v>0.12352843374450689</v>
      </c>
      <c r="J1311">
        <f>($B$1+Table4[[#This Row],[Home Differential]])-Table4[[#This Row],[Away Differential]]</f>
        <v>-1.551079605344182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0.66518340518146157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-0.38947416486586689</v>
      </c>
      <c r="H1312" t="s">
        <v>35</v>
      </c>
      <c r="I1312">
        <f>VLOOKUP(Table4[[#This Row],[Visitor]],'NHL Model'!$A$6:$B$38,2,FALSE)</f>
        <v>-1.4300915005812256</v>
      </c>
      <c r="J1312">
        <f>($B$1+Table4[[#This Row],[Home Differential]])-Table4[[#This Row],[Away Differential]]</f>
        <v>1.089246585156781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0.70993614227249291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-0.24840457265646038</v>
      </c>
      <c r="H1313" t="s">
        <v>33</v>
      </c>
      <c r="I1313">
        <f>VLOOKUP(Table4[[#This Row],[Visitor]],'NHL Model'!$A$6:$B$38,2,FALSE)</f>
        <v>-0.63428770456303318</v>
      </c>
      <c r="J1313">
        <f>($B$1+Table4[[#This Row],[Home Differential]])-Table4[[#This Row],[Away Differential]]</f>
        <v>0.43451238134799502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0.59415642671605851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31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30" priority="9" operator="containsText" text="NO">
      <formula>NOT(ISERROR(SEARCH("NO",M2)))</formula>
    </cfRule>
    <cfRule type="containsText" dxfId="29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28" priority="3" operator="containsText" text="YES">
      <formula>NOT(ISERROR(SEARCH("YES",R1)))</formula>
    </cfRule>
    <cfRule type="containsText" dxfId="27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35" sqref="M3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24</v>
      </c>
      <c r="C2">
        <f>COUNTIF(NHL2025_26Results[Winning Team],Standings!A2)</f>
        <v>15</v>
      </c>
      <c r="D2">
        <f>COUNTIFS('NHL2025-26Results'!$H:$H,A2,'NHL2025-26Results'!$F:$F,"")</f>
        <v>8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31</v>
      </c>
      <c r="G2">
        <f>COUNTIFS('NHL2025-26Results'!$D:$D,A2,'NHL2025-26Results'!$G:$G,A2)</f>
        <v>9</v>
      </c>
      <c r="H2">
        <f>COUNTIFS('NHL2025-26Results'!$D:$D,A2,'NHL2025-26Results'!$H:$H,A2,'NHL2025-26Results'!$F:$F,"")</f>
        <v>3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0.75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3.9166666666666665</v>
      </c>
      <c r="P2" s="15">
        <f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2.8333333333333335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>SUM(Table1[[#This Row],[W]:[OTL]])</f>
        <v>27</v>
      </c>
      <c r="C3">
        <f>COUNTIF(NHL2025_26Results[Winning Team],Standings!A3)</f>
        <v>15</v>
      </c>
      <c r="D3">
        <f>COUNTIFS('NHL2025-26Results'!$H:$H,A3,'NHL2025-26Results'!$F:$F,"")</f>
        <v>12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30</v>
      </c>
      <c r="G3">
        <f>COUNTIFS('NHL2025-26Results'!$D:$D,A3,'NHL2025-26Results'!$G:$G,A3)</f>
        <v>9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7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0.6428571428571429</v>
      </c>
      <c r="N3" s="11">
        <f>Table1[[#This Row],[AwayWins]]/SUM(Table1[[#This Row],[AwayWins]:[AwayOTL]])</f>
        <v>0.46153846153846156</v>
      </c>
      <c r="O3" s="14">
        <f>SUMIFS('NHL2025-26Results'!$E:$E,'NHL2025-26Results'!$D:$D,A3,'NHL2025-26Results'!$E:$E,"&gt;0")/COUNTIFS('NHL2025-26Results'!$D:$D,A3,'NHL2025-26Results'!$E:$E,"&gt;0")</f>
        <v>3.2857142857142856</v>
      </c>
      <c r="P3" s="14">
        <f>SUMIFS('NHL2025-26Results'!$C:$C,'NHL2025-26Results'!$B:$B,A3,'NHL2025-26Results'!$C:$C,"&gt;0")/COUNTIFS('NHL2025-26Results'!$B:$B,A3,'NHL2025-26Results'!$C:$C,"&gt;0")</f>
        <v>2.8461538461538463</v>
      </c>
      <c r="Q3" s="14">
        <f>SUMIFS('NHL2025-26Results'!$C:$C,'NHL2025-26Results'!$D:$D,A3,'NHL2025-26Results'!$C:$C,"&gt;0")/COUNTIFS('NHL2025-26Results'!$D:$D,A3,'NHL2025-26Results'!$C:$C,"&gt;0")</f>
        <v>3.0714285714285716</v>
      </c>
      <c r="R3" s="14">
        <f>SUMIFS('NHL2025-26Results'!$E:$E,'NHL2025-26Results'!$B:$B,A3,'NHL2025-26Results'!$E:$E,"&gt;0")/COUNTIFS('NHL2025-26Results'!$B:$B,A3,'NHL2025-26Results'!$E:$E,"&gt;0")</f>
        <v>3.3076923076923075</v>
      </c>
    </row>
    <row r="4" spans="1:18" x14ac:dyDescent="0.2">
      <c r="A4" s="4" t="s">
        <v>23</v>
      </c>
      <c r="B4">
        <f>SUM(Table1[[#This Row],[W]:[OTL]])</f>
        <v>25</v>
      </c>
      <c r="C4">
        <f>COUNTIF(NHL2025_26Results[Winning Team],Standings!A4)</f>
        <v>10</v>
      </c>
      <c r="D4">
        <f>COUNTIFS('NHL2025-26Results'!$H:$H,A4,'NHL2025-26Results'!$F:$F,"")</f>
        <v>11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24</v>
      </c>
      <c r="G4">
        <f>COUNTIFS('NHL2025-26Results'!$D:$D,A4,'NHL2025-26Results'!$G:$G,A4)</f>
        <v>8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2</v>
      </c>
      <c r="K4">
        <f>COUNTIFS('NHL2025-26Results'!$B:$B,A4,'NHL2025-26Results'!$H:$H,A4,'NHL2025-26Results'!$F:$F,"")</f>
        <v>6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0.53333333333333333</v>
      </c>
      <c r="N4" s="11">
        <f>Table1[[#This Row],[AwayWins]]/SUM(Table1[[#This Row],[AwayWins]:[AwayOTL]])</f>
        <v>0.2</v>
      </c>
      <c r="O4" s="14">
        <f>SUMIFS('NHL2025-26Results'!$E:$E,'NHL2025-26Results'!$D:$D,A4,'NHL2025-26Results'!$E:$E,"&gt;0")/COUNTIFS('NHL2025-26Results'!$D:$D,A4,'NHL2025-26Results'!$E:$E,"&gt;0")</f>
        <v>4.083333333333333</v>
      </c>
      <c r="P4" s="14">
        <f>SUMIFS('NHL2025-26Results'!$C:$C,'NHL2025-26Results'!$B:$B,A4,'NHL2025-26Results'!$C:$C,"&gt;0")/COUNTIFS('NHL2025-26Results'!$B:$B,A4,'NHL2025-26Results'!$C:$C,"&gt;0")</f>
        <v>2.7</v>
      </c>
      <c r="Q4" s="14">
        <f>SUMIFS('NHL2025-26Results'!$C:$C,'NHL2025-26Results'!$D:$D,A4,'NHL2025-26Results'!$C:$C,"&gt;0")/COUNTIFS('NHL2025-26Results'!$D:$D,A4,'NHL2025-26Results'!$C:$C,"&gt;0")</f>
        <v>3.1428571428571428</v>
      </c>
      <c r="R4" s="14">
        <f>SUMIFS('NHL2025-26Results'!$E:$E,'NHL2025-26Results'!$B:$B,A4,'NHL2025-26Results'!$E:$E,"&gt;0")/COUNTIFS('NHL2025-26Results'!$B:$B,A4,'NHL2025-26Results'!$E:$E,"&gt;0")</f>
        <v>4.2</v>
      </c>
    </row>
    <row r="5" spans="1:18" x14ac:dyDescent="0.2">
      <c r="A5" s="4" t="s">
        <v>16</v>
      </c>
      <c r="B5">
        <f>SUM(Table1[[#This Row],[W]:[OTL]])</f>
        <v>26</v>
      </c>
      <c r="C5">
        <f>COUNTIF(NHL2025_26Results[Winning Team],Standings!A5)</f>
        <v>9</v>
      </c>
      <c r="D5">
        <f>COUNTIFS('NHL2025-26Results'!$H:$H,A5,'NHL2025-26Results'!$F:$F,"")</f>
        <v>14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21</v>
      </c>
      <c r="G5">
        <f>COUNTIFS('NHL2025-26Results'!$D:$D,A5,'NHL2025-26Results'!$G:$G,A5)</f>
        <v>4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10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0.4</v>
      </c>
      <c r="N5" s="11">
        <f>Table1[[#This Row],[AwayWins]]/SUM(Table1[[#This Row],[AwayWins]:[AwayOTL]])</f>
        <v>0.3125</v>
      </c>
      <c r="O5" s="14">
        <f>SUMIFS('NHL2025-26Results'!$E:$E,'NHL2025-26Results'!$D:$D,A5,'NHL2025-26Results'!$E:$E,"&gt;0")/COUNTIFS('NHL2025-26Results'!$D:$D,A5,'NHL2025-26Results'!$E:$E,"&gt;0")</f>
        <v>2.6666666666666665</v>
      </c>
      <c r="P5" s="14">
        <f>SUMIFS('NHL2025-26Results'!$C:$C,'NHL2025-26Results'!$B:$B,A5,'NHL2025-26Results'!$C:$C,"&gt;0")/COUNTIFS('NHL2025-26Results'!$B:$B,A5,'NHL2025-26Results'!$C:$C,"&gt;0")</f>
        <v>2.7333333333333334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3.5625</v>
      </c>
    </row>
    <row r="6" spans="1:18" x14ac:dyDescent="0.2">
      <c r="A6" s="4" t="s">
        <v>25</v>
      </c>
      <c r="B6">
        <f>SUM(Table1[[#This Row],[W]:[OTL]])</f>
        <v>24</v>
      </c>
      <c r="C6">
        <f>COUNTIF(NHL2025_26Results[Winning Team],Standings!A6)</f>
        <v>15</v>
      </c>
      <c r="D6">
        <f>COUNTIFS('NHL2025-26Results'!$H:$H,A6,'NHL2025-26Results'!$F:$F,"")</f>
        <v>7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32</v>
      </c>
      <c r="G6">
        <f>COUNTIFS('NHL2025-26Results'!$D:$D,A6,'NHL2025-26Results'!$G:$G,A6)</f>
        <v>7</v>
      </c>
      <c r="H6">
        <f>COUNTIFS('NHL2025-26Results'!$D:$D,A6,'NHL2025-26Results'!$H:$H,A6,'NHL2025-26Results'!$F:$F,"")</f>
        <v>3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0.63636363636363635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4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3.2727272727272729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24</v>
      </c>
      <c r="C7">
        <f>COUNTIF(NHL2025_26Results[Winning Team],Standings!A7)</f>
        <v>10</v>
      </c>
      <c r="D7">
        <f>COUNTIFS('NHL2025-26Results'!$H:$H,A7,'NHL2025-26Results'!$F:$F,"")</f>
        <v>9</v>
      </c>
      <c r="E7">
        <f>COUNTIFS('NHL2025-26Results'!$F:$F,"OT",'NHL2025-26Results'!$H:$H,A7) + COUNTIFS('NHL2025-26Results'!$F:$F,"SO",'NHL2025-26Results'!$H:$H,A7)</f>
        <v>5</v>
      </c>
      <c r="F7" s="3">
        <f>(Table1[[#This Row],[W]]*2)+Table1[[#This Row],[OTL]]</f>
        <v>25</v>
      </c>
      <c r="G7">
        <f>COUNTIFS('NHL2025-26Results'!$D:$D,A7,'NHL2025-26Results'!$G:$G,A7)</f>
        <v>5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0.38461538461538464</v>
      </c>
      <c r="N7" s="11">
        <f>Table1[[#This Row],[AwayWins]]/SUM(Table1[[#This Row],[AwayWins]:[AwayOTL]])</f>
        <v>0.45454545454545453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3.5454545454545454</v>
      </c>
      <c r="Q7" s="14">
        <f>SUMIFS('NHL2025-26Results'!$C:$C,'NHL2025-26Results'!$D:$D,A7,'NHL2025-26Results'!$C:$C,"&gt;0")/COUNTIFS('NHL2025-26Results'!$D:$D,A7,'NHL2025-26Results'!$C:$C,"&gt;0")</f>
        <v>2.6153846153846154</v>
      </c>
      <c r="R7" s="14">
        <f>SUMIFS('NHL2025-26Results'!$E:$E,'NHL2025-26Results'!$B:$B,A7,'NHL2025-26Results'!$E:$E,"&gt;0")/COUNTIFS('NHL2025-26Results'!$B:$B,A7,'NHL2025-26Results'!$E:$E,"&gt;0")</f>
        <v>3.6</v>
      </c>
    </row>
    <row r="8" spans="1:18" x14ac:dyDescent="0.2">
      <c r="A8" s="4" t="s">
        <v>12</v>
      </c>
      <c r="B8">
        <f>SUM(Table1[[#This Row],[W]:[OTL]])</f>
        <v>25</v>
      </c>
      <c r="C8">
        <f>COUNTIF(NHL2025_26Results[Winning Team],Standings!A8)</f>
        <v>18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42</v>
      </c>
      <c r="G8">
        <f>COUNTIFS('NHL2025-26Results'!$D:$D,A8,'NHL2025-26Results'!$G:$G,A8)</f>
        <v>10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0.83333333333333337</v>
      </c>
      <c r="N8" s="11">
        <f>Table1[[#This Row],[AwayWins]]/SUM(Table1[[#This Row],[AwayWins]:[AwayOTL]])</f>
        <v>0.61538461538461542</v>
      </c>
      <c r="O8" s="14">
        <f>SUMIFS('NHL2025-26Results'!$E:$E,'NHL2025-26Results'!$D:$D,A8,'NHL2025-26Results'!$E:$E,"&gt;0")/COUNTIFS('NHL2025-26Results'!$D:$D,A8,'NHL2025-26Results'!$E:$E,"&gt;0")</f>
        <v>4.833333333333333</v>
      </c>
      <c r="P8" s="14">
        <f>SUMIFS('NHL2025-26Results'!$C:$C,'NHL2025-26Results'!$B:$B,A8,'NHL2025-26Results'!$C:$C,"&gt;0")/COUNTIFS('NHL2025-26Results'!$B:$B,A8,'NHL2025-26Results'!$C:$C,"&gt;0")</f>
        <v>3.4615384615384617</v>
      </c>
      <c r="Q8" s="14">
        <f>SUMIFS('NHL2025-26Results'!$C:$C,'NHL2025-26Results'!$D:$D,A8,'NHL2025-26Results'!$C:$C,"&gt;0")/COUNTIFS('NHL2025-26Results'!$D:$D,A8,'NHL2025-26Results'!$C:$C,"&gt;0")</f>
        <v>2.5454545454545454</v>
      </c>
      <c r="R8" s="14">
        <f>SUMIFS('NHL2025-26Results'!$E:$E,'NHL2025-26Results'!$B:$B,A8,'NHL2025-26Results'!$E:$E,"&gt;0")/COUNTIFS('NHL2025-26Results'!$B:$B,A8,'NHL2025-26Results'!$E:$E,"&gt;0")</f>
        <v>2.4545454545454546</v>
      </c>
    </row>
    <row r="9" spans="1:18" x14ac:dyDescent="0.2">
      <c r="A9" s="4" t="s">
        <v>28</v>
      </c>
      <c r="B9">
        <f>SUM(Table1[[#This Row],[W]:[OTL]])</f>
        <v>25</v>
      </c>
      <c r="C9">
        <f>COUNTIF(NHL2025_26Results[Winning Team],Standings!A9)</f>
        <v>11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5</v>
      </c>
      <c r="F9" s="3">
        <f>(Table1[[#This Row],[W]]*2)+Table1[[#This Row],[OTL]]</f>
        <v>27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6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0.45454545454545453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2.7272727272727271</v>
      </c>
      <c r="P9" s="14">
        <f>SUMIFS('NHL2025-26Results'!$C:$C,'NHL2025-26Results'!$B:$B,A9,'NHL2025-26Results'!$C:$C,"&gt;0")/COUNTIFS('NHL2025-26Results'!$B:$B,A9,'NHL2025-26Results'!$C:$C,"&gt;0")</f>
        <v>3.0714285714285716</v>
      </c>
      <c r="Q9" s="14">
        <f>SUMIFS('NHL2025-26Results'!$C:$C,'NHL2025-26Results'!$D:$D,A9,'NHL2025-26Results'!$C:$C,"&gt;0")/COUNTIFS('NHL2025-26Results'!$D:$D,A9,'NHL2025-26Results'!$C:$C,"&gt;0")</f>
        <v>3.0909090909090908</v>
      </c>
      <c r="R9" s="14">
        <f>SUMIFS('NHL2025-26Results'!$E:$E,'NHL2025-26Results'!$B:$B,A9,'NHL2025-26Results'!$E:$E,"&gt;0")/COUNTIFS('NHL2025-26Results'!$B:$B,A9,'NHL2025-26Results'!$E:$E,"&gt;0")</f>
        <v>3.4285714285714284</v>
      </c>
    </row>
    <row r="10" spans="1:18" x14ac:dyDescent="0.2">
      <c r="A10" s="4" t="s">
        <v>39</v>
      </c>
      <c r="B10">
        <f>SUM(Table1[[#This Row],[W]:[OTL]])</f>
        <v>25</v>
      </c>
      <c r="C10">
        <f>COUNTIF(NHL2025_26Results[Winning Team],Standings!A10)</f>
        <v>16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4</v>
      </c>
      <c r="F10" s="3">
        <f>(Table1[[#This Row],[W]]*2)+Table1[[#This Row],[OTL]]</f>
        <v>36</v>
      </c>
      <c r="G10">
        <f>COUNTIFS('NHL2025-26Results'!$D:$D,A10,'NHL2025-26Results'!$G:$G,A10)</f>
        <v>7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9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3</v>
      </c>
      <c r="M10" s="11">
        <f>Table1[[#This Row],[HomeWins]]/SUM(Table1[[#This Row],[HomeWins]:[HomeOTL]])</f>
        <v>0.58333333333333337</v>
      </c>
      <c r="N10" s="11">
        <f>Table1[[#This Row],[AwayWins]]/SUM(Table1[[#This Row],[AwayWins]:[AwayOTL]])</f>
        <v>0.69230769230769229</v>
      </c>
      <c r="O10" s="14">
        <f>SUMIFS('NHL2025-26Results'!$E:$E,'NHL2025-26Results'!$D:$D,A10,'NHL2025-26Results'!$E:$E,"&gt;0")/COUNTIFS('NHL2025-26Results'!$D:$D,A10,'NHL2025-26Results'!$E:$E,"&gt;0")</f>
        <v>3.0833333333333335</v>
      </c>
      <c r="P10" s="14">
        <f>SUMIFS('NHL2025-26Results'!$C:$C,'NHL2025-26Results'!$B:$B,A10,'NHL2025-26Results'!$C:$C,"&gt;0")/COUNTIFS('NHL2025-26Results'!$B:$B,A10,'NHL2025-26Results'!$C:$C,"&gt;0")</f>
        <v>3.8461538461538463</v>
      </c>
      <c r="Q10" s="14">
        <f>SUMIFS('NHL2025-26Results'!$C:$C,'NHL2025-26Results'!$D:$D,A10,'NHL2025-26Results'!$C:$C,"&gt;0")/COUNTIFS('NHL2025-26Results'!$D:$D,A10,'NHL2025-26Results'!$C:$C,"&gt;0")</f>
        <v>3.1818181818181817</v>
      </c>
      <c r="R10" s="14">
        <f>SUMIFS('NHL2025-26Results'!$E:$E,'NHL2025-26Results'!$B:$B,A10,'NHL2025-26Results'!$E:$E,"&gt;0")/COUNTIFS('NHL2025-26Results'!$B:$B,A10,'NHL2025-26Results'!$E:$E,"&gt;0")</f>
        <v>2.9166666666666665</v>
      </c>
    </row>
    <row r="11" spans="1:18" x14ac:dyDescent="0.2">
      <c r="A11" s="4" t="s">
        <v>26</v>
      </c>
      <c r="B11">
        <f>SUM(Table1[[#This Row],[W]:[OTL]])</f>
        <v>26</v>
      </c>
      <c r="C11">
        <f>COUNTIF(NHL2025_26Results[Winning Team],Standings!A11)</f>
        <v>13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2</v>
      </c>
      <c r="F11" s="3">
        <f>(Table1[[#This Row],[W]]*2)+Table1[[#This Row],[OTL]]</f>
        <v>28</v>
      </c>
      <c r="G11">
        <f>COUNTIFS('NHL2025-26Results'!$D:$D,A11,'NHL2025-26Results'!$G:$G,A11)</f>
        <v>8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1</v>
      </c>
      <c r="M11" s="11">
        <f>Table1[[#This Row],[HomeWins]]/SUM(Table1[[#This Row],[HomeWins]:[HomeOTL]])</f>
        <v>0.53333333333333333</v>
      </c>
      <c r="N11" s="11">
        <f>Table1[[#This Row],[AwayWins]]/SUM(Table1[[#This Row],[AwayWins]:[AwayOTL]])</f>
        <v>0.45454545454545453</v>
      </c>
      <c r="O11" s="14">
        <f>SUMIFS('NHL2025-26Results'!$E:$E,'NHL2025-26Results'!$D:$D,A11,'NHL2025-26Results'!$E:$E,"&gt;0")/COUNTIFS('NHL2025-26Results'!$D:$D,A11,'NHL2025-26Results'!$E:$E,"&gt;0")</f>
        <v>3.5</v>
      </c>
      <c r="P11" s="14">
        <f>SUMIFS('NHL2025-26Results'!$C:$C,'NHL2025-26Results'!$B:$B,A11,'NHL2025-26Results'!$C:$C,"&gt;0")/COUNTIFS('NHL2025-26Results'!$B:$B,A11,'NHL2025-26Results'!$C:$C,"&gt;0")</f>
        <v>2.8</v>
      </c>
      <c r="Q11" s="14">
        <f>SUMIFS('NHL2025-26Results'!$C:$C,'NHL2025-26Results'!$D:$D,A11,'NHL2025-26Results'!$C:$C,"&gt;0")/COUNTIFS('NHL2025-26Results'!$D:$D,A11,'NHL2025-26Results'!$C:$C,"&gt;0")</f>
        <v>3.6666666666666665</v>
      </c>
      <c r="R11" s="14">
        <f>SUMIFS('NHL2025-26Results'!$E:$E,'NHL2025-26Results'!$B:$B,A11,'NHL2025-26Results'!$E:$E,"&gt;0")/COUNTIFS('NHL2025-26Results'!$B:$B,A11,'NHL2025-26Results'!$E:$E,"&gt;0")</f>
        <v>3.0909090909090908</v>
      </c>
    </row>
    <row r="12" spans="1:18" x14ac:dyDescent="0.2">
      <c r="A12" s="4" t="s">
        <v>17</v>
      </c>
      <c r="B12">
        <f>SUM(Table1[[#This Row],[W]:[OTL]])</f>
        <v>26</v>
      </c>
      <c r="C12">
        <f>COUNTIF(NHL2025_26Results[Winning Team],Standings!A12)</f>
        <v>11</v>
      </c>
      <c r="D12">
        <f>COUNTIFS('NHL2025-26Results'!$H:$H,A12,'NHL2025-26Results'!$F:$F,"")</f>
        <v>10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27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2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0.55555555555555558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3.6666666666666665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4.4444444444444446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24</v>
      </c>
      <c r="C13">
        <f>COUNTIF(NHL2025_26Results[Winning Team],Standings!A13)</f>
        <v>12</v>
      </c>
      <c r="D13">
        <f>COUNTIFS('NHL2025-26Results'!$H:$H,A13,'NHL2025-26Results'!$F:$F,"")</f>
        <v>11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25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5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0.5714285714285714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3.3571428571428572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3.5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25</v>
      </c>
      <c r="C14">
        <f>COUNTIF(NHL2025_26Results[Winning Team],Standings!A14)</f>
        <v>12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31</v>
      </c>
      <c r="G14">
        <f>COUNTIFS('NHL2025-26Results'!$D:$D,A14,'NHL2025-26Results'!$G:$G,A14)</f>
        <v>3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0.3</v>
      </c>
      <c r="N14" s="11">
        <f>Table1[[#This Row],[AwayWins]]/SUM(Table1[[#This Row],[AwayWins]:[AwayOTL]])</f>
        <v>0.6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3.2</v>
      </c>
      <c r="Q14" s="14">
        <f>SUMIFS('NHL2025-26Results'!$C:$C,'NHL2025-26Results'!$D:$D,A14,'NHL2025-26Results'!$C:$C,"&gt;0")/COUNTIFS('NHL2025-26Results'!$D:$D,A14,'NHL2025-26Results'!$C:$C,"&gt;0")</f>
        <v>3.2222222222222223</v>
      </c>
      <c r="R14" s="14">
        <f>SUMIFS('NHL2025-26Results'!$E:$E,'NHL2025-26Results'!$B:$B,A14,'NHL2025-26Results'!$E:$E,"&gt;0")/COUNTIFS('NHL2025-26Results'!$B:$B,A14,'NHL2025-26Results'!$E:$E,"&gt;0")</f>
        <v>2.9285714285714284</v>
      </c>
    </row>
    <row r="15" spans="1:18" x14ac:dyDescent="0.2">
      <c r="A15" s="4" t="s">
        <v>34</v>
      </c>
      <c r="B15">
        <f>SUM(Table1[[#This Row],[W]:[OTL]])</f>
        <v>26</v>
      </c>
      <c r="C15">
        <f>COUNTIF(NHL2025_26Results[Winning Team],Standings!A15)</f>
        <v>14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33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6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0.53333333333333333</v>
      </c>
      <c r="N15" s="11">
        <f>Table1[[#This Row],[AwayWins]]/SUM(Table1[[#This Row],[AwayWins]:[AwayOTL]])</f>
        <v>0.54545454545454541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3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3.25</v>
      </c>
    </row>
    <row r="16" spans="1:18" x14ac:dyDescent="0.2">
      <c r="A16" s="4" t="s">
        <v>18</v>
      </c>
      <c r="B16">
        <f>SUM(Table1[[#This Row],[W]:[OTL]])</f>
        <v>24</v>
      </c>
      <c r="C16">
        <f>COUNTIF(NHL2025_26Results[Winning Team],Standings!A16)</f>
        <v>13</v>
      </c>
      <c r="D16">
        <f>COUNTIFS('NHL2025-26Results'!$H:$H,A16,'NHL2025-26Results'!$F:$F,"")</f>
        <v>8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29</v>
      </c>
      <c r="G16">
        <f>COUNTIFS('NHL2025-26Results'!$D:$D,A16,'NHL2025-26Results'!$G:$G,A16)</f>
        <v>6</v>
      </c>
      <c r="H16">
        <f>COUNTIFS('NHL2025-26Results'!$D:$D,A16,'NHL2025-26Results'!$H:$H,A16,'NHL2025-26Results'!$F:$F,"")</f>
        <v>5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7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0.58333333333333337</v>
      </c>
      <c r="O16" s="14">
        <f>SUMIFS('NHL2025-26Results'!$E:$E,'NHL2025-26Results'!$D:$D,A16,'NHL2025-26Results'!$E:$E,"&gt;0")/COUNTIFS('NHL2025-26Results'!$D:$D,A16,'NHL2025-26Results'!$E:$E,"&gt;0")</f>
        <v>3.7272727272727271</v>
      </c>
      <c r="P16" s="14">
        <f>SUMIFS('NHL2025-26Results'!$C:$C,'NHL2025-26Results'!$B:$B,A16,'NHL2025-26Results'!$C:$C,"&gt;0")/COUNTIFS('NHL2025-26Results'!$B:$B,A16,'NHL2025-26Results'!$C:$C,"&gt;0")</f>
        <v>3.4166666666666665</v>
      </c>
      <c r="Q16" s="14">
        <f>SUMIFS('NHL2025-26Results'!$C:$C,'NHL2025-26Results'!$D:$D,A16,'NHL2025-26Results'!$C:$C,"&gt;0")/COUNTIFS('NHL2025-26Results'!$D:$D,A16,'NHL2025-26Results'!$C:$C,"&gt;0")</f>
        <v>3.9166666666666665</v>
      </c>
      <c r="R16" s="14">
        <f>SUMIFS('NHL2025-26Results'!$E:$E,'NHL2025-26Results'!$B:$B,A16,'NHL2025-26Results'!$E:$E,"&gt;0")/COUNTIFS('NHL2025-26Results'!$B:$B,A16,'NHL2025-26Results'!$E:$E,"&gt;0")</f>
        <v>3.3333333333333335</v>
      </c>
    </row>
    <row r="17" spans="1:18" x14ac:dyDescent="0.2">
      <c r="A17" s="4" t="s">
        <v>29</v>
      </c>
      <c r="B17">
        <f>SUM(Table1[[#This Row],[W]:[OTL]])</f>
        <v>25</v>
      </c>
      <c r="C17">
        <f>COUNTIF(NHL2025_26Results[Winning Team],Standings!A17)</f>
        <v>8</v>
      </c>
      <c r="D17">
        <f>COUNTIFS('NHL2025-26Results'!$H:$H,A17,'NHL2025-26Results'!$F:$F,"")</f>
        <v>13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20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3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0.33333333333333331</v>
      </c>
      <c r="N17" s="11">
        <f>Table1[[#This Row],[AwayWins]]/SUM(Table1[[#This Row],[AwayWins]:[AwayOTL]])</f>
        <v>0.3</v>
      </c>
      <c r="O17" s="14">
        <f>SUMIFS('NHL2025-26Results'!$E:$E,'NHL2025-26Results'!$D:$D,A17,'NHL2025-26Results'!$E:$E,"&gt;0")/COUNTIFS('NHL2025-26Results'!$D:$D,A17,'NHL2025-26Results'!$E:$E,"&gt;0")</f>
        <v>2.6428571428571428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3.6</v>
      </c>
      <c r="R17" s="14">
        <f>SUMIFS('NHL2025-26Results'!$E:$E,'NHL2025-26Results'!$B:$B,A17,'NHL2025-26Results'!$E:$E,"&gt;0")/COUNTIFS('NHL2025-26Results'!$B:$B,A17,'NHL2025-26Results'!$E:$E,"&gt;0")</f>
        <v>3.8</v>
      </c>
    </row>
    <row r="18" spans="1:18" x14ac:dyDescent="0.2">
      <c r="A18" s="4" t="s">
        <v>24</v>
      </c>
      <c r="B18">
        <f>SUM(Table1[[#This Row],[W]:[OTL]])</f>
        <v>25</v>
      </c>
      <c r="C18">
        <f>COUNTIF(NHL2025_26Results[Winning Team],Standings!A18)</f>
        <v>16</v>
      </c>
      <c r="D18">
        <f>COUNTIFS('NHL2025-26Results'!$H:$H,A18,'NHL2025-26Results'!$F:$F,"")</f>
        <v>8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33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1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0.81818181818181823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3.3636363636363638</v>
      </c>
      <c r="P18" s="14">
        <f>SUMIFS('NHL2025-26Results'!$C:$C,'NHL2025-26Results'!$B:$B,A18,'NHL2025-26Results'!$C:$C,"&gt;0")/COUNTIFS('NHL2025-26Results'!$B:$B,A18,'NHL2025-26Results'!$C:$C,"&gt;0")</f>
        <v>3.3076923076923075</v>
      </c>
      <c r="Q18" s="14">
        <f>SUMIFS('NHL2025-26Results'!$C:$C,'NHL2025-26Results'!$D:$D,A18,'NHL2025-26Results'!$C:$C,"&gt;0")/COUNTIFS('NHL2025-26Results'!$D:$D,A18,'NHL2025-26Results'!$C:$C,"&gt;0")</f>
        <v>2.3636363636363638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25</v>
      </c>
      <c r="C19">
        <f>COUNTIF(NHL2025_26Results[Winning Team],Standings!A19)</f>
        <v>13</v>
      </c>
      <c r="D19">
        <f>COUNTIFS('NHL2025-26Results'!$H:$H,A19,'NHL2025-26Results'!$F:$F,"")</f>
        <v>9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29</v>
      </c>
      <c r="G19">
        <f>COUNTIFS('NHL2025-26Results'!$D:$D,A19,'NHL2025-26Results'!$G:$G,A19)</f>
        <v>5</v>
      </c>
      <c r="H19">
        <f>COUNTIFS('NHL2025-26Results'!$D:$D,A19,'NHL2025-26Results'!$H:$H,A19,'NHL2025-26Results'!$F:$F,"")</f>
        <v>5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0.41666666666666669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2.75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3.2727272727272729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27</v>
      </c>
      <c r="C20">
        <f>COUNTIF(NHL2025_26Results[Winning Team],Standings!A20)</f>
        <v>13</v>
      </c>
      <c r="D20">
        <f>COUNTIFS('NHL2025-26Results'!$H:$H,A20,'NHL2025-26Results'!$F:$F,"")</f>
        <v>12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28</v>
      </c>
      <c r="G20">
        <f>COUNTIFS('NHL2025-26Results'!$D:$D,A20,'NHL2025-26Results'!$G:$G,A20)</f>
        <v>2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11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0.18181818181818182</v>
      </c>
      <c r="N20" s="11">
        <f>Table1[[#This Row],[AwayWins]]/SUM(Table1[[#This Row],[AwayWins]:[AwayOTL]])</f>
        <v>0.6875</v>
      </c>
      <c r="O20" s="14">
        <f>SUMIFS('NHL2025-26Results'!$E:$E,'NHL2025-26Results'!$D:$D,A20,'NHL2025-26Results'!$E:$E,"&gt;0")/COUNTIFS('NHL2025-26Results'!$D:$D,A20,'NHL2025-26Results'!$E:$E,"&gt;0")</f>
        <v>2.8333333333333335</v>
      </c>
      <c r="P20" s="14">
        <f>SUMIFS('NHL2025-26Results'!$C:$C,'NHL2025-26Results'!$B:$B,A20,'NHL2025-26Results'!$C:$C,"&gt;0")/COUNTIFS('NHL2025-26Results'!$B:$B,A20,'NHL2025-26Results'!$C:$C,"&gt;0")</f>
        <v>3.4375</v>
      </c>
      <c r="Q20" s="14">
        <f>SUMIFS('NHL2025-26Results'!$C:$C,'NHL2025-26Results'!$D:$D,A20,'NHL2025-26Results'!$C:$C,"&gt;0")/COUNTIFS('NHL2025-26Results'!$D:$D,A20,'NHL2025-26Results'!$C:$C,"&gt;0")</f>
        <v>3.0909090909090908</v>
      </c>
      <c r="R20" s="14">
        <f>SUMIFS('NHL2025-26Results'!$E:$E,'NHL2025-26Results'!$B:$B,A20,'NHL2025-26Results'!$E:$E,"&gt;0")/COUNTIFS('NHL2025-26Results'!$B:$B,A20,'NHL2025-26Results'!$E:$E,"&gt;0")</f>
        <v>2.6428571428571428</v>
      </c>
    </row>
    <row r="21" spans="1:18" x14ac:dyDescent="0.2">
      <c r="A21" s="4" t="s">
        <v>36</v>
      </c>
      <c r="B21">
        <f>SUM(Table1[[#This Row],[W]:[OTL]])</f>
        <v>24</v>
      </c>
      <c r="C21">
        <f>COUNTIF(NHL2025_26Results[Winning Team],Standings!A21)</f>
        <v>12</v>
      </c>
      <c r="D21">
        <f>COUNTIFS('NHL2025-26Results'!$H:$H,A21,'NHL2025-26Results'!$F:$F,"")</f>
        <v>8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28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6</v>
      </c>
      <c r="K21">
        <f>COUNTIFS('NHL2025-26Results'!$B:$B,A21,'NHL2025-26Results'!$H:$H,A21,'NHL2025-26Results'!$F:$F,"")</f>
        <v>5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0.46153846153846156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3.3076923076923075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3.6923076923076925</v>
      </c>
    </row>
    <row r="22" spans="1:18" x14ac:dyDescent="0.2">
      <c r="A22" s="4" t="s">
        <v>27</v>
      </c>
      <c r="B22">
        <f>SUM(Table1[[#This Row],[W]:[OTL]])</f>
        <v>24</v>
      </c>
      <c r="C22">
        <f>COUNTIF(NHL2025_26Results[Winning Team],Standings!A22)</f>
        <v>14</v>
      </c>
      <c r="D22">
        <f>COUNTIFS('NHL2025-26Results'!$H:$H,A22,'NHL2025-26Results'!$F:$F,"")</f>
        <v>7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31</v>
      </c>
      <c r="G22">
        <f>COUNTIFS('NHL2025-26Results'!$D:$D,A22,'NHL2025-26Results'!$G:$G,A22)</f>
        <v>8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0.61538461538461542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3.0769230769230771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2.5384615384615383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24</v>
      </c>
      <c r="C23">
        <f>COUNTIF(NHL2025_26Results[Winning Team],Standings!A23)</f>
        <v>12</v>
      </c>
      <c r="D23">
        <f>COUNTIFS('NHL2025-26Results'!$H:$H,A23,'NHL2025-26Results'!$F:$F,"")</f>
        <v>7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29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4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6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0.5</v>
      </c>
      <c r="O23" s="14">
        <f>SUMIFS('NHL2025-26Results'!$E:$E,'NHL2025-26Results'!$D:$D,A23,'NHL2025-26Results'!$E:$E,"&gt;0")/COUNTIFS('NHL2025-26Results'!$D:$D,A23,'NHL2025-26Results'!$E:$E,"&gt;0")</f>
        <v>3.5454545454545454</v>
      </c>
      <c r="P23" s="14">
        <f>SUMIFS('NHL2025-26Results'!$C:$C,'NHL2025-26Results'!$B:$B,A23,'NHL2025-26Results'!$C:$C,"&gt;0")/COUNTIFS('NHL2025-26Results'!$B:$B,A23,'NHL2025-26Results'!$C:$C,"&gt;0")</f>
        <v>2.9166666666666665</v>
      </c>
      <c r="Q23" s="14">
        <f>SUMIFS('NHL2025-26Results'!$C:$C,'NHL2025-26Results'!$D:$D,A23,'NHL2025-26Results'!$C:$C,"&gt;0")/COUNTIFS('NHL2025-26Results'!$D:$D,A23,'NHL2025-26Results'!$C:$C,"&gt;0")</f>
        <v>3.7272727272727271</v>
      </c>
      <c r="R23" s="14">
        <f>SUMIFS('NHL2025-26Results'!$E:$E,'NHL2025-26Results'!$B:$B,A23,'NHL2025-26Results'!$E:$E,"&gt;0")/COUNTIFS('NHL2025-26Results'!$B:$B,A23,'NHL2025-26Results'!$E:$E,"&gt;0")</f>
        <v>2.9</v>
      </c>
    </row>
    <row r="24" spans="1:18" x14ac:dyDescent="0.2">
      <c r="A24" s="4" t="s">
        <v>33</v>
      </c>
      <c r="B24">
        <f>SUM(Table1[[#This Row],[W]:[OTL]])</f>
        <v>26</v>
      </c>
      <c r="C24">
        <f>COUNTIF(NHL2025_26Results[Winning Team],Standings!A24)</f>
        <v>12</v>
      </c>
      <c r="D24">
        <f>COUNTIFS('NHL2025-26Results'!$H:$H,A24,'NHL2025-26Results'!$F:$F,"")</f>
        <v>11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27</v>
      </c>
      <c r="G24">
        <f>COUNTIFS('NHL2025-26Results'!$D:$D,A24,'NHL2025-26Results'!$G:$G,A24)</f>
        <v>8</v>
      </c>
      <c r="H24">
        <f>COUNTIFS('NHL2025-26Results'!$D:$D,A24,'NHL2025-26Results'!$H:$H,A24,'NHL2025-26Results'!$F:$F,"")</f>
        <v>4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7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0.53333333333333333</v>
      </c>
      <c r="N24" s="11">
        <f>Table1[[#This Row],[AwayWins]]/SUM(Table1[[#This Row],[AwayWins]:[AwayOTL]])</f>
        <v>0.36363636363636365</v>
      </c>
      <c r="O24" s="14">
        <f>SUMIFS('NHL2025-26Results'!$E:$E,'NHL2025-26Results'!$D:$D,A24,'NHL2025-26Results'!$E:$E,"&gt;0")/COUNTIFS('NHL2025-26Results'!$D:$D,A24,'NHL2025-26Results'!$E:$E,"&gt;0")</f>
        <v>3.0714285714285716</v>
      </c>
      <c r="P24" s="14">
        <f>SUMIFS('NHL2025-26Results'!$C:$C,'NHL2025-26Results'!$B:$B,A24,'NHL2025-26Results'!$C:$C,"&gt;0")/COUNTIFS('NHL2025-26Results'!$B:$B,A24,'NHL2025-26Results'!$C:$C,"&gt;0")</f>
        <v>3.4444444444444446</v>
      </c>
      <c r="Q24" s="14">
        <f>SUMIFS('NHL2025-26Results'!$C:$C,'NHL2025-26Results'!$D:$D,A24,'NHL2025-26Results'!$C:$C,"&gt;0")/COUNTIFS('NHL2025-26Results'!$D:$D,A24,'NHL2025-26Results'!$C:$C,"&gt;0")</f>
        <v>2.8666666666666667</v>
      </c>
      <c r="R24" s="14">
        <f>SUMIFS('NHL2025-26Results'!$E:$E,'NHL2025-26Results'!$B:$B,A24,'NHL2025-26Results'!$E:$E,"&gt;0")/COUNTIFS('NHL2025-26Results'!$B:$B,A24,'NHL2025-26Results'!$E:$E,"&gt;0")</f>
        <v>3.7272727272727271</v>
      </c>
    </row>
    <row r="25" spans="1:18" x14ac:dyDescent="0.2">
      <c r="A25" s="4" t="s">
        <v>32</v>
      </c>
      <c r="B25">
        <f>SUM(Table1[[#This Row],[W]:[OTL]])</f>
        <v>24</v>
      </c>
      <c r="C25">
        <f>COUNTIF(NHL2025_26Results[Winning Team],Standings!A25)</f>
        <v>11</v>
      </c>
      <c r="D25">
        <f>COUNTIFS('NHL2025-26Results'!$H:$H,A25,'NHL2025-26Results'!$F:$F,"")</f>
        <v>7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3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0.41666666666666669</v>
      </c>
      <c r="O25" s="14">
        <f>SUMIFS('NHL2025-26Results'!$E:$E,'NHL2025-26Results'!$D:$D,A25,'NHL2025-26Results'!$E:$E,"&gt;0")/COUNTIFS('NHL2025-26Results'!$D:$D,A25,'NHL2025-26Results'!$E:$E,"&gt;0")</f>
        <v>2.6363636363636362</v>
      </c>
      <c r="P25" s="14">
        <f>SUMIFS('NHL2025-26Results'!$C:$C,'NHL2025-26Results'!$B:$B,A25,'NHL2025-26Results'!$C:$C,"&gt;0")/COUNTIFS('NHL2025-26Results'!$B:$B,A25,'NHL2025-26Results'!$C:$C,"&gt;0")</f>
        <v>2.7272727272727271</v>
      </c>
      <c r="Q25" s="14">
        <f>SUMIFS('NHL2025-26Results'!$C:$C,'NHL2025-26Results'!$D:$D,A25,'NHL2025-26Results'!$C:$C,"&gt;0")/COUNTIFS('NHL2025-26Results'!$D:$D,A25,'NHL2025-26Results'!$C:$C,"&gt;0")</f>
        <v>2.5833333333333335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26</v>
      </c>
      <c r="C26">
        <f>COUNTIF(NHL2025_26Results[Winning Team],Standings!A26)</f>
        <v>9</v>
      </c>
      <c r="D26">
        <f>COUNTIFS('NHL2025-26Results'!$H:$H,A26,'NHL2025-26Results'!$F:$F,"")</f>
        <v>10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25</v>
      </c>
      <c r="G26">
        <f>COUNTIFS('NHL2025-26Results'!$D:$D,A26,'NHL2025-26Results'!$G:$G,A26)</f>
        <v>5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0.35714285714285715</v>
      </c>
      <c r="N26" s="11">
        <f>Table1[[#This Row],[AwayWins]]/SUM(Table1[[#This Row],[AwayWins]:[AwayOTL]])</f>
        <v>0.33333333333333331</v>
      </c>
      <c r="O26" s="14">
        <f>SUMIFS('NHL2025-26Results'!$E:$E,'NHL2025-26Results'!$D:$D,A26,'NHL2025-26Results'!$E:$E,"&gt;0")/COUNTIFS('NHL2025-26Results'!$D:$D,A26,'NHL2025-26Results'!$E:$E,"&gt;0")</f>
        <v>2.7692307692307692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4.0769230769230766</v>
      </c>
      <c r="R26" s="14">
        <f>SUMIFS('NHL2025-26Results'!$E:$E,'NHL2025-26Results'!$B:$B,A26,'NHL2025-26Results'!$E:$E,"&gt;0")/COUNTIFS('NHL2025-26Results'!$B:$B,A26,'NHL2025-26Results'!$E:$E,"&gt;0")</f>
        <v>3.4545454545454546</v>
      </c>
    </row>
    <row r="27" spans="1:18" x14ac:dyDescent="0.2">
      <c r="A27" s="4" t="s">
        <v>37</v>
      </c>
      <c r="B27">
        <f>SUM(Table1[[#This Row],[W]:[OTL]])</f>
        <v>25</v>
      </c>
      <c r="C27">
        <f>COUNTIF(NHL2025_26Results[Winning Team],Standings!A27)</f>
        <v>16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34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8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0.61538461538461542</v>
      </c>
      <c r="N27" s="11">
        <f>Table1[[#This Row],[AwayWins]]/SUM(Table1[[#This Row],[AwayWins]:[AwayOTL]])</f>
        <v>0.66666666666666663</v>
      </c>
      <c r="O27" s="14">
        <f>SUMIFS('NHL2025-26Results'!$E:$E,'NHL2025-26Results'!$D:$D,A27,'NHL2025-26Results'!$E:$E,"&gt;0")/COUNTIFS('NHL2025-26Results'!$D:$D,A27,'NHL2025-26Results'!$E:$E,"&gt;0")</f>
        <v>3.0769230769230771</v>
      </c>
      <c r="P27" s="14">
        <f>SUMIFS('NHL2025-26Results'!$C:$C,'NHL2025-26Results'!$B:$B,A27,'NHL2025-26Results'!$C:$C,"&gt;0")/COUNTIFS('NHL2025-26Results'!$B:$B,A27,'NHL2025-26Results'!$C:$C,"&gt;0")</f>
        <v>3.6666666666666665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2.4166666666666665</v>
      </c>
    </row>
    <row r="28" spans="1:18" x14ac:dyDescent="0.2">
      <c r="A28" s="4" t="s">
        <v>19</v>
      </c>
      <c r="B28">
        <f>SUM(Table1[[#This Row],[W]:[OTL]])</f>
        <v>25</v>
      </c>
      <c r="C28">
        <f>COUNTIF(NHL2025_26Results[Winning Team],Standings!A28)</f>
        <v>11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25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3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0.3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3.2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3.9</v>
      </c>
    </row>
    <row r="29" spans="1:18" x14ac:dyDescent="0.2">
      <c r="A29" t="s">
        <v>55</v>
      </c>
      <c r="B29">
        <f>SUM(Table1[[#This Row],[W]:[OTL]])</f>
        <v>26</v>
      </c>
      <c r="C29">
        <f>COUNTIF(NHL2025_26Results[Winning Team],Standings!A29)</f>
        <v>12</v>
      </c>
      <c r="D29">
        <f>COUNTIFS('NHL2025-26Results'!$H:$H,A29,'NHL2025-26Results'!$F:$F,"")</f>
        <v>11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27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8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0.33333333333333331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2.8571428571428572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3.2</v>
      </c>
    </row>
    <row r="30" spans="1:18" x14ac:dyDescent="0.2">
      <c r="A30" s="4" t="s">
        <v>38</v>
      </c>
      <c r="B30">
        <f>SUM(Table1[[#This Row],[W]:[OTL]])</f>
        <v>26</v>
      </c>
      <c r="C30">
        <f>COUNTIF(NHL2025_26Results[Winning Team],Standings!A30)</f>
        <v>10</v>
      </c>
      <c r="D30">
        <f>COUNTIFS('NHL2025-26Results'!$H:$H,A30,'NHL2025-26Results'!$F:$F,"")</f>
        <v>13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23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6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0.46666666666666667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3.2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3.5333333333333332</v>
      </c>
    </row>
    <row r="31" spans="1:18" x14ac:dyDescent="0.2">
      <c r="A31" s="4" t="s">
        <v>20</v>
      </c>
      <c r="B31">
        <f>SUM(Table1[[#This Row],[W]:[OTL]])</f>
        <v>25</v>
      </c>
      <c r="C31">
        <f>COUNTIF(NHL2025_26Results[Winning Team],Standings!A31)</f>
        <v>11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30</v>
      </c>
      <c r="G31">
        <f>COUNTIFS('NHL2025-26Results'!$D:$D,A31,'NHL2025-26Results'!$G:$G,A31)</f>
        <v>6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0.42857142857142855</v>
      </c>
      <c r="N31" s="11">
        <f>Table1[[#This Row],[AwayWins]]/SUM(Table1[[#This Row],[AwayWins]:[AwayOTL]])</f>
        <v>0.45454545454545453</v>
      </c>
      <c r="O31" s="14">
        <f>SUMIFS('NHL2025-26Results'!$E:$E,'NHL2025-26Results'!$D:$D,A31,'NHL2025-26Results'!$E:$E,"&gt;0")/COUNTIFS('NHL2025-26Results'!$D:$D,A31,'NHL2025-26Results'!$E:$E,"&gt;0")</f>
        <v>3.2857142857142856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3.6153846153846154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25</v>
      </c>
      <c r="C32">
        <f>COUNTIF(NHL2025_26Results[Winning Team],Standings!A32)</f>
        <v>14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30</v>
      </c>
      <c r="G32">
        <f>COUNTIFS('NHL2025-26Results'!$D:$D,A32,'NHL2025-26Results'!$G:$G,A32)</f>
        <v>9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5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0.6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3.4</v>
      </c>
      <c r="P32" s="14">
        <f>SUMIFS('NHL2025-26Results'!$C:$C,'NHL2025-26Results'!$B:$B,A32,'NHL2025-26Results'!$C:$C,"&gt;0")/COUNTIFS('NHL2025-26Results'!$B:$B,A32,'NHL2025-26Results'!$C:$C,"&gt;0")</f>
        <v>3.6666666666666665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24</v>
      </c>
      <c r="C33">
        <f>COUNTIF(NHL2025_26Results[Winning Team],Standings!A33)</f>
        <v>13</v>
      </c>
      <c r="D33">
        <f>COUNTIFS('NHL2025-26Results'!$H:$H,A33,'NHL2025-26Results'!$F:$F,"")</f>
        <v>11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26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6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0.53846153846153844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3.25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3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7691-E514-6B4C-9563-56D36E7A2768}">
  <dimension ref="A1:AA105"/>
  <sheetViews>
    <sheetView topLeftCell="E49" zoomScale="59" workbookViewId="0">
      <selection activeCell="Q80" sqref="Q80"/>
    </sheetView>
  </sheetViews>
  <sheetFormatPr baseColWidth="10" defaultRowHeight="16" x14ac:dyDescent="0.2"/>
  <cols>
    <col min="1" max="1" width="14.5" bestFit="1" customWidth="1"/>
    <col min="2" max="2" width="14.83203125" bestFit="1" customWidth="1"/>
    <col min="3" max="4" width="19.83203125" bestFit="1" customWidth="1"/>
    <col min="5" max="5" width="39.5" bestFit="1" customWidth="1"/>
    <col min="6" max="6" width="19.83203125" bestFit="1" customWidth="1"/>
    <col min="7" max="7" width="18" bestFit="1" customWidth="1"/>
    <col min="8" max="8" width="19.1640625" bestFit="1" customWidth="1"/>
    <col min="9" max="9" width="18.1640625" style="13" bestFit="1" customWidth="1"/>
    <col min="10" max="10" width="10.33203125" bestFit="1" customWidth="1"/>
    <col min="11" max="11" width="15.1640625" style="18" bestFit="1" customWidth="1"/>
    <col min="12" max="12" width="14.33203125" bestFit="1" customWidth="1"/>
    <col min="13" max="13" width="59" bestFit="1" customWidth="1"/>
    <col min="14" max="14" width="19.83203125" bestFit="1" customWidth="1"/>
    <col min="15" max="15" width="20.1640625" bestFit="1" customWidth="1"/>
    <col min="16" max="16" width="21.33203125" bestFit="1" customWidth="1"/>
    <col min="17" max="17" width="20.5" style="13" bestFit="1" customWidth="1"/>
    <col min="18" max="18" width="12.6640625" bestFit="1" customWidth="1"/>
    <col min="19" max="19" width="18.5" bestFit="1" customWidth="1"/>
    <col min="20" max="20" width="16.5" bestFit="1" customWidth="1"/>
    <col min="21" max="21" width="19.83203125" bestFit="1" customWidth="1"/>
    <col min="22" max="22" width="20.5" bestFit="1" customWidth="1"/>
    <col min="23" max="23" width="21.6640625" bestFit="1" customWidth="1"/>
    <col min="24" max="24" width="12.83203125" bestFit="1" customWidth="1"/>
    <col min="25" max="25" width="15.6640625" bestFit="1" customWidth="1"/>
    <col min="26" max="27" width="20" bestFit="1" customWidth="1"/>
  </cols>
  <sheetData>
    <row r="1" spans="1:27" x14ac:dyDescent="0.2">
      <c r="A1" t="s">
        <v>272</v>
      </c>
      <c r="B1" t="s">
        <v>260</v>
      </c>
      <c r="C1" t="s">
        <v>262</v>
      </c>
      <c r="D1" t="s">
        <v>261</v>
      </c>
      <c r="E1" t="s">
        <v>273</v>
      </c>
      <c r="F1" t="s">
        <v>274</v>
      </c>
      <c r="G1" t="s">
        <v>275</v>
      </c>
      <c r="H1" t="s">
        <v>276</v>
      </c>
      <c r="I1" s="13" t="s">
        <v>263</v>
      </c>
      <c r="J1" t="s">
        <v>277</v>
      </c>
      <c r="K1" s="13" t="s">
        <v>278</v>
      </c>
      <c r="L1" t="s">
        <v>266</v>
      </c>
      <c r="M1" t="s">
        <v>279</v>
      </c>
      <c r="N1" t="s">
        <v>280</v>
      </c>
      <c r="O1" t="s">
        <v>281</v>
      </c>
      <c r="P1" t="s">
        <v>282</v>
      </c>
      <c r="Q1" s="13" t="s">
        <v>264</v>
      </c>
      <c r="R1" t="s">
        <v>283</v>
      </c>
      <c r="S1" t="s">
        <v>284</v>
      </c>
      <c r="T1" t="s">
        <v>267</v>
      </c>
      <c r="U1" t="s">
        <v>265</v>
      </c>
      <c r="V1" t="s">
        <v>271</v>
      </c>
      <c r="W1" t="s">
        <v>270</v>
      </c>
      <c r="X1" t="s">
        <v>285</v>
      </c>
      <c r="Y1" t="s">
        <v>286</v>
      </c>
      <c r="Z1" t="s">
        <v>287</v>
      </c>
      <c r="AA1" t="s">
        <v>288</v>
      </c>
    </row>
    <row r="2" spans="1:27" x14ac:dyDescent="0.2">
      <c r="A2" s="20" t="s">
        <v>216</v>
      </c>
      <c r="B2" s="20" t="s">
        <v>289</v>
      </c>
      <c r="C2" s="20" t="s">
        <v>55</v>
      </c>
      <c r="D2" s="20" t="s">
        <v>31</v>
      </c>
      <c r="E2" s="20" t="s">
        <v>290</v>
      </c>
      <c r="F2" s="20" t="s">
        <v>31</v>
      </c>
      <c r="G2" s="20">
        <v>4</v>
      </c>
      <c r="H2" s="20">
        <v>5</v>
      </c>
      <c r="I2" s="13">
        <v>0.96</v>
      </c>
      <c r="J2" s="20" t="s">
        <v>249</v>
      </c>
      <c r="L2" s="20" t="s">
        <v>248</v>
      </c>
      <c r="M2" s="20" t="s">
        <v>291</v>
      </c>
      <c r="N2" s="20" t="s">
        <v>31</v>
      </c>
      <c r="O2" s="20">
        <v>2</v>
      </c>
      <c r="P2" s="20">
        <v>4</v>
      </c>
      <c r="Q2" s="13">
        <v>0.75549999999999995</v>
      </c>
      <c r="R2" s="20" t="s">
        <v>249</v>
      </c>
      <c r="S2" s="20">
        <v>0.8</v>
      </c>
      <c r="T2" s="20" t="s">
        <v>248</v>
      </c>
      <c r="U2" s="20" t="s">
        <v>31</v>
      </c>
      <c r="V2" s="20">
        <v>2</v>
      </c>
      <c r="W2" s="20">
        <v>3</v>
      </c>
      <c r="X2" s="20" t="s">
        <v>379</v>
      </c>
      <c r="Y2" s="20" t="s">
        <v>292</v>
      </c>
      <c r="Z2" s="20" t="s">
        <v>60</v>
      </c>
      <c r="AA2" s="20" t="s">
        <v>380</v>
      </c>
    </row>
    <row r="3" spans="1:27" x14ac:dyDescent="0.2">
      <c r="A3" s="20" t="s">
        <v>216</v>
      </c>
      <c r="B3" s="20" t="s">
        <v>293</v>
      </c>
      <c r="C3" s="20" t="s">
        <v>25</v>
      </c>
      <c r="D3" s="20" t="s">
        <v>21</v>
      </c>
      <c r="E3" s="20" t="s">
        <v>294</v>
      </c>
      <c r="F3" s="20" t="s">
        <v>21</v>
      </c>
      <c r="G3" s="20">
        <v>3</v>
      </c>
      <c r="H3" s="20">
        <v>4</v>
      </c>
      <c r="I3" s="13">
        <v>0.54630000000000001</v>
      </c>
      <c r="J3" s="20" t="s">
        <v>249</v>
      </c>
      <c r="L3" s="20" t="s">
        <v>249</v>
      </c>
      <c r="M3" s="20" t="s">
        <v>381</v>
      </c>
      <c r="N3" s="20" t="s">
        <v>25</v>
      </c>
      <c r="O3" s="20">
        <v>2</v>
      </c>
      <c r="P3" s="20">
        <v>3</v>
      </c>
      <c r="Q3" s="13">
        <v>0.54330000000000001</v>
      </c>
      <c r="R3" s="20" t="s">
        <v>249</v>
      </c>
      <c r="S3" s="20">
        <v>-0.47</v>
      </c>
      <c r="T3" s="20" t="s">
        <v>248</v>
      </c>
      <c r="U3" s="20" t="s">
        <v>25</v>
      </c>
      <c r="V3" s="20">
        <v>3</v>
      </c>
      <c r="W3" s="20">
        <v>1</v>
      </c>
      <c r="X3" s="20" t="s">
        <v>379</v>
      </c>
      <c r="Y3" s="20" t="s">
        <v>292</v>
      </c>
      <c r="Z3" s="20" t="s">
        <v>60</v>
      </c>
      <c r="AA3" s="20" t="s">
        <v>380</v>
      </c>
    </row>
    <row r="4" spans="1:27" x14ac:dyDescent="0.2">
      <c r="A4" s="20" t="s">
        <v>216</v>
      </c>
      <c r="B4" s="20" t="s">
        <v>293</v>
      </c>
      <c r="C4" s="20" t="s">
        <v>17</v>
      </c>
      <c r="D4" s="20" t="s">
        <v>23</v>
      </c>
      <c r="E4" s="20" t="s">
        <v>295</v>
      </c>
      <c r="F4" s="20" t="s">
        <v>23</v>
      </c>
      <c r="G4" s="20">
        <v>3</v>
      </c>
      <c r="H4" s="20">
        <v>4</v>
      </c>
      <c r="I4" s="13">
        <v>0.55500000000000005</v>
      </c>
      <c r="J4" s="20" t="s">
        <v>249</v>
      </c>
      <c r="L4" s="20" t="s">
        <v>248</v>
      </c>
      <c r="M4" s="20" t="s">
        <v>296</v>
      </c>
      <c r="N4" s="20" t="s">
        <v>17</v>
      </c>
      <c r="O4" s="20">
        <v>2</v>
      </c>
      <c r="P4" s="20">
        <v>3</v>
      </c>
      <c r="Q4" s="13">
        <v>0.47189999999999999</v>
      </c>
      <c r="R4" s="20" t="s">
        <v>248</v>
      </c>
      <c r="S4" s="20">
        <v>-0.09</v>
      </c>
      <c r="T4" s="20" t="s">
        <v>249</v>
      </c>
      <c r="U4" s="20" t="s">
        <v>23</v>
      </c>
      <c r="V4" s="20">
        <v>1</v>
      </c>
      <c r="W4" s="20">
        <v>5</v>
      </c>
      <c r="X4" s="20" t="s">
        <v>379</v>
      </c>
      <c r="Y4" s="20" t="s">
        <v>292</v>
      </c>
      <c r="Z4" s="20" t="s">
        <v>60</v>
      </c>
      <c r="AA4" s="20" t="s">
        <v>380</v>
      </c>
    </row>
    <row r="5" spans="1:27" x14ac:dyDescent="0.2">
      <c r="A5" s="20" t="s">
        <v>216</v>
      </c>
      <c r="B5" s="20" t="s">
        <v>297</v>
      </c>
      <c r="C5" s="20" t="s">
        <v>18</v>
      </c>
      <c r="D5" s="20" t="s">
        <v>28</v>
      </c>
      <c r="E5" s="20" t="s">
        <v>298</v>
      </c>
      <c r="F5" s="20" t="s">
        <v>18</v>
      </c>
      <c r="G5" s="20">
        <v>4</v>
      </c>
      <c r="H5" s="20">
        <v>3</v>
      </c>
      <c r="I5" s="13">
        <v>0.7097</v>
      </c>
      <c r="J5" s="20" t="s">
        <v>249</v>
      </c>
      <c r="L5" s="20" t="s">
        <v>249</v>
      </c>
      <c r="M5" s="20" t="s">
        <v>382</v>
      </c>
      <c r="N5" s="20" t="s">
        <v>28</v>
      </c>
      <c r="O5" s="20">
        <v>2</v>
      </c>
      <c r="P5" s="20">
        <v>3</v>
      </c>
      <c r="Q5" s="13">
        <v>0.50209999999999999</v>
      </c>
      <c r="R5" s="20" t="s">
        <v>248</v>
      </c>
      <c r="S5" s="20">
        <v>0.28000000000000003</v>
      </c>
      <c r="T5" s="20" t="s">
        <v>248</v>
      </c>
      <c r="U5" s="20" t="s">
        <v>28</v>
      </c>
      <c r="V5" s="20">
        <v>3</v>
      </c>
      <c r="W5" s="20">
        <v>4</v>
      </c>
      <c r="X5" s="20" t="s">
        <v>379</v>
      </c>
      <c r="Y5" s="20" t="s">
        <v>292</v>
      </c>
      <c r="Z5" s="20" t="s">
        <v>60</v>
      </c>
      <c r="AA5" s="20" t="s">
        <v>380</v>
      </c>
    </row>
    <row r="6" spans="1:27" x14ac:dyDescent="0.2">
      <c r="A6" s="20" t="s">
        <v>216</v>
      </c>
      <c r="B6" s="20" t="s">
        <v>293</v>
      </c>
      <c r="C6" s="20" t="s">
        <v>38</v>
      </c>
      <c r="D6" s="20" t="s">
        <v>11</v>
      </c>
      <c r="E6" s="20" t="s">
        <v>299</v>
      </c>
      <c r="F6" s="20" t="s">
        <v>38</v>
      </c>
      <c r="G6" s="20">
        <v>5</v>
      </c>
      <c r="H6" s="20">
        <v>4</v>
      </c>
      <c r="I6" s="13">
        <v>0.5766</v>
      </c>
      <c r="J6" s="20" t="s">
        <v>249</v>
      </c>
      <c r="L6" s="20" t="s">
        <v>249</v>
      </c>
      <c r="M6" s="20" t="s">
        <v>383</v>
      </c>
      <c r="N6" s="20" t="s">
        <v>11</v>
      </c>
      <c r="O6" s="20">
        <v>2</v>
      </c>
      <c r="P6" s="20">
        <v>4</v>
      </c>
      <c r="Q6" s="13">
        <v>0.62919999999999998</v>
      </c>
      <c r="R6" s="20" t="s">
        <v>249</v>
      </c>
      <c r="S6" s="20">
        <v>0.56999999999999995</v>
      </c>
      <c r="T6" s="20" t="s">
        <v>248</v>
      </c>
      <c r="U6" s="20" t="s">
        <v>11</v>
      </c>
      <c r="V6" s="20">
        <v>5</v>
      </c>
      <c r="W6" s="20">
        <v>8</v>
      </c>
      <c r="X6" s="20" t="s">
        <v>379</v>
      </c>
      <c r="Y6" s="20" t="s">
        <v>292</v>
      </c>
      <c r="Z6" s="20" t="s">
        <v>60</v>
      </c>
      <c r="AA6" s="20" t="s">
        <v>380</v>
      </c>
    </row>
    <row r="7" spans="1:27" x14ac:dyDescent="0.2">
      <c r="A7" s="20" t="s">
        <v>216</v>
      </c>
      <c r="B7" s="20" t="s">
        <v>293</v>
      </c>
      <c r="C7" s="20" t="s">
        <v>13</v>
      </c>
      <c r="D7" s="20" t="s">
        <v>22</v>
      </c>
      <c r="E7" s="20" t="s">
        <v>300</v>
      </c>
      <c r="F7" s="20" t="s">
        <v>13</v>
      </c>
      <c r="G7" s="20">
        <v>4</v>
      </c>
      <c r="H7" s="20">
        <v>1</v>
      </c>
      <c r="I7" s="13">
        <v>0.84499999999999997</v>
      </c>
      <c r="J7" s="20" t="s">
        <v>249</v>
      </c>
      <c r="L7" s="20" t="s">
        <v>249</v>
      </c>
      <c r="M7" s="20" t="s">
        <v>384</v>
      </c>
      <c r="N7" s="20" t="s">
        <v>22</v>
      </c>
      <c r="O7" s="20">
        <v>2</v>
      </c>
      <c r="P7" s="20">
        <v>3</v>
      </c>
      <c r="Q7" s="13">
        <v>0.44309999999999999</v>
      </c>
      <c r="R7" s="20" t="s">
        <v>248</v>
      </c>
      <c r="S7" s="20">
        <v>0.18</v>
      </c>
      <c r="T7" s="20" t="s">
        <v>248</v>
      </c>
      <c r="U7" s="20" t="s">
        <v>22</v>
      </c>
      <c r="V7" s="20">
        <v>1</v>
      </c>
      <c r="W7" s="20">
        <v>2</v>
      </c>
      <c r="X7" s="20" t="s">
        <v>379</v>
      </c>
      <c r="Y7" s="20" t="s">
        <v>292</v>
      </c>
      <c r="Z7" s="20" t="s">
        <v>60</v>
      </c>
      <c r="AA7" s="20" t="s">
        <v>380</v>
      </c>
    </row>
    <row r="8" spans="1:27" x14ac:dyDescent="0.2">
      <c r="A8" s="20" t="s">
        <v>217</v>
      </c>
      <c r="B8" s="20" t="s">
        <v>301</v>
      </c>
      <c r="C8" s="20" t="s">
        <v>16</v>
      </c>
      <c r="D8" s="20" t="s">
        <v>10</v>
      </c>
      <c r="E8" s="20" t="s">
        <v>302</v>
      </c>
      <c r="F8" s="20" t="s">
        <v>10</v>
      </c>
      <c r="G8" s="20">
        <v>4</v>
      </c>
      <c r="H8" s="20">
        <v>5</v>
      </c>
      <c r="I8" s="13">
        <v>0.66520000000000001</v>
      </c>
      <c r="J8" s="20" t="s">
        <v>249</v>
      </c>
      <c r="L8" s="20" t="s">
        <v>248</v>
      </c>
      <c r="M8" s="20" t="s">
        <v>303</v>
      </c>
      <c r="N8" s="20" t="s">
        <v>10</v>
      </c>
      <c r="O8" s="20">
        <v>2</v>
      </c>
      <c r="P8" s="20">
        <v>5</v>
      </c>
      <c r="Q8" s="13">
        <v>0.80840000000000001</v>
      </c>
      <c r="R8" s="20" t="s">
        <v>249</v>
      </c>
      <c r="S8" s="20">
        <v>1.87</v>
      </c>
      <c r="T8" s="20" t="s">
        <v>248</v>
      </c>
      <c r="U8" s="20" t="s">
        <v>10</v>
      </c>
      <c r="V8" s="20">
        <v>2</v>
      </c>
      <c r="W8" s="20">
        <v>5</v>
      </c>
      <c r="X8" s="20" t="s">
        <v>379</v>
      </c>
      <c r="Y8" s="20" t="s">
        <v>292</v>
      </c>
      <c r="Z8" s="20" t="s">
        <v>60</v>
      </c>
      <c r="AA8" s="20" t="s">
        <v>380</v>
      </c>
    </row>
    <row r="9" spans="1:27" x14ac:dyDescent="0.2">
      <c r="A9" s="20" t="s">
        <v>217</v>
      </c>
      <c r="B9" s="20" t="s">
        <v>304</v>
      </c>
      <c r="C9" s="20" t="s">
        <v>30</v>
      </c>
      <c r="D9" s="20" t="s">
        <v>39</v>
      </c>
      <c r="E9" s="20" t="s">
        <v>305</v>
      </c>
      <c r="F9" s="20" t="s">
        <v>39</v>
      </c>
      <c r="G9" s="20">
        <v>3</v>
      </c>
      <c r="H9" s="20">
        <v>4</v>
      </c>
      <c r="I9" s="13">
        <v>0.60160000000000002</v>
      </c>
      <c r="J9" s="20" t="s">
        <v>249</v>
      </c>
      <c r="L9" s="20" t="s">
        <v>249</v>
      </c>
      <c r="M9" s="20" t="s">
        <v>385</v>
      </c>
      <c r="N9" s="20" t="s">
        <v>39</v>
      </c>
      <c r="O9" s="20">
        <v>2</v>
      </c>
      <c r="P9" s="20">
        <v>3</v>
      </c>
      <c r="Q9" s="13">
        <v>0.58560000000000001</v>
      </c>
      <c r="R9" s="20" t="s">
        <v>249</v>
      </c>
      <c r="S9" s="20">
        <v>0.43</v>
      </c>
      <c r="T9" s="20" t="s">
        <v>249</v>
      </c>
      <c r="U9" s="20" t="s">
        <v>30</v>
      </c>
      <c r="V9" s="20">
        <v>3</v>
      </c>
      <c r="W9" s="20">
        <v>2</v>
      </c>
      <c r="X9" s="20" t="s">
        <v>379</v>
      </c>
      <c r="Y9" s="20" t="s">
        <v>292</v>
      </c>
      <c r="Z9" s="20" t="s">
        <v>60</v>
      </c>
      <c r="AA9" s="20" t="s">
        <v>380</v>
      </c>
    </row>
    <row r="10" spans="1:27" x14ac:dyDescent="0.2">
      <c r="A10" s="20" t="s">
        <v>217</v>
      </c>
      <c r="B10" s="20" t="s">
        <v>293</v>
      </c>
      <c r="C10" s="20" t="s">
        <v>32</v>
      </c>
      <c r="D10" s="20" t="s">
        <v>26</v>
      </c>
      <c r="E10" s="20" t="s">
        <v>306</v>
      </c>
      <c r="F10" s="20" t="s">
        <v>26</v>
      </c>
      <c r="G10" s="20">
        <v>3</v>
      </c>
      <c r="H10" s="20">
        <v>4</v>
      </c>
      <c r="I10" s="13">
        <v>0.51580000000000004</v>
      </c>
      <c r="J10" s="20" t="s">
        <v>249</v>
      </c>
      <c r="L10" s="20" t="s">
        <v>248</v>
      </c>
      <c r="M10" s="20" t="s">
        <v>307</v>
      </c>
      <c r="N10" s="20" t="s">
        <v>26</v>
      </c>
      <c r="O10" s="20">
        <v>2</v>
      </c>
      <c r="P10" s="20">
        <v>3</v>
      </c>
      <c r="Q10" s="13">
        <v>0.57440000000000002</v>
      </c>
      <c r="R10" s="20" t="s">
        <v>248</v>
      </c>
      <c r="S10" s="20">
        <v>0.06</v>
      </c>
      <c r="T10" s="20" t="s">
        <v>248</v>
      </c>
      <c r="U10" s="20" t="s">
        <v>26</v>
      </c>
      <c r="V10" s="20">
        <v>2</v>
      </c>
      <c r="W10" s="20">
        <v>4</v>
      </c>
      <c r="X10" s="20" t="s">
        <v>379</v>
      </c>
      <c r="Y10" s="20" t="s">
        <v>292</v>
      </c>
      <c r="Z10" s="20" t="s">
        <v>60</v>
      </c>
      <c r="AA10" s="20" t="s">
        <v>380</v>
      </c>
    </row>
    <row r="11" spans="1:27" x14ac:dyDescent="0.2">
      <c r="A11" s="20" t="s">
        <v>217</v>
      </c>
      <c r="B11" s="20" t="s">
        <v>289</v>
      </c>
      <c r="C11" s="20" t="s">
        <v>55</v>
      </c>
      <c r="D11" s="20" t="s">
        <v>33</v>
      </c>
      <c r="E11" s="20" t="s">
        <v>308</v>
      </c>
      <c r="F11" s="20" t="s">
        <v>33</v>
      </c>
      <c r="G11" s="20">
        <v>3</v>
      </c>
      <c r="H11" s="20">
        <v>4</v>
      </c>
      <c r="I11" s="13">
        <v>0.51419999999999999</v>
      </c>
      <c r="J11" s="20" t="s">
        <v>249</v>
      </c>
      <c r="L11" s="20" t="s">
        <v>248</v>
      </c>
      <c r="M11" s="20" t="s">
        <v>309</v>
      </c>
      <c r="N11" s="20" t="s">
        <v>55</v>
      </c>
      <c r="O11" s="20">
        <v>2</v>
      </c>
      <c r="P11" s="20">
        <v>3</v>
      </c>
      <c r="Q11" s="13">
        <v>0.47210000000000002</v>
      </c>
      <c r="R11" s="20" t="s">
        <v>248</v>
      </c>
      <c r="S11" s="20">
        <v>-0.08</v>
      </c>
      <c r="T11" s="20" t="s">
        <v>249</v>
      </c>
      <c r="U11" s="20" t="s">
        <v>33</v>
      </c>
      <c r="V11" s="20">
        <v>2</v>
      </c>
      <c r="W11" s="20">
        <v>3</v>
      </c>
      <c r="X11" s="20" t="s">
        <v>379</v>
      </c>
      <c r="Y11" s="20" t="s">
        <v>292</v>
      </c>
      <c r="Z11" s="20" t="s">
        <v>60</v>
      </c>
      <c r="AA11" s="20" t="s">
        <v>380</v>
      </c>
    </row>
    <row r="12" spans="1:27" x14ac:dyDescent="0.2">
      <c r="A12" s="20" t="s">
        <v>217</v>
      </c>
      <c r="B12" s="20" t="s">
        <v>293</v>
      </c>
      <c r="C12" s="20" t="s">
        <v>24</v>
      </c>
      <c r="D12" s="20" t="s">
        <v>37</v>
      </c>
      <c r="E12" s="20" t="s">
        <v>310</v>
      </c>
      <c r="F12" s="20" t="s">
        <v>24</v>
      </c>
      <c r="G12" s="20">
        <v>4</v>
      </c>
      <c r="H12" s="20">
        <v>3</v>
      </c>
      <c r="I12" s="13">
        <v>0.66</v>
      </c>
      <c r="J12" s="20" t="s">
        <v>249</v>
      </c>
      <c r="L12" s="20" t="s">
        <v>249</v>
      </c>
      <c r="M12" s="20" t="s">
        <v>386</v>
      </c>
      <c r="N12" s="20" t="s">
        <v>24</v>
      </c>
      <c r="O12" s="20">
        <v>2</v>
      </c>
      <c r="P12" s="20">
        <v>3</v>
      </c>
      <c r="Q12" s="13">
        <v>0.59699999999999998</v>
      </c>
      <c r="R12" s="20" t="s">
        <v>249</v>
      </c>
      <c r="S12" s="20">
        <v>-0.49</v>
      </c>
      <c r="T12" s="20" t="s">
        <v>249</v>
      </c>
      <c r="U12" s="20" t="s">
        <v>37</v>
      </c>
      <c r="V12" s="20">
        <v>1</v>
      </c>
      <c r="W12" s="20">
        <v>5</v>
      </c>
      <c r="X12" s="20" t="s">
        <v>379</v>
      </c>
      <c r="Y12" s="20" t="s">
        <v>292</v>
      </c>
      <c r="Z12" s="20" t="s">
        <v>60</v>
      </c>
      <c r="AA12" s="20" t="s">
        <v>380</v>
      </c>
    </row>
    <row r="13" spans="1:27" x14ac:dyDescent="0.2">
      <c r="A13" s="20" t="s">
        <v>217</v>
      </c>
      <c r="B13" s="20" t="s">
        <v>293</v>
      </c>
      <c r="C13" s="20" t="s">
        <v>35</v>
      </c>
      <c r="D13" s="20" t="s">
        <v>19</v>
      </c>
      <c r="E13" s="20" t="s">
        <v>311</v>
      </c>
      <c r="F13" s="20" t="s">
        <v>19</v>
      </c>
      <c r="G13" s="20">
        <v>3</v>
      </c>
      <c r="H13" s="20">
        <v>4</v>
      </c>
      <c r="I13" s="13">
        <v>0.5917</v>
      </c>
      <c r="J13" s="20" t="s">
        <v>249</v>
      </c>
      <c r="L13" s="20" t="s">
        <v>248</v>
      </c>
      <c r="M13" s="20" t="s">
        <v>312</v>
      </c>
      <c r="N13" s="20" t="s">
        <v>19</v>
      </c>
      <c r="O13" s="20">
        <v>2</v>
      </c>
      <c r="P13" s="20">
        <v>4</v>
      </c>
      <c r="Q13" s="13">
        <v>0.7107</v>
      </c>
      <c r="R13" s="20" t="s">
        <v>249</v>
      </c>
      <c r="S13" s="20">
        <v>1.19</v>
      </c>
      <c r="T13" s="20" t="s">
        <v>248</v>
      </c>
      <c r="U13" s="20" t="s">
        <v>19</v>
      </c>
      <c r="V13" s="20">
        <v>2</v>
      </c>
      <c r="W13" s="20">
        <v>3</v>
      </c>
      <c r="X13" s="20" t="s">
        <v>379</v>
      </c>
      <c r="Y13" s="20" t="s">
        <v>292</v>
      </c>
      <c r="Z13" s="20" t="s">
        <v>60</v>
      </c>
      <c r="AA13" s="20" t="s">
        <v>380</v>
      </c>
    </row>
    <row r="14" spans="1:27" x14ac:dyDescent="0.2">
      <c r="A14" s="20" t="s">
        <v>217</v>
      </c>
      <c r="B14" s="20" t="s">
        <v>289</v>
      </c>
      <c r="C14" s="20" t="s">
        <v>15</v>
      </c>
      <c r="D14" s="20" t="s">
        <v>20</v>
      </c>
      <c r="E14" s="20" t="s">
        <v>313</v>
      </c>
      <c r="F14" s="20" t="s">
        <v>15</v>
      </c>
      <c r="G14" s="20">
        <v>5</v>
      </c>
      <c r="H14" s="20">
        <v>4</v>
      </c>
      <c r="I14" s="13">
        <v>0.55930000000000002</v>
      </c>
      <c r="J14" s="20" t="s">
        <v>249</v>
      </c>
      <c r="L14" s="20" t="s">
        <v>249</v>
      </c>
      <c r="M14" s="20" t="s">
        <v>387</v>
      </c>
      <c r="N14" s="20" t="s">
        <v>20</v>
      </c>
      <c r="O14" s="20">
        <v>2</v>
      </c>
      <c r="P14" s="20">
        <v>4</v>
      </c>
      <c r="Q14" s="13">
        <v>0.47089999999999999</v>
      </c>
      <c r="R14" s="20" t="s">
        <v>249</v>
      </c>
      <c r="S14" s="20">
        <v>0.51</v>
      </c>
      <c r="T14" s="20" t="s">
        <v>248</v>
      </c>
      <c r="U14" s="20" t="s">
        <v>20</v>
      </c>
      <c r="V14" s="20">
        <v>2</v>
      </c>
      <c r="W14" s="20">
        <v>3</v>
      </c>
      <c r="X14" s="20" t="s">
        <v>379</v>
      </c>
      <c r="Y14" s="20" t="s">
        <v>292</v>
      </c>
      <c r="Z14" s="20" t="s">
        <v>60</v>
      </c>
      <c r="AA14" s="20" t="s">
        <v>380</v>
      </c>
    </row>
    <row r="15" spans="1:27" x14ac:dyDescent="0.2">
      <c r="A15" s="20" t="s">
        <v>217</v>
      </c>
      <c r="B15" s="20" t="s">
        <v>304</v>
      </c>
      <c r="C15" s="20" t="s">
        <v>28</v>
      </c>
      <c r="D15" s="20" t="s">
        <v>40</v>
      </c>
      <c r="E15" s="20" t="s">
        <v>314</v>
      </c>
      <c r="F15" s="20" t="s">
        <v>40</v>
      </c>
      <c r="G15" s="20">
        <v>3</v>
      </c>
      <c r="H15" s="20">
        <v>4</v>
      </c>
      <c r="I15" s="13">
        <v>0.67559999999999998</v>
      </c>
      <c r="J15" s="20" t="s">
        <v>249</v>
      </c>
      <c r="L15" s="20" t="s">
        <v>248</v>
      </c>
      <c r="M15" s="20" t="s">
        <v>315</v>
      </c>
      <c r="N15" s="20" t="s">
        <v>40</v>
      </c>
      <c r="O15" s="20">
        <v>2</v>
      </c>
      <c r="P15" s="20">
        <v>4</v>
      </c>
      <c r="Q15" s="13">
        <v>0.64970000000000006</v>
      </c>
      <c r="R15" s="20" t="s">
        <v>249</v>
      </c>
      <c r="S15" s="20">
        <v>0.66</v>
      </c>
      <c r="T15" s="20" t="s">
        <v>248</v>
      </c>
      <c r="U15" s="20" t="s">
        <v>40</v>
      </c>
      <c r="V15" s="20">
        <v>2</v>
      </c>
      <c r="W15" s="20">
        <v>5</v>
      </c>
      <c r="X15" s="20" t="s">
        <v>379</v>
      </c>
      <c r="Y15" s="20" t="s">
        <v>292</v>
      </c>
      <c r="Z15" s="20" t="s">
        <v>60</v>
      </c>
      <c r="AA15" s="20" t="s">
        <v>380</v>
      </c>
    </row>
    <row r="16" spans="1:27" x14ac:dyDescent="0.2">
      <c r="A16" s="20" t="s">
        <v>218</v>
      </c>
      <c r="B16" s="20" t="s">
        <v>289</v>
      </c>
      <c r="C16" s="20" t="s">
        <v>21</v>
      </c>
      <c r="D16" s="20" t="s">
        <v>31</v>
      </c>
      <c r="E16" s="20" t="s">
        <v>316</v>
      </c>
      <c r="F16" s="20" t="s">
        <v>31</v>
      </c>
      <c r="G16" s="20">
        <v>4</v>
      </c>
      <c r="H16" s="20">
        <v>5</v>
      </c>
      <c r="I16" s="13">
        <v>0.84830000000000005</v>
      </c>
      <c r="J16" s="20" t="s">
        <v>249</v>
      </c>
      <c r="L16" s="20" t="s">
        <v>248</v>
      </c>
      <c r="M16" s="20" t="s">
        <v>291</v>
      </c>
      <c r="N16" s="20" t="s">
        <v>31</v>
      </c>
      <c r="O16" s="20">
        <v>2</v>
      </c>
      <c r="P16" s="20">
        <v>4</v>
      </c>
      <c r="Q16" s="13">
        <v>0.76080000000000003</v>
      </c>
      <c r="R16" s="20" t="s">
        <v>249</v>
      </c>
      <c r="S16" s="20">
        <v>0.77</v>
      </c>
      <c r="T16" s="20" t="s">
        <v>248</v>
      </c>
      <c r="U16" s="20" t="s">
        <v>31</v>
      </c>
      <c r="V16" s="20">
        <v>3</v>
      </c>
      <c r="W16" s="20">
        <v>4</v>
      </c>
      <c r="X16" s="20" t="s">
        <v>379</v>
      </c>
      <c r="Y16" s="20" t="s">
        <v>292</v>
      </c>
      <c r="Z16" s="20" t="s">
        <v>60</v>
      </c>
      <c r="AA16" s="20" t="s">
        <v>380</v>
      </c>
    </row>
    <row r="17" spans="1:27" x14ac:dyDescent="0.2">
      <c r="A17" s="20" t="s">
        <v>218</v>
      </c>
      <c r="B17" s="20" t="s">
        <v>297</v>
      </c>
      <c r="C17" s="20" t="s">
        <v>16</v>
      </c>
      <c r="D17" s="20" t="s">
        <v>23</v>
      </c>
      <c r="E17" s="20" t="s">
        <v>317</v>
      </c>
      <c r="F17" s="20" t="s">
        <v>23</v>
      </c>
      <c r="G17" s="20">
        <v>3</v>
      </c>
      <c r="H17" s="20">
        <v>4</v>
      </c>
      <c r="I17" s="13">
        <v>0.82420000000000004</v>
      </c>
      <c r="J17" s="20" t="s">
        <v>249</v>
      </c>
      <c r="L17" s="20" t="s">
        <v>249</v>
      </c>
      <c r="M17" s="20" t="s">
        <v>388</v>
      </c>
      <c r="N17" s="20" t="s">
        <v>23</v>
      </c>
      <c r="O17" s="20">
        <v>2</v>
      </c>
      <c r="P17" s="20">
        <v>4</v>
      </c>
      <c r="Q17" s="13">
        <v>0.68479999999999996</v>
      </c>
      <c r="R17" s="20" t="s">
        <v>249</v>
      </c>
      <c r="S17" s="20">
        <v>0.99</v>
      </c>
      <c r="T17" s="20" t="s">
        <v>249</v>
      </c>
      <c r="U17" s="20" t="s">
        <v>16</v>
      </c>
      <c r="V17" s="20">
        <v>6</v>
      </c>
      <c r="W17" s="20">
        <v>2</v>
      </c>
      <c r="X17" s="20" t="s">
        <v>379</v>
      </c>
      <c r="Y17" s="20" t="s">
        <v>292</v>
      </c>
      <c r="Z17" s="20" t="s">
        <v>60</v>
      </c>
      <c r="AA17" s="20" t="s">
        <v>380</v>
      </c>
    </row>
    <row r="18" spans="1:27" x14ac:dyDescent="0.2">
      <c r="A18" s="20" t="s">
        <v>218</v>
      </c>
      <c r="B18" s="20" t="s">
        <v>318</v>
      </c>
      <c r="C18" s="20" t="s">
        <v>25</v>
      </c>
      <c r="D18" s="20" t="s">
        <v>34</v>
      </c>
      <c r="E18" s="20" t="s">
        <v>319</v>
      </c>
      <c r="F18" s="20" t="s">
        <v>25</v>
      </c>
      <c r="G18" s="20">
        <v>5</v>
      </c>
      <c r="H18" s="20">
        <v>4</v>
      </c>
      <c r="I18" s="13">
        <v>0.62329999999999997</v>
      </c>
      <c r="J18" s="20" t="s">
        <v>249</v>
      </c>
      <c r="L18" s="20" t="s">
        <v>249</v>
      </c>
      <c r="M18" s="20" t="s">
        <v>389</v>
      </c>
      <c r="N18" s="20" t="s">
        <v>25</v>
      </c>
      <c r="O18" s="20">
        <v>2</v>
      </c>
      <c r="P18" s="20">
        <v>4</v>
      </c>
      <c r="Q18" s="13">
        <v>0.72150000000000003</v>
      </c>
      <c r="R18" s="20" t="s">
        <v>249</v>
      </c>
      <c r="S18" s="20">
        <v>-1.0900000000000001</v>
      </c>
      <c r="T18" s="20" t="s">
        <v>249</v>
      </c>
      <c r="U18" s="20" t="s">
        <v>34</v>
      </c>
      <c r="V18" s="20">
        <v>3</v>
      </c>
      <c r="W18" s="20">
        <v>4</v>
      </c>
      <c r="X18" s="20" t="s">
        <v>379</v>
      </c>
      <c r="Y18" s="20" t="s">
        <v>292</v>
      </c>
      <c r="Z18" s="20" t="s">
        <v>60</v>
      </c>
      <c r="AA18" s="20" t="s">
        <v>380</v>
      </c>
    </row>
    <row r="19" spans="1:27" x14ac:dyDescent="0.2">
      <c r="A19" s="20" t="s">
        <v>218</v>
      </c>
      <c r="B19" s="20" t="s">
        <v>293</v>
      </c>
      <c r="C19" s="20" t="s">
        <v>17</v>
      </c>
      <c r="D19" s="20" t="s">
        <v>22</v>
      </c>
      <c r="E19" s="20" t="s">
        <v>320</v>
      </c>
      <c r="F19" s="20" t="s">
        <v>22</v>
      </c>
      <c r="G19" s="20">
        <v>3</v>
      </c>
      <c r="H19" s="20">
        <v>4</v>
      </c>
      <c r="I19" s="13">
        <v>0.54659999999999997</v>
      </c>
      <c r="J19" s="20" t="s">
        <v>249</v>
      </c>
      <c r="L19" s="20" t="s">
        <v>248</v>
      </c>
      <c r="M19" s="20" t="s">
        <v>321</v>
      </c>
      <c r="N19" s="20" t="s">
        <v>22</v>
      </c>
      <c r="O19" s="20">
        <v>2</v>
      </c>
      <c r="P19" s="20">
        <v>4</v>
      </c>
      <c r="Q19" s="13">
        <v>0.68869999999999998</v>
      </c>
      <c r="R19" s="20" t="s">
        <v>249</v>
      </c>
      <c r="S19" s="20">
        <v>1.03</v>
      </c>
      <c r="T19" s="20" t="s">
        <v>248</v>
      </c>
      <c r="U19" s="20" t="s">
        <v>22</v>
      </c>
      <c r="V19" s="20">
        <v>4</v>
      </c>
      <c r="W19" s="20">
        <v>7</v>
      </c>
      <c r="X19" s="20" t="s">
        <v>379</v>
      </c>
      <c r="Y19" s="20" t="s">
        <v>292</v>
      </c>
      <c r="Z19" s="20" t="s">
        <v>60</v>
      </c>
      <c r="AA19" s="20" t="s">
        <v>380</v>
      </c>
    </row>
    <row r="20" spans="1:27" x14ac:dyDescent="0.2">
      <c r="A20" s="20" t="s">
        <v>219</v>
      </c>
      <c r="B20" s="20" t="s">
        <v>322</v>
      </c>
      <c r="C20" s="20" t="s">
        <v>36</v>
      </c>
      <c r="D20" s="20" t="s">
        <v>31</v>
      </c>
      <c r="E20" s="20" t="s">
        <v>323</v>
      </c>
      <c r="F20" s="20" t="s">
        <v>31</v>
      </c>
      <c r="G20" s="20">
        <v>3</v>
      </c>
      <c r="H20" s="20">
        <v>4</v>
      </c>
      <c r="I20" s="13">
        <v>0.79971067821067798</v>
      </c>
      <c r="J20" s="20" t="s">
        <v>248</v>
      </c>
      <c r="K20" s="18">
        <v>0.53300000000000003</v>
      </c>
      <c r="L20" s="20" t="s">
        <v>249</v>
      </c>
      <c r="M20" s="20" t="s">
        <v>390</v>
      </c>
      <c r="N20" s="20" t="s">
        <v>31</v>
      </c>
      <c r="O20" s="20">
        <v>2</v>
      </c>
      <c r="P20" s="20">
        <v>4</v>
      </c>
      <c r="Q20" s="13">
        <v>0.82141601872248204</v>
      </c>
      <c r="R20" s="20" t="s">
        <v>249</v>
      </c>
      <c r="S20" s="20">
        <v>1.21</v>
      </c>
      <c r="T20" s="20" t="s">
        <v>249</v>
      </c>
      <c r="U20" s="20" t="s">
        <v>36</v>
      </c>
      <c r="V20" s="20">
        <v>3</v>
      </c>
      <c r="W20" s="20">
        <v>2</v>
      </c>
      <c r="X20" s="20" t="s">
        <v>379</v>
      </c>
      <c r="Y20" s="20" t="s">
        <v>292</v>
      </c>
      <c r="Z20" s="20" t="s">
        <v>60</v>
      </c>
      <c r="AA20" s="20" t="s">
        <v>380</v>
      </c>
    </row>
    <row r="21" spans="1:27" x14ac:dyDescent="0.2">
      <c r="A21" s="20" t="s">
        <v>219</v>
      </c>
      <c r="B21" s="20" t="s">
        <v>324</v>
      </c>
      <c r="C21" s="20" t="s">
        <v>32</v>
      </c>
      <c r="D21" s="20" t="s">
        <v>10</v>
      </c>
      <c r="E21" s="20" t="s">
        <v>325</v>
      </c>
      <c r="F21" s="20" t="s">
        <v>10</v>
      </c>
      <c r="G21" s="20">
        <v>3</v>
      </c>
      <c r="H21" s="20">
        <v>4</v>
      </c>
      <c r="I21" s="13">
        <v>0.81409746588693999</v>
      </c>
      <c r="J21" s="20" t="s">
        <v>248</v>
      </c>
      <c r="K21" s="18">
        <v>0.50700000000000001</v>
      </c>
      <c r="L21" s="20" t="s">
        <v>249</v>
      </c>
      <c r="M21" s="20" t="s">
        <v>391</v>
      </c>
      <c r="N21" s="20" t="s">
        <v>10</v>
      </c>
      <c r="O21" s="20">
        <v>2</v>
      </c>
      <c r="P21" s="20">
        <v>4</v>
      </c>
      <c r="Q21" s="13">
        <v>0.68955873942591095</v>
      </c>
      <c r="R21" s="20" t="s">
        <v>249</v>
      </c>
      <c r="S21" s="20">
        <v>1.04</v>
      </c>
      <c r="T21" s="20" t="s">
        <v>249</v>
      </c>
      <c r="U21" s="20" t="s">
        <v>32</v>
      </c>
      <c r="V21" s="20">
        <v>3</v>
      </c>
      <c r="W21" s="20">
        <v>2</v>
      </c>
      <c r="X21" s="20" t="s">
        <v>379</v>
      </c>
      <c r="Y21" s="20" t="s">
        <v>292</v>
      </c>
      <c r="Z21" s="20" t="s">
        <v>60</v>
      </c>
      <c r="AA21" s="20" t="s">
        <v>380</v>
      </c>
    </row>
    <row r="22" spans="1:27" x14ac:dyDescent="0.2">
      <c r="A22" s="20" t="s">
        <v>219</v>
      </c>
      <c r="B22" s="20" t="s">
        <v>326</v>
      </c>
      <c r="C22" s="20" t="s">
        <v>15</v>
      </c>
      <c r="D22" s="20" t="s">
        <v>12</v>
      </c>
      <c r="E22" s="20" t="s">
        <v>327</v>
      </c>
      <c r="F22" s="20" t="s">
        <v>12</v>
      </c>
      <c r="G22" s="20">
        <v>3</v>
      </c>
      <c r="H22" s="20">
        <v>4</v>
      </c>
      <c r="I22" s="13">
        <v>0.68089417989418</v>
      </c>
      <c r="J22" s="20" t="s">
        <v>249</v>
      </c>
      <c r="K22" s="18">
        <v>0.28699999999999998</v>
      </c>
      <c r="L22" s="20" t="s">
        <v>248</v>
      </c>
      <c r="M22" s="20" t="s">
        <v>361</v>
      </c>
      <c r="N22" s="20" t="s">
        <v>12</v>
      </c>
      <c r="O22" s="20">
        <v>1</v>
      </c>
      <c r="P22" s="20">
        <v>5</v>
      </c>
      <c r="Q22" s="13">
        <v>0.79009355708149598</v>
      </c>
      <c r="R22" s="20" t="s">
        <v>249</v>
      </c>
      <c r="S22" s="20">
        <v>2.04</v>
      </c>
      <c r="T22" s="20" t="s">
        <v>248</v>
      </c>
      <c r="U22" s="20" t="s">
        <v>12</v>
      </c>
      <c r="V22" s="20">
        <v>3</v>
      </c>
      <c r="W22" s="20">
        <v>6</v>
      </c>
      <c r="X22" s="20" t="s">
        <v>379</v>
      </c>
      <c r="Y22" s="20" t="s">
        <v>292</v>
      </c>
      <c r="Z22" s="20" t="s">
        <v>60</v>
      </c>
      <c r="AA22" s="20" t="s">
        <v>380</v>
      </c>
    </row>
    <row r="23" spans="1:27" x14ac:dyDescent="0.2">
      <c r="A23" s="20" t="s">
        <v>219</v>
      </c>
      <c r="B23" s="20" t="s">
        <v>328</v>
      </c>
      <c r="C23" s="20" t="s">
        <v>30</v>
      </c>
      <c r="D23" s="20" t="s">
        <v>26</v>
      </c>
      <c r="E23" s="20" t="s">
        <v>329</v>
      </c>
      <c r="F23" s="20" t="s">
        <v>26</v>
      </c>
      <c r="G23" s="20">
        <v>3</v>
      </c>
      <c r="H23" s="20">
        <v>4</v>
      </c>
      <c r="I23" s="13">
        <v>0.507202173213117</v>
      </c>
      <c r="J23" s="20" t="s">
        <v>249</v>
      </c>
      <c r="K23" s="18">
        <v>0.44</v>
      </c>
      <c r="L23" s="20" t="s">
        <v>249</v>
      </c>
      <c r="M23" s="20" t="s">
        <v>392</v>
      </c>
      <c r="N23" s="20" t="s">
        <v>30</v>
      </c>
      <c r="O23" s="20">
        <v>2</v>
      </c>
      <c r="P23" s="20">
        <v>3</v>
      </c>
      <c r="Q23" s="13">
        <v>0.50783942088355705</v>
      </c>
      <c r="R23" s="20" t="s">
        <v>248</v>
      </c>
      <c r="S23" s="20">
        <v>-0.21</v>
      </c>
      <c r="T23" s="20" t="s">
        <v>248</v>
      </c>
      <c r="U23" s="20" t="s">
        <v>30</v>
      </c>
      <c r="V23" s="20">
        <v>5</v>
      </c>
      <c r="W23" s="20">
        <v>0</v>
      </c>
      <c r="X23" s="20" t="s">
        <v>379</v>
      </c>
      <c r="Y23" s="20" t="s">
        <v>292</v>
      </c>
      <c r="Z23" s="20" t="s">
        <v>60</v>
      </c>
      <c r="AA23" s="20" t="s">
        <v>380</v>
      </c>
    </row>
    <row r="24" spans="1:27" x14ac:dyDescent="0.2">
      <c r="A24" s="20" t="s">
        <v>219</v>
      </c>
      <c r="B24" s="20" t="s">
        <v>328</v>
      </c>
      <c r="C24" s="20" t="s">
        <v>24</v>
      </c>
      <c r="D24" s="20" t="s">
        <v>11</v>
      </c>
      <c r="E24" s="20" t="s">
        <v>330</v>
      </c>
      <c r="F24" s="20" t="s">
        <v>11</v>
      </c>
      <c r="G24" s="20">
        <v>3</v>
      </c>
      <c r="H24" s="20">
        <v>4</v>
      </c>
      <c r="I24" s="13">
        <v>0.61979461279461301</v>
      </c>
      <c r="J24" s="20" t="s">
        <v>249</v>
      </c>
      <c r="K24" s="18">
        <v>0.38100000000000001</v>
      </c>
      <c r="L24" s="20" t="s">
        <v>248</v>
      </c>
      <c r="M24" s="20" t="s">
        <v>393</v>
      </c>
      <c r="N24" s="20" t="s">
        <v>24</v>
      </c>
      <c r="O24" s="20">
        <v>2</v>
      </c>
      <c r="P24" s="20">
        <v>3</v>
      </c>
      <c r="Q24" s="13">
        <v>0.47717133510972898</v>
      </c>
      <c r="R24" s="20" t="s">
        <v>248</v>
      </c>
      <c r="S24" s="20">
        <v>-0.28000000000000003</v>
      </c>
      <c r="T24" s="20" t="s">
        <v>249</v>
      </c>
      <c r="U24" s="20" t="s">
        <v>11</v>
      </c>
      <c r="V24" s="20">
        <v>0</v>
      </c>
      <c r="W24" s="20">
        <v>1</v>
      </c>
      <c r="X24" s="20" t="s">
        <v>379</v>
      </c>
      <c r="Y24" s="20" t="s">
        <v>292</v>
      </c>
      <c r="Z24" s="20" t="s">
        <v>60</v>
      </c>
      <c r="AA24" s="20" t="s">
        <v>380</v>
      </c>
    </row>
    <row r="25" spans="1:27" x14ac:dyDescent="0.2">
      <c r="A25" s="20" t="s">
        <v>219</v>
      </c>
      <c r="B25" s="20" t="s">
        <v>328</v>
      </c>
      <c r="C25" s="20" t="s">
        <v>22</v>
      </c>
      <c r="D25" s="20" t="s">
        <v>18</v>
      </c>
      <c r="E25" s="20" t="s">
        <v>331</v>
      </c>
      <c r="F25" s="20" t="s">
        <v>18</v>
      </c>
      <c r="G25" s="20">
        <v>3</v>
      </c>
      <c r="H25" s="20">
        <v>4</v>
      </c>
      <c r="I25" s="13">
        <v>0.75639782537151001</v>
      </c>
      <c r="J25" s="20" t="s">
        <v>248</v>
      </c>
      <c r="K25" s="18">
        <v>0.63100000000000001</v>
      </c>
      <c r="L25" s="20" t="s">
        <v>249</v>
      </c>
      <c r="M25" s="20" t="s">
        <v>394</v>
      </c>
      <c r="N25" s="20" t="s">
        <v>22</v>
      </c>
      <c r="O25" s="20">
        <v>2</v>
      </c>
      <c r="P25" s="20">
        <v>3</v>
      </c>
      <c r="Q25" s="13">
        <v>0.52653488689618599</v>
      </c>
      <c r="R25" s="20" t="s">
        <v>249</v>
      </c>
      <c r="S25" s="20">
        <v>-0.48</v>
      </c>
      <c r="T25" s="20" t="s">
        <v>248</v>
      </c>
      <c r="U25" s="20" t="s">
        <v>22</v>
      </c>
      <c r="V25" s="20">
        <v>8</v>
      </c>
      <c r="W25" s="20">
        <v>4</v>
      </c>
      <c r="X25" s="20" t="s">
        <v>379</v>
      </c>
      <c r="Y25" s="20" t="s">
        <v>292</v>
      </c>
      <c r="Z25" s="20" t="s">
        <v>60</v>
      </c>
      <c r="AA25" s="20" t="s">
        <v>380</v>
      </c>
    </row>
    <row r="26" spans="1:27" x14ac:dyDescent="0.2">
      <c r="A26" s="20" t="s">
        <v>219</v>
      </c>
      <c r="B26" s="20" t="s">
        <v>328</v>
      </c>
      <c r="C26" s="20" t="s">
        <v>35</v>
      </c>
      <c r="D26" s="20" t="s">
        <v>27</v>
      </c>
      <c r="E26" s="20" t="s">
        <v>332</v>
      </c>
      <c r="F26" s="20" t="s">
        <v>27</v>
      </c>
      <c r="G26" s="20">
        <v>3</v>
      </c>
      <c r="H26" s="20">
        <v>4</v>
      </c>
      <c r="I26" s="13">
        <v>0.78318759018758999</v>
      </c>
      <c r="J26" s="20" t="s">
        <v>249</v>
      </c>
      <c r="K26" s="18">
        <v>0.42499999999999999</v>
      </c>
      <c r="L26" s="20" t="s">
        <v>248</v>
      </c>
      <c r="M26" s="20" t="s">
        <v>395</v>
      </c>
      <c r="N26" s="20" t="s">
        <v>27</v>
      </c>
      <c r="O26" s="20">
        <v>2</v>
      </c>
      <c r="P26" s="20">
        <v>4</v>
      </c>
      <c r="Q26" s="13">
        <v>0.72316153141538597</v>
      </c>
      <c r="R26" s="20" t="s">
        <v>249</v>
      </c>
      <c r="S26" s="20">
        <v>1.31</v>
      </c>
      <c r="T26" s="20" t="s">
        <v>248</v>
      </c>
      <c r="U26" s="20" t="s">
        <v>27</v>
      </c>
      <c r="V26" s="20">
        <v>2</v>
      </c>
      <c r="W26" s="20">
        <v>3</v>
      </c>
      <c r="X26" s="20" t="s">
        <v>379</v>
      </c>
      <c r="Y26" s="20" t="s">
        <v>292</v>
      </c>
      <c r="Z26" s="20" t="s">
        <v>60</v>
      </c>
      <c r="AA26" s="20" t="s">
        <v>380</v>
      </c>
    </row>
    <row r="27" spans="1:27" x14ac:dyDescent="0.2">
      <c r="A27" s="20" t="s">
        <v>219</v>
      </c>
      <c r="B27" s="20" t="s">
        <v>322</v>
      </c>
      <c r="C27" s="20" t="s">
        <v>13</v>
      </c>
      <c r="D27" s="20" t="s">
        <v>33</v>
      </c>
      <c r="E27" s="20" t="s">
        <v>333</v>
      </c>
      <c r="F27" s="20" t="s">
        <v>13</v>
      </c>
      <c r="G27" s="20">
        <v>5</v>
      </c>
      <c r="H27" s="20">
        <v>4</v>
      </c>
      <c r="I27" s="13">
        <v>0.68822126022125996</v>
      </c>
      <c r="J27" s="20" t="s">
        <v>249</v>
      </c>
      <c r="K27" s="18">
        <v>0.28199999999999997</v>
      </c>
      <c r="L27" s="20" t="s">
        <v>249</v>
      </c>
      <c r="M27" s="20" t="s">
        <v>396</v>
      </c>
      <c r="N27" s="20" t="s">
        <v>13</v>
      </c>
      <c r="O27" s="20">
        <v>2</v>
      </c>
      <c r="P27" s="20">
        <v>3</v>
      </c>
      <c r="Q27" s="13">
        <v>0.56836235759955001</v>
      </c>
      <c r="R27" s="20" t="s">
        <v>248</v>
      </c>
      <c r="S27" s="20">
        <v>-0.05</v>
      </c>
      <c r="T27" s="20" t="s">
        <v>249</v>
      </c>
      <c r="U27" s="20" t="s">
        <v>33</v>
      </c>
      <c r="V27" s="20">
        <v>3</v>
      </c>
      <c r="W27" s="20">
        <v>4</v>
      </c>
      <c r="X27" s="20" t="s">
        <v>379</v>
      </c>
      <c r="Y27" s="20" t="s">
        <v>292</v>
      </c>
      <c r="Z27" s="20" t="s">
        <v>60</v>
      </c>
      <c r="AA27" s="20" t="s">
        <v>380</v>
      </c>
    </row>
    <row r="28" spans="1:27" x14ac:dyDescent="0.2">
      <c r="A28" s="20" t="s">
        <v>219</v>
      </c>
      <c r="B28" s="20" t="s">
        <v>334</v>
      </c>
      <c r="C28" s="20" t="s">
        <v>17</v>
      </c>
      <c r="D28" s="20" t="s">
        <v>37</v>
      </c>
      <c r="E28" s="20" t="s">
        <v>335</v>
      </c>
      <c r="F28" s="20" t="s">
        <v>37</v>
      </c>
      <c r="G28" s="20">
        <v>3</v>
      </c>
      <c r="H28" s="20">
        <v>4</v>
      </c>
      <c r="I28" s="13">
        <v>0.77119047619047598</v>
      </c>
      <c r="J28" s="20" t="s">
        <v>248</v>
      </c>
      <c r="K28" s="18">
        <v>0.61599999999999999</v>
      </c>
      <c r="L28" s="20" t="s">
        <v>248</v>
      </c>
      <c r="M28" s="20" t="s">
        <v>397</v>
      </c>
      <c r="N28" s="20" t="s">
        <v>37</v>
      </c>
      <c r="O28" s="20">
        <v>2</v>
      </c>
      <c r="P28" s="20">
        <v>4</v>
      </c>
      <c r="Q28" s="13">
        <v>0.711970082114465</v>
      </c>
      <c r="R28" s="20" t="s">
        <v>249</v>
      </c>
      <c r="S28" s="20">
        <v>1.25</v>
      </c>
      <c r="T28" s="20" t="s">
        <v>248</v>
      </c>
      <c r="U28" s="20" t="s">
        <v>37</v>
      </c>
      <c r="V28" s="20">
        <v>1</v>
      </c>
      <c r="W28" s="20">
        <v>2</v>
      </c>
      <c r="X28" s="20" t="s">
        <v>379</v>
      </c>
      <c r="Y28" s="20" t="s">
        <v>292</v>
      </c>
      <c r="Z28" s="20" t="s">
        <v>60</v>
      </c>
      <c r="AA28" s="20" t="s">
        <v>380</v>
      </c>
    </row>
    <row r="29" spans="1:27" x14ac:dyDescent="0.2">
      <c r="A29" s="20" t="s">
        <v>219</v>
      </c>
      <c r="B29" s="20" t="s">
        <v>328</v>
      </c>
      <c r="C29" s="20" t="s">
        <v>28</v>
      </c>
      <c r="D29" s="20" t="s">
        <v>19</v>
      </c>
      <c r="E29" s="20" t="s">
        <v>336</v>
      </c>
      <c r="F29" s="20" t="s">
        <v>19</v>
      </c>
      <c r="G29" s="20">
        <v>3</v>
      </c>
      <c r="H29" s="20">
        <v>4</v>
      </c>
      <c r="I29" s="13">
        <v>0.56100667919398595</v>
      </c>
      <c r="J29" s="20" t="s">
        <v>249</v>
      </c>
      <c r="K29" s="18">
        <v>0.11600000000000001</v>
      </c>
      <c r="L29" s="20" t="s">
        <v>249</v>
      </c>
      <c r="M29" s="20" t="s">
        <v>398</v>
      </c>
      <c r="N29" s="20" t="s">
        <v>19</v>
      </c>
      <c r="O29" s="20">
        <v>2</v>
      </c>
      <c r="P29" s="20">
        <v>3</v>
      </c>
      <c r="Q29" s="13">
        <v>0.55864324773890295</v>
      </c>
      <c r="R29" s="20" t="s">
        <v>248</v>
      </c>
      <c r="S29" s="20">
        <v>0.03</v>
      </c>
      <c r="T29" s="20" t="s">
        <v>249</v>
      </c>
      <c r="U29" s="20" t="s">
        <v>28</v>
      </c>
      <c r="V29" s="20">
        <v>3</v>
      </c>
      <c r="W29" s="20">
        <v>2</v>
      </c>
      <c r="X29" s="20" t="s">
        <v>379</v>
      </c>
      <c r="Y29" s="20" t="s">
        <v>292</v>
      </c>
      <c r="Z29" s="20" t="s">
        <v>60</v>
      </c>
      <c r="AA29" s="20" t="s">
        <v>380</v>
      </c>
    </row>
    <row r="30" spans="1:27" x14ac:dyDescent="0.2">
      <c r="A30" s="20" t="s">
        <v>219</v>
      </c>
      <c r="B30" s="20" t="s">
        <v>326</v>
      </c>
      <c r="C30" s="20" t="s">
        <v>20</v>
      </c>
      <c r="D30" s="20" t="s">
        <v>55</v>
      </c>
      <c r="E30" s="20" t="s">
        <v>337</v>
      </c>
      <c r="F30" s="20" t="s">
        <v>55</v>
      </c>
      <c r="G30" s="20">
        <v>3</v>
      </c>
      <c r="H30" s="20">
        <v>4</v>
      </c>
      <c r="I30" s="13">
        <v>0.67815371762740195</v>
      </c>
      <c r="J30" s="20" t="s">
        <v>248</v>
      </c>
      <c r="K30" s="18">
        <v>0.54</v>
      </c>
      <c r="L30" s="20" t="s">
        <v>249</v>
      </c>
      <c r="M30" s="20" t="s">
        <v>399</v>
      </c>
      <c r="N30" s="20" t="s">
        <v>20</v>
      </c>
      <c r="O30" s="20">
        <v>2</v>
      </c>
      <c r="P30" s="20">
        <v>3</v>
      </c>
      <c r="Q30" s="13">
        <v>0.41674861628270699</v>
      </c>
      <c r="R30" s="20" t="s">
        <v>248</v>
      </c>
      <c r="S30" s="20">
        <v>-0.04</v>
      </c>
      <c r="T30" s="20" t="s">
        <v>248</v>
      </c>
      <c r="U30" s="20" t="s">
        <v>20</v>
      </c>
      <c r="V30" s="20">
        <v>4</v>
      </c>
      <c r="W30" s="20">
        <v>1</v>
      </c>
      <c r="X30" s="20" t="s">
        <v>379</v>
      </c>
      <c r="Y30" s="20" t="s">
        <v>292</v>
      </c>
      <c r="Z30" s="20" t="s">
        <v>60</v>
      </c>
      <c r="AA30" s="20" t="s">
        <v>380</v>
      </c>
    </row>
    <row r="31" spans="1:27" x14ac:dyDescent="0.2">
      <c r="A31" s="20" t="s">
        <v>219</v>
      </c>
      <c r="B31" s="20" t="s">
        <v>322</v>
      </c>
      <c r="C31" s="20" t="s">
        <v>39</v>
      </c>
      <c r="D31" s="20" t="s">
        <v>38</v>
      </c>
      <c r="E31" s="20" t="s">
        <v>338</v>
      </c>
      <c r="F31" s="20" t="s">
        <v>39</v>
      </c>
      <c r="G31" s="20">
        <v>5</v>
      </c>
      <c r="H31" s="20">
        <v>4</v>
      </c>
      <c r="I31" s="13">
        <v>0.73677777777777798</v>
      </c>
      <c r="J31" s="20" t="s">
        <v>249</v>
      </c>
      <c r="K31" s="18">
        <v>0.39100000000000001</v>
      </c>
      <c r="L31" s="20" t="s">
        <v>248</v>
      </c>
      <c r="M31" s="20" t="s">
        <v>400</v>
      </c>
      <c r="N31" s="20" t="s">
        <v>39</v>
      </c>
      <c r="O31" s="20">
        <v>2</v>
      </c>
      <c r="P31" s="20">
        <v>4</v>
      </c>
      <c r="Q31" s="13">
        <v>0.65070700646466895</v>
      </c>
      <c r="R31" s="20" t="s">
        <v>249</v>
      </c>
      <c r="S31" s="20">
        <v>-0.71</v>
      </c>
      <c r="T31" s="20" t="s">
        <v>248</v>
      </c>
      <c r="U31" s="20" t="s">
        <v>39</v>
      </c>
      <c r="V31" s="20">
        <v>4</v>
      </c>
      <c r="W31" s="20">
        <v>2</v>
      </c>
      <c r="X31" s="20" t="s">
        <v>379</v>
      </c>
      <c r="Y31" s="20" t="s">
        <v>292</v>
      </c>
      <c r="Z31" s="20" t="s">
        <v>60</v>
      </c>
      <c r="AA31" s="20" t="s">
        <v>380</v>
      </c>
    </row>
    <row r="32" spans="1:27" x14ac:dyDescent="0.2">
      <c r="A32" s="20" t="s">
        <v>220</v>
      </c>
      <c r="B32" s="20" t="s">
        <v>328</v>
      </c>
      <c r="C32" s="20" t="s">
        <v>10</v>
      </c>
      <c r="D32" s="20" t="s">
        <v>23</v>
      </c>
      <c r="E32" s="20" t="s">
        <v>339</v>
      </c>
      <c r="F32" s="20" t="s">
        <v>10</v>
      </c>
      <c r="G32" s="20">
        <v>4</v>
      </c>
      <c r="H32" s="20">
        <v>3</v>
      </c>
      <c r="I32" s="13">
        <v>0.58904761904761893</v>
      </c>
      <c r="J32" s="20" t="s">
        <v>248</v>
      </c>
      <c r="K32" s="18">
        <v>0.58099999999999996</v>
      </c>
      <c r="L32" s="20" t="s">
        <v>249</v>
      </c>
      <c r="M32" s="20" t="s">
        <v>401</v>
      </c>
      <c r="N32" s="20" t="s">
        <v>10</v>
      </c>
      <c r="O32" s="20">
        <v>2</v>
      </c>
      <c r="P32" s="20">
        <v>4</v>
      </c>
      <c r="Q32" s="13">
        <v>0.62127138852721631</v>
      </c>
      <c r="R32" s="20" t="s">
        <v>249</v>
      </c>
      <c r="S32" s="20">
        <v>-1.01</v>
      </c>
      <c r="T32" s="20" t="s">
        <v>249</v>
      </c>
      <c r="U32" s="20" t="s">
        <v>23</v>
      </c>
      <c r="V32" s="20">
        <v>3</v>
      </c>
      <c r="W32" s="20">
        <v>9</v>
      </c>
      <c r="X32" s="20" t="s">
        <v>379</v>
      </c>
      <c r="Y32" s="20" t="s">
        <v>292</v>
      </c>
      <c r="Z32" s="20" t="s">
        <v>60</v>
      </c>
      <c r="AA32" s="20" t="s">
        <v>380</v>
      </c>
    </row>
    <row r="33" spans="1:27" x14ac:dyDescent="0.2">
      <c r="A33" s="20" t="s">
        <v>220</v>
      </c>
      <c r="B33" s="20" t="s">
        <v>340</v>
      </c>
      <c r="C33" s="20" t="s">
        <v>21</v>
      </c>
      <c r="D33" s="20" t="s">
        <v>13</v>
      </c>
      <c r="E33" s="20" t="s">
        <v>341</v>
      </c>
      <c r="F33" s="20" t="s">
        <v>13</v>
      </c>
      <c r="G33" s="20">
        <v>3</v>
      </c>
      <c r="H33" s="20">
        <v>4</v>
      </c>
      <c r="I33" s="13">
        <v>0.54508201058201067</v>
      </c>
      <c r="J33" s="20" t="s">
        <v>248</v>
      </c>
      <c r="K33" s="18">
        <v>0.63700000000000001</v>
      </c>
      <c r="L33" s="20" t="s">
        <v>249</v>
      </c>
      <c r="M33" s="20" t="s">
        <v>402</v>
      </c>
      <c r="N33" s="20" t="s">
        <v>13</v>
      </c>
      <c r="O33" s="20">
        <v>2</v>
      </c>
      <c r="P33" s="20">
        <v>3</v>
      </c>
      <c r="Q33" s="13">
        <v>0.54352487978663888</v>
      </c>
      <c r="R33" s="20" t="s">
        <v>248</v>
      </c>
      <c r="S33" s="20">
        <v>0.03</v>
      </c>
      <c r="T33" s="20" t="s">
        <v>249</v>
      </c>
      <c r="U33" s="20" t="s">
        <v>21</v>
      </c>
      <c r="V33" s="20">
        <v>2</v>
      </c>
      <c r="W33" s="20">
        <v>1</v>
      </c>
      <c r="X33" s="20" t="s">
        <v>379</v>
      </c>
      <c r="Y33" s="20" t="s">
        <v>292</v>
      </c>
      <c r="Z33" s="20" t="s">
        <v>60</v>
      </c>
      <c r="AA33" s="20" t="s">
        <v>380</v>
      </c>
    </row>
    <row r="34" spans="1:27" x14ac:dyDescent="0.2">
      <c r="A34" s="20" t="s">
        <v>220</v>
      </c>
      <c r="B34" s="20" t="s">
        <v>328</v>
      </c>
      <c r="C34" s="20" t="s">
        <v>34</v>
      </c>
      <c r="D34" s="20" t="s">
        <v>14</v>
      </c>
      <c r="E34" s="20" t="s">
        <v>342</v>
      </c>
      <c r="F34" s="20" t="s">
        <v>34</v>
      </c>
      <c r="G34" s="20">
        <v>3</v>
      </c>
      <c r="H34" s="20">
        <v>2</v>
      </c>
      <c r="I34" s="13">
        <v>0.51067724867724873</v>
      </c>
      <c r="J34" s="20" t="s">
        <v>249</v>
      </c>
      <c r="K34" s="18">
        <v>0.44400000000000001</v>
      </c>
      <c r="L34" s="20" t="s">
        <v>248</v>
      </c>
      <c r="M34" s="20" t="s">
        <v>343</v>
      </c>
      <c r="N34" s="20" t="s">
        <v>14</v>
      </c>
      <c r="O34" s="20">
        <v>2</v>
      </c>
      <c r="P34" s="20">
        <v>4</v>
      </c>
      <c r="Q34" s="13">
        <v>0.69427003530691833</v>
      </c>
      <c r="R34" s="20" t="s">
        <v>249</v>
      </c>
      <c r="S34" s="20">
        <v>0.85</v>
      </c>
      <c r="T34" s="20" t="s">
        <v>249</v>
      </c>
      <c r="U34" s="20" t="s">
        <v>34</v>
      </c>
      <c r="V34" s="20">
        <v>5</v>
      </c>
      <c r="W34" s="20">
        <v>0</v>
      </c>
      <c r="X34" s="20" t="s">
        <v>379</v>
      </c>
      <c r="Y34" s="20" t="s">
        <v>292</v>
      </c>
      <c r="Z34" s="20" t="s">
        <v>60</v>
      </c>
      <c r="AA34" s="20" t="s">
        <v>380</v>
      </c>
    </row>
    <row r="35" spans="1:27" x14ac:dyDescent="0.2">
      <c r="A35" s="20" t="s">
        <v>220</v>
      </c>
      <c r="B35" s="20" t="s">
        <v>324</v>
      </c>
      <c r="C35" s="20" t="s">
        <v>25</v>
      </c>
      <c r="D35" s="20" t="s">
        <v>40</v>
      </c>
      <c r="E35" s="20" t="s">
        <v>344</v>
      </c>
      <c r="F35" s="20" t="s">
        <v>40</v>
      </c>
      <c r="G35" s="20">
        <v>3</v>
      </c>
      <c r="H35" s="20">
        <v>4</v>
      </c>
      <c r="I35" s="13">
        <v>0.75196825396825406</v>
      </c>
      <c r="J35" s="20" t="s">
        <v>248</v>
      </c>
      <c r="K35" s="18">
        <v>0.64800000000000002</v>
      </c>
      <c r="L35" s="20" t="s">
        <v>249</v>
      </c>
      <c r="M35" s="20" t="s">
        <v>403</v>
      </c>
      <c r="N35" s="20" t="s">
        <v>25</v>
      </c>
      <c r="O35" s="20">
        <v>2</v>
      </c>
      <c r="P35" s="20">
        <v>3</v>
      </c>
      <c r="Q35" s="13">
        <v>0.52384786307493458</v>
      </c>
      <c r="R35" s="20" t="s">
        <v>248</v>
      </c>
      <c r="S35" s="20">
        <v>-0.26</v>
      </c>
      <c r="T35" s="20" t="s">
        <v>248</v>
      </c>
      <c r="U35" s="20" t="s">
        <v>25</v>
      </c>
      <c r="V35" s="20">
        <v>4</v>
      </c>
      <c r="W35" s="20">
        <v>3</v>
      </c>
      <c r="X35" s="20" t="s">
        <v>379</v>
      </c>
      <c r="Y35" s="20" t="s">
        <v>292</v>
      </c>
      <c r="Z35" s="20" t="s">
        <v>60</v>
      </c>
      <c r="AA35" s="20" t="s">
        <v>380</v>
      </c>
    </row>
    <row r="36" spans="1:27" x14ac:dyDescent="0.2">
      <c r="A36" s="20" t="s">
        <v>221</v>
      </c>
      <c r="B36" s="20" t="s">
        <v>322</v>
      </c>
      <c r="C36" s="20" t="s">
        <v>20</v>
      </c>
      <c r="D36" s="20" t="s">
        <v>31</v>
      </c>
      <c r="E36" s="20" t="s">
        <v>345</v>
      </c>
      <c r="F36" s="20" t="s">
        <v>31</v>
      </c>
      <c r="G36" s="20">
        <v>3</v>
      </c>
      <c r="H36" s="20">
        <v>4</v>
      </c>
      <c r="I36" s="13">
        <v>0.7439365079365079</v>
      </c>
      <c r="J36" s="20" t="s">
        <v>248</v>
      </c>
      <c r="K36" s="18">
        <v>0.59399999999999997</v>
      </c>
      <c r="L36" s="20" t="s">
        <v>248</v>
      </c>
      <c r="M36" s="20" t="s">
        <v>291</v>
      </c>
      <c r="N36" s="20" t="s">
        <v>31</v>
      </c>
      <c r="O36" s="20">
        <v>2</v>
      </c>
      <c r="P36" s="20">
        <v>3</v>
      </c>
      <c r="Q36" s="13">
        <v>0.63411411850668342</v>
      </c>
      <c r="R36" s="20" t="s">
        <v>249</v>
      </c>
      <c r="S36" s="20">
        <v>0.35</v>
      </c>
      <c r="T36" s="20" t="s">
        <v>248</v>
      </c>
      <c r="U36" s="20" t="s">
        <v>31</v>
      </c>
      <c r="V36" s="20">
        <v>3</v>
      </c>
      <c r="W36" s="20">
        <v>4</v>
      </c>
      <c r="X36" s="20" t="s">
        <v>379</v>
      </c>
      <c r="Y36" s="20" t="s">
        <v>292</v>
      </c>
      <c r="Z36" s="20" t="s">
        <v>60</v>
      </c>
      <c r="AA36" s="20" t="s">
        <v>380</v>
      </c>
    </row>
    <row r="37" spans="1:27" x14ac:dyDescent="0.2">
      <c r="A37" s="20" t="s">
        <v>221</v>
      </c>
      <c r="B37" s="20" t="s">
        <v>322</v>
      </c>
      <c r="C37" s="20" t="s">
        <v>39</v>
      </c>
      <c r="D37" s="20" t="s">
        <v>16</v>
      </c>
      <c r="E37" s="20" t="s">
        <v>346</v>
      </c>
      <c r="F37" s="20" t="s">
        <v>39</v>
      </c>
      <c r="G37" s="20">
        <v>5</v>
      </c>
      <c r="H37" s="20">
        <v>4</v>
      </c>
      <c r="I37" s="13">
        <v>0.59559788359788357</v>
      </c>
      <c r="J37" s="20" t="s">
        <v>249</v>
      </c>
      <c r="K37" s="18">
        <v>0.39600000000000002</v>
      </c>
      <c r="L37" s="20" t="s">
        <v>249</v>
      </c>
      <c r="M37" s="20" t="s">
        <v>404</v>
      </c>
      <c r="N37" s="20" t="s">
        <v>39</v>
      </c>
      <c r="O37" s="20">
        <v>2</v>
      </c>
      <c r="P37" s="20">
        <v>4</v>
      </c>
      <c r="Q37" s="13">
        <v>0.75479145950448245</v>
      </c>
      <c r="R37" s="20" t="s">
        <v>249</v>
      </c>
      <c r="S37" s="20">
        <v>-1.31</v>
      </c>
      <c r="T37" s="20" t="s">
        <v>249</v>
      </c>
      <c r="U37" s="20" t="s">
        <v>16</v>
      </c>
      <c r="V37" s="20">
        <v>2</v>
      </c>
      <c r="W37" s="20">
        <v>3</v>
      </c>
      <c r="X37" s="20" t="s">
        <v>379</v>
      </c>
      <c r="Y37" s="20" t="s">
        <v>292</v>
      </c>
      <c r="Z37" s="20" t="s">
        <v>60</v>
      </c>
      <c r="AA37" s="20" t="s">
        <v>380</v>
      </c>
    </row>
    <row r="38" spans="1:27" x14ac:dyDescent="0.2">
      <c r="A38" s="20" t="s">
        <v>221</v>
      </c>
      <c r="B38" s="20" t="s">
        <v>347</v>
      </c>
      <c r="C38" s="20" t="s">
        <v>28</v>
      </c>
      <c r="D38" s="20" t="s">
        <v>26</v>
      </c>
      <c r="E38" s="20" t="s">
        <v>348</v>
      </c>
      <c r="F38" s="20" t="s">
        <v>26</v>
      </c>
      <c r="G38" s="20">
        <v>2</v>
      </c>
      <c r="H38" s="20">
        <v>3</v>
      </c>
      <c r="I38" s="13">
        <v>0.70020214957327953</v>
      </c>
      <c r="J38" s="20" t="s">
        <v>249</v>
      </c>
      <c r="K38" s="18">
        <v>0.36799999999999999</v>
      </c>
      <c r="L38" s="20" t="s">
        <v>248</v>
      </c>
      <c r="M38" s="20" t="s">
        <v>307</v>
      </c>
      <c r="N38" s="20" t="s">
        <v>28</v>
      </c>
      <c r="O38" s="20">
        <v>2</v>
      </c>
      <c r="P38" s="20">
        <v>3</v>
      </c>
      <c r="Q38" s="13">
        <v>0.46548155836437699</v>
      </c>
      <c r="R38" s="20" t="s">
        <v>248</v>
      </c>
      <c r="S38" s="20">
        <v>-0.03</v>
      </c>
      <c r="T38" s="20" t="s">
        <v>249</v>
      </c>
      <c r="U38" s="20" t="s">
        <v>26</v>
      </c>
      <c r="V38" s="20">
        <v>3</v>
      </c>
      <c r="W38" s="20">
        <v>4</v>
      </c>
      <c r="X38" s="20" t="s">
        <v>379</v>
      </c>
      <c r="Y38" s="20" t="s">
        <v>292</v>
      </c>
      <c r="Z38" s="20" t="s">
        <v>60</v>
      </c>
      <c r="AA38" s="20" t="s">
        <v>380</v>
      </c>
    </row>
    <row r="39" spans="1:27" x14ac:dyDescent="0.2">
      <c r="A39" s="20" t="s">
        <v>221</v>
      </c>
      <c r="B39" s="20" t="s">
        <v>328</v>
      </c>
      <c r="C39" s="20" t="s">
        <v>17</v>
      </c>
      <c r="D39" s="20" t="s">
        <v>11</v>
      </c>
      <c r="E39" s="20" t="s">
        <v>349</v>
      </c>
      <c r="F39" s="20" t="s">
        <v>11</v>
      </c>
      <c r="G39" s="20">
        <v>3</v>
      </c>
      <c r="H39" s="20">
        <v>4</v>
      </c>
      <c r="I39" s="13">
        <v>0.71271640211640208</v>
      </c>
      <c r="J39" s="20" t="s">
        <v>249</v>
      </c>
      <c r="K39" s="18">
        <v>0.317</v>
      </c>
      <c r="L39" s="20" t="s">
        <v>249</v>
      </c>
      <c r="M39" s="20" t="s">
        <v>405</v>
      </c>
      <c r="N39" s="20" t="s">
        <v>11</v>
      </c>
      <c r="O39" s="20">
        <v>2</v>
      </c>
      <c r="P39" s="20">
        <v>4</v>
      </c>
      <c r="Q39" s="13">
        <v>0.7567456775048037</v>
      </c>
      <c r="R39" s="20" t="s">
        <v>249</v>
      </c>
      <c r="S39" s="20">
        <v>1</v>
      </c>
      <c r="T39" s="20" t="s">
        <v>249</v>
      </c>
      <c r="U39" s="20" t="s">
        <v>17</v>
      </c>
      <c r="V39" s="20">
        <v>6</v>
      </c>
      <c r="W39" s="20">
        <v>3</v>
      </c>
      <c r="X39" s="20" t="s">
        <v>379</v>
      </c>
      <c r="Y39" s="20" t="s">
        <v>292</v>
      </c>
      <c r="Z39" s="20" t="s">
        <v>60</v>
      </c>
      <c r="AA39" s="20" t="s">
        <v>380</v>
      </c>
    </row>
    <row r="40" spans="1:27" x14ac:dyDescent="0.2">
      <c r="A40" s="20" t="s">
        <v>221</v>
      </c>
      <c r="B40" s="20" t="s">
        <v>328</v>
      </c>
      <c r="C40" s="20" t="s">
        <v>19</v>
      </c>
      <c r="D40" s="20" t="s">
        <v>18</v>
      </c>
      <c r="E40" s="20" t="s">
        <v>350</v>
      </c>
      <c r="F40" s="20" t="s">
        <v>18</v>
      </c>
      <c r="G40" s="20">
        <v>4</v>
      </c>
      <c r="H40" s="20">
        <v>5</v>
      </c>
      <c r="I40" s="13">
        <v>0.53974867724867714</v>
      </c>
      <c r="J40" s="20" t="s">
        <v>249</v>
      </c>
      <c r="K40" s="18">
        <v>0.46300000000000002</v>
      </c>
      <c r="L40" s="20" t="s">
        <v>248</v>
      </c>
      <c r="M40" s="20" t="s">
        <v>360</v>
      </c>
      <c r="N40" s="20" t="s">
        <v>18</v>
      </c>
      <c r="O40" s="20">
        <v>2</v>
      </c>
      <c r="P40" s="20">
        <v>3</v>
      </c>
      <c r="Q40" s="13">
        <v>0.55269401670466733</v>
      </c>
      <c r="R40" s="20" t="s">
        <v>248</v>
      </c>
      <c r="S40" s="20">
        <v>0.09</v>
      </c>
      <c r="T40" s="20" t="s">
        <v>248</v>
      </c>
      <c r="U40" s="20" t="s">
        <v>18</v>
      </c>
      <c r="V40" s="20">
        <v>2</v>
      </c>
      <c r="W40" s="20">
        <v>5</v>
      </c>
      <c r="X40" s="20" t="s">
        <v>379</v>
      </c>
      <c r="Y40" s="20" t="s">
        <v>292</v>
      </c>
      <c r="Z40" s="20" t="s">
        <v>60</v>
      </c>
      <c r="AA40" s="20" t="s">
        <v>380</v>
      </c>
    </row>
    <row r="41" spans="1:27" x14ac:dyDescent="0.2">
      <c r="A41" s="20" t="s">
        <v>221</v>
      </c>
      <c r="B41" s="20" t="s">
        <v>324</v>
      </c>
      <c r="C41" s="20" t="s">
        <v>12</v>
      </c>
      <c r="D41" s="20" t="s">
        <v>29</v>
      </c>
      <c r="E41" s="20" t="s">
        <v>351</v>
      </c>
      <c r="F41" s="20" t="s">
        <v>12</v>
      </c>
      <c r="G41" s="20">
        <v>4</v>
      </c>
      <c r="H41" s="20">
        <v>3</v>
      </c>
      <c r="I41" s="13">
        <v>0.79329100529100538</v>
      </c>
      <c r="J41" s="20" t="s">
        <v>249</v>
      </c>
      <c r="K41" s="18">
        <v>0.34200000000000003</v>
      </c>
      <c r="L41" s="20" t="s">
        <v>248</v>
      </c>
      <c r="M41" s="20" t="s">
        <v>361</v>
      </c>
      <c r="N41" s="20" t="s">
        <v>12</v>
      </c>
      <c r="O41" s="20">
        <v>1</v>
      </c>
      <c r="P41" s="20">
        <v>6</v>
      </c>
      <c r="Q41" s="13">
        <v>0.93629488580979003</v>
      </c>
      <c r="R41" s="20" t="s">
        <v>249</v>
      </c>
      <c r="S41" s="20">
        <v>-2.83</v>
      </c>
      <c r="T41" s="20" t="s">
        <v>248</v>
      </c>
      <c r="U41" s="20" t="s">
        <v>12</v>
      </c>
      <c r="V41" s="20">
        <v>3</v>
      </c>
      <c r="W41" s="20">
        <v>0</v>
      </c>
      <c r="X41" s="20" t="s">
        <v>379</v>
      </c>
      <c r="Y41" s="20" t="s">
        <v>292</v>
      </c>
      <c r="Z41" s="20" t="s">
        <v>60</v>
      </c>
      <c r="AA41" s="20" t="s">
        <v>380</v>
      </c>
    </row>
    <row r="42" spans="1:27" x14ac:dyDescent="0.2">
      <c r="A42" s="20" t="s">
        <v>221</v>
      </c>
      <c r="B42" s="20" t="s">
        <v>352</v>
      </c>
      <c r="C42" s="20" t="s">
        <v>35</v>
      </c>
      <c r="D42" s="20" t="s">
        <v>30</v>
      </c>
      <c r="E42" s="20" t="s">
        <v>353</v>
      </c>
      <c r="F42" s="20" t="s">
        <v>30</v>
      </c>
      <c r="G42" s="20">
        <v>3</v>
      </c>
      <c r="H42" s="20">
        <v>4</v>
      </c>
      <c r="I42" s="13">
        <v>0.82961190476190472</v>
      </c>
      <c r="J42" s="20" t="s">
        <v>249</v>
      </c>
      <c r="K42" s="18">
        <v>0.44800000000000001</v>
      </c>
      <c r="L42" s="20" t="s">
        <v>249</v>
      </c>
      <c r="M42" s="20" t="s">
        <v>406</v>
      </c>
      <c r="N42" s="20" t="s">
        <v>30</v>
      </c>
      <c r="O42" s="20">
        <v>1</v>
      </c>
      <c r="P42" s="20">
        <v>5</v>
      </c>
      <c r="Q42" s="13">
        <v>0.83238050643354911</v>
      </c>
      <c r="R42" s="20" t="s">
        <v>249</v>
      </c>
      <c r="S42" s="20">
        <v>2.02</v>
      </c>
      <c r="T42" s="20" t="s">
        <v>249</v>
      </c>
      <c r="U42" s="20" t="s">
        <v>35</v>
      </c>
      <c r="V42" s="20">
        <v>2</v>
      </c>
      <c r="W42" s="20">
        <v>1</v>
      </c>
      <c r="X42" s="20" t="s">
        <v>379</v>
      </c>
      <c r="Y42" s="20" t="s">
        <v>292</v>
      </c>
      <c r="Z42" s="20" t="s">
        <v>60</v>
      </c>
      <c r="AA42" s="20" t="s">
        <v>380</v>
      </c>
    </row>
    <row r="43" spans="1:27" x14ac:dyDescent="0.2">
      <c r="A43" s="20" t="s">
        <v>221</v>
      </c>
      <c r="B43" s="20" t="s">
        <v>328</v>
      </c>
      <c r="C43" s="20" t="s">
        <v>24</v>
      </c>
      <c r="D43" s="20" t="s">
        <v>27</v>
      </c>
      <c r="E43" s="20" t="s">
        <v>354</v>
      </c>
      <c r="F43" s="20" t="s">
        <v>24</v>
      </c>
      <c r="G43" s="20">
        <v>4</v>
      </c>
      <c r="H43" s="20">
        <v>3</v>
      </c>
      <c r="I43" s="13">
        <v>0.63601404151404162</v>
      </c>
      <c r="J43" s="20" t="s">
        <v>249</v>
      </c>
      <c r="K43" s="18">
        <v>0.44</v>
      </c>
      <c r="L43" s="20" t="s">
        <v>249</v>
      </c>
      <c r="M43" s="20" t="s">
        <v>407</v>
      </c>
      <c r="N43" s="20" t="s">
        <v>24</v>
      </c>
      <c r="O43" s="20">
        <v>2</v>
      </c>
      <c r="P43" s="20">
        <v>4</v>
      </c>
      <c r="Q43" s="13">
        <v>0.55265687829531895</v>
      </c>
      <c r="R43" s="20" t="s">
        <v>249</v>
      </c>
      <c r="S43" s="20">
        <v>-0.63</v>
      </c>
      <c r="T43" s="20" t="s">
        <v>249</v>
      </c>
      <c r="U43" s="20" t="s">
        <v>27</v>
      </c>
      <c r="V43" s="20">
        <v>3</v>
      </c>
      <c r="W43" s="20">
        <v>6</v>
      </c>
      <c r="X43" s="20" t="s">
        <v>379</v>
      </c>
      <c r="Y43" s="20" t="s">
        <v>292</v>
      </c>
      <c r="Z43" s="20" t="s">
        <v>60</v>
      </c>
      <c r="AA43" s="20" t="s">
        <v>380</v>
      </c>
    </row>
    <row r="44" spans="1:27" x14ac:dyDescent="0.2">
      <c r="A44" s="20" t="s">
        <v>221</v>
      </c>
      <c r="B44" s="20" t="s">
        <v>328</v>
      </c>
      <c r="C44" s="20" t="s">
        <v>32</v>
      </c>
      <c r="D44" s="20" t="s">
        <v>14</v>
      </c>
      <c r="E44" s="20" t="s">
        <v>355</v>
      </c>
      <c r="F44" s="20" t="s">
        <v>14</v>
      </c>
      <c r="G44" s="20">
        <v>3</v>
      </c>
      <c r="H44" s="20">
        <v>4</v>
      </c>
      <c r="I44" s="13">
        <v>0.53547883597883605</v>
      </c>
      <c r="J44" s="20" t="s">
        <v>249</v>
      </c>
      <c r="K44" s="18">
        <v>0.40500000000000003</v>
      </c>
      <c r="L44" s="20" t="s">
        <v>249</v>
      </c>
      <c r="M44" s="20" t="s">
        <v>408</v>
      </c>
      <c r="N44" s="20" t="s">
        <v>14</v>
      </c>
      <c r="O44" s="20">
        <v>2</v>
      </c>
      <c r="P44" s="20">
        <v>4</v>
      </c>
      <c r="Q44" s="13">
        <v>0.62760419841259008</v>
      </c>
      <c r="R44" s="20" t="s">
        <v>249</v>
      </c>
      <c r="S44" s="20">
        <v>0.56000000000000005</v>
      </c>
      <c r="T44" s="20" t="s">
        <v>249</v>
      </c>
      <c r="U44" s="20" t="s">
        <v>32</v>
      </c>
      <c r="V44" s="20">
        <v>3</v>
      </c>
      <c r="W44" s="20">
        <v>2</v>
      </c>
      <c r="X44" s="20" t="s">
        <v>379</v>
      </c>
      <c r="Y44" s="20" t="s">
        <v>292</v>
      </c>
      <c r="Z44" s="20" t="s">
        <v>60</v>
      </c>
      <c r="AA44" s="20" t="s">
        <v>380</v>
      </c>
    </row>
    <row r="45" spans="1:27" x14ac:dyDescent="0.2">
      <c r="A45" s="20" t="s">
        <v>221</v>
      </c>
      <c r="B45" s="20" t="s">
        <v>328</v>
      </c>
      <c r="C45" s="20" t="s">
        <v>36</v>
      </c>
      <c r="D45" s="20" t="s">
        <v>33</v>
      </c>
      <c r="E45" s="20" t="s">
        <v>356</v>
      </c>
      <c r="F45" s="20" t="s">
        <v>33</v>
      </c>
      <c r="G45" s="20">
        <v>4</v>
      </c>
      <c r="H45" s="20">
        <v>5</v>
      </c>
      <c r="I45" s="13">
        <v>0.57873187202660858</v>
      </c>
      <c r="J45" s="20" t="s">
        <v>248</v>
      </c>
      <c r="K45" s="18">
        <v>0.627</v>
      </c>
      <c r="L45" s="20" t="s">
        <v>249</v>
      </c>
      <c r="M45" s="20" t="s">
        <v>409</v>
      </c>
      <c r="N45" s="20" t="s">
        <v>33</v>
      </c>
      <c r="O45" s="20">
        <v>2</v>
      </c>
      <c r="P45" s="20">
        <v>3</v>
      </c>
      <c r="Q45" s="13">
        <v>0.5625647207386173</v>
      </c>
      <c r="R45" s="20" t="s">
        <v>248</v>
      </c>
      <c r="S45" s="20">
        <v>0.16</v>
      </c>
      <c r="T45" s="20" t="s">
        <v>249</v>
      </c>
      <c r="U45" s="20" t="s">
        <v>36</v>
      </c>
      <c r="V45" s="20">
        <v>3</v>
      </c>
      <c r="W45" s="20">
        <v>2</v>
      </c>
      <c r="X45" s="20" t="s">
        <v>379</v>
      </c>
      <c r="Y45" s="20" t="s">
        <v>292</v>
      </c>
      <c r="Z45" s="20" t="s">
        <v>60</v>
      </c>
      <c r="AA45" s="20" t="s">
        <v>380</v>
      </c>
    </row>
    <row r="46" spans="1:27" x14ac:dyDescent="0.2">
      <c r="A46" s="20" t="s">
        <v>221</v>
      </c>
      <c r="B46" s="20" t="s">
        <v>326</v>
      </c>
      <c r="C46" s="20" t="s">
        <v>15</v>
      </c>
      <c r="D46" s="20" t="s">
        <v>55</v>
      </c>
      <c r="E46" s="20" t="s">
        <v>357</v>
      </c>
      <c r="F46" s="20" t="s">
        <v>55</v>
      </c>
      <c r="G46" s="20">
        <v>3</v>
      </c>
      <c r="H46" s="20">
        <v>4</v>
      </c>
      <c r="I46" s="13">
        <v>0.6337840563691628</v>
      </c>
      <c r="J46" s="20" t="s">
        <v>249</v>
      </c>
      <c r="K46" s="18">
        <v>0.313</v>
      </c>
      <c r="L46" s="20" t="s">
        <v>248</v>
      </c>
      <c r="M46" s="20" t="s">
        <v>362</v>
      </c>
      <c r="N46" s="20" t="s">
        <v>55</v>
      </c>
      <c r="O46" s="20">
        <v>2</v>
      </c>
      <c r="P46" s="20">
        <v>3</v>
      </c>
      <c r="Q46" s="13">
        <v>0.51017063196028578</v>
      </c>
      <c r="R46" s="20" t="s">
        <v>248</v>
      </c>
      <c r="S46" s="20">
        <v>0.25</v>
      </c>
      <c r="T46" s="20" t="s">
        <v>248</v>
      </c>
      <c r="U46" s="20" t="s">
        <v>55</v>
      </c>
      <c r="V46" s="20">
        <v>2</v>
      </c>
      <c r="W46" s="20">
        <v>3</v>
      </c>
      <c r="X46" s="20" t="s">
        <v>379</v>
      </c>
      <c r="Y46" s="20" t="s">
        <v>292</v>
      </c>
      <c r="Z46" s="20" t="s">
        <v>60</v>
      </c>
      <c r="AA46" s="20" t="s">
        <v>380</v>
      </c>
    </row>
    <row r="47" spans="1:27" x14ac:dyDescent="0.2">
      <c r="A47" s="20" t="s">
        <v>221</v>
      </c>
      <c r="B47" s="20" t="s">
        <v>328</v>
      </c>
      <c r="C47" s="20" t="s">
        <v>37</v>
      </c>
      <c r="D47" s="20" t="s">
        <v>22</v>
      </c>
      <c r="E47" s="20" t="s">
        <v>358</v>
      </c>
      <c r="F47" s="20" t="s">
        <v>22</v>
      </c>
      <c r="G47" s="20">
        <v>3</v>
      </c>
      <c r="H47" s="20">
        <v>4</v>
      </c>
      <c r="I47" s="13">
        <v>0.64363278171788785</v>
      </c>
      <c r="J47" s="20" t="s">
        <v>248</v>
      </c>
      <c r="K47" s="18">
        <v>0.54700000000000004</v>
      </c>
      <c r="L47" s="20" t="s">
        <v>249</v>
      </c>
      <c r="M47" s="20" t="s">
        <v>410</v>
      </c>
      <c r="N47" s="20" t="s">
        <v>22</v>
      </c>
      <c r="O47" s="20">
        <v>2</v>
      </c>
      <c r="P47" s="20">
        <v>3</v>
      </c>
      <c r="Q47" s="13">
        <v>0.5417979763641656</v>
      </c>
      <c r="R47" s="20" t="s">
        <v>249</v>
      </c>
      <c r="S47" s="20">
        <v>0.32</v>
      </c>
      <c r="T47" s="20" t="s">
        <v>249</v>
      </c>
      <c r="U47" s="20" t="s">
        <v>37</v>
      </c>
      <c r="V47" s="20">
        <v>5</v>
      </c>
      <c r="W47" s="20">
        <v>3</v>
      </c>
      <c r="X47" s="20" t="s">
        <v>379</v>
      </c>
      <c r="Y47" s="20" t="s">
        <v>292</v>
      </c>
      <c r="Z47" s="20" t="s">
        <v>60</v>
      </c>
      <c r="AA47" s="20" t="s">
        <v>380</v>
      </c>
    </row>
    <row r="48" spans="1:27" x14ac:dyDescent="0.2">
      <c r="A48" s="20" t="s">
        <v>222</v>
      </c>
      <c r="B48" s="20" t="s">
        <v>347</v>
      </c>
      <c r="C48" s="20" t="s">
        <v>25</v>
      </c>
      <c r="D48" s="20" t="s">
        <v>23</v>
      </c>
      <c r="E48" s="20" t="s">
        <v>363</v>
      </c>
      <c r="F48" s="20" t="s">
        <v>25</v>
      </c>
      <c r="G48" s="20">
        <v>4</v>
      </c>
      <c r="H48" s="20">
        <v>3</v>
      </c>
      <c r="I48" s="13">
        <v>0.746</v>
      </c>
      <c r="J48" s="20" t="s">
        <v>249</v>
      </c>
      <c r="K48" s="18">
        <v>0.33900000000000002</v>
      </c>
      <c r="L48" s="20" t="s">
        <v>249</v>
      </c>
      <c r="M48" s="20" t="s">
        <v>411</v>
      </c>
      <c r="N48" s="20" t="s">
        <v>25</v>
      </c>
      <c r="O48" s="20">
        <v>4</v>
      </c>
      <c r="P48" s="20">
        <v>2</v>
      </c>
      <c r="Q48" s="13">
        <v>0.70099999999999996</v>
      </c>
      <c r="R48" s="20" t="s">
        <v>249</v>
      </c>
      <c r="S48" s="20">
        <v>-1.1599999999999999</v>
      </c>
      <c r="T48" s="20" t="s">
        <v>249</v>
      </c>
      <c r="U48" s="20" t="s">
        <v>23</v>
      </c>
      <c r="V48" s="20">
        <v>1</v>
      </c>
      <c r="W48" s="20">
        <v>4</v>
      </c>
      <c r="X48" s="20" t="s">
        <v>379</v>
      </c>
      <c r="Y48" s="20" t="s">
        <v>292</v>
      </c>
      <c r="Z48" s="20" t="s">
        <v>359</v>
      </c>
      <c r="AA48" s="20" t="s">
        <v>380</v>
      </c>
    </row>
    <row r="49" spans="1:27" x14ac:dyDescent="0.2">
      <c r="A49" s="20" t="s">
        <v>222</v>
      </c>
      <c r="B49" s="20" t="s">
        <v>328</v>
      </c>
      <c r="C49" s="20" t="s">
        <v>12</v>
      </c>
      <c r="D49" s="20" t="s">
        <v>10</v>
      </c>
      <c r="E49" s="20" t="s">
        <v>364</v>
      </c>
      <c r="F49" s="20" t="s">
        <v>12</v>
      </c>
      <c r="G49" s="20">
        <v>5</v>
      </c>
      <c r="H49" s="20">
        <v>4</v>
      </c>
      <c r="I49" s="13">
        <v>0.65200000000000002</v>
      </c>
      <c r="J49" s="20" t="s">
        <v>248</v>
      </c>
      <c r="K49" s="18">
        <v>0.53400000000000003</v>
      </c>
      <c r="L49" s="20" t="s">
        <v>248</v>
      </c>
      <c r="M49" s="20" t="s">
        <v>361</v>
      </c>
      <c r="N49" s="20" t="s">
        <v>12</v>
      </c>
      <c r="O49" s="20">
        <v>4</v>
      </c>
      <c r="P49" s="20">
        <v>2</v>
      </c>
      <c r="Q49" s="13">
        <v>0.73299999999999998</v>
      </c>
      <c r="R49" s="20" t="s">
        <v>249</v>
      </c>
      <c r="S49" s="20">
        <v>-1.5</v>
      </c>
      <c r="T49" s="20" t="s">
        <v>248</v>
      </c>
      <c r="U49" s="20" t="s">
        <v>12</v>
      </c>
      <c r="V49" s="20">
        <v>1</v>
      </c>
      <c r="W49" s="20">
        <v>0</v>
      </c>
      <c r="X49" s="20" t="s">
        <v>379</v>
      </c>
      <c r="Y49" s="20" t="s">
        <v>292</v>
      </c>
      <c r="Z49" s="20" t="s">
        <v>359</v>
      </c>
      <c r="AA49" s="20" t="s">
        <v>380</v>
      </c>
    </row>
    <row r="50" spans="1:27" x14ac:dyDescent="0.2">
      <c r="A50" s="20" t="s">
        <v>222</v>
      </c>
      <c r="B50" s="20" t="s">
        <v>365</v>
      </c>
      <c r="C50" s="20" t="s">
        <v>32</v>
      </c>
      <c r="D50" s="20" t="s">
        <v>30</v>
      </c>
      <c r="E50" s="20" t="s">
        <v>366</v>
      </c>
      <c r="F50" s="20" t="s">
        <v>32</v>
      </c>
      <c r="G50" s="20">
        <v>5</v>
      </c>
      <c r="H50" s="20">
        <v>4</v>
      </c>
      <c r="I50" s="13">
        <v>0.57899999999999996</v>
      </c>
      <c r="J50" s="20" t="s">
        <v>249</v>
      </c>
      <c r="K50" s="18">
        <v>0.48799999999999999</v>
      </c>
      <c r="L50" s="20" t="s">
        <v>249</v>
      </c>
      <c r="M50" s="20" t="s">
        <v>412</v>
      </c>
      <c r="N50" s="20" t="s">
        <v>30</v>
      </c>
      <c r="O50" s="20">
        <v>2</v>
      </c>
      <c r="P50" s="20">
        <v>4</v>
      </c>
      <c r="Q50" s="13">
        <v>0.61299999999999999</v>
      </c>
      <c r="R50" s="20" t="s">
        <v>249</v>
      </c>
      <c r="S50" s="20">
        <v>0.56999999999999995</v>
      </c>
      <c r="T50" s="20" t="s">
        <v>248</v>
      </c>
      <c r="U50" s="20" t="s">
        <v>30</v>
      </c>
      <c r="V50" s="20">
        <v>0</v>
      </c>
      <c r="W50" s="20">
        <v>1</v>
      </c>
      <c r="X50" s="20" t="s">
        <v>379</v>
      </c>
      <c r="Y50" s="20" t="s">
        <v>292</v>
      </c>
      <c r="Z50" s="20" t="s">
        <v>359</v>
      </c>
      <c r="AA50" s="20" t="s">
        <v>380</v>
      </c>
    </row>
    <row r="51" spans="1:27" x14ac:dyDescent="0.2">
      <c r="A51" s="20" t="s">
        <v>222</v>
      </c>
      <c r="B51" s="20" t="s">
        <v>324</v>
      </c>
      <c r="C51" s="20" t="s">
        <v>21</v>
      </c>
      <c r="D51" s="20" t="s">
        <v>33</v>
      </c>
      <c r="E51" s="20" t="s">
        <v>367</v>
      </c>
      <c r="F51" s="20" t="s">
        <v>33</v>
      </c>
      <c r="G51" s="20">
        <v>3</v>
      </c>
      <c r="H51" s="20">
        <v>4</v>
      </c>
      <c r="I51" s="13">
        <v>0.51900000000000002</v>
      </c>
      <c r="J51" s="20" t="s">
        <v>249</v>
      </c>
      <c r="K51" s="18">
        <v>0.27900000000000003</v>
      </c>
      <c r="L51" s="20" t="s">
        <v>248</v>
      </c>
      <c r="M51" s="20" t="s">
        <v>309</v>
      </c>
      <c r="N51" s="20" t="s">
        <v>21</v>
      </c>
      <c r="O51" s="20">
        <v>3</v>
      </c>
      <c r="P51" s="20">
        <v>2</v>
      </c>
      <c r="Q51" s="13">
        <v>0.49399999999999999</v>
      </c>
      <c r="R51" s="20" t="s">
        <v>248</v>
      </c>
      <c r="S51" s="20">
        <v>-0.26</v>
      </c>
      <c r="T51" s="20" t="s">
        <v>249</v>
      </c>
      <c r="U51" s="20" t="s">
        <v>33</v>
      </c>
      <c r="V51" s="20">
        <v>1</v>
      </c>
      <c r="W51" s="20">
        <v>3</v>
      </c>
      <c r="X51" s="20" t="s">
        <v>379</v>
      </c>
      <c r="Y51" s="20" t="s">
        <v>292</v>
      </c>
      <c r="Z51" s="20" t="s">
        <v>359</v>
      </c>
      <c r="AA51" s="20" t="s">
        <v>380</v>
      </c>
    </row>
    <row r="52" spans="1:27" x14ac:dyDescent="0.2">
      <c r="A52" s="20" t="s">
        <v>222</v>
      </c>
      <c r="B52" s="20" t="s">
        <v>326</v>
      </c>
      <c r="C52" s="20" t="s">
        <v>16</v>
      </c>
      <c r="D52" s="20" t="s">
        <v>38</v>
      </c>
      <c r="E52" s="20" t="s">
        <v>368</v>
      </c>
      <c r="F52" s="20" t="s">
        <v>16</v>
      </c>
      <c r="G52" s="20">
        <v>4</v>
      </c>
      <c r="H52" s="20">
        <v>2</v>
      </c>
      <c r="I52" s="13">
        <v>0.53600000000000003</v>
      </c>
      <c r="J52" s="20" t="s">
        <v>249</v>
      </c>
      <c r="K52" s="18">
        <v>0.182</v>
      </c>
      <c r="L52" s="20" t="s">
        <v>248</v>
      </c>
      <c r="M52" s="20" t="s">
        <v>372</v>
      </c>
      <c r="N52" s="20" t="s">
        <v>38</v>
      </c>
      <c r="O52" s="20">
        <v>2</v>
      </c>
      <c r="P52" s="20">
        <v>3</v>
      </c>
      <c r="Q52" s="13">
        <v>0.59</v>
      </c>
      <c r="R52" s="20" t="s">
        <v>249</v>
      </c>
      <c r="S52" s="20">
        <v>0.39</v>
      </c>
      <c r="T52" s="20" t="s">
        <v>249</v>
      </c>
      <c r="U52" s="20" t="s">
        <v>16</v>
      </c>
      <c r="V52" s="20">
        <v>5</v>
      </c>
      <c r="W52" s="20">
        <v>2</v>
      </c>
      <c r="X52" s="20" t="s">
        <v>379</v>
      </c>
      <c r="Y52" s="20" t="s">
        <v>292</v>
      </c>
      <c r="Z52" s="20" t="s">
        <v>359</v>
      </c>
      <c r="AA52" s="20" t="s">
        <v>380</v>
      </c>
    </row>
    <row r="53" spans="1:27" x14ac:dyDescent="0.2">
      <c r="A53" s="20" t="s">
        <v>222</v>
      </c>
      <c r="B53" s="20" t="s">
        <v>369</v>
      </c>
      <c r="C53" s="20" t="s">
        <v>34</v>
      </c>
      <c r="D53" s="20" t="s">
        <v>40</v>
      </c>
      <c r="E53" s="20" t="s">
        <v>370</v>
      </c>
      <c r="F53" s="20" t="s">
        <v>40</v>
      </c>
      <c r="G53" s="20">
        <v>3</v>
      </c>
      <c r="H53" s="20">
        <v>4</v>
      </c>
      <c r="I53" s="13">
        <v>0.78</v>
      </c>
      <c r="J53" s="20" t="s">
        <v>249</v>
      </c>
      <c r="K53" s="18">
        <v>0.24199999999999999</v>
      </c>
      <c r="L53" s="20" t="s">
        <v>249</v>
      </c>
      <c r="M53" s="20" t="s">
        <v>413</v>
      </c>
      <c r="N53" s="20" t="s">
        <v>40</v>
      </c>
      <c r="O53" s="20">
        <v>2</v>
      </c>
      <c r="P53" s="20">
        <v>4</v>
      </c>
      <c r="Q53" s="13">
        <v>0.63400000000000001</v>
      </c>
      <c r="R53" s="20" t="s">
        <v>249</v>
      </c>
      <c r="S53" s="20">
        <v>0.53</v>
      </c>
      <c r="T53" s="20" t="s">
        <v>249</v>
      </c>
      <c r="U53" s="20" t="s">
        <v>34</v>
      </c>
      <c r="V53" s="20">
        <v>3</v>
      </c>
      <c r="W53" s="20">
        <v>0</v>
      </c>
      <c r="X53" s="20" t="s">
        <v>379</v>
      </c>
      <c r="Y53" s="20" t="s">
        <v>292</v>
      </c>
      <c r="Z53" s="20" t="s">
        <v>359</v>
      </c>
      <c r="AA53" s="20" t="s">
        <v>380</v>
      </c>
    </row>
    <row r="54" spans="1:27" x14ac:dyDescent="0.2">
      <c r="A54" s="20" t="s">
        <v>223</v>
      </c>
      <c r="B54" s="20" t="s">
        <v>326</v>
      </c>
      <c r="C54" s="20" t="s">
        <v>36</v>
      </c>
      <c r="D54" s="20" t="s">
        <v>13</v>
      </c>
      <c r="E54" s="20" t="s">
        <v>373</v>
      </c>
      <c r="F54" s="20" t="s">
        <v>36</v>
      </c>
      <c r="G54" s="20">
        <v>5</v>
      </c>
      <c r="H54" s="20">
        <v>4</v>
      </c>
      <c r="I54" s="13">
        <v>0.60899999999999999</v>
      </c>
      <c r="J54" s="20" t="s">
        <v>249</v>
      </c>
      <c r="K54" s="18">
        <v>0.40400000000000003</v>
      </c>
      <c r="L54" s="20" t="s">
        <v>249</v>
      </c>
      <c r="M54" s="20" t="s">
        <v>414</v>
      </c>
      <c r="N54" s="20" t="s">
        <v>13</v>
      </c>
      <c r="O54" s="20">
        <v>2</v>
      </c>
      <c r="P54" s="20">
        <v>3</v>
      </c>
      <c r="Q54" s="13">
        <v>0.53200000000000003</v>
      </c>
      <c r="R54" s="20" t="s">
        <v>248</v>
      </c>
      <c r="S54" s="20">
        <v>0.09</v>
      </c>
      <c r="T54" s="20" t="s">
        <v>249</v>
      </c>
      <c r="U54" s="20" t="s">
        <v>60</v>
      </c>
      <c r="V54" s="20"/>
      <c r="W54" s="20"/>
      <c r="X54" s="20" t="s">
        <v>379</v>
      </c>
      <c r="Y54" s="20" t="s">
        <v>292</v>
      </c>
      <c r="Z54" s="20" t="s">
        <v>371</v>
      </c>
      <c r="AA54" s="20" t="s">
        <v>380</v>
      </c>
    </row>
    <row r="55" spans="1:27" x14ac:dyDescent="0.2">
      <c r="A55" s="20" t="s">
        <v>223</v>
      </c>
      <c r="B55" s="20" t="s">
        <v>328</v>
      </c>
      <c r="C55" s="20" t="s">
        <v>26</v>
      </c>
      <c r="D55" s="20" t="s">
        <v>24</v>
      </c>
      <c r="E55" s="20" t="s">
        <v>374</v>
      </c>
      <c r="F55" s="20" t="s">
        <v>24</v>
      </c>
      <c r="G55" s="20">
        <v>3</v>
      </c>
      <c r="H55" s="20">
        <v>4</v>
      </c>
      <c r="I55" s="13">
        <v>0.77800000000000002</v>
      </c>
      <c r="J55" s="20" t="s">
        <v>249</v>
      </c>
      <c r="K55" s="18">
        <v>0.39800000000000002</v>
      </c>
      <c r="L55" s="20" t="s">
        <v>249</v>
      </c>
      <c r="M55" s="20" t="s">
        <v>415</v>
      </c>
      <c r="N55" s="20" t="s">
        <v>24</v>
      </c>
      <c r="O55" s="20">
        <v>2</v>
      </c>
      <c r="P55" s="20">
        <v>4</v>
      </c>
      <c r="Q55" s="13">
        <v>0.71599999999999997</v>
      </c>
      <c r="R55" s="20" t="s">
        <v>249</v>
      </c>
      <c r="S55" s="20">
        <v>0.78</v>
      </c>
      <c r="T55" s="20" t="s">
        <v>249</v>
      </c>
      <c r="U55" s="20" t="s">
        <v>60</v>
      </c>
      <c r="V55" s="20"/>
      <c r="W55" s="20"/>
      <c r="X55" s="20" t="s">
        <v>379</v>
      </c>
      <c r="Y55" s="20" t="s">
        <v>292</v>
      </c>
      <c r="Z55" s="20" t="s">
        <v>371</v>
      </c>
      <c r="AA55" s="20" t="s">
        <v>380</v>
      </c>
    </row>
    <row r="56" spans="1:27" x14ac:dyDescent="0.2">
      <c r="A56" s="20" t="s">
        <v>223</v>
      </c>
      <c r="B56" s="20" t="s">
        <v>324</v>
      </c>
      <c r="C56" s="20" t="s">
        <v>11</v>
      </c>
      <c r="D56" s="20" t="s">
        <v>29</v>
      </c>
      <c r="E56" s="20" t="s">
        <v>375</v>
      </c>
      <c r="F56" s="20" t="s">
        <v>11</v>
      </c>
      <c r="G56" s="20">
        <v>5</v>
      </c>
      <c r="H56" s="20">
        <v>4</v>
      </c>
      <c r="I56" s="13">
        <v>0.50600000000000001</v>
      </c>
      <c r="J56" s="20" t="s">
        <v>249</v>
      </c>
      <c r="K56" s="18">
        <v>0.22700000000000001</v>
      </c>
      <c r="L56" s="20" t="s">
        <v>249</v>
      </c>
      <c r="M56" s="20" t="s">
        <v>416</v>
      </c>
      <c r="N56" s="20" t="s">
        <v>11</v>
      </c>
      <c r="O56" s="20">
        <v>4</v>
      </c>
      <c r="P56" s="20">
        <v>2</v>
      </c>
      <c r="Q56" s="13">
        <v>0.59099999999999997</v>
      </c>
      <c r="R56" s="20" t="s">
        <v>249</v>
      </c>
      <c r="S56" s="20">
        <v>-0.98</v>
      </c>
      <c r="T56" s="20" t="s">
        <v>249</v>
      </c>
      <c r="U56" s="20" t="s">
        <v>60</v>
      </c>
      <c r="V56" s="20"/>
      <c r="W56" s="20"/>
      <c r="X56" s="20" t="s">
        <v>379</v>
      </c>
      <c r="Y56" s="20" t="s">
        <v>292</v>
      </c>
      <c r="Z56" s="20" t="s">
        <v>371</v>
      </c>
      <c r="AA56" s="20" t="s">
        <v>380</v>
      </c>
    </row>
    <row r="57" spans="1:27" x14ac:dyDescent="0.2">
      <c r="A57" s="20" t="s">
        <v>223</v>
      </c>
      <c r="B57" s="20" t="s">
        <v>328</v>
      </c>
      <c r="C57" s="20" t="s">
        <v>35</v>
      </c>
      <c r="D57" s="20" t="s">
        <v>15</v>
      </c>
      <c r="E57" s="20" t="s">
        <v>376</v>
      </c>
      <c r="F57" s="20" t="s">
        <v>15</v>
      </c>
      <c r="G57" s="20">
        <v>3</v>
      </c>
      <c r="H57" s="20">
        <v>4</v>
      </c>
      <c r="I57" s="13">
        <v>0.63800000000000001</v>
      </c>
      <c r="J57" s="20" t="s">
        <v>249</v>
      </c>
      <c r="K57" s="18">
        <v>0.35499999999999998</v>
      </c>
      <c r="L57" s="20" t="s">
        <v>249</v>
      </c>
      <c r="M57" s="20" t="s">
        <v>417</v>
      </c>
      <c r="N57" s="20" t="s">
        <v>15</v>
      </c>
      <c r="O57" s="20">
        <v>2</v>
      </c>
      <c r="P57" s="20">
        <v>4</v>
      </c>
      <c r="Q57" s="13">
        <v>0.7</v>
      </c>
      <c r="R57" s="20" t="s">
        <v>249</v>
      </c>
      <c r="S57" s="20">
        <v>1.2</v>
      </c>
      <c r="T57" s="20" t="s">
        <v>249</v>
      </c>
      <c r="U57" s="20" t="s">
        <v>60</v>
      </c>
      <c r="V57" s="20"/>
      <c r="W57" s="20"/>
      <c r="X57" s="20" t="s">
        <v>379</v>
      </c>
      <c r="Y57" s="20" t="s">
        <v>292</v>
      </c>
      <c r="Z57" s="20" t="s">
        <v>371</v>
      </c>
      <c r="AA57" s="20" t="s">
        <v>380</v>
      </c>
    </row>
    <row r="58" spans="1:27" x14ac:dyDescent="0.2">
      <c r="A58" s="20" t="s">
        <v>223</v>
      </c>
      <c r="B58" s="20" t="s">
        <v>328</v>
      </c>
      <c r="C58" s="20" t="s">
        <v>27</v>
      </c>
      <c r="D58" s="20" t="s">
        <v>37</v>
      </c>
      <c r="E58" s="20" t="s">
        <v>377</v>
      </c>
      <c r="F58" s="20" t="s">
        <v>37</v>
      </c>
      <c r="G58" s="20">
        <v>2</v>
      </c>
      <c r="H58" s="20">
        <v>3</v>
      </c>
      <c r="I58" s="13">
        <v>0.71899999999999997</v>
      </c>
      <c r="J58" s="20" t="s">
        <v>248</v>
      </c>
      <c r="K58" s="18">
        <v>0.501</v>
      </c>
      <c r="L58" s="20" t="s">
        <v>249</v>
      </c>
      <c r="M58" s="20" t="s">
        <v>418</v>
      </c>
      <c r="N58" s="20" t="s">
        <v>37</v>
      </c>
      <c r="O58" s="20">
        <v>2</v>
      </c>
      <c r="P58" s="20">
        <v>4</v>
      </c>
      <c r="Q58" s="13">
        <v>0.627</v>
      </c>
      <c r="R58" s="20" t="s">
        <v>249</v>
      </c>
      <c r="S58" s="20">
        <v>0.63</v>
      </c>
      <c r="T58" s="20" t="s">
        <v>249</v>
      </c>
      <c r="U58" s="20" t="s">
        <v>60</v>
      </c>
      <c r="V58" s="20"/>
      <c r="W58" s="20"/>
      <c r="X58" s="20" t="s">
        <v>379</v>
      </c>
      <c r="Y58" s="20" t="s">
        <v>292</v>
      </c>
      <c r="Z58" s="20" t="s">
        <v>371</v>
      </c>
      <c r="AA58" s="20" t="s">
        <v>380</v>
      </c>
    </row>
    <row r="59" spans="1:27" x14ac:dyDescent="0.2">
      <c r="A59" s="20" t="s">
        <v>223</v>
      </c>
      <c r="B59" s="20" t="s">
        <v>326</v>
      </c>
      <c r="C59" s="20" t="s">
        <v>20</v>
      </c>
      <c r="D59" s="20" t="s">
        <v>55</v>
      </c>
      <c r="E59" s="20" t="s">
        <v>337</v>
      </c>
      <c r="F59" s="20" t="s">
        <v>55</v>
      </c>
      <c r="G59" s="20">
        <v>3</v>
      </c>
      <c r="H59" s="20">
        <v>4</v>
      </c>
      <c r="I59" s="13">
        <v>0.754</v>
      </c>
      <c r="J59" s="20" t="s">
        <v>249</v>
      </c>
      <c r="K59" s="18">
        <v>0.438</v>
      </c>
      <c r="L59" s="20" t="s">
        <v>249</v>
      </c>
      <c r="M59" s="20" t="s">
        <v>419</v>
      </c>
      <c r="N59" s="20" t="s">
        <v>20</v>
      </c>
      <c r="O59" s="20">
        <v>3</v>
      </c>
      <c r="P59" s="20">
        <v>2</v>
      </c>
      <c r="Q59" s="13">
        <v>0.46800000000000003</v>
      </c>
      <c r="R59" s="20" t="s">
        <v>248</v>
      </c>
      <c r="S59" s="20">
        <v>-0.28999999999999998</v>
      </c>
      <c r="T59" s="20" t="s">
        <v>249</v>
      </c>
      <c r="U59" s="20" t="s">
        <v>60</v>
      </c>
      <c r="V59" s="20"/>
      <c r="W59" s="20"/>
      <c r="X59" s="20" t="s">
        <v>379</v>
      </c>
      <c r="Y59" s="20" t="s">
        <v>292</v>
      </c>
      <c r="Z59" s="20" t="s">
        <v>371</v>
      </c>
      <c r="AA59" s="20" t="s">
        <v>380</v>
      </c>
    </row>
    <row r="60" spans="1:27" x14ac:dyDescent="0.2">
      <c r="A60" s="20" t="s">
        <v>223</v>
      </c>
      <c r="B60" s="20" t="s">
        <v>328</v>
      </c>
      <c r="C60" s="20" t="s">
        <v>28</v>
      </c>
      <c r="D60" s="20" t="s">
        <v>22</v>
      </c>
      <c r="E60" s="20" t="s">
        <v>378</v>
      </c>
      <c r="F60" s="20" t="s">
        <v>22</v>
      </c>
      <c r="G60" s="20">
        <v>3</v>
      </c>
      <c r="H60" s="20">
        <v>4</v>
      </c>
      <c r="I60" s="13">
        <v>0.59399999999999997</v>
      </c>
      <c r="J60" s="20" t="s">
        <v>249</v>
      </c>
      <c r="K60" s="18">
        <v>0.48699999999999999</v>
      </c>
      <c r="L60" s="20" t="s">
        <v>249</v>
      </c>
      <c r="M60" s="20" t="s">
        <v>420</v>
      </c>
      <c r="N60" s="20" t="s">
        <v>22</v>
      </c>
      <c r="O60" s="20">
        <v>2</v>
      </c>
      <c r="P60" s="20">
        <v>4</v>
      </c>
      <c r="Q60" s="13">
        <v>0.64500000000000002</v>
      </c>
      <c r="R60" s="20" t="s">
        <v>249</v>
      </c>
      <c r="S60" s="20">
        <v>0.8</v>
      </c>
      <c r="T60" s="20" t="s">
        <v>249</v>
      </c>
      <c r="U60" s="20" t="s">
        <v>60</v>
      </c>
      <c r="V60" s="20"/>
      <c r="W60" s="20"/>
      <c r="X60" s="20" t="s">
        <v>379</v>
      </c>
      <c r="Y60" s="20" t="s">
        <v>292</v>
      </c>
      <c r="Z60" s="20" t="s">
        <v>371</v>
      </c>
      <c r="AA60" s="20" t="s">
        <v>380</v>
      </c>
    </row>
    <row r="61" spans="1:27" x14ac:dyDescent="0.2">
      <c r="A61" s="20" t="s">
        <v>225</v>
      </c>
      <c r="B61" s="20" t="s">
        <v>322</v>
      </c>
      <c r="C61" s="20" t="s">
        <v>38</v>
      </c>
      <c r="D61" s="20" t="s">
        <v>31</v>
      </c>
      <c r="E61" s="20" t="s">
        <v>422</v>
      </c>
      <c r="F61" s="20" t="s">
        <v>31</v>
      </c>
      <c r="G61" s="20">
        <v>3</v>
      </c>
      <c r="H61" s="20">
        <v>5</v>
      </c>
      <c r="I61" s="13">
        <v>0.73499999999999999</v>
      </c>
      <c r="J61" s="20" t="s">
        <v>249</v>
      </c>
      <c r="K61" s="18">
        <v>0.44500000000000001</v>
      </c>
      <c r="L61" s="20" t="s">
        <v>60</v>
      </c>
      <c r="M61" s="20" t="s">
        <v>60</v>
      </c>
      <c r="N61" s="20" t="s">
        <v>31</v>
      </c>
      <c r="O61" s="20">
        <v>2</v>
      </c>
      <c r="P61" s="20">
        <v>5</v>
      </c>
      <c r="Q61" s="13">
        <v>0.84299999999999997</v>
      </c>
      <c r="R61" s="20" t="s">
        <v>249</v>
      </c>
      <c r="S61" s="20">
        <v>1.64</v>
      </c>
      <c r="T61" s="20" t="s">
        <v>60</v>
      </c>
      <c r="U61" s="20" t="s">
        <v>60</v>
      </c>
      <c r="V61" s="20"/>
      <c r="W61" s="20"/>
      <c r="X61" s="20" t="s">
        <v>60</v>
      </c>
      <c r="Y61" s="20" t="s">
        <v>421</v>
      </c>
      <c r="Z61" s="20" t="s">
        <v>439</v>
      </c>
      <c r="AA61" s="20" t="s">
        <v>60</v>
      </c>
    </row>
    <row r="62" spans="1:27" x14ac:dyDescent="0.2">
      <c r="A62" s="20" t="s">
        <v>225</v>
      </c>
      <c r="B62" s="20" t="s">
        <v>328</v>
      </c>
      <c r="C62" s="20" t="s">
        <v>15</v>
      </c>
      <c r="D62" s="20" t="s">
        <v>25</v>
      </c>
      <c r="E62" s="20" t="s">
        <v>423</v>
      </c>
      <c r="F62" s="20" t="s">
        <v>15</v>
      </c>
      <c r="G62" s="20">
        <v>5</v>
      </c>
      <c r="H62" s="20">
        <v>4</v>
      </c>
      <c r="I62" s="13">
        <v>0.54400000000000004</v>
      </c>
      <c r="J62" s="20" t="s">
        <v>249</v>
      </c>
      <c r="K62" s="18">
        <v>0.38300000000000001</v>
      </c>
      <c r="L62" s="20" t="s">
        <v>60</v>
      </c>
      <c r="M62" s="20" t="s">
        <v>60</v>
      </c>
      <c r="N62" s="20" t="s">
        <v>25</v>
      </c>
      <c r="O62" s="20">
        <v>2</v>
      </c>
      <c r="P62" s="20">
        <v>4</v>
      </c>
      <c r="Q62" s="13">
        <v>0.66</v>
      </c>
      <c r="R62" s="20" t="s">
        <v>249</v>
      </c>
      <c r="S62" s="20">
        <v>1.0900000000000001</v>
      </c>
      <c r="T62" s="20" t="s">
        <v>60</v>
      </c>
      <c r="U62" s="20" t="s">
        <v>60</v>
      </c>
      <c r="V62" s="20"/>
      <c r="W62" s="20"/>
      <c r="X62" s="20" t="s">
        <v>60</v>
      </c>
      <c r="Y62" s="20" t="s">
        <v>421</v>
      </c>
      <c r="Z62" s="20" t="s">
        <v>439</v>
      </c>
      <c r="AA62" s="20" t="s">
        <v>60</v>
      </c>
    </row>
    <row r="63" spans="1:27" x14ac:dyDescent="0.2">
      <c r="A63" s="20" t="s">
        <v>225</v>
      </c>
      <c r="B63" s="20" t="s">
        <v>328</v>
      </c>
      <c r="C63" s="20" t="s">
        <v>19</v>
      </c>
      <c r="D63" s="20" t="s">
        <v>28</v>
      </c>
      <c r="E63" s="20" t="s">
        <v>424</v>
      </c>
      <c r="F63" s="20" t="s">
        <v>28</v>
      </c>
      <c r="G63" s="20">
        <v>4</v>
      </c>
      <c r="H63" s="20">
        <v>5</v>
      </c>
      <c r="I63" s="13">
        <v>0.81299999999999994</v>
      </c>
      <c r="J63" s="20" t="s">
        <v>249</v>
      </c>
      <c r="K63" s="18">
        <v>0.442</v>
      </c>
      <c r="L63" s="20" t="s">
        <v>60</v>
      </c>
      <c r="M63" s="20" t="s">
        <v>60</v>
      </c>
      <c r="N63" s="20" t="s">
        <v>28</v>
      </c>
      <c r="O63" s="20">
        <v>2</v>
      </c>
      <c r="P63" s="20">
        <v>3</v>
      </c>
      <c r="Q63" s="13">
        <v>0.60199999999999998</v>
      </c>
      <c r="R63" s="20" t="s">
        <v>249</v>
      </c>
      <c r="S63" s="20">
        <v>0.4</v>
      </c>
      <c r="T63" s="20" t="s">
        <v>60</v>
      </c>
      <c r="U63" s="20" t="s">
        <v>60</v>
      </c>
      <c r="V63" s="20"/>
      <c r="W63" s="20"/>
      <c r="X63" s="20" t="s">
        <v>60</v>
      </c>
      <c r="Y63" s="20" t="s">
        <v>421</v>
      </c>
      <c r="Z63" s="20" t="s">
        <v>439</v>
      </c>
      <c r="AA63" s="20" t="s">
        <v>60</v>
      </c>
    </row>
    <row r="64" spans="1:27" x14ac:dyDescent="0.2">
      <c r="A64" s="20" t="s">
        <v>225</v>
      </c>
      <c r="B64" s="20" t="s">
        <v>425</v>
      </c>
      <c r="C64" s="20" t="s">
        <v>34</v>
      </c>
      <c r="D64" s="20" t="s">
        <v>10</v>
      </c>
      <c r="E64" s="20" t="s">
        <v>426</v>
      </c>
      <c r="F64" s="20" t="s">
        <v>34</v>
      </c>
      <c r="G64" s="20">
        <v>4</v>
      </c>
      <c r="H64" s="20">
        <v>3</v>
      </c>
      <c r="I64" s="13">
        <v>0.57699999999999996</v>
      </c>
      <c r="J64" s="20" t="s">
        <v>249</v>
      </c>
      <c r="K64" s="18">
        <v>0.313</v>
      </c>
      <c r="L64" s="20" t="s">
        <v>60</v>
      </c>
      <c r="M64" s="20" t="s">
        <v>60</v>
      </c>
      <c r="N64" s="20" t="s">
        <v>10</v>
      </c>
      <c r="O64" s="20">
        <v>2</v>
      </c>
      <c r="P64" s="20">
        <v>3</v>
      </c>
      <c r="Q64" s="13">
        <v>0.54800000000000004</v>
      </c>
      <c r="R64" s="20" t="s">
        <v>248</v>
      </c>
      <c r="S64" s="20">
        <v>0.2</v>
      </c>
      <c r="T64" s="20" t="s">
        <v>60</v>
      </c>
      <c r="U64" s="20" t="s">
        <v>60</v>
      </c>
      <c r="V64" s="20"/>
      <c r="W64" s="20"/>
      <c r="X64" s="20" t="s">
        <v>60</v>
      </c>
      <c r="Y64" s="20" t="s">
        <v>421</v>
      </c>
      <c r="Z64" s="20" t="s">
        <v>439</v>
      </c>
      <c r="AA64" s="20" t="s">
        <v>60</v>
      </c>
    </row>
    <row r="65" spans="1:27" x14ac:dyDescent="0.2">
      <c r="A65" s="20" t="s">
        <v>225</v>
      </c>
      <c r="B65" s="20" t="s">
        <v>326</v>
      </c>
      <c r="C65" s="20" t="s">
        <v>33</v>
      </c>
      <c r="D65" s="20" t="s">
        <v>12</v>
      </c>
      <c r="E65" s="20" t="s">
        <v>427</v>
      </c>
      <c r="F65" s="20" t="s">
        <v>12</v>
      </c>
      <c r="G65" s="20">
        <v>2</v>
      </c>
      <c r="H65" s="20">
        <v>4</v>
      </c>
      <c r="I65" s="13">
        <v>0.84299999999999997</v>
      </c>
      <c r="J65" s="20" t="s">
        <v>249</v>
      </c>
      <c r="K65" s="18">
        <v>0.34399999999999997</v>
      </c>
      <c r="L65" s="20" t="s">
        <v>60</v>
      </c>
      <c r="M65" s="20" t="s">
        <v>60</v>
      </c>
      <c r="N65" s="20" t="s">
        <v>12</v>
      </c>
      <c r="O65" s="20">
        <v>2</v>
      </c>
      <c r="P65" s="20">
        <v>5</v>
      </c>
      <c r="Q65" s="13">
        <v>0.90800000000000003</v>
      </c>
      <c r="R65" s="20" t="s">
        <v>249</v>
      </c>
      <c r="S65" s="20">
        <v>1.97</v>
      </c>
      <c r="T65" s="20" t="s">
        <v>60</v>
      </c>
      <c r="U65" s="20" t="s">
        <v>60</v>
      </c>
      <c r="V65" s="20"/>
      <c r="W65" s="20"/>
      <c r="X65" s="20" t="s">
        <v>60</v>
      </c>
      <c r="Y65" s="20" t="s">
        <v>421</v>
      </c>
      <c r="Z65" s="20" t="s">
        <v>439</v>
      </c>
      <c r="AA65" s="20" t="s">
        <v>60</v>
      </c>
    </row>
    <row r="66" spans="1:27" x14ac:dyDescent="0.2">
      <c r="A66" s="20" t="s">
        <v>225</v>
      </c>
      <c r="B66" s="20" t="s">
        <v>328</v>
      </c>
      <c r="C66" s="20" t="s">
        <v>29</v>
      </c>
      <c r="D66" s="20" t="s">
        <v>26</v>
      </c>
      <c r="E66" s="20" t="s">
        <v>428</v>
      </c>
      <c r="F66" s="20" t="s">
        <v>26</v>
      </c>
      <c r="G66" s="20">
        <v>3</v>
      </c>
      <c r="H66" s="20">
        <v>4</v>
      </c>
      <c r="I66" s="13">
        <v>0.89500000000000002</v>
      </c>
      <c r="J66" s="20" t="s">
        <v>249</v>
      </c>
      <c r="K66" s="18">
        <v>0.44</v>
      </c>
      <c r="L66" s="20" t="s">
        <v>60</v>
      </c>
      <c r="M66" s="20" t="s">
        <v>60</v>
      </c>
      <c r="N66" s="20" t="s">
        <v>26</v>
      </c>
      <c r="O66" s="20">
        <v>2</v>
      </c>
      <c r="P66" s="20">
        <v>4</v>
      </c>
      <c r="Q66" s="13">
        <v>0.73499999999999999</v>
      </c>
      <c r="R66" s="20" t="s">
        <v>249</v>
      </c>
      <c r="S66" s="20">
        <v>1.17</v>
      </c>
      <c r="T66" s="20" t="s">
        <v>60</v>
      </c>
      <c r="U66" s="20" t="s">
        <v>60</v>
      </c>
      <c r="V66" s="20"/>
      <c r="W66" s="20"/>
      <c r="X66" s="20" t="s">
        <v>60</v>
      </c>
      <c r="Y66" s="20" t="s">
        <v>421</v>
      </c>
      <c r="Z66" s="20" t="s">
        <v>439</v>
      </c>
      <c r="AA66" s="20" t="s">
        <v>60</v>
      </c>
    </row>
    <row r="67" spans="1:27" x14ac:dyDescent="0.2">
      <c r="A67" s="20" t="s">
        <v>225</v>
      </c>
      <c r="B67" s="20" t="s">
        <v>328</v>
      </c>
      <c r="C67" s="20" t="s">
        <v>27</v>
      </c>
      <c r="D67" s="20" t="s">
        <v>11</v>
      </c>
      <c r="E67" s="20" t="s">
        <v>429</v>
      </c>
      <c r="F67" s="20" t="s">
        <v>11</v>
      </c>
      <c r="G67" s="20">
        <v>3</v>
      </c>
      <c r="H67" s="20">
        <v>4</v>
      </c>
      <c r="I67" s="13">
        <v>0.78400000000000003</v>
      </c>
      <c r="J67" s="20" t="s">
        <v>248</v>
      </c>
      <c r="K67" s="18">
        <v>0.67900000000000005</v>
      </c>
      <c r="L67" s="20" t="s">
        <v>60</v>
      </c>
      <c r="M67" s="20" t="s">
        <v>60</v>
      </c>
      <c r="N67" s="20" t="s">
        <v>11</v>
      </c>
      <c r="O67" s="20">
        <v>2</v>
      </c>
      <c r="P67" s="20">
        <v>3</v>
      </c>
      <c r="Q67" s="13">
        <v>0.66</v>
      </c>
      <c r="R67" s="20" t="s">
        <v>249</v>
      </c>
      <c r="S67" s="20">
        <v>0.49</v>
      </c>
      <c r="T67" s="20" t="s">
        <v>60</v>
      </c>
      <c r="U67" s="20" t="s">
        <v>60</v>
      </c>
      <c r="V67" s="20"/>
      <c r="W67" s="20"/>
      <c r="X67" s="20" t="s">
        <v>60</v>
      </c>
      <c r="Y67" s="20" t="s">
        <v>421</v>
      </c>
      <c r="Z67" s="20" t="s">
        <v>439</v>
      </c>
      <c r="AA67" s="20" t="s">
        <v>60</v>
      </c>
    </row>
    <row r="68" spans="1:27" x14ac:dyDescent="0.2">
      <c r="A68" s="20" t="s">
        <v>225</v>
      </c>
      <c r="B68" s="20" t="s">
        <v>328</v>
      </c>
      <c r="C68" s="20" t="s">
        <v>35</v>
      </c>
      <c r="D68" s="20" t="s">
        <v>24</v>
      </c>
      <c r="E68" s="20" t="s">
        <v>430</v>
      </c>
      <c r="F68" s="20" t="s">
        <v>24</v>
      </c>
      <c r="G68" s="20">
        <v>3</v>
      </c>
      <c r="H68" s="20">
        <v>4</v>
      </c>
      <c r="I68" s="13">
        <v>0.872</v>
      </c>
      <c r="J68" s="20" t="s">
        <v>249</v>
      </c>
      <c r="K68" s="18">
        <v>0.25900000000000001</v>
      </c>
      <c r="L68" s="20" t="s">
        <v>60</v>
      </c>
      <c r="M68" s="20" t="s">
        <v>60</v>
      </c>
      <c r="N68" s="20" t="s">
        <v>24</v>
      </c>
      <c r="O68" s="20">
        <v>2</v>
      </c>
      <c r="P68" s="20">
        <v>5</v>
      </c>
      <c r="Q68" s="13">
        <v>0.90100000000000002</v>
      </c>
      <c r="R68" s="20" t="s">
        <v>249</v>
      </c>
      <c r="S68" s="20">
        <v>1.74</v>
      </c>
      <c r="T68" s="20" t="s">
        <v>60</v>
      </c>
      <c r="U68" s="20" t="s">
        <v>60</v>
      </c>
      <c r="V68" s="20"/>
      <c r="W68" s="20"/>
      <c r="X68" s="20" t="s">
        <v>60</v>
      </c>
      <c r="Y68" s="20" t="s">
        <v>421</v>
      </c>
      <c r="Z68" s="20" t="s">
        <v>439</v>
      </c>
      <c r="AA68" s="20" t="s">
        <v>60</v>
      </c>
    </row>
    <row r="69" spans="1:27" x14ac:dyDescent="0.2">
      <c r="A69" s="20" t="s">
        <v>225</v>
      </c>
      <c r="B69" s="20" t="s">
        <v>328</v>
      </c>
      <c r="C69" s="20" t="s">
        <v>21</v>
      </c>
      <c r="D69" s="20" t="s">
        <v>30</v>
      </c>
      <c r="E69" s="20" t="s">
        <v>431</v>
      </c>
      <c r="F69" s="20" t="s">
        <v>30</v>
      </c>
      <c r="G69" s="20">
        <v>2</v>
      </c>
      <c r="H69" s="20">
        <v>5</v>
      </c>
      <c r="I69" s="13">
        <v>0.85799999999999998</v>
      </c>
      <c r="J69" s="20" t="s">
        <v>249</v>
      </c>
      <c r="K69" s="18">
        <v>0.38900000000000001</v>
      </c>
      <c r="L69" s="20" t="s">
        <v>60</v>
      </c>
      <c r="M69" s="20" t="s">
        <v>60</v>
      </c>
      <c r="N69" s="20" t="s">
        <v>30</v>
      </c>
      <c r="O69" s="20">
        <v>2</v>
      </c>
      <c r="P69" s="20">
        <v>3</v>
      </c>
      <c r="Q69" s="13">
        <v>0.57999999999999996</v>
      </c>
      <c r="R69" s="20" t="s">
        <v>248</v>
      </c>
      <c r="S69" s="20">
        <v>0.28999999999999998</v>
      </c>
      <c r="T69" s="20" t="s">
        <v>60</v>
      </c>
      <c r="U69" s="20" t="s">
        <v>60</v>
      </c>
      <c r="V69" s="20"/>
      <c r="W69" s="20"/>
      <c r="X69" s="20" t="s">
        <v>60</v>
      </c>
      <c r="Y69" s="20" t="s">
        <v>421</v>
      </c>
      <c r="Z69" s="20" t="s">
        <v>439</v>
      </c>
      <c r="AA69" s="20" t="s">
        <v>60</v>
      </c>
    </row>
    <row r="70" spans="1:27" x14ac:dyDescent="0.2">
      <c r="A70" s="20" t="s">
        <v>225</v>
      </c>
      <c r="B70" s="20" t="s">
        <v>328</v>
      </c>
      <c r="C70" s="20" t="s">
        <v>23</v>
      </c>
      <c r="D70" s="20" t="s">
        <v>14</v>
      </c>
      <c r="E70" s="20" t="s">
        <v>432</v>
      </c>
      <c r="F70" s="20" t="s">
        <v>14</v>
      </c>
      <c r="G70" s="20">
        <v>3</v>
      </c>
      <c r="H70" s="20">
        <v>4</v>
      </c>
      <c r="I70" s="13">
        <v>0.76300000000000001</v>
      </c>
      <c r="J70" s="20" t="s">
        <v>249</v>
      </c>
      <c r="K70" s="18">
        <v>0.495</v>
      </c>
      <c r="L70" s="20" t="s">
        <v>60</v>
      </c>
      <c r="M70" s="20" t="s">
        <v>60</v>
      </c>
      <c r="N70" s="20" t="s">
        <v>14</v>
      </c>
      <c r="O70" s="20">
        <v>2</v>
      </c>
      <c r="P70" s="20">
        <v>3</v>
      </c>
      <c r="Q70" s="13">
        <v>0.60099999999999998</v>
      </c>
      <c r="R70" s="20" t="s">
        <v>249</v>
      </c>
      <c r="S70" s="20">
        <v>0.44</v>
      </c>
      <c r="T70" s="20" t="s">
        <v>60</v>
      </c>
      <c r="U70" s="20" t="s">
        <v>60</v>
      </c>
      <c r="V70" s="20"/>
      <c r="W70" s="20"/>
      <c r="X70" s="20" t="s">
        <v>60</v>
      </c>
      <c r="Y70" s="20" t="s">
        <v>421</v>
      </c>
      <c r="Z70" s="20" t="s">
        <v>439</v>
      </c>
      <c r="AA70" s="20" t="s">
        <v>60</v>
      </c>
    </row>
    <row r="71" spans="1:27" x14ac:dyDescent="0.2">
      <c r="A71" s="20" t="s">
        <v>225</v>
      </c>
      <c r="B71" s="20" t="s">
        <v>322</v>
      </c>
      <c r="C71" s="20" t="s">
        <v>39</v>
      </c>
      <c r="D71" s="20" t="s">
        <v>32</v>
      </c>
      <c r="E71" s="20" t="s">
        <v>433</v>
      </c>
      <c r="F71" s="20" t="s">
        <v>32</v>
      </c>
      <c r="G71" s="20">
        <v>4</v>
      </c>
      <c r="H71" s="20">
        <v>5</v>
      </c>
      <c r="I71" s="13">
        <v>0.60299999999999998</v>
      </c>
      <c r="J71" s="20" t="s">
        <v>249</v>
      </c>
      <c r="K71" s="18">
        <v>0.44900000000000001</v>
      </c>
      <c r="L71" s="20" t="s">
        <v>60</v>
      </c>
      <c r="M71" s="20" t="s">
        <v>60</v>
      </c>
      <c r="N71" s="20" t="s">
        <v>39</v>
      </c>
      <c r="O71" s="20">
        <v>3</v>
      </c>
      <c r="P71" s="20">
        <v>2</v>
      </c>
      <c r="Q71" s="13">
        <v>0.56799999999999995</v>
      </c>
      <c r="R71" s="20" t="s">
        <v>249</v>
      </c>
      <c r="S71" s="20">
        <v>-0.3</v>
      </c>
      <c r="T71" s="20" t="s">
        <v>60</v>
      </c>
      <c r="U71" s="20" t="s">
        <v>60</v>
      </c>
      <c r="V71" s="20"/>
      <c r="W71" s="20"/>
      <c r="X71" s="20" t="s">
        <v>60</v>
      </c>
      <c r="Y71" s="20" t="s">
        <v>421</v>
      </c>
      <c r="Z71" s="20" t="s">
        <v>439</v>
      </c>
      <c r="AA71" s="20" t="s">
        <v>60</v>
      </c>
    </row>
    <row r="72" spans="1:27" x14ac:dyDescent="0.2">
      <c r="A72" s="20" t="s">
        <v>225</v>
      </c>
      <c r="B72" s="20" t="s">
        <v>328</v>
      </c>
      <c r="C72" s="20" t="s">
        <v>16</v>
      </c>
      <c r="D72" s="20" t="s">
        <v>37</v>
      </c>
      <c r="E72" s="20" t="s">
        <v>434</v>
      </c>
      <c r="F72" s="20" t="s">
        <v>37</v>
      </c>
      <c r="G72" s="20">
        <v>2</v>
      </c>
      <c r="H72" s="20">
        <v>3</v>
      </c>
      <c r="I72" s="13">
        <v>0.86699999999999999</v>
      </c>
      <c r="J72" s="20" t="s">
        <v>248</v>
      </c>
      <c r="K72" s="18">
        <v>0.72199999999999998</v>
      </c>
      <c r="L72" s="20" t="s">
        <v>60</v>
      </c>
      <c r="M72" s="20" t="s">
        <v>60</v>
      </c>
      <c r="N72" s="20" t="s">
        <v>37</v>
      </c>
      <c r="O72" s="20">
        <v>2</v>
      </c>
      <c r="P72" s="20">
        <v>4</v>
      </c>
      <c r="Q72" s="13">
        <v>0.76200000000000001</v>
      </c>
      <c r="R72" s="20" t="s">
        <v>249</v>
      </c>
      <c r="S72" s="20">
        <v>1.46</v>
      </c>
      <c r="T72" s="20" t="s">
        <v>60</v>
      </c>
      <c r="U72" s="20" t="s">
        <v>60</v>
      </c>
      <c r="V72" s="20"/>
      <c r="W72" s="20"/>
      <c r="X72" s="20" t="s">
        <v>60</v>
      </c>
      <c r="Y72" s="20" t="s">
        <v>421</v>
      </c>
      <c r="Z72" s="20" t="s">
        <v>439</v>
      </c>
      <c r="AA72" s="20" t="s">
        <v>60</v>
      </c>
    </row>
    <row r="73" spans="1:27" x14ac:dyDescent="0.2">
      <c r="A73" s="20" t="s">
        <v>225</v>
      </c>
      <c r="B73" s="20" t="s">
        <v>435</v>
      </c>
      <c r="C73" s="20" t="s">
        <v>18</v>
      </c>
      <c r="D73" s="20" t="s">
        <v>55</v>
      </c>
      <c r="E73" s="20" t="s">
        <v>436</v>
      </c>
      <c r="F73" s="20" t="s">
        <v>55</v>
      </c>
      <c r="G73" s="20">
        <v>3</v>
      </c>
      <c r="H73" s="20">
        <v>4</v>
      </c>
      <c r="I73" s="13">
        <v>0.81100000000000005</v>
      </c>
      <c r="J73" s="20" t="s">
        <v>249</v>
      </c>
      <c r="K73" s="18">
        <v>0.45600000000000002</v>
      </c>
      <c r="L73" s="20" t="s">
        <v>60</v>
      </c>
      <c r="M73" s="20" t="s">
        <v>60</v>
      </c>
      <c r="N73" s="20" t="s">
        <v>55</v>
      </c>
      <c r="O73" s="20">
        <v>2</v>
      </c>
      <c r="P73" s="20">
        <v>4</v>
      </c>
      <c r="Q73" s="13">
        <v>0.66600000000000004</v>
      </c>
      <c r="R73" s="20" t="s">
        <v>249</v>
      </c>
      <c r="S73" s="20">
        <v>0.78</v>
      </c>
      <c r="T73" s="20" t="s">
        <v>60</v>
      </c>
      <c r="U73" s="20" t="s">
        <v>60</v>
      </c>
      <c r="V73" s="20"/>
      <c r="W73" s="20"/>
      <c r="X73" s="20" t="s">
        <v>60</v>
      </c>
      <c r="Y73" s="20" t="s">
        <v>421</v>
      </c>
      <c r="Z73" s="20" t="s">
        <v>439</v>
      </c>
      <c r="AA73" s="20" t="s">
        <v>60</v>
      </c>
    </row>
    <row r="74" spans="1:27" x14ac:dyDescent="0.2">
      <c r="A74" s="20" t="s">
        <v>225</v>
      </c>
      <c r="B74" s="20" t="s">
        <v>322</v>
      </c>
      <c r="C74" s="20" t="s">
        <v>36</v>
      </c>
      <c r="D74" s="20" t="s">
        <v>20</v>
      </c>
      <c r="E74" s="20" t="s">
        <v>437</v>
      </c>
      <c r="F74" s="20" t="s">
        <v>36</v>
      </c>
      <c r="G74" s="20">
        <v>4</v>
      </c>
      <c r="H74" s="20">
        <v>2</v>
      </c>
      <c r="I74" s="13">
        <v>0.64300000000000002</v>
      </c>
      <c r="J74" s="20" t="s">
        <v>249</v>
      </c>
      <c r="K74" s="18">
        <v>0.42599999999999999</v>
      </c>
      <c r="L74" s="20" t="s">
        <v>60</v>
      </c>
      <c r="M74" s="20" t="s">
        <v>60</v>
      </c>
      <c r="N74" s="20" t="s">
        <v>20</v>
      </c>
      <c r="O74" s="20">
        <v>2</v>
      </c>
      <c r="P74" s="20">
        <v>3</v>
      </c>
      <c r="Q74" s="13">
        <v>0.60499999999999998</v>
      </c>
      <c r="R74" s="20" t="s">
        <v>249</v>
      </c>
      <c r="S74" s="20">
        <v>0.47</v>
      </c>
      <c r="T74" s="20" t="s">
        <v>60</v>
      </c>
      <c r="U74" s="20" t="s">
        <v>60</v>
      </c>
      <c r="V74" s="20"/>
      <c r="W74" s="20"/>
      <c r="X74" s="20" t="s">
        <v>60</v>
      </c>
      <c r="Y74" s="20" t="s">
        <v>421</v>
      </c>
      <c r="Z74" s="20" t="s">
        <v>439</v>
      </c>
      <c r="AA74" s="20" t="s">
        <v>60</v>
      </c>
    </row>
    <row r="75" spans="1:27" x14ac:dyDescent="0.2">
      <c r="A75" s="20" t="s">
        <v>225</v>
      </c>
      <c r="B75" s="20" t="s">
        <v>328</v>
      </c>
      <c r="C75" s="20" t="s">
        <v>40</v>
      </c>
      <c r="D75" s="20" t="s">
        <v>22</v>
      </c>
      <c r="E75" s="20" t="s">
        <v>438</v>
      </c>
      <c r="F75" s="20" t="s">
        <v>22</v>
      </c>
      <c r="G75" s="20">
        <v>3</v>
      </c>
      <c r="H75" s="20">
        <v>4</v>
      </c>
      <c r="I75" s="13">
        <v>0.56299999999999994</v>
      </c>
      <c r="J75" s="20" t="s">
        <v>248</v>
      </c>
      <c r="K75" s="18">
        <v>0.53500000000000003</v>
      </c>
      <c r="L75" s="20" t="s">
        <v>60</v>
      </c>
      <c r="M75" s="20" t="s">
        <v>60</v>
      </c>
      <c r="N75" s="20" t="s">
        <v>22</v>
      </c>
      <c r="O75" s="20">
        <v>2</v>
      </c>
      <c r="P75" s="20">
        <v>3</v>
      </c>
      <c r="Q75" s="13">
        <v>0.53600000000000003</v>
      </c>
      <c r="R75" s="20" t="s">
        <v>249</v>
      </c>
      <c r="S75" s="20">
        <v>0.45</v>
      </c>
      <c r="T75" s="20" t="s">
        <v>60</v>
      </c>
      <c r="U75" s="20" t="s">
        <v>60</v>
      </c>
      <c r="V75" s="20"/>
      <c r="W75" s="20"/>
      <c r="X75" s="20" t="s">
        <v>60</v>
      </c>
      <c r="Y75" s="20" t="s">
        <v>421</v>
      </c>
      <c r="Z75" s="20" t="s">
        <v>439</v>
      </c>
      <c r="AA75" s="20" t="s">
        <v>60</v>
      </c>
    </row>
    <row r="76" spans="1:27" x14ac:dyDescent="0.2">
      <c r="A76" s="20" t="s">
        <v>226</v>
      </c>
      <c r="B76" s="20" t="s">
        <v>369</v>
      </c>
      <c r="C76" s="20" t="s">
        <v>13</v>
      </c>
      <c r="D76" s="20" t="s">
        <v>31</v>
      </c>
      <c r="E76" s="20" t="s">
        <v>440</v>
      </c>
      <c r="F76" s="20" t="s">
        <v>31</v>
      </c>
      <c r="G76" s="20">
        <v>3</v>
      </c>
      <c r="H76" s="20">
        <v>4</v>
      </c>
      <c r="I76" s="13">
        <v>0.748</v>
      </c>
      <c r="J76" s="20" t="s">
        <v>249</v>
      </c>
      <c r="K76" s="18">
        <v>0.36399999999999999</v>
      </c>
      <c r="L76" s="20" t="s">
        <v>248</v>
      </c>
      <c r="M76" s="20" t="s">
        <v>291</v>
      </c>
      <c r="N76" s="20" t="s">
        <v>31</v>
      </c>
      <c r="O76" s="20">
        <v>2</v>
      </c>
      <c r="P76" s="20">
        <v>4</v>
      </c>
      <c r="Q76" s="13">
        <v>0.61399999999999999</v>
      </c>
      <c r="R76" s="20" t="s">
        <v>249</v>
      </c>
      <c r="S76" s="20">
        <v>0.66</v>
      </c>
      <c r="T76" s="20" t="s">
        <v>248</v>
      </c>
      <c r="U76" s="20" t="s">
        <v>31</v>
      </c>
      <c r="V76" s="20"/>
      <c r="W76" s="20"/>
      <c r="X76" s="20" t="s">
        <v>60</v>
      </c>
      <c r="Y76" s="20" t="s">
        <v>292</v>
      </c>
      <c r="Z76" s="20" t="s">
        <v>441</v>
      </c>
      <c r="AA76" s="20" t="s">
        <v>457</v>
      </c>
    </row>
    <row r="77" spans="1:27" x14ac:dyDescent="0.2">
      <c r="A77" s="20" t="s">
        <v>226</v>
      </c>
      <c r="B77" s="20" t="s">
        <v>347</v>
      </c>
      <c r="C77" s="20" t="s">
        <v>15</v>
      </c>
      <c r="D77" s="20" t="s">
        <v>21</v>
      </c>
      <c r="E77" s="20" t="s">
        <v>442</v>
      </c>
      <c r="F77" s="20" t="s">
        <v>21</v>
      </c>
      <c r="G77" s="20">
        <v>2</v>
      </c>
      <c r="H77" s="20">
        <v>5</v>
      </c>
      <c r="I77" s="13">
        <v>0.66300000000000003</v>
      </c>
      <c r="J77" s="20" t="s">
        <v>249</v>
      </c>
      <c r="K77" s="18">
        <v>0.41599999999999998</v>
      </c>
      <c r="L77" s="20" t="s">
        <v>249</v>
      </c>
      <c r="M77" s="20" t="s">
        <v>458</v>
      </c>
      <c r="N77" s="20" t="s">
        <v>21</v>
      </c>
      <c r="O77" s="20">
        <v>2</v>
      </c>
      <c r="P77" s="20">
        <v>3</v>
      </c>
      <c r="Q77" s="13">
        <v>0.55900000000000005</v>
      </c>
      <c r="R77" s="20" t="s">
        <v>249</v>
      </c>
      <c r="S77" s="20">
        <v>0.46</v>
      </c>
      <c r="T77" s="20" t="s">
        <v>249</v>
      </c>
      <c r="U77" s="20" t="s">
        <v>15</v>
      </c>
      <c r="V77" s="20"/>
      <c r="W77" s="20"/>
      <c r="X77" s="20" t="s">
        <v>60</v>
      </c>
      <c r="Y77" s="20" t="s">
        <v>292</v>
      </c>
      <c r="Z77" s="20" t="s">
        <v>441</v>
      </c>
      <c r="AA77" s="20" t="s">
        <v>457</v>
      </c>
    </row>
    <row r="78" spans="1:27" x14ac:dyDescent="0.2">
      <c r="A78" s="20" t="s">
        <v>226</v>
      </c>
      <c r="B78" s="20" t="s">
        <v>369</v>
      </c>
      <c r="C78" s="20" t="s">
        <v>24</v>
      </c>
      <c r="D78" s="20" t="s">
        <v>23</v>
      </c>
      <c r="E78" s="20" t="s">
        <v>443</v>
      </c>
      <c r="F78" s="20" t="s">
        <v>24</v>
      </c>
      <c r="G78" s="20">
        <v>4</v>
      </c>
      <c r="H78" s="20">
        <v>3</v>
      </c>
      <c r="I78" s="13">
        <v>0.60199999999999998</v>
      </c>
      <c r="J78" s="20" t="s">
        <v>249</v>
      </c>
      <c r="K78" s="18">
        <v>0.48499999999999999</v>
      </c>
      <c r="L78" s="20" t="s">
        <v>248</v>
      </c>
      <c r="M78" s="20" t="s">
        <v>459</v>
      </c>
      <c r="N78" s="20" t="s">
        <v>24</v>
      </c>
      <c r="O78" s="20">
        <v>3</v>
      </c>
      <c r="P78" s="20">
        <v>2</v>
      </c>
      <c r="Q78" s="13">
        <v>0.501</v>
      </c>
      <c r="R78" s="20" t="s">
        <v>249</v>
      </c>
      <c r="S78" s="20">
        <v>-0.43</v>
      </c>
      <c r="T78" s="20" t="s">
        <v>248</v>
      </c>
      <c r="U78" s="20" t="s">
        <v>24</v>
      </c>
      <c r="V78" s="20"/>
      <c r="W78" s="20"/>
      <c r="X78" s="20" t="s">
        <v>60</v>
      </c>
      <c r="Y78" s="20" t="s">
        <v>292</v>
      </c>
      <c r="Z78" s="20" t="s">
        <v>441</v>
      </c>
      <c r="AA78" s="20" t="s">
        <v>457</v>
      </c>
    </row>
    <row r="79" spans="1:27" x14ac:dyDescent="0.2">
      <c r="A79" s="20" t="s">
        <v>226</v>
      </c>
      <c r="B79" s="20" t="s">
        <v>365</v>
      </c>
      <c r="C79" s="20" t="s">
        <v>40</v>
      </c>
      <c r="D79" s="20" t="s">
        <v>25</v>
      </c>
      <c r="E79" s="20" t="s">
        <v>444</v>
      </c>
      <c r="F79" s="20" t="s">
        <v>25</v>
      </c>
      <c r="G79" s="20">
        <v>3</v>
      </c>
      <c r="H79" s="20">
        <v>4</v>
      </c>
      <c r="I79" s="13">
        <v>0.64400000000000002</v>
      </c>
      <c r="J79" s="20" t="s">
        <v>248</v>
      </c>
      <c r="K79" s="18">
        <v>0.52600000000000002</v>
      </c>
      <c r="L79" s="20" t="s">
        <v>248</v>
      </c>
      <c r="M79" s="20" t="s">
        <v>460</v>
      </c>
      <c r="N79" s="20" t="s">
        <v>25</v>
      </c>
      <c r="O79" s="20">
        <v>2</v>
      </c>
      <c r="P79" s="20">
        <v>3</v>
      </c>
      <c r="Q79" s="13">
        <v>0.58699999999999997</v>
      </c>
      <c r="R79" s="20" t="s">
        <v>249</v>
      </c>
      <c r="S79" s="20">
        <v>0.5</v>
      </c>
      <c r="T79" s="20" t="s">
        <v>248</v>
      </c>
      <c r="U79" s="20" t="s">
        <v>25</v>
      </c>
      <c r="V79" s="20"/>
      <c r="W79" s="20"/>
      <c r="X79" s="20" t="s">
        <v>60</v>
      </c>
      <c r="Y79" s="20" t="s">
        <v>292</v>
      </c>
      <c r="Z79" s="20" t="s">
        <v>441</v>
      </c>
      <c r="AA79" s="20" t="s">
        <v>457</v>
      </c>
    </row>
    <row r="80" spans="1:27" x14ac:dyDescent="0.2">
      <c r="A80" s="20" t="s">
        <v>226</v>
      </c>
      <c r="B80" s="20" t="s">
        <v>328</v>
      </c>
      <c r="C80" s="20" t="s">
        <v>14</v>
      </c>
      <c r="D80" s="20" t="s">
        <v>28</v>
      </c>
      <c r="E80" s="20" t="s">
        <v>445</v>
      </c>
      <c r="F80" s="20" t="s">
        <v>14</v>
      </c>
      <c r="G80" s="20">
        <v>4</v>
      </c>
      <c r="H80" s="20">
        <v>3</v>
      </c>
      <c r="I80" s="13">
        <v>0.55700000000000005</v>
      </c>
      <c r="J80" s="20" t="s">
        <v>248</v>
      </c>
      <c r="K80" s="18">
        <v>0.51500000000000001</v>
      </c>
      <c r="L80" s="20" t="s">
        <v>248</v>
      </c>
      <c r="M80" s="20" t="s">
        <v>461</v>
      </c>
      <c r="N80" s="20" t="s">
        <v>14</v>
      </c>
      <c r="O80" s="20">
        <v>4</v>
      </c>
      <c r="P80" s="20">
        <v>2</v>
      </c>
      <c r="Q80" s="13">
        <v>0.52700000000000002</v>
      </c>
      <c r="R80" s="20" t="s">
        <v>249</v>
      </c>
      <c r="S80" s="20">
        <v>-0.53</v>
      </c>
      <c r="T80" s="20" t="s">
        <v>248</v>
      </c>
      <c r="U80" s="20" t="s">
        <v>14</v>
      </c>
      <c r="V80" s="20"/>
      <c r="W80" s="20"/>
      <c r="X80" s="20" t="s">
        <v>60</v>
      </c>
      <c r="Y80" s="20" t="s">
        <v>292</v>
      </c>
      <c r="Z80" s="20" t="s">
        <v>441</v>
      </c>
      <c r="AA80" s="20" t="s">
        <v>457</v>
      </c>
    </row>
    <row r="81" spans="1:27" x14ac:dyDescent="0.2">
      <c r="A81" s="20" t="s">
        <v>226</v>
      </c>
      <c r="B81" s="20" t="s">
        <v>324</v>
      </c>
      <c r="C81" s="20" t="s">
        <v>29</v>
      </c>
      <c r="D81" s="20" t="s">
        <v>10</v>
      </c>
      <c r="E81" s="20" t="s">
        <v>446</v>
      </c>
      <c r="F81" s="20" t="s">
        <v>10</v>
      </c>
      <c r="G81" s="20">
        <v>2</v>
      </c>
      <c r="H81" s="20">
        <v>4</v>
      </c>
      <c r="I81" s="13">
        <v>0.82499999999999996</v>
      </c>
      <c r="J81" s="20" t="s">
        <v>249</v>
      </c>
      <c r="K81" s="18">
        <v>0.28999999999999998</v>
      </c>
      <c r="L81" s="20" t="s">
        <v>249</v>
      </c>
      <c r="M81" s="20" t="s">
        <v>462</v>
      </c>
      <c r="N81" s="20" t="s">
        <v>10</v>
      </c>
      <c r="O81" s="20">
        <v>2</v>
      </c>
      <c r="P81" s="20">
        <v>4</v>
      </c>
      <c r="Q81" s="13">
        <v>0.71199999999999997</v>
      </c>
      <c r="R81" s="20" t="s">
        <v>249</v>
      </c>
      <c r="S81" s="20">
        <v>1.36</v>
      </c>
      <c r="T81" s="20" t="s">
        <v>249</v>
      </c>
      <c r="U81" s="20" t="s">
        <v>29</v>
      </c>
      <c r="V81" s="20"/>
      <c r="W81" s="20"/>
      <c r="X81" s="20" t="s">
        <v>60</v>
      </c>
      <c r="Y81" s="20" t="s">
        <v>292</v>
      </c>
      <c r="Z81" s="20" t="s">
        <v>441</v>
      </c>
      <c r="AA81" s="20" t="s">
        <v>457</v>
      </c>
    </row>
    <row r="82" spans="1:27" x14ac:dyDescent="0.2">
      <c r="A82" s="20" t="s">
        <v>226</v>
      </c>
      <c r="B82" s="20" t="s">
        <v>324</v>
      </c>
      <c r="C82" s="20" t="s">
        <v>55</v>
      </c>
      <c r="D82" s="20" t="s">
        <v>39</v>
      </c>
      <c r="E82" s="20" t="s">
        <v>447</v>
      </c>
      <c r="F82" s="20" t="s">
        <v>39</v>
      </c>
      <c r="G82" s="20">
        <v>3</v>
      </c>
      <c r="H82" s="20">
        <v>4</v>
      </c>
      <c r="I82" s="13">
        <v>0.85899999999999999</v>
      </c>
      <c r="J82" s="20" t="s">
        <v>249</v>
      </c>
      <c r="K82" s="18">
        <v>0.42599999999999999</v>
      </c>
      <c r="L82" s="20" t="s">
        <v>248</v>
      </c>
      <c r="M82" s="20" t="s">
        <v>400</v>
      </c>
      <c r="N82" s="20" t="s">
        <v>39</v>
      </c>
      <c r="O82" s="20">
        <v>2</v>
      </c>
      <c r="P82" s="20">
        <v>4</v>
      </c>
      <c r="Q82" s="13">
        <v>0.61</v>
      </c>
      <c r="R82" s="20" t="s">
        <v>249</v>
      </c>
      <c r="S82" s="20">
        <v>0.54</v>
      </c>
      <c r="T82" s="20" t="s">
        <v>248</v>
      </c>
      <c r="U82" s="20" t="s">
        <v>39</v>
      </c>
      <c r="V82" s="20"/>
      <c r="W82" s="20"/>
      <c r="X82" s="20" t="s">
        <v>60</v>
      </c>
      <c r="Y82" s="20" t="s">
        <v>292</v>
      </c>
      <c r="Z82" s="20" t="s">
        <v>441</v>
      </c>
      <c r="AA82" s="20" t="s">
        <v>457</v>
      </c>
    </row>
    <row r="83" spans="1:27" x14ac:dyDescent="0.2">
      <c r="A83" s="20" t="s">
        <v>226</v>
      </c>
      <c r="B83" s="20" t="s">
        <v>448</v>
      </c>
      <c r="C83" s="20" t="s">
        <v>37</v>
      </c>
      <c r="D83" s="20" t="s">
        <v>26</v>
      </c>
      <c r="E83" s="20" t="s">
        <v>449</v>
      </c>
      <c r="F83" s="20" t="s">
        <v>37</v>
      </c>
      <c r="G83" s="20">
        <v>4</v>
      </c>
      <c r="H83" s="20">
        <v>3</v>
      </c>
      <c r="I83" s="13">
        <v>0.68200000000000005</v>
      </c>
      <c r="J83" s="20" t="s">
        <v>249</v>
      </c>
      <c r="K83" s="18">
        <v>0.311</v>
      </c>
      <c r="L83" s="20" t="s">
        <v>248</v>
      </c>
      <c r="M83" s="20" t="s">
        <v>397</v>
      </c>
      <c r="N83" s="20" t="s">
        <v>37</v>
      </c>
      <c r="O83" s="20">
        <v>4</v>
      </c>
      <c r="P83" s="20">
        <v>2</v>
      </c>
      <c r="Q83" s="13">
        <v>0.64600000000000002</v>
      </c>
      <c r="R83" s="20" t="s">
        <v>249</v>
      </c>
      <c r="S83" s="20">
        <v>-1.06</v>
      </c>
      <c r="T83" s="20" t="s">
        <v>248</v>
      </c>
      <c r="U83" s="20" t="s">
        <v>37</v>
      </c>
      <c r="V83" s="20"/>
      <c r="W83" s="20"/>
      <c r="X83" s="20" t="s">
        <v>60</v>
      </c>
      <c r="Y83" s="20" t="s">
        <v>292</v>
      </c>
      <c r="Z83" s="20" t="s">
        <v>441</v>
      </c>
      <c r="AA83" s="20" t="s">
        <v>457</v>
      </c>
    </row>
    <row r="84" spans="1:27" x14ac:dyDescent="0.2">
      <c r="A84" s="20" t="s">
        <v>226</v>
      </c>
      <c r="B84" s="20" t="s">
        <v>369</v>
      </c>
      <c r="C84" s="20" t="s">
        <v>16</v>
      </c>
      <c r="D84" s="20" t="s">
        <v>11</v>
      </c>
      <c r="E84" s="20" t="s">
        <v>450</v>
      </c>
      <c r="F84" s="20" t="s">
        <v>11</v>
      </c>
      <c r="G84" s="20">
        <v>3</v>
      </c>
      <c r="H84" s="20">
        <v>4</v>
      </c>
      <c r="I84" s="13">
        <v>0.83899999999999997</v>
      </c>
      <c r="J84" s="20" t="s">
        <v>249</v>
      </c>
      <c r="K84" s="18">
        <v>0.47299999999999998</v>
      </c>
      <c r="L84" s="20" t="s">
        <v>249</v>
      </c>
      <c r="M84" s="20" t="s">
        <v>463</v>
      </c>
      <c r="N84" s="20" t="s">
        <v>11</v>
      </c>
      <c r="O84" s="20">
        <v>2</v>
      </c>
      <c r="P84" s="20">
        <v>4</v>
      </c>
      <c r="Q84" s="13">
        <v>0.7</v>
      </c>
      <c r="R84" s="20" t="s">
        <v>249</v>
      </c>
      <c r="S84" s="20">
        <v>1.01</v>
      </c>
      <c r="T84" s="20" t="s">
        <v>249</v>
      </c>
      <c r="U84" s="20" t="s">
        <v>16</v>
      </c>
      <c r="V84" s="20"/>
      <c r="W84" s="20"/>
      <c r="X84" s="20" t="s">
        <v>60</v>
      </c>
      <c r="Y84" s="20" t="s">
        <v>292</v>
      </c>
      <c r="Z84" s="20" t="s">
        <v>441</v>
      </c>
      <c r="AA84" s="20" t="s">
        <v>457</v>
      </c>
    </row>
    <row r="85" spans="1:27" x14ac:dyDescent="0.2">
      <c r="A85" s="20" t="s">
        <v>226</v>
      </c>
      <c r="B85" s="20" t="s">
        <v>352</v>
      </c>
      <c r="C85" s="20" t="s">
        <v>12</v>
      </c>
      <c r="D85" s="20" t="s">
        <v>34</v>
      </c>
      <c r="E85" s="20" t="s">
        <v>451</v>
      </c>
      <c r="F85" s="20" t="s">
        <v>12</v>
      </c>
      <c r="G85" s="20">
        <v>5</v>
      </c>
      <c r="H85" s="20">
        <v>4</v>
      </c>
      <c r="I85" s="13">
        <v>0.72299999999999998</v>
      </c>
      <c r="J85" s="20" t="s">
        <v>249</v>
      </c>
      <c r="K85" s="18">
        <v>0.371</v>
      </c>
      <c r="L85" s="20" t="s">
        <v>249</v>
      </c>
      <c r="M85" s="20" t="s">
        <v>464</v>
      </c>
      <c r="N85" s="20" t="s">
        <v>12</v>
      </c>
      <c r="O85" s="20">
        <v>5</v>
      </c>
      <c r="P85" s="20">
        <v>2</v>
      </c>
      <c r="Q85" s="13">
        <v>0.75900000000000001</v>
      </c>
      <c r="R85" s="20" t="s">
        <v>249</v>
      </c>
      <c r="S85" s="20">
        <v>-1.63</v>
      </c>
      <c r="T85" s="20" t="s">
        <v>249</v>
      </c>
      <c r="U85" s="20" t="s">
        <v>34</v>
      </c>
      <c r="V85" s="20"/>
      <c r="W85" s="20"/>
      <c r="X85" s="20" t="s">
        <v>60</v>
      </c>
      <c r="Y85" s="20" t="s">
        <v>292</v>
      </c>
      <c r="Z85" s="20" t="s">
        <v>441</v>
      </c>
      <c r="AA85" s="20" t="s">
        <v>457</v>
      </c>
    </row>
    <row r="86" spans="1:27" x14ac:dyDescent="0.2">
      <c r="A86" s="20" t="s">
        <v>226</v>
      </c>
      <c r="B86" s="20" t="s">
        <v>369</v>
      </c>
      <c r="C86" s="20" t="s">
        <v>27</v>
      </c>
      <c r="D86" s="20" t="s">
        <v>30</v>
      </c>
      <c r="E86" s="20" t="s">
        <v>452</v>
      </c>
      <c r="F86" s="20" t="s">
        <v>27</v>
      </c>
      <c r="G86" s="20">
        <v>4</v>
      </c>
      <c r="H86" s="20">
        <v>3</v>
      </c>
      <c r="I86" s="13">
        <v>0.53200000000000003</v>
      </c>
      <c r="J86" s="20" t="s">
        <v>249</v>
      </c>
      <c r="K86" s="18">
        <v>0.42499999999999999</v>
      </c>
      <c r="L86" s="20" t="s">
        <v>248</v>
      </c>
      <c r="M86" s="20" t="s">
        <v>395</v>
      </c>
      <c r="N86" s="20" t="s">
        <v>30</v>
      </c>
      <c r="O86" s="20">
        <v>2</v>
      </c>
      <c r="P86" s="20">
        <v>3</v>
      </c>
      <c r="Q86" s="13">
        <v>0.59199999999999997</v>
      </c>
      <c r="R86" s="20" t="s">
        <v>249</v>
      </c>
      <c r="S86" s="20">
        <v>0.41</v>
      </c>
      <c r="T86" s="20" t="s">
        <v>249</v>
      </c>
      <c r="U86" s="20" t="s">
        <v>27</v>
      </c>
      <c r="V86" s="20"/>
      <c r="W86" s="20"/>
      <c r="X86" s="20" t="s">
        <v>60</v>
      </c>
      <c r="Y86" s="20" t="s">
        <v>292</v>
      </c>
      <c r="Z86" s="20" t="s">
        <v>441</v>
      </c>
      <c r="AA86" s="20" t="s">
        <v>457</v>
      </c>
    </row>
    <row r="87" spans="1:27" x14ac:dyDescent="0.2">
      <c r="A87" s="20" t="s">
        <v>226</v>
      </c>
      <c r="B87" s="20" t="s">
        <v>369</v>
      </c>
      <c r="C87" s="20" t="s">
        <v>38</v>
      </c>
      <c r="D87" s="20" t="s">
        <v>33</v>
      </c>
      <c r="E87" s="20" t="s">
        <v>453</v>
      </c>
      <c r="F87" s="20" t="s">
        <v>33</v>
      </c>
      <c r="G87" s="20">
        <v>3</v>
      </c>
      <c r="H87" s="20">
        <v>4</v>
      </c>
      <c r="I87" s="13">
        <v>0.54800000000000004</v>
      </c>
      <c r="J87" s="20" t="s">
        <v>249</v>
      </c>
      <c r="K87" s="18">
        <v>0.36899999999999999</v>
      </c>
      <c r="L87" s="20" t="s">
        <v>248</v>
      </c>
      <c r="M87" s="20" t="s">
        <v>309</v>
      </c>
      <c r="N87" s="20" t="s">
        <v>33</v>
      </c>
      <c r="O87" s="20">
        <v>2</v>
      </c>
      <c r="P87" s="20">
        <v>4</v>
      </c>
      <c r="Q87" s="13">
        <v>0.57399999999999995</v>
      </c>
      <c r="R87" s="20" t="s">
        <v>249</v>
      </c>
      <c r="S87" s="20">
        <v>0.57999999999999996</v>
      </c>
      <c r="T87" s="20" t="s">
        <v>248</v>
      </c>
      <c r="U87" s="20" t="s">
        <v>33</v>
      </c>
      <c r="V87" s="20"/>
      <c r="W87" s="20"/>
      <c r="X87" s="20" t="s">
        <v>60</v>
      </c>
      <c r="Y87" s="20" t="s">
        <v>292</v>
      </c>
      <c r="Z87" s="20" t="s">
        <v>441</v>
      </c>
      <c r="AA87" s="20" t="s">
        <v>457</v>
      </c>
    </row>
    <row r="88" spans="1:27" x14ac:dyDescent="0.2">
      <c r="A88" s="20" t="s">
        <v>226</v>
      </c>
      <c r="B88" s="20" t="s">
        <v>369</v>
      </c>
      <c r="C88" s="20" t="s">
        <v>36</v>
      </c>
      <c r="D88" s="20" t="s">
        <v>35</v>
      </c>
      <c r="E88" s="20" t="s">
        <v>454</v>
      </c>
      <c r="F88" s="20" t="s">
        <v>36</v>
      </c>
      <c r="G88" s="20">
        <v>5</v>
      </c>
      <c r="H88" s="20">
        <v>4</v>
      </c>
      <c r="I88" s="13">
        <v>0.80500000000000005</v>
      </c>
      <c r="J88" s="20" t="s">
        <v>249</v>
      </c>
      <c r="K88" s="18">
        <v>0.46300000000000002</v>
      </c>
      <c r="L88" s="20" t="s">
        <v>249</v>
      </c>
      <c r="M88" s="20" t="s">
        <v>465</v>
      </c>
      <c r="N88" s="20" t="s">
        <v>36</v>
      </c>
      <c r="O88" s="20">
        <v>4</v>
      </c>
      <c r="P88" s="20">
        <v>2</v>
      </c>
      <c r="Q88" s="13">
        <v>0.626</v>
      </c>
      <c r="R88" s="20" t="s">
        <v>249</v>
      </c>
      <c r="S88" s="20">
        <v>-1.1499999999999999</v>
      </c>
      <c r="T88" s="20" t="s">
        <v>249</v>
      </c>
      <c r="U88" s="20" t="s">
        <v>35</v>
      </c>
      <c r="V88" s="20"/>
      <c r="W88" s="20"/>
      <c r="X88" s="20" t="s">
        <v>60</v>
      </c>
      <c r="Y88" s="20" t="s">
        <v>292</v>
      </c>
      <c r="Z88" s="20" t="s">
        <v>441</v>
      </c>
      <c r="AA88" s="20" t="s">
        <v>457</v>
      </c>
    </row>
    <row r="89" spans="1:27" x14ac:dyDescent="0.2">
      <c r="A89" s="20" t="s">
        <v>226</v>
      </c>
      <c r="B89" s="20" t="s">
        <v>369</v>
      </c>
      <c r="C89" s="20" t="s">
        <v>18</v>
      </c>
      <c r="D89" s="20" t="s">
        <v>20</v>
      </c>
      <c r="E89" s="20" t="s">
        <v>455</v>
      </c>
      <c r="F89" s="20" t="s">
        <v>18</v>
      </c>
      <c r="G89" s="20">
        <v>4</v>
      </c>
      <c r="H89" s="20">
        <v>3</v>
      </c>
      <c r="I89" s="13">
        <v>0.70499999999999996</v>
      </c>
      <c r="J89" s="20" t="s">
        <v>249</v>
      </c>
      <c r="K89" s="18">
        <v>0.44800000000000001</v>
      </c>
      <c r="L89" s="20" t="s">
        <v>248</v>
      </c>
      <c r="M89" s="20" t="s">
        <v>360</v>
      </c>
      <c r="N89" s="20" t="s">
        <v>20</v>
      </c>
      <c r="O89" s="20">
        <v>2</v>
      </c>
      <c r="P89" s="20">
        <v>4</v>
      </c>
      <c r="Q89" s="13">
        <v>0.55400000000000005</v>
      </c>
      <c r="R89" s="20" t="s">
        <v>249</v>
      </c>
      <c r="S89" s="20">
        <v>0.63</v>
      </c>
      <c r="T89" s="20" t="s">
        <v>249</v>
      </c>
      <c r="U89" s="20" t="s">
        <v>18</v>
      </c>
      <c r="V89" s="20"/>
      <c r="W89" s="20"/>
      <c r="X89" s="20" t="s">
        <v>60</v>
      </c>
      <c r="Y89" s="20" t="s">
        <v>292</v>
      </c>
      <c r="Z89" s="20" t="s">
        <v>441</v>
      </c>
      <c r="AA89" s="20" t="s">
        <v>457</v>
      </c>
    </row>
    <row r="90" spans="1:27" x14ac:dyDescent="0.2">
      <c r="A90" s="20" t="s">
        <v>226</v>
      </c>
      <c r="B90" s="20" t="s">
        <v>365</v>
      </c>
      <c r="C90" s="20" t="s">
        <v>19</v>
      </c>
      <c r="D90" s="20" t="s">
        <v>22</v>
      </c>
      <c r="E90" s="20" t="s">
        <v>456</v>
      </c>
      <c r="F90" s="20" t="s">
        <v>22</v>
      </c>
      <c r="G90" s="20">
        <v>3</v>
      </c>
      <c r="H90" s="20">
        <v>4</v>
      </c>
      <c r="I90" s="13">
        <v>0.80500000000000005</v>
      </c>
      <c r="J90" s="20" t="s">
        <v>249</v>
      </c>
      <c r="K90" s="18">
        <v>0.29899999999999999</v>
      </c>
      <c r="L90" s="20" t="s">
        <v>248</v>
      </c>
      <c r="M90" s="20" t="s">
        <v>321</v>
      </c>
      <c r="N90" s="20" t="s">
        <v>22</v>
      </c>
      <c r="O90" s="20">
        <v>2</v>
      </c>
      <c r="P90" s="20">
        <v>4</v>
      </c>
      <c r="Q90" s="13">
        <v>0.71199999999999997</v>
      </c>
      <c r="R90" s="20" t="s">
        <v>249</v>
      </c>
      <c r="S90" s="20">
        <v>1.25</v>
      </c>
      <c r="T90" s="20" t="s">
        <v>248</v>
      </c>
      <c r="U90" s="20" t="s">
        <v>22</v>
      </c>
      <c r="V90" s="20"/>
      <c r="W90" s="20"/>
      <c r="X90" s="20" t="s">
        <v>60</v>
      </c>
      <c r="Y90" s="20" t="s">
        <v>292</v>
      </c>
      <c r="Z90" s="20" t="s">
        <v>441</v>
      </c>
      <c r="AA90" s="20" t="s">
        <v>457</v>
      </c>
    </row>
    <row r="91" spans="1:27" x14ac:dyDescent="0.2">
      <c r="A91" s="20" t="s">
        <v>227</v>
      </c>
      <c r="B91" s="20" t="s">
        <v>328</v>
      </c>
      <c r="C91" s="20" t="s">
        <v>26</v>
      </c>
      <c r="D91" s="20" t="s">
        <v>21</v>
      </c>
      <c r="E91" s="20" t="s">
        <v>466</v>
      </c>
      <c r="F91" s="20" t="s">
        <v>21</v>
      </c>
      <c r="G91" s="20">
        <v>3</v>
      </c>
      <c r="H91" s="20">
        <v>4</v>
      </c>
      <c r="I91" s="13">
        <v>0.64900000000000002</v>
      </c>
      <c r="J91" s="20" t="s">
        <v>249</v>
      </c>
      <c r="K91" s="18">
        <v>0.433</v>
      </c>
      <c r="L91" s="20" t="s">
        <v>248</v>
      </c>
      <c r="M91" s="20" t="s">
        <v>479</v>
      </c>
      <c r="N91" s="20" t="s">
        <v>21</v>
      </c>
      <c r="O91" s="20">
        <v>2</v>
      </c>
      <c r="P91" s="20">
        <v>4</v>
      </c>
      <c r="Q91" s="13">
        <v>0.63800000000000001</v>
      </c>
      <c r="R91" s="20" t="s">
        <v>249</v>
      </c>
      <c r="S91" s="20">
        <v>0.74</v>
      </c>
      <c r="T91" s="20" t="s">
        <v>248</v>
      </c>
      <c r="U91" s="20" t="s">
        <v>21</v>
      </c>
      <c r="V91" s="20"/>
      <c r="W91" s="20"/>
      <c r="X91" s="20" t="s">
        <v>60</v>
      </c>
      <c r="Y91" s="20" t="s">
        <v>292</v>
      </c>
      <c r="Z91" s="20" t="s">
        <v>457</v>
      </c>
      <c r="AA91" s="20" t="s">
        <v>480</v>
      </c>
    </row>
    <row r="92" spans="1:27" x14ac:dyDescent="0.2">
      <c r="A92" s="20" t="s">
        <v>227</v>
      </c>
      <c r="B92" s="20" t="s">
        <v>467</v>
      </c>
      <c r="C92" s="20" t="s">
        <v>18</v>
      </c>
      <c r="D92" s="20" t="s">
        <v>12</v>
      </c>
      <c r="E92" s="20" t="s">
        <v>468</v>
      </c>
      <c r="F92" s="20" t="s">
        <v>12</v>
      </c>
      <c r="G92" s="20">
        <v>2</v>
      </c>
      <c r="H92" s="20">
        <v>3</v>
      </c>
      <c r="I92" s="13">
        <v>0.88</v>
      </c>
      <c r="J92" s="20" t="s">
        <v>248</v>
      </c>
      <c r="K92" s="18">
        <v>0.54900000000000004</v>
      </c>
      <c r="L92" s="20" t="s">
        <v>248</v>
      </c>
      <c r="M92" s="20" t="s">
        <v>361</v>
      </c>
      <c r="N92" s="20" t="s">
        <v>12</v>
      </c>
      <c r="O92" s="20">
        <v>1</v>
      </c>
      <c r="P92" s="20">
        <v>5</v>
      </c>
      <c r="Q92" s="13">
        <v>0.80500000000000005</v>
      </c>
      <c r="R92" s="20" t="s">
        <v>249</v>
      </c>
      <c r="S92" s="20">
        <v>2.08</v>
      </c>
      <c r="T92" s="20" t="s">
        <v>248</v>
      </c>
      <c r="U92" s="20" t="s">
        <v>12</v>
      </c>
      <c r="V92" s="20"/>
      <c r="W92" s="20"/>
      <c r="X92" s="20" t="s">
        <v>60</v>
      </c>
      <c r="Y92" s="20" t="s">
        <v>292</v>
      </c>
      <c r="Z92" s="20" t="s">
        <v>457</v>
      </c>
      <c r="AA92" s="20" t="s">
        <v>480</v>
      </c>
    </row>
    <row r="93" spans="1:27" x14ac:dyDescent="0.2">
      <c r="A93" s="20" t="s">
        <v>227</v>
      </c>
      <c r="B93" s="20" t="s">
        <v>322</v>
      </c>
      <c r="C93" s="20" t="s">
        <v>38</v>
      </c>
      <c r="D93" s="20" t="s">
        <v>13</v>
      </c>
      <c r="E93" s="20" t="s">
        <v>469</v>
      </c>
      <c r="F93" s="20" t="s">
        <v>38</v>
      </c>
      <c r="G93" s="20">
        <v>4</v>
      </c>
      <c r="H93" s="20">
        <v>2</v>
      </c>
      <c r="I93" s="13">
        <v>0.51700000000000002</v>
      </c>
      <c r="J93" s="20" t="s">
        <v>249</v>
      </c>
      <c r="K93" s="18">
        <v>0.27600000000000002</v>
      </c>
      <c r="L93" s="20" t="s">
        <v>249</v>
      </c>
      <c r="M93" s="20" t="s">
        <v>481</v>
      </c>
      <c r="N93" s="20" t="s">
        <v>13</v>
      </c>
      <c r="O93" s="20">
        <v>2</v>
      </c>
      <c r="P93" s="20">
        <v>4</v>
      </c>
      <c r="Q93" s="13">
        <v>0.60199999999999998</v>
      </c>
      <c r="R93" s="20" t="s">
        <v>249</v>
      </c>
      <c r="S93" s="20">
        <v>0.71</v>
      </c>
      <c r="T93" s="20" t="s">
        <v>248</v>
      </c>
      <c r="U93" s="20" t="s">
        <v>13</v>
      </c>
      <c r="V93" s="20"/>
      <c r="W93" s="20"/>
      <c r="X93" s="20" t="s">
        <v>60</v>
      </c>
      <c r="Y93" s="20" t="s">
        <v>292</v>
      </c>
      <c r="Z93" s="20" t="s">
        <v>457</v>
      </c>
      <c r="AA93" s="20" t="s">
        <v>480</v>
      </c>
    </row>
    <row r="94" spans="1:27" x14ac:dyDescent="0.2">
      <c r="A94" s="20" t="s">
        <v>227</v>
      </c>
      <c r="B94" s="20" t="s">
        <v>324</v>
      </c>
      <c r="C94" s="20" t="s">
        <v>23</v>
      </c>
      <c r="D94" s="20" t="s">
        <v>34</v>
      </c>
      <c r="E94" s="20" t="s">
        <v>470</v>
      </c>
      <c r="F94" s="20" t="s">
        <v>34</v>
      </c>
      <c r="G94" s="20">
        <v>3</v>
      </c>
      <c r="H94" s="20">
        <v>4</v>
      </c>
      <c r="I94" s="13">
        <v>0.70699999999999996</v>
      </c>
      <c r="J94" s="20" t="s">
        <v>249</v>
      </c>
      <c r="K94" s="18">
        <v>0.40600000000000003</v>
      </c>
      <c r="L94" s="20" t="s">
        <v>249</v>
      </c>
      <c r="M94" s="20" t="s">
        <v>482</v>
      </c>
      <c r="N94" s="20" t="s">
        <v>34</v>
      </c>
      <c r="O94" s="20">
        <v>2</v>
      </c>
      <c r="P94" s="20">
        <v>4</v>
      </c>
      <c r="Q94" s="13">
        <v>0.65100000000000002</v>
      </c>
      <c r="R94" s="20" t="s">
        <v>249</v>
      </c>
      <c r="S94" s="20">
        <v>0.83</v>
      </c>
      <c r="T94" s="20" t="s">
        <v>249</v>
      </c>
      <c r="U94" s="20" t="s">
        <v>23</v>
      </c>
      <c r="V94" s="20"/>
      <c r="W94" s="20"/>
      <c r="X94" s="20" t="s">
        <v>60</v>
      </c>
      <c r="Y94" s="20" t="s">
        <v>292</v>
      </c>
      <c r="Z94" s="20" t="s">
        <v>457</v>
      </c>
      <c r="AA94" s="20" t="s">
        <v>480</v>
      </c>
    </row>
    <row r="95" spans="1:27" x14ac:dyDescent="0.2">
      <c r="A95" s="20" t="s">
        <v>227</v>
      </c>
      <c r="B95" s="20" t="s">
        <v>328</v>
      </c>
      <c r="C95" s="20" t="s">
        <v>27</v>
      </c>
      <c r="D95" s="20" t="s">
        <v>24</v>
      </c>
      <c r="E95" s="20" t="s">
        <v>471</v>
      </c>
      <c r="F95" s="20" t="s">
        <v>24</v>
      </c>
      <c r="G95" s="20">
        <v>3</v>
      </c>
      <c r="H95" s="20">
        <v>4</v>
      </c>
      <c r="I95" s="13">
        <v>0.64200000000000002</v>
      </c>
      <c r="J95" s="20" t="s">
        <v>249</v>
      </c>
      <c r="K95" s="18">
        <v>0.35899999999999999</v>
      </c>
      <c r="L95" s="20" t="s">
        <v>249</v>
      </c>
      <c r="M95" s="20" t="s">
        <v>483</v>
      </c>
      <c r="N95" s="20" t="s">
        <v>24</v>
      </c>
      <c r="O95" s="20">
        <v>2</v>
      </c>
      <c r="P95" s="20">
        <v>4</v>
      </c>
      <c r="Q95" s="13">
        <v>0.70699999999999996</v>
      </c>
      <c r="R95" s="20" t="s">
        <v>249</v>
      </c>
      <c r="S95" s="20">
        <v>0.55000000000000004</v>
      </c>
      <c r="T95" s="20" t="s">
        <v>249</v>
      </c>
      <c r="U95" s="20" t="s">
        <v>27</v>
      </c>
      <c r="V95" s="20"/>
      <c r="W95" s="20"/>
      <c r="X95" s="20" t="s">
        <v>60</v>
      </c>
      <c r="Y95" s="20" t="s">
        <v>292</v>
      </c>
      <c r="Z95" s="20" t="s">
        <v>457</v>
      </c>
      <c r="AA95" s="20" t="s">
        <v>480</v>
      </c>
    </row>
    <row r="96" spans="1:27" x14ac:dyDescent="0.2">
      <c r="A96" s="20" t="s">
        <v>227</v>
      </c>
      <c r="B96" s="20" t="s">
        <v>328</v>
      </c>
      <c r="C96" s="20" t="s">
        <v>40</v>
      </c>
      <c r="D96" s="20" t="s">
        <v>29</v>
      </c>
      <c r="E96" s="20" t="s">
        <v>472</v>
      </c>
      <c r="F96" s="20" t="s">
        <v>40</v>
      </c>
      <c r="G96" s="20">
        <v>4</v>
      </c>
      <c r="H96" s="20">
        <v>3</v>
      </c>
      <c r="I96" s="13">
        <v>0.70499999999999996</v>
      </c>
      <c r="J96" s="20" t="s">
        <v>248</v>
      </c>
      <c r="K96" s="18">
        <v>0.53300000000000003</v>
      </c>
      <c r="L96" s="20" t="s">
        <v>248</v>
      </c>
      <c r="M96" s="20" t="s">
        <v>315</v>
      </c>
      <c r="N96" s="20" t="s">
        <v>40</v>
      </c>
      <c r="O96" s="20">
        <v>4</v>
      </c>
      <c r="P96" s="20">
        <v>2</v>
      </c>
      <c r="Q96" s="13">
        <v>0.6</v>
      </c>
      <c r="R96" s="20" t="s">
        <v>249</v>
      </c>
      <c r="S96" s="20">
        <v>-1.02</v>
      </c>
      <c r="T96" s="20" t="s">
        <v>248</v>
      </c>
      <c r="U96" s="20" t="s">
        <v>40</v>
      </c>
      <c r="V96" s="20"/>
      <c r="W96" s="20"/>
      <c r="X96" s="20" t="s">
        <v>60</v>
      </c>
      <c r="Y96" s="20" t="s">
        <v>292</v>
      </c>
      <c r="Z96" s="20" t="s">
        <v>457</v>
      </c>
      <c r="AA96" s="20" t="s">
        <v>480</v>
      </c>
    </row>
    <row r="97" spans="1:27" x14ac:dyDescent="0.2">
      <c r="A97" s="20" t="s">
        <v>227</v>
      </c>
      <c r="B97" s="20" t="s">
        <v>473</v>
      </c>
      <c r="C97" s="20" t="s">
        <v>37</v>
      </c>
      <c r="D97" s="20" t="s">
        <v>15</v>
      </c>
      <c r="E97" s="20" t="s">
        <v>474</v>
      </c>
      <c r="F97" s="20" t="s">
        <v>37</v>
      </c>
      <c r="G97" s="20">
        <v>4</v>
      </c>
      <c r="H97" s="20">
        <v>2</v>
      </c>
      <c r="I97" s="13">
        <v>0.63800000000000001</v>
      </c>
      <c r="J97" s="20" t="s">
        <v>249</v>
      </c>
      <c r="K97" s="18">
        <v>0.39400000000000002</v>
      </c>
      <c r="L97" s="20" t="s">
        <v>248</v>
      </c>
      <c r="M97" s="20" t="s">
        <v>397</v>
      </c>
      <c r="N97" s="20" t="s">
        <v>37</v>
      </c>
      <c r="O97" s="20">
        <v>4</v>
      </c>
      <c r="P97" s="20">
        <v>2</v>
      </c>
      <c r="Q97" s="13">
        <v>0.60399999999999998</v>
      </c>
      <c r="R97" s="20" t="s">
        <v>249</v>
      </c>
      <c r="S97" s="20">
        <v>-0.54</v>
      </c>
      <c r="T97" s="20" t="s">
        <v>248</v>
      </c>
      <c r="U97" s="20" t="s">
        <v>37</v>
      </c>
      <c r="V97" s="20"/>
      <c r="W97" s="20"/>
      <c r="X97" s="20" t="s">
        <v>60</v>
      </c>
      <c r="Y97" s="20" t="s">
        <v>292</v>
      </c>
      <c r="Z97" s="20" t="s">
        <v>457</v>
      </c>
      <c r="AA97" s="20" t="s">
        <v>480</v>
      </c>
    </row>
    <row r="98" spans="1:27" x14ac:dyDescent="0.2">
      <c r="A98" s="20" t="s">
        <v>227</v>
      </c>
      <c r="B98" s="20" t="s">
        <v>328</v>
      </c>
      <c r="C98" s="20" t="s">
        <v>19</v>
      </c>
      <c r="D98" s="20" t="s">
        <v>14</v>
      </c>
      <c r="E98" s="20" t="s">
        <v>475</v>
      </c>
      <c r="F98" s="20" t="s">
        <v>14</v>
      </c>
      <c r="G98" s="20">
        <v>4</v>
      </c>
      <c r="H98" s="20">
        <v>5</v>
      </c>
      <c r="I98" s="13">
        <v>0.72599999999999998</v>
      </c>
      <c r="J98" s="20" t="s">
        <v>249</v>
      </c>
      <c r="K98" s="18">
        <v>0.32500000000000001</v>
      </c>
      <c r="L98" s="20" t="s">
        <v>249</v>
      </c>
      <c r="M98" s="20" t="s">
        <v>484</v>
      </c>
      <c r="N98" s="20" t="s">
        <v>14</v>
      </c>
      <c r="O98" s="20">
        <v>2</v>
      </c>
      <c r="P98" s="20">
        <v>4</v>
      </c>
      <c r="Q98" s="13">
        <v>0.64800000000000002</v>
      </c>
      <c r="R98" s="20" t="s">
        <v>249</v>
      </c>
      <c r="S98" s="20">
        <v>0.91</v>
      </c>
      <c r="T98" s="20" t="s">
        <v>249</v>
      </c>
      <c r="U98" s="20" t="s">
        <v>19</v>
      </c>
      <c r="V98" s="20"/>
      <c r="W98" s="20"/>
      <c r="X98" s="20" t="s">
        <v>60</v>
      </c>
      <c r="Y98" s="20" t="s">
        <v>292</v>
      </c>
      <c r="Z98" s="20" t="s">
        <v>457</v>
      </c>
      <c r="AA98" s="20" t="s">
        <v>480</v>
      </c>
    </row>
    <row r="99" spans="1:27" x14ac:dyDescent="0.2">
      <c r="A99" s="20" t="s">
        <v>227</v>
      </c>
      <c r="B99" s="20" t="s">
        <v>369</v>
      </c>
      <c r="C99" s="20" t="s">
        <v>17</v>
      </c>
      <c r="D99" s="20" t="s">
        <v>32</v>
      </c>
      <c r="E99" s="20" t="s">
        <v>476</v>
      </c>
      <c r="F99" s="20" t="s">
        <v>32</v>
      </c>
      <c r="G99" s="20">
        <v>4</v>
      </c>
      <c r="H99" s="20">
        <v>5</v>
      </c>
      <c r="I99" s="13">
        <v>0.71599999999999997</v>
      </c>
      <c r="J99" s="20" t="s">
        <v>249</v>
      </c>
      <c r="K99" s="18">
        <v>0.308</v>
      </c>
      <c r="L99" s="20" t="s">
        <v>249</v>
      </c>
      <c r="M99" s="20" t="s">
        <v>485</v>
      </c>
      <c r="N99" s="20" t="s">
        <v>32</v>
      </c>
      <c r="O99" s="20">
        <v>2</v>
      </c>
      <c r="P99" s="20">
        <v>4</v>
      </c>
      <c r="Q99" s="13">
        <v>0.61199999999999999</v>
      </c>
      <c r="R99" s="20" t="s">
        <v>249</v>
      </c>
      <c r="S99" s="20">
        <v>0.59</v>
      </c>
      <c r="T99" s="20" t="s">
        <v>249</v>
      </c>
      <c r="U99" s="20" t="s">
        <v>17</v>
      </c>
      <c r="V99" s="20"/>
      <c r="W99" s="20"/>
      <c r="X99" s="20" t="s">
        <v>60</v>
      </c>
      <c r="Y99" s="20" t="s">
        <v>292</v>
      </c>
      <c r="Z99" s="20" t="s">
        <v>457</v>
      </c>
      <c r="AA99" s="20" t="s">
        <v>480</v>
      </c>
    </row>
    <row r="100" spans="1:27" x14ac:dyDescent="0.2">
      <c r="A100" s="20" t="s">
        <v>227</v>
      </c>
      <c r="B100" s="20" t="s">
        <v>324</v>
      </c>
      <c r="C100" s="20" t="s">
        <v>55</v>
      </c>
      <c r="D100" s="20" t="s">
        <v>35</v>
      </c>
      <c r="E100" s="20" t="s">
        <v>477</v>
      </c>
      <c r="F100" s="20" t="s">
        <v>55</v>
      </c>
      <c r="G100" s="20">
        <v>6</v>
      </c>
      <c r="H100" s="20">
        <v>5</v>
      </c>
      <c r="I100" s="13">
        <v>0.52800000000000002</v>
      </c>
      <c r="J100" s="20" t="s">
        <v>249</v>
      </c>
      <c r="K100" s="18">
        <v>0.34599999999999997</v>
      </c>
      <c r="L100" s="20" t="s">
        <v>249</v>
      </c>
      <c r="M100" s="20" t="s">
        <v>486</v>
      </c>
      <c r="N100" s="20" t="s">
        <v>55</v>
      </c>
      <c r="O100" s="20">
        <v>4</v>
      </c>
      <c r="P100" s="20">
        <v>2</v>
      </c>
      <c r="Q100" s="13">
        <v>0.58799999999999997</v>
      </c>
      <c r="R100" s="20" t="s">
        <v>249</v>
      </c>
      <c r="S100" s="20">
        <v>-1.1000000000000001</v>
      </c>
      <c r="T100" s="20" t="s">
        <v>249</v>
      </c>
      <c r="U100" s="20" t="s">
        <v>35</v>
      </c>
      <c r="V100" s="20"/>
      <c r="W100" s="20"/>
      <c r="X100" s="20" t="s">
        <v>60</v>
      </c>
      <c r="Y100" s="20" t="s">
        <v>292</v>
      </c>
      <c r="Z100" s="20" t="s">
        <v>457</v>
      </c>
      <c r="AA100" s="20" t="s">
        <v>480</v>
      </c>
    </row>
    <row r="101" spans="1:27" x14ac:dyDescent="0.2">
      <c r="A101" s="20" t="s">
        <v>227</v>
      </c>
      <c r="B101" s="20" t="s">
        <v>322</v>
      </c>
      <c r="C101" s="20" t="s">
        <v>33</v>
      </c>
      <c r="D101" s="20" t="s">
        <v>20</v>
      </c>
      <c r="E101" s="20" t="s">
        <v>478</v>
      </c>
      <c r="F101" s="20" t="s">
        <v>33</v>
      </c>
      <c r="G101" s="20">
        <v>4</v>
      </c>
      <c r="H101" s="20">
        <v>3</v>
      </c>
      <c r="I101" s="13">
        <v>0.54700000000000004</v>
      </c>
      <c r="J101" s="20" t="s">
        <v>249</v>
      </c>
      <c r="K101" s="18">
        <v>0.35399999999999998</v>
      </c>
      <c r="L101" s="20" t="s">
        <v>249</v>
      </c>
      <c r="M101" s="20" t="s">
        <v>487</v>
      </c>
      <c r="N101" s="20" t="s">
        <v>20</v>
      </c>
      <c r="O101" s="20">
        <v>2</v>
      </c>
      <c r="P101" s="20">
        <v>3</v>
      </c>
      <c r="Q101" s="13">
        <v>0.57799999999999996</v>
      </c>
      <c r="R101" s="20" t="s">
        <v>249</v>
      </c>
      <c r="S101" s="20">
        <v>0.32</v>
      </c>
      <c r="T101" s="20" t="s">
        <v>248</v>
      </c>
      <c r="U101" s="20" t="s">
        <v>20</v>
      </c>
      <c r="V101" s="20"/>
      <c r="W101" s="20"/>
      <c r="X101" s="20" t="s">
        <v>60</v>
      </c>
      <c r="Y101" s="20" t="s">
        <v>292</v>
      </c>
      <c r="Z101" s="20" t="s">
        <v>457</v>
      </c>
      <c r="AA101" s="20" t="s">
        <v>480</v>
      </c>
    </row>
    <row r="102" spans="1:27" x14ac:dyDescent="0.2">
      <c r="A102" s="20" t="s">
        <v>228</v>
      </c>
      <c r="B102" s="20" t="s">
        <v>365</v>
      </c>
      <c r="C102" s="20" t="s">
        <v>16</v>
      </c>
      <c r="D102" s="20" t="s">
        <v>25</v>
      </c>
      <c r="E102" s="20" t="s">
        <v>488</v>
      </c>
      <c r="F102" s="20" t="s">
        <v>25</v>
      </c>
      <c r="G102" s="20">
        <v>2</v>
      </c>
      <c r="H102" s="20">
        <v>4</v>
      </c>
      <c r="I102" s="13">
        <v>0.77100000000000002</v>
      </c>
      <c r="J102" s="20" t="s">
        <v>249</v>
      </c>
      <c r="K102" s="18">
        <v>0.29799999999999999</v>
      </c>
      <c r="L102" s="20" t="s">
        <v>60</v>
      </c>
      <c r="M102" s="20" t="s">
        <v>60</v>
      </c>
      <c r="N102" s="20" t="s">
        <v>25</v>
      </c>
      <c r="O102" s="20">
        <v>2</v>
      </c>
      <c r="P102" s="20">
        <v>5</v>
      </c>
      <c r="Q102" s="13">
        <v>0.76700000000000002</v>
      </c>
      <c r="R102" s="20" t="s">
        <v>249</v>
      </c>
      <c r="S102" s="20">
        <v>1.57</v>
      </c>
      <c r="T102" s="20" t="s">
        <v>60</v>
      </c>
      <c r="U102" s="20" t="s">
        <v>60</v>
      </c>
      <c r="V102" s="20"/>
      <c r="W102" s="20"/>
      <c r="X102" s="20" t="s">
        <v>60</v>
      </c>
      <c r="Y102" s="20" t="s">
        <v>421</v>
      </c>
      <c r="Z102" s="20" t="s">
        <v>480</v>
      </c>
      <c r="AA102" s="20" t="s">
        <v>60</v>
      </c>
    </row>
    <row r="103" spans="1:27" x14ac:dyDescent="0.2">
      <c r="A103" s="20" t="s">
        <v>228</v>
      </c>
      <c r="B103" s="20" t="s">
        <v>352</v>
      </c>
      <c r="C103" s="20" t="s">
        <v>31</v>
      </c>
      <c r="D103" s="20" t="s">
        <v>10</v>
      </c>
      <c r="E103" s="20" t="s">
        <v>489</v>
      </c>
      <c r="F103" s="20" t="s">
        <v>31</v>
      </c>
      <c r="G103" s="20">
        <v>5</v>
      </c>
      <c r="H103" s="20">
        <v>4</v>
      </c>
      <c r="I103" s="13">
        <v>0.78800000000000003</v>
      </c>
      <c r="J103" s="20" t="s">
        <v>249</v>
      </c>
      <c r="K103" s="18">
        <v>0.20899999999999999</v>
      </c>
      <c r="L103" s="20" t="s">
        <v>60</v>
      </c>
      <c r="M103" s="20" t="s">
        <v>60</v>
      </c>
      <c r="N103" s="20" t="s">
        <v>31</v>
      </c>
      <c r="O103" s="20">
        <v>3</v>
      </c>
      <c r="P103" s="20">
        <v>2</v>
      </c>
      <c r="Q103" s="13">
        <v>0.53200000000000003</v>
      </c>
      <c r="R103" s="20" t="s">
        <v>249</v>
      </c>
      <c r="S103" s="20">
        <v>-0.43</v>
      </c>
      <c r="T103" s="20" t="s">
        <v>60</v>
      </c>
      <c r="U103" s="20" t="s">
        <v>60</v>
      </c>
      <c r="V103" s="20"/>
      <c r="W103" s="20"/>
      <c r="X103" s="20" t="s">
        <v>60</v>
      </c>
      <c r="Y103" s="20" t="s">
        <v>421</v>
      </c>
      <c r="Z103" s="20" t="s">
        <v>480</v>
      </c>
      <c r="AA103" s="20" t="s">
        <v>60</v>
      </c>
    </row>
    <row r="104" spans="1:27" x14ac:dyDescent="0.2">
      <c r="A104" s="20" t="s">
        <v>228</v>
      </c>
      <c r="B104" s="20" t="s">
        <v>490</v>
      </c>
      <c r="C104" s="20" t="s">
        <v>36</v>
      </c>
      <c r="D104" s="20" t="s">
        <v>39</v>
      </c>
      <c r="E104" s="20" t="s">
        <v>491</v>
      </c>
      <c r="F104" s="20" t="s">
        <v>39</v>
      </c>
      <c r="G104" s="20">
        <v>3</v>
      </c>
      <c r="H104" s="20">
        <v>4</v>
      </c>
      <c r="I104" s="13">
        <v>0.73099999999999998</v>
      </c>
      <c r="J104" s="20" t="s">
        <v>249</v>
      </c>
      <c r="K104" s="18">
        <v>0.307</v>
      </c>
      <c r="L104" s="20" t="s">
        <v>60</v>
      </c>
      <c r="M104" s="20" t="s">
        <v>60</v>
      </c>
      <c r="N104" s="20" t="s">
        <v>39</v>
      </c>
      <c r="O104" s="20">
        <v>2</v>
      </c>
      <c r="P104" s="20">
        <v>4</v>
      </c>
      <c r="Q104" s="13">
        <v>0.63900000000000001</v>
      </c>
      <c r="R104" s="20" t="s">
        <v>249</v>
      </c>
      <c r="S104" s="20">
        <v>0.68</v>
      </c>
      <c r="T104" s="20" t="s">
        <v>60</v>
      </c>
      <c r="U104" s="20" t="s">
        <v>60</v>
      </c>
      <c r="V104" s="20"/>
      <c r="W104" s="20"/>
      <c r="X104" s="20" t="s">
        <v>60</v>
      </c>
      <c r="Y104" s="20" t="s">
        <v>421</v>
      </c>
      <c r="Z104" s="20" t="s">
        <v>480</v>
      </c>
      <c r="AA104" s="20" t="s">
        <v>60</v>
      </c>
    </row>
    <row r="105" spans="1:27" x14ac:dyDescent="0.2">
      <c r="A105" s="20" t="s">
        <v>228</v>
      </c>
      <c r="B105" s="20" t="s">
        <v>347</v>
      </c>
      <c r="C105" s="20" t="s">
        <v>22</v>
      </c>
      <c r="D105" s="20" t="s">
        <v>30</v>
      </c>
      <c r="E105" s="20" t="s">
        <v>492</v>
      </c>
      <c r="F105" s="20" t="s">
        <v>22</v>
      </c>
      <c r="G105" s="20">
        <v>4</v>
      </c>
      <c r="H105" s="20">
        <v>3</v>
      </c>
      <c r="I105" s="13">
        <v>0.78800000000000003</v>
      </c>
      <c r="J105" s="20" t="s">
        <v>248</v>
      </c>
      <c r="K105" s="18">
        <v>0.61799999999999999</v>
      </c>
      <c r="L105" s="20" t="s">
        <v>60</v>
      </c>
      <c r="M105" s="20" t="s">
        <v>60</v>
      </c>
      <c r="N105" s="20" t="s">
        <v>22</v>
      </c>
      <c r="O105" s="20">
        <v>3</v>
      </c>
      <c r="P105" s="20">
        <v>2</v>
      </c>
      <c r="Q105" s="13">
        <v>0.53200000000000003</v>
      </c>
      <c r="R105" s="20" t="s">
        <v>249</v>
      </c>
      <c r="S105" s="20">
        <v>-0.43</v>
      </c>
      <c r="T105" s="20" t="s">
        <v>60</v>
      </c>
      <c r="U105" s="20" t="s">
        <v>60</v>
      </c>
      <c r="V105" s="20"/>
      <c r="W105" s="20"/>
      <c r="X105" s="20" t="s">
        <v>60</v>
      </c>
      <c r="Y105" s="20" t="s">
        <v>421</v>
      </c>
      <c r="Z105" s="20" t="s">
        <v>480</v>
      </c>
      <c r="AA105" s="20" t="s">
        <v>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9" t="s">
        <v>268</v>
      </c>
      <c r="C3" s="19"/>
      <c r="D3" t="s">
        <v>269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2025-11-30T18:22:18Z</dcterms:modified>
</cp:coreProperties>
</file>