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01" documentId="14_{BC0C37BD-5950-BD49-823D-87212FE79B51}" xr6:coauthVersionLast="47" xr6:coauthVersionMax="47" xr10:uidLastSave="{B2B09094-F007-F446-B5B7-C2376CE03B28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Model'!$A$1:$T$219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8" i="1" l="1"/>
  <c r="E639" i="1"/>
  <c r="E640" i="1"/>
  <c r="E641" i="1"/>
  <c r="H641" i="1" s="1"/>
  <c r="E642" i="1"/>
  <c r="H642" i="1" s="1"/>
  <c r="E643" i="1"/>
  <c r="H643" i="1" s="1"/>
  <c r="E644" i="1"/>
  <c r="H644" i="1" s="1"/>
  <c r="E645" i="1"/>
  <c r="G638" i="1"/>
  <c r="H638" i="1" s="1"/>
  <c r="I638" i="1"/>
  <c r="G639" i="1"/>
  <c r="H639" i="1"/>
  <c r="I639" i="1"/>
  <c r="G640" i="1"/>
  <c r="H640" i="1" s="1"/>
  <c r="I640" i="1"/>
  <c r="G641" i="1"/>
  <c r="I641" i="1"/>
  <c r="G642" i="1"/>
  <c r="I642" i="1"/>
  <c r="G643" i="1"/>
  <c r="I643" i="1"/>
  <c r="G644" i="1"/>
  <c r="I644" i="1"/>
  <c r="G645" i="1"/>
  <c r="H645" i="1"/>
  <c r="I645" i="1"/>
  <c r="J645" i="1" s="1"/>
  <c r="G628" i="1"/>
  <c r="I628" i="1"/>
  <c r="G629" i="1"/>
  <c r="I629" i="1"/>
  <c r="G630" i="1"/>
  <c r="I630" i="1"/>
  <c r="G631" i="1"/>
  <c r="I631" i="1"/>
  <c r="G632" i="1"/>
  <c r="I632" i="1"/>
  <c r="G633" i="1"/>
  <c r="H633" i="1" s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0" i="1" l="1"/>
  <c r="J639" i="1"/>
  <c r="J638" i="1"/>
  <c r="J642" i="1"/>
  <c r="J643" i="1"/>
  <c r="J644" i="1"/>
  <c r="J641" i="1"/>
  <c r="H635" i="1"/>
  <c r="H636" i="1"/>
  <c r="H631" i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35" i="1"/>
  <c r="J631" i="1"/>
  <c r="J630" i="1"/>
  <c r="J633" i="1"/>
  <c r="J636" i="1"/>
  <c r="J628" i="1"/>
  <c r="H625" i="1"/>
  <c r="H624" i="1"/>
  <c r="J624" i="1" s="1"/>
  <c r="H605" i="1"/>
  <c r="J605" i="1" s="1"/>
  <c r="J626" i="1"/>
  <c r="H557" i="1"/>
  <c r="H602" i="1"/>
  <c r="J602" i="1" s="1"/>
  <c r="J623" i="1"/>
  <c r="J625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3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<sst xmlns="http://schemas.openxmlformats.org/spreadsheetml/2006/main" count="21612" uniqueCount="2842">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</sst>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19" tableType="queryTable" totalsRowShown="0">
  <autoFilter ref="A1:T21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03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7.4217653904830524E-2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3768.609088385394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-6.6593655044643821E-4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0.66691054557534701</v>
      </c>
      <c r="J7">
        <f>(Table3[[#This Row],[HomeMargin]]-Table3[[#This Row],[HomeForecast]])^2</f>
        <v>0.11094858464891298</v>
      </c>
    </row>
    <row r="8" spans="1:10" x14ac:dyDescent="0.2">
      <c r="A8" s="4" t="s">
        <v>21</v>
      </c>
      <c r="B8">
        <v>3.9572996236628868E-2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-1.7691068930095266</v>
      </c>
      <c r="J8">
        <f>(Table3[[#This Row],[HomeMargin]]-Table3[[#This Row],[HomeForecast]])^2</f>
        <v>1.5150978408366609</v>
      </c>
    </row>
    <row r="9" spans="1:10" x14ac:dyDescent="0.2">
      <c r="A9" s="4" t="s">
        <v>23</v>
      </c>
      <c r="B9">
        <v>0.18511137883580026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2.8630652195806752E-2</v>
      </c>
      <c r="J9">
        <f>(Table3[[#This Row],[HomeMargin]]-Table3[[#This Row],[HomeForecast]])^2</f>
        <v>9.1726036274199991</v>
      </c>
    </row>
    <row r="10" spans="1:10" x14ac:dyDescent="0.2">
      <c r="A10" s="4" t="s">
        <v>16</v>
      </c>
      <c r="B10">
        <v>-0.21926170023436534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0.36452896857031913</v>
      </c>
      <c r="J10">
        <f>(Table3[[#This Row],[HomeMargin]]-Table3[[#This Row],[HomeForecast]])^2</f>
        <v>1.8619393060675786</v>
      </c>
    </row>
    <row r="11" spans="1:10" x14ac:dyDescent="0.2">
      <c r="A11" s="4" t="s">
        <v>25</v>
      </c>
      <c r="B11">
        <v>0.45392063308446812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-3.5548153571461377E-2</v>
      </c>
      <c r="J11">
        <f>(Table3[[#This Row],[HomeMargin]]-Table3[[#This Row],[HomeForecast]])^2</f>
        <v>9.214552592651108</v>
      </c>
    </row>
    <row r="12" spans="1:10" x14ac:dyDescent="0.2">
      <c r="A12" s="4" t="s">
        <v>10</v>
      </c>
      <c r="B12">
        <v>-0.39984103039900787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0.20393673341017313</v>
      </c>
      <c r="J12">
        <f>(Table3[[#This Row],[HomeMargin]]-Table3[[#This Row],[HomeForecast]])^2</f>
        <v>1.4494636580543583</v>
      </c>
    </row>
    <row r="13" spans="1:10" x14ac:dyDescent="0.2">
      <c r="A13" s="4" t="s">
        <v>12</v>
      </c>
      <c r="B13">
        <v>1.8591692540144091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0.49075170198813362</v>
      </c>
      <c r="J13">
        <f>(Table3[[#This Row],[HomeMargin]]-Table3[[#This Row],[HomeForecast]])^2</f>
        <v>6.2038440409567848</v>
      </c>
    </row>
    <row r="14" spans="1:10" x14ac:dyDescent="0.2">
      <c r="A14" s="4" t="s">
        <v>28</v>
      </c>
      <c r="B14">
        <v>-0.19727709229606127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0.51363168054046726</v>
      </c>
      <c r="J14">
        <f>(Table3[[#This Row],[HomeMargin]]-Table3[[#This Row],[HomeForecast]])^2</f>
        <v>0.23655414217389009</v>
      </c>
    </row>
    <row r="15" spans="1:10" x14ac:dyDescent="0.2">
      <c r="A15" s="4" t="s">
        <v>39</v>
      </c>
      <c r="B15">
        <v>0.76796514781800074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0.26557966682432599</v>
      </c>
      <c r="J15">
        <f>(Table3[[#This Row],[HomeMargin]]-Table3[[#This Row],[HomeForecast]])^2</f>
        <v>18.195169894025131</v>
      </c>
    </row>
    <row r="16" spans="1:10" x14ac:dyDescent="0.2">
      <c r="A16" s="4" t="s">
        <v>26</v>
      </c>
      <c r="B16">
        <v>-8.5361594338821137E-2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0.59009087505001212</v>
      </c>
      <c r="J16">
        <f>(Table3[[#This Row],[HomeMargin]]-Table3[[#This Row],[HomeForecast]])^2</f>
        <v>5.8076619905172171</v>
      </c>
    </row>
    <row r="17" spans="1:10" x14ac:dyDescent="0.2">
      <c r="A17" s="4" t="s">
        <v>17</v>
      </c>
      <c r="B17">
        <v>7.1049614431123245E-2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1.6191032180976104</v>
      </c>
      <c r="J17">
        <f>(Table3[[#This Row],[HomeMargin]]-Table3[[#This Row],[HomeForecast]])^2</f>
        <v>0.38328879465881732</v>
      </c>
    </row>
    <row r="18" spans="1:10" x14ac:dyDescent="0.2">
      <c r="A18" s="4" t="s">
        <v>11</v>
      </c>
      <c r="B18">
        <v>0.19285186127150866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-0.1201728851455534</v>
      </c>
      <c r="J18">
        <f>(Table3[[#This Row],[HomeMargin]]-Table3[[#This Row],[HomeForecast]])^2</f>
        <v>15.053058441159779</v>
      </c>
    </row>
    <row r="19" spans="1:10" x14ac:dyDescent="0.2">
      <c r="A19" s="4" t="s">
        <v>13</v>
      </c>
      <c r="B19">
        <v>1.584470710005189E-2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8.922770409161862E-2</v>
      </c>
      <c r="J19">
        <f>(Table3[[#This Row],[HomeMargin]]-Table3[[#This Row],[HomeForecast]])^2</f>
        <v>0.82950617499422419</v>
      </c>
    </row>
    <row r="20" spans="1:10" x14ac:dyDescent="0.2">
      <c r="A20" s="4" t="s">
        <v>34</v>
      </c>
      <c r="B20">
        <v>0.59379638322319717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-4.8797425406442385E-2</v>
      </c>
      <c r="J20">
        <f>(Table3[[#This Row],[HomeMargin]]-Table3[[#This Row],[HomeForecast]])^2</f>
        <v>1.0999760395391822</v>
      </c>
    </row>
    <row r="21" spans="1:10" x14ac:dyDescent="0.2">
      <c r="A21" s="4" t="s">
        <v>18</v>
      </c>
      <c r="B21">
        <v>0.10902894471156278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-5.3352684297942238E-2</v>
      </c>
      <c r="J21">
        <f>(Table3[[#This Row],[HomeMargin]]-Table3[[#This Row],[HomeForecast]])^2</f>
        <v>1.1095518775176803</v>
      </c>
    </row>
    <row r="22" spans="1:10" x14ac:dyDescent="0.2">
      <c r="A22" s="4" t="s">
        <v>29</v>
      </c>
      <c r="B22">
        <v>-0.3202921716073342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-0.21062752065327262</v>
      </c>
      <c r="J22">
        <f>(Table3[[#This Row],[HomeMargin]]-Table3[[#This Row],[HomeForecast]])^2</f>
        <v>4.8868740350696349</v>
      </c>
    </row>
    <row r="23" spans="1:10" x14ac:dyDescent="0.2">
      <c r="A23" s="4" t="s">
        <v>24</v>
      </c>
      <c r="B23">
        <v>-6.1952588060713437E-2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-0.25065163075115537</v>
      </c>
      <c r="J23">
        <f>(Table3[[#This Row],[HomeMargin]]-Table3[[#This Row],[HomeForecast]])^2</f>
        <v>0.56152297849590282</v>
      </c>
    </row>
    <row r="24" spans="1:10" x14ac:dyDescent="0.2">
      <c r="A24" s="4" t="s">
        <v>30</v>
      </c>
      <c r="B24">
        <v>0.16690670582810133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-1.480236719177483</v>
      </c>
      <c r="J24">
        <f>(Table3[[#This Row],[HomeMargin]]-Table3[[#This Row],[HomeForecast]])^2</f>
        <v>12.388733553026489</v>
      </c>
    </row>
    <row r="25" spans="1:10" x14ac:dyDescent="0.2">
      <c r="A25" s="4" t="s">
        <v>15</v>
      </c>
      <c r="B25">
        <v>-6.2506340836952119E-3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0.77622281048813369</v>
      </c>
      <c r="J25">
        <f>(Table3[[#This Row],[HomeMargin]]-Table3[[#This Row],[HomeForecast]])^2</f>
        <v>3.1549674724983645</v>
      </c>
    </row>
    <row r="26" spans="1:10" x14ac:dyDescent="0.2">
      <c r="A26" s="4" t="s">
        <v>36</v>
      </c>
      <c r="B26">
        <v>9.4361646617848058E-2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-0.18930374374549455</v>
      </c>
      <c r="J26">
        <f>(Table3[[#This Row],[HomeMargin]]-Table3[[#This Row],[HomeForecast]])^2</f>
        <v>17.550265857360014</v>
      </c>
    </row>
    <row r="27" spans="1:10" x14ac:dyDescent="0.2">
      <c r="A27" s="4" t="s">
        <v>27</v>
      </c>
      <c r="B27">
        <v>0.17784181108472058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-0.80034436889441929</v>
      </c>
      <c r="J27">
        <f>(Table3[[#This Row],[HomeMargin]]-Table3[[#This Row],[HomeForecast]])^2</f>
        <v>3.9862371032167727E-2</v>
      </c>
    </row>
    <row r="28" spans="1:10" x14ac:dyDescent="0.2">
      <c r="A28" s="4" t="s">
        <v>14</v>
      </c>
      <c r="B28">
        <v>3.9336367625328564E-2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-7.1320728694340862E-2</v>
      </c>
      <c r="J28">
        <f>(Table3[[#This Row],[HomeMargin]]-Table3[[#This Row],[HomeForecast]])^2</f>
        <v>4.2903695611188555</v>
      </c>
    </row>
    <row r="29" spans="1:10" x14ac:dyDescent="0.2">
      <c r="A29" s="4" t="s">
        <v>33</v>
      </c>
      <c r="B29">
        <v>-0.17930549805059143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0.35029647590457808</v>
      </c>
      <c r="J29">
        <f>(Table3[[#This Row],[HomeMargin]]-Table3[[#This Row],[HomeForecast]])^2</f>
        <v>0.42211466922201041</v>
      </c>
    </row>
    <row r="30" spans="1:10" x14ac:dyDescent="0.2">
      <c r="A30" s="4" t="s">
        <v>32</v>
      </c>
      <c r="B30">
        <v>-0.2855111111085496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0.81561394352958161</v>
      </c>
      <c r="J30">
        <f>(Table3[[#This Row],[HomeMargin]]-Table3[[#This Row],[HomeForecast]])^2</f>
        <v>7.9276818789982011</v>
      </c>
    </row>
    <row r="31" spans="1:10" x14ac:dyDescent="0.2">
      <c r="A31" s="4" t="s">
        <v>35</v>
      </c>
      <c r="B31">
        <v>-0.96065798985911643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-0.4346523212057401</v>
      </c>
      <c r="J31">
        <f>(Table3[[#This Row],[HomeMargin]]-Table3[[#This Row],[HomeForecast]])^2</f>
        <v>0.31961799791805773</v>
      </c>
    </row>
    <row r="32" spans="1:10" x14ac:dyDescent="0.2">
      <c r="A32" s="4" t="s">
        <v>37</v>
      </c>
      <c r="B32">
        <v>0.79636680320115127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1.1654217601012389</v>
      </c>
      <c r="J32">
        <f>(Table3[[#This Row],[HomeMargin]]-Table3[[#This Row],[HomeForecast]])^2</f>
        <v>4.6890513991199487</v>
      </c>
    </row>
    <row r="33" spans="1:10" x14ac:dyDescent="0.2">
      <c r="A33" s="4" t="s">
        <v>19</v>
      </c>
      <c r="B33">
        <v>-7.3686276472912369E-4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-1.0407077669261489E-2</v>
      </c>
      <c r="J33">
        <f>(Table3[[#This Row],[HomeMargin]]-Table3[[#This Row],[HomeForecast]])^2</f>
        <v>9.062550773281183</v>
      </c>
    </row>
    <row r="34" spans="1:10" x14ac:dyDescent="0.2">
      <c r="A34" t="s">
        <v>55</v>
      </c>
      <c r="B34">
        <v>0.3142836898216293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0.62805036622064425</v>
      </c>
      <c r="J34">
        <f>(Table3[[#This Row],[HomeMargin]]-Table3[[#This Row],[HomeForecast]])^2</f>
        <v>1.8822457976273084</v>
      </c>
    </row>
    <row r="35" spans="1:10" x14ac:dyDescent="0.2">
      <c r="A35" s="4" t="s">
        <v>38</v>
      </c>
      <c r="B35">
        <v>-0.48278309788469043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0.17270786855849113</v>
      </c>
      <c r="J35">
        <f>(Table3[[#This Row],[HomeMargin]]-Table3[[#This Row],[HomeForecast]])^2</f>
        <v>14.648165059394087</v>
      </c>
    </row>
    <row r="36" spans="1:10" x14ac:dyDescent="0.2">
      <c r="A36" s="4" t="s">
        <v>20</v>
      </c>
      <c r="B36">
        <v>0.14556378660539449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0.86529112942408892</v>
      </c>
      <c r="J36">
        <f>(Table3[[#This Row],[HomeMargin]]-Table3[[#This Row],[HomeForecast]])^2</f>
        <v>14.940475515204549</v>
      </c>
    </row>
    <row r="37" spans="1:10" x14ac:dyDescent="0.2">
      <c r="A37" s="4" t="s">
        <v>22</v>
      </c>
      <c r="B37">
        <v>0.45610704431993199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-0.5603582075241329</v>
      </c>
      <c r="J37">
        <f>(Table3[[#This Row],[HomeMargin]]-Table3[[#This Row],[HomeForecast]])^2</f>
        <v>0.19328490569139339</v>
      </c>
    </row>
    <row r="38" spans="1:10" x14ac:dyDescent="0.2">
      <c r="A38" s="4" t="s">
        <v>40</v>
      </c>
      <c r="B38">
        <v>-0.10659687498124908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-0.21498268458700015</v>
      </c>
      <c r="J38">
        <f>(Table3[[#This Row],[HomeMargin]]-Table3[[#This Row],[HomeForecast]])^2</f>
        <v>3.1862868163242326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0.1198046556138543</v>
      </c>
      <c r="J39">
        <f>(Table3[[#This Row],[HomeMargin]]-Table3[[#This Row],[HomeForecast]])^2</f>
        <v>26.212399711645297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-0.35685724380911354</v>
      </c>
      <c r="J40">
        <f>(Table3[[#This Row],[HomeMargin]]-Table3[[#This Row],[HomeForecast]])^2</f>
        <v>1.8410615800772643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-0.10442190759531446</v>
      </c>
      <c r="J41">
        <f>(Table3[[#This Row],[HomeMargin]]-Table3[[#This Row],[HomeForecast]])^2</f>
        <v>0.8020601195952155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0.93253704516669522</v>
      </c>
      <c r="J42">
        <f>(Table3[[#This Row],[HomeMargin]]-Table3[[#This Row],[HomeForecast]])^2</f>
        <v>8.5997735212750115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-4.8223928176470442E-2</v>
      </c>
      <c r="J43">
        <f>(Table3[[#This Row],[HomeMargin]]-Table3[[#This Row],[HomeForecast]])^2</f>
        <v>1.0987734036017103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-0.3881400244987967</v>
      </c>
      <c r="J44">
        <f>(Table3[[#This Row],[HomeMargin]]-Table3[[#This Row],[HomeForecast]])^2</f>
        <v>0.37437262962033313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-0.68257615305969188</v>
      </c>
      <c r="J45">
        <f>(Table3[[#This Row],[HomeMargin]]-Table3[[#This Row],[HomeForecast]])^2</f>
        <v>0.10075789860638415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-1.5998402212737783</v>
      </c>
      <c r="J46">
        <f>(Table3[[#This Row],[HomeMargin]]-Table3[[#This Row],[HomeForecast]])^2</f>
        <v>0.16012784851021869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-6.1106850330517312E-2</v>
      </c>
      <c r="J47">
        <f>(Table3[[#This Row],[HomeMargin]]-Table3[[#This Row],[HomeForecast]])^2</f>
        <v>0.88152034649628164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-0.63990706631580663</v>
      </c>
      <c r="J48">
        <f>(Table3[[#This Row],[HomeMargin]]-Table3[[#This Row],[HomeForecast]])^2</f>
        <v>6.9691093187841284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0.65216933002797572</v>
      </c>
      <c r="J49">
        <f>(Table3[[#This Row],[HomeMargin]]-Table3[[#This Row],[HomeForecast]])^2</f>
        <v>0.12098617497318727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0.34772123471418093</v>
      </c>
      <c r="J50">
        <f>(Table3[[#This Row],[HomeMargin]]-Table3[[#This Row],[HomeForecast]])^2</f>
        <v>11.20723746535624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0.48887147213001281</v>
      </c>
      <c r="J51">
        <f>(Table3[[#This Row],[HomeMargin]]-Table3[[#This Row],[HomeForecast]])^2</f>
        <v>12.172224149042643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5.9207603718042456E-2</v>
      </c>
      <c r="J52">
        <f>(Table3[[#This Row],[HomeMargin]]-Table3[[#This Row],[HomeForecast]])^2</f>
        <v>8.6482599180297779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0.15884238547892254</v>
      </c>
      <c r="J53">
        <f>(Table3[[#This Row],[HomeMargin]]-Table3[[#This Row],[HomeForecast]])^2</f>
        <v>1.3429156743824795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0.55209254587925649</v>
      </c>
      <c r="J54">
        <f>(Table3[[#This Row],[HomeMargin]]-Table3[[#This Row],[HomeForecast]])^2</f>
        <v>12.617361454490977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3.4215349729055516E-2</v>
      </c>
      <c r="J55">
        <f>(Table3[[#This Row],[HomeMargin]]-Table3[[#This Row],[HomeForecast]])^2</f>
        <v>0.93273999069897062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-0.29060783293492931</v>
      </c>
      <c r="J56">
        <f>(Table3[[#This Row],[HomeMargin]]-Table3[[#This Row],[HomeForecast]])^2</f>
        <v>2.9220215808234187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0.24838641849963405</v>
      </c>
      <c r="J57">
        <f>(Table3[[#This Row],[HomeMargin]]-Table3[[#This Row],[HomeForecast]])^2</f>
        <v>7.5713773018972708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0.46875770972494291</v>
      </c>
      <c r="J58">
        <f>(Table3[[#This Row],[HomeMargin]]-Table3[[#This Row],[HomeForecast]])^2</f>
        <v>0.282218370976688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-3.0825946099879292E-3</v>
      </c>
      <c r="J59">
        <f>(Table3[[#This Row],[HomeMargin]]-Table3[[#This Row],[HomeForecast]])^2</f>
        <v>3.9876791239495777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-0.55900847723022906</v>
      </c>
      <c r="J60">
        <f>(Table3[[#This Row],[HomeMargin]]-Table3[[#This Row],[HomeForecast]])^2</f>
        <v>11.840422659773427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0.39377296274743562</v>
      </c>
      <c r="J61">
        <f>(Table3[[#This Row],[HomeMargin]]-Table3[[#This Row],[HomeForecast]])^2</f>
        <v>6.7924193697062787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-0.2660421049763888</v>
      </c>
      <c r="J62">
        <f>(Table3[[#This Row],[HomeMargin]]-Table3[[#This Row],[HomeForecast]])^2</f>
        <v>1.6028626115730455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0.16496738612278272</v>
      </c>
      <c r="J63">
        <f>(Table3[[#This Row],[HomeMargin]]-Table3[[#This Row],[HomeForecast]])^2</f>
        <v>14.707475149501922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-0.20399580170549927</v>
      </c>
      <c r="J64">
        <f>(Table3[[#This Row],[HomeMargin]]-Table3[[#This Row],[HomeForecast]])^2</f>
        <v>10.265589097346465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-0.48659930555527808</v>
      </c>
      <c r="J65">
        <f>(Table3[[#This Row],[HomeMargin]]-Table3[[#This Row],[HomeForecast]])^2</f>
        <v>20.3707858286141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0.60776304396082514</v>
      </c>
      <c r="J66">
        <f>(Table3[[#This Row],[HomeMargin]]-Table3[[#This Row],[HomeForecast]])^2</f>
        <v>1.9383237417612276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-0.38036891573008402</v>
      </c>
      <c r="J67">
        <f>(Table3[[#This Row],[HomeMargin]]-Table3[[#This Row],[HomeForecast]])^2</f>
        <v>6.8624670176731755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-1.9822286924056398</v>
      </c>
      <c r="J68">
        <f>(Table3[[#This Row],[HomeMargin]]-Table3[[#This Row],[HomeForecast]])^2</f>
        <v>1.0358584345623338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1.3249658996075215</v>
      </c>
      <c r="J69">
        <f>(Table3[[#This Row],[HomeMargin]]-Table3[[#This Row],[HomeForecast]])^2</f>
        <v>11.055398233552856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5.0725993379553844E-2</v>
      </c>
      <c r="J70">
        <f>(Table3[[#This Row],[HomeMargin]]-Table3[[#This Row],[HomeForecast]])^2</f>
        <v>4.2054770999225575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0.50353877022372751</v>
      </c>
      <c r="J71">
        <f>(Table3[[#This Row],[HomeMargin]]-Table3[[#This Row],[HomeForecast]])^2</f>
        <v>0.24647375267096883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-0.18058679542739159</v>
      </c>
      <c r="J72">
        <f>(Table3[[#This Row],[HomeMargin]]-Table3[[#This Row],[HomeForecast]])^2</f>
        <v>4.7549587723923006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0.17007474530180861</v>
      </c>
      <c r="J73">
        <f>(Table3[[#This Row],[HomeMargin]]-Table3[[#This Row],[HomeForecast]])^2</f>
        <v>3.348626437782241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0.45409041163122821</v>
      </c>
      <c r="J74">
        <f>(Table3[[#This Row],[HomeMargin]]-Table3[[#This Row],[HomeForecast]])^2</f>
        <v>0.29801727867296185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0.35865633997080021</v>
      </c>
      <c r="J75">
        <f>(Table3[[#This Row],[HomeMargin]]-Table3[[#This Row],[HomeForecast]])^2</f>
        <v>11.280572410026052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7.9731425223796615E-2</v>
      </c>
      <c r="J76">
        <f>(Table3[[#This Row],[HomeMargin]]-Table3[[#This Row],[HomeForecast]])^2</f>
        <v>0.84689424972062466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0.18020844427359617</v>
      </c>
      <c r="J77">
        <f>(Table3[[#This Row],[HomeMargin]]-Table3[[#This Row],[HomeForecast]])^2</f>
        <v>0.67205819484031748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0.1571597213905131</v>
      </c>
      <c r="J78">
        <f>(Table3[[#This Row],[HomeMargin]]-Table3[[#This Row],[HomeForecast]])^2</f>
        <v>1.3390186208085699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-0.80751074363514186</v>
      </c>
      <c r="J79">
        <f>(Table3[[#This Row],[HomeMargin]]-Table3[[#This Row],[HomeForecast]])^2</f>
        <v>3.2670950883564633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0.56780684177705121</v>
      </c>
      <c r="J80">
        <f>(Table3[[#This Row],[HomeMargin]]-Table3[[#This Row],[HomeForecast]])^2</f>
        <v>5.9155635589065216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-6.3471684998434696E-2</v>
      </c>
      <c r="J81">
        <f>(Table3[[#This Row],[HomeMargin]]-Table3[[#This Row],[HomeForecast]])^2</f>
        <v>16.51180213478402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6.6477171469122132E-2</v>
      </c>
      <c r="J82">
        <f>(Table3[[#This Row],[HomeMargin]]-Table3[[#This Row],[HomeForecast]])^2</f>
        <v>8.6055561855118015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-0.91942624159238207</v>
      </c>
      <c r="J83">
        <f>(Table3[[#This Row],[HomeMargin]]-Table3[[#This Row],[HomeForecast]])^2</f>
        <v>3.6841970969134579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1.8938139116826107</v>
      </c>
      <c r="J84">
        <f>(Table3[[#This Row],[HomeMargin]]-Table3[[#This Row],[HomeForecast]])^2</f>
        <v>1.223647661986927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-0.36385827207958571</v>
      </c>
      <c r="J85">
        <f>(Table3[[#This Row],[HomeMargin]]-Table3[[#This Row],[HomeForecast]])^2</f>
        <v>0.40467629800157034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0.18949723270008853</v>
      </c>
      <c r="J86">
        <f>(Table3[[#This Row],[HomeMargin]]-Table3[[#This Row],[HomeForecast]])^2</f>
        <v>1.4149036666011687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-5.8784548587006158E-2</v>
      </c>
      <c r="J87">
        <f>(Table3[[#This Row],[HomeMargin]]-Table3[[#This Row],[HomeForecast]])^2</f>
        <v>4.238593817500603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1.6725946945772563E-3</v>
      </c>
      <c r="J88">
        <f>(Table3[[#This Row],[HomeMargin]]-Table3[[#This Row],[HomeForecast]])^2</f>
        <v>1.0033479869621669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-0.34173691823364605</v>
      </c>
      <c r="J89">
        <f>(Table3[[#This Row],[HomeMargin]]-Table3[[#This Row],[HomeForecast]])^2</f>
        <v>1.8002579577511217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-0.14442421177108947</v>
      </c>
      <c r="J90">
        <f>(Table3[[#This Row],[HomeMargin]]-Table3[[#This Row],[HomeForecast]])^2</f>
        <v>8.1543130823191632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-1.6544054837722868</v>
      </c>
      <c r="J91">
        <f>(Table3[[#This Row],[HomeMargin]]-Table3[[#This Row],[HomeForecast]])^2</f>
        <v>13.354679439824961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0.35899190224865102</v>
      </c>
      <c r="J92">
        <f>(Table3[[#This Row],[HomeMargin]]-Table3[[#This Row],[HomeForecast]])^2</f>
        <v>1.8468589903774069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0.43904314074459039</v>
      </c>
      <c r="J93">
        <f>(Table3[[#This Row],[HomeMargin]]-Table3[[#This Row],[HomeForecast]])^2</f>
        <v>20.802327471988974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0.28791295053091565</v>
      </c>
      <c r="J94">
        <f>(Table3[[#This Row],[HomeMargin]]-Table3[[#This Row],[HomeForecast]])^2</f>
        <v>7.3554161638979236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-0.32495743994373089</v>
      </c>
      <c r="J95">
        <f>(Table3[[#This Row],[HomeMargin]]-Table3[[#This Row],[HomeForecast]])^2</f>
        <v>1.7555122176622453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-8.2193554865113858E-2</v>
      </c>
      <c r="J96">
        <f>(Table3[[#This Row],[HomeMargin]]-Table3[[#This Row],[HomeForecast]])^2</f>
        <v>4.3355299999218211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0.34892834748983098</v>
      </c>
      <c r="J97">
        <f>(Table3[[#This Row],[HomeMargin]]-Table3[[#This Row],[HomeForecast]])^2</f>
        <v>0.4238942967023222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1.0131077961094528</v>
      </c>
      <c r="J98">
        <f>(Table3[[#This Row],[HomeMargin]]-Table3[[#This Row],[HomeForecast]])^2</f>
        <v>4.0526029987566581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-3.844717134828575E-2</v>
      </c>
      <c r="J99">
        <f>(Table3[[#This Row],[HomeMargin]]-Table3[[#This Row],[HomeForecast]])^2</f>
        <v>0.92458384228811286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-1.8647802194069474E-3</v>
      </c>
      <c r="J100">
        <f>(Table3[[#This Row],[HomeMargin]]-Table3[[#This Row],[HomeForecast]])^2</f>
        <v>4.0074625982828938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-0.52582936340206188</v>
      </c>
      <c r="J101">
        <f>(Table3[[#This Row],[HomeMargin]]-Table3[[#This Row],[HomeForecast]])^2</f>
        <v>2.1731790658075703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0.53757057609810066</v>
      </c>
      <c r="J102">
        <f>(Table3[[#This Row],[HomeMargin]]-Table3[[#This Row],[HomeForecast]])^2</f>
        <v>6.0635586676978406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-0.23413919257424309</v>
      </c>
      <c r="J103">
        <f>(Table3[[#This Row],[HomeMargin]]-Table3[[#This Row],[HomeForecast]])^2</f>
        <v>10.459656316944777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-7.9061211130049269E-2</v>
      </c>
      <c r="J104">
        <f>(Table3[[#This Row],[HomeMargin]]-Table3[[#This Row],[HomeForecast]])^2</f>
        <v>0.84812825284525173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1.0394598940188926</v>
      </c>
      <c r="J105">
        <f>(Table3[[#This Row],[HomeMargin]]-Table3[[#This Row],[HomeForecast]])^2</f>
        <v>25.396156023424908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-0.24540858115205721</v>
      </c>
      <c r="J106">
        <f>(Table3[[#This Row],[HomeMargin]]-Table3[[#This Row],[HomeForecast]])^2</f>
        <v>7.587773884790721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0.42042985778352326</v>
      </c>
      <c r="J107">
        <f>(Table3[[#This Row],[HomeMargin]]-Table3[[#This Row],[HomeForecast]])^2</f>
        <v>0.33590154974882708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9.7529686091555337E-2</v>
      </c>
      <c r="J108">
        <f>(Table3[[#This Row],[HomeMargin]]-Table3[[#This Row],[HomeForecast]])^2</f>
        <v>1.2045714118522279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0.59633711941484946</v>
      </c>
      <c r="J109">
        <f>(Table3[[#This Row],[HomeMargin]]-Table3[[#This Row],[HomeForecast]])^2</f>
        <v>11.584921004673204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-0.90228504305433788</v>
      </c>
      <c r="J110">
        <f>(Table3[[#This Row],[HomeMargin]]-Table3[[#This Row],[HomeForecast]])^2</f>
        <v>9.5482128108926017E-3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0.13543337920081483</v>
      </c>
      <c r="J111">
        <f>(Table3[[#This Row],[HomeMargin]]-Table3[[#This Row],[HomeForecast]])^2</f>
        <v>9.8309424754066388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-1.4706679102879492</v>
      </c>
      <c r="J112">
        <f>(Table3[[#This Row],[HomeMargin]]-Table3[[#This Row],[HomeForecast]])^2</f>
        <v>6.1041999229266217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0.81583580933331201</v>
      </c>
      <c r="J113">
        <f>(Table3[[#This Row],[HomeMargin]]-Table3[[#This Row],[HomeForecast]])^2</f>
        <v>4.7705732117906674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0.34469062707945192</v>
      </c>
      <c r="J114">
        <f>(Table3[[#This Row],[HomeMargin]]-Table3[[#This Row],[HomeForecast]])^2</f>
        <v>2.7400491200786181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-0.2540729910410976</v>
      </c>
      <c r="J115">
        <f>(Table3[[#This Row],[HomeMargin]]-Table3[[#This Row],[HomeForecast]])^2</f>
        <v>0.55640710269437443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-0.58153131737908004</v>
      </c>
      <c r="J116">
        <f>(Table3[[#This Row],[HomeMargin]]-Table3[[#This Row],[HomeForecast]])^2</f>
        <v>12.827366577367128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0.11445658669190584</v>
      </c>
      <c r="J117">
        <f>(Table3[[#This Row],[HomeMargin]]-Table3[[#This Row],[HomeForecast]])^2</f>
        <v>4.4709266570047852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1.4794662748347716</v>
      </c>
      <c r="J118">
        <f>(Table3[[#This Row],[HomeMargin]]-Table3[[#This Row],[HomeForecast]])^2</f>
        <v>6.1477530080430176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0.8263380946227793</v>
      </c>
      <c r="J119">
        <f>(Table3[[#This Row],[HomeMargin]]-Table3[[#This Row],[HomeForecast]])^2</f>
        <v>3.3355108358703633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3.6238323624390986E-2</v>
      </c>
      <c r="J120">
        <f>(Table3[[#This Row],[HomeMargin]]-Table3[[#This Row],[HomeForecast]])^2</f>
        <v>0.92883656885032417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0.22773314755101065</v>
      </c>
      <c r="J121">
        <f>(Table3[[#This Row],[HomeMargin]]-Table3[[#This Row],[HomeForecast]])^2</f>
        <v>4.9627949766975332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0.23670858018218677</v>
      </c>
      <c r="J122">
        <f>(Table3[[#This Row],[HomeMargin]]-Table3[[#This Row],[HomeForecast]])^2</f>
        <v>0.58261379156749316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0.32648595407175296</v>
      </c>
      <c r="J123">
        <f>(Table3[[#This Row],[HomeMargin]]-Table3[[#This Row],[HomeForecast]])^2</f>
        <v>21.841733537488611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0.24727251787172674</v>
      </c>
      <c r="J124">
        <f>(Table3[[#This Row],[HomeMargin]]-Table3[[#This Row],[HomeForecast]])^2</f>
        <v>1.5556887338380769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-9.2625105620419979E-3</v>
      </c>
      <c r="J125">
        <f>(Table3[[#This Row],[HomeMargin]]-Table3[[#This Row],[HomeForecast]])^2</f>
        <v>1.0186108152259961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-1.2007240257759153</v>
      </c>
      <c r="J126">
        <f>(Table3[[#This Row],[HomeMargin]]-Table3[[#This Row],[HomeForecast]])^2</f>
        <v>3.2373940314200289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1.2704254875049896</v>
      </c>
      <c r="J127">
        <f>(Table3[[#This Row],[HomeMargin]]-Table3[[#This Row],[HomeForecast]])^2</f>
        <v>5.1548318943122702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0.25313189003213105</v>
      </c>
      <c r="J128">
        <f>(Table3[[#This Row],[HomeMargin]]-Table3[[#This Row],[HomeForecast]])^2</f>
        <v>10.582867093944024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0.26006589550535991</v>
      </c>
      <c r="J129">
        <f>(Table3[[#This Row],[HomeMargin]]-Table3[[#This Row],[HomeForecast]])^2</f>
        <v>3.0273706879835651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-0.57916648271116278</v>
      </c>
      <c r="J130">
        <f>(Table3[[#This Row],[HomeMargin]]-Table3[[#This Row],[HomeForecast]])^2</f>
        <v>11.702101953006716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0.1915705638947085</v>
      </c>
      <c r="J131">
        <f>(Table3[[#This Row],[HomeMargin]]-Table3[[#This Row],[HomeForecast]])^2</f>
        <v>3.2704170253721028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0.18688247915794678</v>
      </c>
      <c r="J132">
        <f>(Table3[[#This Row],[HomeMargin]]-Table3[[#This Row],[HomeForecast]])^2</f>
        <v>3.2873951443844329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-1.7453786038729497</v>
      </c>
      <c r="J133">
        <f>(Table3[[#This Row],[HomeMargin]]-Table3[[#This Row],[HomeForecast]])^2</f>
        <v>7.5371036786033851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0.3882621686383631</v>
      </c>
      <c r="J134">
        <f>(Table3[[#This Row],[HomeMargin]]-Table3[[#This Row],[HomeForecast]])^2</f>
        <v>0.37422317431903845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0.94951404942512585</v>
      </c>
      <c r="J135">
        <f>(Table3[[#This Row],[HomeMargin]]-Table3[[#This Row],[HomeForecast]])^2</f>
        <v>1.1035207323551968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0.12150572857094472</v>
      </c>
      <c r="J136">
        <f>(Table3[[#This Row],[HomeMargin]]-Table3[[#This Row],[HomeForecast]])^2</f>
        <v>8.2857292706498864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0.35373034730639835</v>
      </c>
      <c r="J137">
        <f>(Table3[[#This Row],[HomeMargin]]-Table3[[#This Row],[HomeForecast]])^2</f>
        <v>18.954967937056693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-0.26191922480255553</v>
      </c>
      <c r="J138">
        <f>(Table3[[#This Row],[HomeMargin]]-Table3[[#This Row],[HomeForecast]])^2</f>
        <v>1.5924401299262825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8.5152759161449793E-2</v>
      </c>
      <c r="J139">
        <f>(Table3[[#This Row],[HomeMargin]]-Table3[[#This Row],[HomeForecast]])^2</f>
        <v>0.83694547406990827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0.31083111382622036</v>
      </c>
      <c r="J140">
        <f>(Table3[[#This Row],[HomeMargin]]-Table3[[#This Row],[HomeForecast]])^2</f>
        <v>1.7182782089748894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-0.28234307163484229</v>
      </c>
      <c r="J141">
        <f>(Table3[[#This Row],[HomeMargin]]-Table3[[#This Row],[HomeForecast]])^2</f>
        <v>1.6444037533698823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0.8712503936564282</v>
      </c>
      <c r="J142">
        <f>(Table3[[#This Row],[HomeMargin]]-Table3[[#This Row],[HomeForecast]])^2</f>
        <v>1.6576461133624702E-2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-0.11163058769569885</v>
      </c>
      <c r="J143">
        <f>(Table3[[#This Row],[HomeMargin]]-Table3[[#This Row],[HomeForecast]])^2</f>
        <v>1.235722563500685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-0.51759438869142271</v>
      </c>
      <c r="J144">
        <f>(Table3[[#This Row],[HomeMargin]]-Table3[[#This Row],[HomeForecast]])^2</f>
        <v>0.23271517382200216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0.4359630516069144</v>
      </c>
      <c r="J145">
        <f>(Table3[[#This Row],[HomeMargin]]-Table3[[#This Row],[HomeForecast]])^2</f>
        <v>41.421620401649385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-0.1387934122458396</v>
      </c>
      <c r="J146">
        <f>(Table3[[#This Row],[HomeMargin]]-Table3[[#This Row],[HomeForecast]])^2</f>
        <v>17.129610909249564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-0.3414680835942292</v>
      </c>
      <c r="J147">
        <f>(Table3[[#This Row],[HomeMargin]]-Table3[[#This Row],[HomeForecast]])^2</f>
        <v>2.7507281177365988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0.84731953517861913</v>
      </c>
      <c r="J148">
        <f>(Table3[[#This Row],[HomeMargin]]-Table3[[#This Row],[HomeForecast]])^2</f>
        <v>3.4125894650525495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-1.8469041881702921</v>
      </c>
      <c r="J149">
        <f>(Table3[[#This Row],[HomeMargin]]-Table3[[#This Row],[HomeForecast]])^2</f>
        <v>8.1048634566215494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-1.0140396655205044</v>
      </c>
      <c r="J150">
        <f>(Table3[[#This Row],[HomeMargin]]-Table3[[#This Row],[HomeForecast]])^2</f>
        <v>1.9711220792763997E-4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0.72502067050058727</v>
      </c>
      <c r="J151">
        <f>(Table3[[#This Row],[HomeMargin]]-Table3[[#This Row],[HomeForecast]])^2</f>
        <v>7.5613631651946595E-2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-0.47961505841098312</v>
      </c>
      <c r="J152">
        <f>(Table3[[#This Row],[HomeMargin]]-Table3[[#This Row],[HomeForecast]])^2</f>
        <v>2.1892607210765367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-0.34666291089804785</v>
      </c>
      <c r="J153">
        <f>(Table3[[#This Row],[HomeMargin]]-Table3[[#This Row],[HomeForecast]])^2</f>
        <v>0.4268493519962121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0.1290063042860497</v>
      </c>
      <c r="J154">
        <f>(Table3[[#This Row],[HomeMargin]]-Table3[[#This Row],[HomeForecast]])^2</f>
        <v>23.726579583685044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1.0742120113892755</v>
      </c>
      <c r="J155">
        <f>(Table3[[#This Row],[HomeMargin]]-Table3[[#This Row],[HomeForecast]])^2</f>
        <v>3.7086593770773399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-5.3116055686641933E-2</v>
      </c>
      <c r="J156">
        <f>(Table3[[#This Row],[HomeMargin]]-Table3[[#This Row],[HomeForecast]])^2</f>
        <v>9.3215176494915593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0.45660612503669207</v>
      </c>
      <c r="J157">
        <f>(Table3[[#This Row],[HomeMargin]]-Table3[[#This Row],[HomeForecast]])^2</f>
        <v>2.1217014034944071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0.38257450038390417</v>
      </c>
      <c r="J158">
        <f>(Table3[[#This Row],[HomeMargin]]-Table3[[#This Row],[HomeForecast]])^2</f>
        <v>11.441810250647418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-0.4199850231120254</v>
      </c>
      <c r="J159">
        <f>(Table3[[#This Row],[HomeMargin]]-Table3[[#This Row],[HomeForecast]])^2</f>
        <v>19.536267604534615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1.9953394959799531</v>
      </c>
      <c r="J160">
        <f>(Table3[[#This Row],[HomeMargin]]-Table3[[#This Row],[HomeForecast]])^2</f>
        <v>4.018663736377909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0.38607575740289923</v>
      </c>
      <c r="J161">
        <f>(Table3[[#This Row],[HomeMargin]]-Table3[[#This Row],[HomeForecast]])^2</f>
        <v>0.37690297564842384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-0.16901642148567553</v>
      </c>
      <c r="J162">
        <f>(Table3[[#This Row],[HomeMargin]]-Table3[[#This Row],[HomeForecast]])^2</f>
        <v>10.042665079645879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0.26773545172678564</v>
      </c>
      <c r="J163">
        <f>(Table3[[#This Row],[HomeMargin]]-Table3[[#This Row],[HomeForecast]])^2</f>
        <v>1.6071531755649171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0.77461091210927668</v>
      </c>
      <c r="J164">
        <f>(Table3[[#This Row],[HomeMargin]]-Table3[[#This Row],[HomeForecast]])^2</f>
        <v>3.1492438893773187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-1.0424413209036549</v>
      </c>
      <c r="J165">
        <f>(Table3[[#This Row],[HomeMargin]]-Table3[[#This Row],[HomeForecast]])^2</f>
        <v>3.8320359821054271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0.21272309736422257</v>
      </c>
      <c r="J166">
        <f>(Table3[[#This Row],[HomeMargin]]-Table3[[#This Row],[HomeForecast]])^2</f>
        <v>0.61980492142378341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-0.32032240191528183</v>
      </c>
      <c r="J167">
        <f>(Table3[[#This Row],[HomeMargin]]-Table3[[#This Row],[HomeForecast]])^2</f>
        <v>0.46196163733821172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-0.12093255124581279</v>
      </c>
      <c r="J168">
        <f>(Table3[[#This Row],[HomeMargin]]-Table3[[#This Row],[HomeForecast]])^2</f>
        <v>0.77275957945919549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-0.80107874161546477</v>
      </c>
      <c r="J169">
        <f>(Table3[[#This Row],[HomeMargin]]-Table3[[#This Row],[HomeForecast]])^2</f>
        <v>4.8352547005754287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0.29274249137446673</v>
      </c>
      <c r="J170">
        <f>(Table3[[#This Row],[HomeMargin]]-Table3[[#This Row],[HomeForecast]])^2</f>
        <v>0.50021318350719624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-0.40231480989616469</v>
      </c>
      <c r="J171">
        <f>(Table3[[#This Row],[HomeMargin]]-Table3[[#This Row],[HomeForecast]])^2</f>
        <v>2.5525979666771286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-0.12232257562650163</v>
      </c>
      <c r="J172">
        <f>(Table3[[#This Row],[HomeMargin]]-Table3[[#This Row],[HomeForecast]])^2</f>
        <v>9.7488982662669112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-7.1320728694340862E-2</v>
      </c>
      <c r="J173">
        <f>(Table3[[#This Row],[HomeMargin]]-Table3[[#This Row],[HomeForecast]])^2</f>
        <v>1.1477281037301736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0.36123158116119736</v>
      </c>
      <c r="J174">
        <f>(Table3[[#This Row],[HomeMargin]]-Table3[[#This Row],[HomeForecast]])^2</f>
        <v>13.240635605938639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0.15151790241964899</v>
      </c>
      <c r="J175">
        <f>(Table3[[#This Row],[HomeMargin]]-Table3[[#This Row],[HomeForecast]])^2</f>
        <v>1.325993479592948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0.17542395534370353</v>
      </c>
      <c r="J176">
        <f>(Table3[[#This Row],[HomeMargin]]-Table3[[#This Row],[HomeForecast]])^2</f>
        <v>1.3816214747958369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0.6286776695026991</v>
      </c>
      <c r="J177">
        <f>(Table3[[#This Row],[HomeMargin]]-Table3[[#This Row],[HomeForecast]])^2</f>
        <v>13.16730162914754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0.38784100075704392</v>
      </c>
      <c r="J178">
        <f>(Table3[[#This Row],[HomeMargin]]-Table3[[#This Row],[HomeForecast]])^2</f>
        <v>0.37473864035413756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0.57235163659688526</v>
      </c>
      <c r="J179">
        <f>(Table3[[#This Row],[HomeMargin]]-Table3[[#This Row],[HomeForecast]])^2</f>
        <v>5.8934765763338213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-4.3135256085047466E-2</v>
      </c>
      <c r="J180">
        <f>(Table3[[#This Row],[HomeMargin]]-Table3[[#This Row],[HomeForecast]])^2</f>
        <v>9.2606721868278061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-0.40365723806959553</v>
      </c>
      <c r="J181">
        <f>(Table3[[#This Row],[HomeMargin]]-Table3[[#This Row],[HomeForecast]])^2</f>
        <v>0.35562468970678307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0.10261930928798102</v>
      </c>
      <c r="J182">
        <f>(Table3[[#This Row],[HomeMargin]]-Table3[[#This Row],[HomeForecast]])^2</f>
        <v>0.80529210406278029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0.36746180932258932</v>
      </c>
      <c r="J183">
        <f>(Table3[[#This Row],[HomeMargin]]-Table3[[#This Row],[HomeForecast]])^2</f>
        <v>6.9302573253750941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0.15891331169320522</v>
      </c>
      <c r="J184">
        <f>(Table3[[#This Row],[HomeMargin]]-Table3[[#This Row],[HomeForecast]])^2</f>
        <v>8.0717735704740718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-1.6393878135041842</v>
      </c>
      <c r="J185">
        <f>(Table3[[#This Row],[HomeMargin]]-Table3[[#This Row],[HomeForecast]])^2</f>
        <v>0.13004114904929306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0.36341799239666117</v>
      </c>
      <c r="J186">
        <f>(Table3[[#This Row],[HomeMargin]]-Table3[[#This Row],[HomeForecast]])^2</f>
        <v>5.5857446067842629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-0.34012998294300872</v>
      </c>
      <c r="J187">
        <f>(Table3[[#This Row],[HomeMargin]]-Table3[[#This Row],[HomeForecast]])^2</f>
        <v>1.7959483711828288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-0.19677801157930119</v>
      </c>
      <c r="J188">
        <f>(Table3[[#This Row],[HomeMargin]]-Table3[[#This Row],[HomeForecast]])^2</f>
        <v>1.432277608999706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0.83759855146788564</v>
      </c>
      <c r="J189">
        <f>(Table3[[#This Row],[HomeMargin]]-Table3[[#This Row],[HomeForecast]])^2</f>
        <v>2.6374230485328987E-2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0.54510829873496158</v>
      </c>
      <c r="J190">
        <f>(Table3[[#This Row],[HomeMargin]]-Table3[[#This Row],[HomeForecast]])^2</f>
        <v>0.20692645987980096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-0.50089563264166159</v>
      </c>
      <c r="J191">
        <f>(Table3[[#This Row],[HomeMargin]]-Table3[[#This Row],[HomeForecast]])^2</f>
        <v>2.2526877000828134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0.15201494906559584</v>
      </c>
      <c r="J192">
        <f>(Table3[[#This Row],[HomeMargin]]-Table3[[#This Row],[HomeForecast]])^2</f>
        <v>9.9351982391329905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1.1507971350127182</v>
      </c>
      <c r="J193">
        <f>(Table3[[#This Row],[HomeMargin]]-Table3[[#This Row],[HomeForecast]])^2</f>
        <v>3.4195512358771714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8.888495199854525E-2</v>
      </c>
      <c r="J194">
        <f>(Table3[[#This Row],[HomeMargin]]-Table3[[#This Row],[HomeForecast]])^2</f>
        <v>0.83013063069469317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-2.6812817468138322E-2</v>
      </c>
      <c r="J195">
        <f>(Table3[[#This Row],[HomeMargin]]-Table3[[#This Row],[HomeForecast]])^2</f>
        <v>4.1079701970531319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0.25279632775428024</v>
      </c>
      <c r="J196">
        <f>(Table3[[#This Row],[HomeMargin]]-Table3[[#This Row],[HomeForecast]])^2</f>
        <v>10.58068394985173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-0.20504282312002384</v>
      </c>
      <c r="J197">
        <f>(Table3[[#This Row],[HomeMargin]]-Table3[[#This Row],[HomeForecast]])^2</f>
        <v>0.63195691307298163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-1.9642570981601701</v>
      </c>
      <c r="J198">
        <f>(Table3[[#This Row],[HomeMargin]]-Table3[[#This Row],[HomeForecast]])^2</f>
        <v>8.7868201439929532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-7.1715588701747116E-2</v>
      </c>
      <c r="J199">
        <f>(Table3[[#This Row],[HomeMargin]]-Table3[[#This Row],[HomeForecast]])^2</f>
        <v>9.4354366578733213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0.1355043054150975</v>
      </c>
      <c r="J200">
        <f>(Table3[[#This Row],[HomeMargin]]-Table3[[#This Row],[HomeForecast]])^2</f>
        <v>8.2053355842954421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0.43840145202899311</v>
      </c>
      <c r="J201">
        <f>(Table3[[#This Row],[HomeMargin]]-Table3[[#This Row],[HomeForecast]])^2</f>
        <v>0.31539292908314326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0.47132116522391643</v>
      </c>
      <c r="J202">
        <f>(Table3[[#This Row],[HomeMargin]]-Table3[[#This Row],[HomeForecast]])^2</f>
        <v>2.164785971235863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-1.9726249806939766E-2</v>
      </c>
      <c r="J203">
        <f>(Table3[[#This Row],[HomeMargin]]-Table3[[#This Row],[HomeForecast]])^2</f>
        <v>0.96093662531756641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-0.40786545947469144</v>
      </c>
      <c r="J204">
        <f>(Table3[[#This Row],[HomeMargin]]-Table3[[#This Row],[HomeForecast]])^2</f>
        <v>2.5348923951337357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0.23670858018218677</v>
      </c>
      <c r="J205">
        <f>(Table3[[#This Row],[HomeMargin]]-Table3[[#This Row],[HomeForecast]])^2</f>
        <v>1.5294481122962404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0.18854757319528881</v>
      </c>
      <c r="J206">
        <f>(Table3[[#This Row],[HomeMargin]]-Table3[[#This Row],[HomeForecast]])^2</f>
        <v>3.2813598945766778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-0.95748995038540918</v>
      </c>
      <c r="J207">
        <f>(Table3[[#This Row],[HomeMargin]]-Table3[[#This Row],[HomeForecast]])^2</f>
        <v>3.831766905859872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3.4144423514772843E-2</v>
      </c>
      <c r="J208">
        <f>(Table3[[#This Row],[HomeMargin]]-Table3[[#This Row],[HomeForecast]])^2</f>
        <v>0.93287699462761042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-0.11930014391712458</v>
      </c>
      <c r="J209">
        <f>(Table3[[#This Row],[HomeMargin]]-Table3[[#This Row],[HomeForecast]])^2</f>
        <v>16.96863367567564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-5.4954657080998504E-2</v>
      </c>
      <c r="J210">
        <f>(Table3[[#This Row],[HomeMargin]]-Table3[[#This Row],[HomeForecast]])^2</f>
        <v>0.89311070017289329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1.1370201047180883</v>
      </c>
      <c r="J211">
        <f>(Table3[[#This Row],[HomeMargin]]-Table3[[#This Row],[HomeForecast]])^2</f>
        <v>1.8774509096955896E-2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0.77113318729170799</v>
      </c>
      <c r="J212">
        <f>(Table3[[#This Row],[HomeMargin]]-Table3[[#This Row],[HomeForecast]])^2</f>
        <v>5.2380017959252415E-2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0.1966592359861315</v>
      </c>
      <c r="J213">
        <f>(Table3[[#This Row],[HomeMargin]]-Table3[[#This Row],[HomeForecast]])^2</f>
        <v>7.8587194391818604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0.98830620873536179</v>
      </c>
      <c r="J214">
        <f>(Table3[[#This Row],[HomeMargin]]-Table3[[#This Row],[HomeForecast]])^2</f>
        <v>1.3674475414092888E-4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5.4047875316727279E-3</v>
      </c>
      <c r="J215">
        <f>(Table3[[#This Row],[HomeMargin]]-Table3[[#This Row],[HomeForecast]])^2</f>
        <v>1.010838786791608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0.20155136349630298</v>
      </c>
      <c r="J216">
        <f>(Table3[[#This Row],[HomeMargin]]-Table3[[#This Row],[HomeForecast]])^2</f>
        <v>1.4437256791198252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-0.38595361326333277</v>
      </c>
      <c r="J217">
        <f>(Table3[[#This Row],[HomeMargin]]-Table3[[#This Row],[HomeForecast]])^2</f>
        <v>6.8332385120110253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0.30514303484904615</v>
      </c>
      <c r="J218">
        <f>(Table3[[#This Row],[HomeMargin]]-Table3[[#This Row],[HomeForecast]])^2</f>
        <v>0.48282620201879389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5.2233045966526448E-2</v>
      </c>
      <c r="J219">
        <f>(Table3[[#This Row],[HomeMargin]]-Table3[[#This Row],[HomeForecast]])^2</f>
        <v>15.58486392335873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-3.1987959153127632E-2</v>
      </c>
      <c r="J220">
        <f>(Table3[[#This Row],[HomeMargin]]-Table3[[#This Row],[HomeForecast]])^2</f>
        <v>24.681143637999508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-0.24080289868152788</v>
      </c>
      <c r="J221">
        <f>(Table3[[#This Row],[HomeMargin]]-Table3[[#This Row],[HomeForecast]])^2</f>
        <v>5.0211976307395378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-8.7244135808520196E-3</v>
      </c>
      <c r="J222">
        <f>(Table3[[#This Row],[HomeMargin]]-Table3[[#This Row],[HomeForecast]])^2</f>
        <v>8.9477296339072172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1.490982688083879</v>
      </c>
      <c r="J223">
        <f>(Table3[[#This Row],[HomeMargin]]-Table3[[#This Row],[HomeForecast]])^2</f>
        <v>12.31320249532704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1.9429003523611335E-2</v>
      </c>
      <c r="J224">
        <f>(Table3[[#This Row],[HomeMargin]]-Table3[[#This Row],[HomeForecast]])^2</f>
        <v>0.96151947913069791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1.2199870225997471</v>
      </c>
      <c r="J225">
        <f>(Table3[[#This Row],[HomeMargin]]-Table3[[#This Row],[HomeForecast]])^2</f>
        <v>17.808290470910283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-6.5658096233898511E-2</v>
      </c>
      <c r="J226">
        <f>(Table3[[#This Row],[HomeMargin]]-Table3[[#This Row],[HomeForecast]])^2</f>
        <v>1.1356271780688572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0.84284873827327766</v>
      </c>
      <c r="J227">
        <f>(Table3[[#This Row],[HomeMargin]]-Table3[[#This Row],[HomeForecast]])^2</f>
        <v>8.0817889487019663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-0.10278950026662625</v>
      </c>
      <c r="J228">
        <f>(Table3[[#This Row],[HomeMargin]]-Table3[[#This Row],[HomeForecast]])^2</f>
        <v>8.3938286797653046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-9.6763878867445696E-2</v>
      </c>
      <c r="J229">
        <f>(Table3[[#This Row],[HomeMargin]]-Table3[[#This Row],[HomeForecast]])^2</f>
        <v>1.2028910059883651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-0.42391632878722424</v>
      </c>
      <c r="J230">
        <f>(Table3[[#This Row],[HomeMargin]]-Table3[[#This Row],[HomeForecast]])^2</f>
        <v>2.4840397386635407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-0.3425530227897729</v>
      </c>
      <c r="J231">
        <f>(Table3[[#This Row],[HomeMargin]]-Table3[[#This Row],[HomeForecast]])^2</f>
        <v>5.4875546645815021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-0.57658536269092631</v>
      </c>
      <c r="J232">
        <f>(Table3[[#This Row],[HomeMargin]]-Table3[[#This Row],[HomeForecast]])^2</f>
        <v>5.8729385043238693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0.25479698406947304</v>
      </c>
      <c r="J233">
        <f>(Table3[[#This Row],[HomeMargin]]-Table3[[#This Row],[HomeForecast]])^2</f>
        <v>18.103297375646683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-4.8933063502954004E-3</v>
      </c>
      <c r="J234">
        <f>(Table3[[#This Row],[HomeMargin]]-Table3[[#This Row],[HomeForecast]])^2</f>
        <v>8.9706641063452661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-0.35267202349026533</v>
      </c>
      <c r="J235">
        <f>(Table3[[#This Row],[HomeMargin]]-Table3[[#This Row],[HomeForecast]])^2</f>
        <v>7.0083454152111262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1.5090308354881732E-3</v>
      </c>
      <c r="J236">
        <f>(Table3[[#This Row],[HomeMargin]]-Table3[[#This Row],[HomeForecast]])^2</f>
        <v>0.99698421550308614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0.3430269081534984</v>
      </c>
      <c r="J237">
        <f>(Table3[[#This Row],[HomeMargin]]-Table3[[#This Row],[HomeForecast]])^2</f>
        <v>7.0595060107963592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-1.7139019856784554</v>
      </c>
      <c r="J238">
        <f>(Table3[[#This Row],[HomeMargin]]-Table3[[#This Row],[HomeForecast]])^2</f>
        <v>39.51502824565727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-0.13103709120523599</v>
      </c>
      <c r="J239">
        <f>(Table3[[#This Row],[HomeMargin]]-Table3[[#This Row],[HomeForecast]])^2</f>
        <v>17.06546744891342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-2.7071301781211476E-2</v>
      </c>
      <c r="J240">
        <f>(Table3[[#This Row],[HomeMargin]]-Table3[[#This Row],[HomeForecast]])^2</f>
        <v>1.0548754589425522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-1.0140396655205044</v>
      </c>
      <c r="J241">
        <f>(Table3[[#This Row],[HomeMargin]]-Table3[[#This Row],[HomeForecast]])^2</f>
        <v>1.9711220792763997E-4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-9.893968600696601E-2</v>
      </c>
      <c r="J242">
        <f>(Table3[[#This Row],[HomeMargin]]-Table3[[#This Row],[HomeForecast]])^2</f>
        <v>24.020392201397492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0.15769781837170305</v>
      </c>
      <c r="J243">
        <f>(Table3[[#This Row],[HomeMargin]]-Table3[[#This Row],[HomeForecast]])^2</f>
        <v>1.3402642386626007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-0.29793970541726955</v>
      </c>
      <c r="J244">
        <f>(Table3[[#This Row],[HomeMargin]]-Table3[[#This Row],[HomeForecast]])^2</f>
        <v>5.2805268897332072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-0.6009292248457363</v>
      </c>
      <c r="J245">
        <f>(Table3[[#This Row],[HomeMargin]]-Table3[[#This Row],[HomeForecast]])^2</f>
        <v>0.15925748358222488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0.41447741278604977</v>
      </c>
      <c r="J246">
        <f>(Table3[[#This Row],[HomeMargin]]-Table3[[#This Row],[HomeForecast]])^2</f>
        <v>0.34283670013771794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3.3907794903472538E-2</v>
      </c>
      <c r="J247">
        <f>(Table3[[#This Row],[HomeMargin]]-Table3[[#This Row],[HomeForecast]])^2</f>
        <v>4.136780918169106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-0.21128835168379861</v>
      </c>
      <c r="J248">
        <f>(Table3[[#This Row],[HomeMargin]]-Table3[[#This Row],[HomeForecast]])^2</f>
        <v>1.4672194709248538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0.22044737706067147</v>
      </c>
      <c r="J249">
        <f>(Table3[[#This Row],[HomeMargin]]-Table3[[#This Row],[HomeForecast]])^2</f>
        <v>1.4894918001742727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0.18014859233563316</v>
      </c>
      <c r="J250">
        <f>(Table3[[#This Row],[HomeMargin]]-Table3[[#This Row],[HomeForecast]])^2</f>
        <v>7.9515619613067123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1.1276939128313808</v>
      </c>
      <c r="J251">
        <f>(Table3[[#This Row],[HomeMargin]]-Table3[[#This Row],[HomeForecast]])^2</f>
        <v>1.6305735374188269E-2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0.38869708996501728</v>
      </c>
      <c r="J252">
        <f>(Table3[[#This Row],[HomeMargin]]-Table3[[#This Row],[HomeForecast]])^2</f>
        <v>19.260662147467411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0.88727573736239296</v>
      </c>
      <c r="J253">
        <f>(Table3[[#This Row],[HomeMargin]]-Table3[[#This Row],[HomeForecast]])^2</f>
        <v>1.2381552846624062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-0.14570438929895072</v>
      </c>
      <c r="J254">
        <f>(Table3[[#This Row],[HomeMargin]]-Table3[[#This Row],[HomeForecast]])^2</f>
        <v>4.6040473262567829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9.7709314430107191E-2</v>
      </c>
      <c r="J255">
        <f>(Table3[[#This Row],[HomeMargin]]-Table3[[#This Row],[HomeForecast]])^2</f>
        <v>1.2049657389866157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-0.3804398419443667</v>
      </c>
      <c r="J256">
        <f>(Table3[[#This Row],[HomeMargin]]-Table3[[#This Row],[HomeForecast]])^2</f>
        <v>0.38385478944992141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-2.267734697994269</v>
      </c>
      <c r="J257">
        <f>(Table3[[#This Row],[HomeMargin]]-Table3[[#This Row],[HomeForecast]])^2</f>
        <v>1.6071512644986203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0.34254436063201504</v>
      </c>
      <c r="J258">
        <f>(Table3[[#This Row],[HomeMargin]]-Table3[[#This Row],[HomeForecast]])^2</f>
        <v>0.4322479177367658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-0.15464163998398422</v>
      </c>
      <c r="J259">
        <f>(Table3[[#This Row],[HomeMargin]]-Table3[[#This Row],[HomeForecast]])^2</f>
        <v>0.7146307568489676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0.38825919142846954</v>
      </c>
      <c r="J260">
        <f>(Table3[[#This Row],[HomeMargin]]-Table3[[#This Row],[HomeForecast]])^2</f>
        <v>6.8211900511578714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2.6929579238716361E-2</v>
      </c>
      <c r="J261">
        <f>(Table3[[#This Row],[HomeMargin]]-Table3[[#This Row],[HomeForecast]])^2</f>
        <v>1.0545843607154068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0.11452751290618851</v>
      </c>
      <c r="J262">
        <f>(Table3[[#This Row],[HomeMargin]]-Table3[[#This Row],[HomeForecast]])^2</f>
        <v>3.5550064995877233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7.2031242669366669E-2</v>
      </c>
      <c r="J263">
        <f>(Table3[[#This Row],[HomeMargin]]-Table3[[#This Row],[HomeForecast]])^2</f>
        <v>9.4373759559366945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1.9340528444696861</v>
      </c>
      <c r="J264">
        <f>(Table3[[#This Row],[HomeMargin]]-Table3[[#This Row],[HomeForecast]])^2</f>
        <v>1.1362433383831674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0.84731953517861913</v>
      </c>
      <c r="J265">
        <f>(Table3[[#This Row],[HomeMargin]]-Table3[[#This Row],[HomeForecast]])^2</f>
        <v>3.4125894650525495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0.16740189151634141</v>
      </c>
      <c r="J266">
        <f>(Table3[[#This Row],[HomeMargin]]-Table3[[#This Row],[HomeForecast]])^2</f>
        <v>17.367238525413981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-0.59938584729532218</v>
      </c>
      <c r="J267">
        <f>(Table3[[#This Row],[HomeMargin]]-Table3[[#This Row],[HomeForecast]])^2</f>
        <v>0.16049169934728691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-1.4016364907657786E-2</v>
      </c>
      <c r="J268">
        <f>(Table3[[#This Row],[HomeMargin]]-Table3[[#This Row],[HomeForecast]])^2</f>
        <v>0.97216372866990908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-0.66717863571992064</v>
      </c>
      <c r="J269">
        <f>(Table3[[#This Row],[HomeMargin]]-Table3[[#This Row],[HomeForecast]])^2</f>
        <v>2.7794846034009355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-0.3019685689986108</v>
      </c>
      <c r="J270">
        <f>(Table3[[#This Row],[HomeMargin]]-Table3[[#This Row],[HomeForecast]])^2</f>
        <v>2.8833107406686254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-0.26367078843346392</v>
      </c>
      <c r="J271">
        <f>(Table3[[#This Row],[HomeMargin]]-Table3[[#This Row],[HomeForecast]])^2</f>
        <v>0.54218070780619665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0.18100985055842789</v>
      </c>
      <c r="J272">
        <f>(Table3[[#This Row],[HomeMargin]]-Table3[[#This Row],[HomeForecast]])^2</f>
        <v>1.3947842671160402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0.87683509118967695</v>
      </c>
      <c r="J273">
        <f>(Table3[[#This Row],[HomeMargin]]-Table3[[#This Row],[HomeForecast]])^2</f>
        <v>23.783520506659023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0.20338996489065958</v>
      </c>
      <c r="J274">
        <f>(Table3[[#This Row],[HomeMargin]]-Table3[[#This Row],[HomeForecast]])^2</f>
        <v>7.8210276884742669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-0.19410905282235399</v>
      </c>
      <c r="J275">
        <f>(Table3[[#This Row],[HomeMargin]]-Table3[[#This Row],[HomeForecast]])^2</f>
        <v>1.4258964300322992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3.4261451721056602E-2</v>
      </c>
      <c r="J276">
        <f>(Table3[[#This Row],[HomeMargin]]-Table3[[#This Row],[HomeForecast]])^2</f>
        <v>3.8641280401898075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1.7482755290834393</v>
      </c>
      <c r="J277">
        <f>(Table3[[#This Row],[HomeMargin]]-Table3[[#This Row],[HomeForecast]])^2</f>
        <v>1.5668141510913438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-1.0478003883544175E-2</v>
      </c>
      <c r="J278">
        <f>(Table3[[#This Row],[HomeMargin]]-Table3[[#This Row],[HomeForecast]])^2</f>
        <v>9.0629778118666486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-0.18903752914359279</v>
      </c>
      <c r="J279">
        <f>(Table3[[#This Row],[HomeMargin]]-Table3[[#This Row],[HomeForecast]])^2</f>
        <v>10.169960362286272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-0.58471854920160737</v>
      </c>
      <c r="J280">
        <f>(Table3[[#This Row],[HomeMargin]]-Table3[[#This Row],[HomeForecast]])^2</f>
        <v>41.155836092957927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0.1290063042860497</v>
      </c>
      <c r="J281">
        <f>(Table3[[#This Row],[HomeMargin]]-Table3[[#This Row],[HomeForecast]])^2</f>
        <v>3.5006174094013462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-0.10469658222246998</v>
      </c>
      <c r="J282">
        <f>(Table3[[#This Row],[HomeMargin]]-Table3[[#This Row],[HomeForecast]])^2</f>
        <v>4.4297477032189461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5.7636084040049516E-2</v>
      </c>
      <c r="J283">
        <f>(Table3[[#This Row],[HomeMargin]]-Table3[[#This Row],[HomeForecast]])^2</f>
        <v>1.1185940862635708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5.2874734682123697E-2</v>
      </c>
      <c r="J284">
        <f>(Table3[[#This Row],[HomeMargin]]-Table3[[#This Row],[HomeForecast]])^2</f>
        <v>1.1085452069319524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1.0109213848739891</v>
      </c>
      <c r="J285">
        <f>(Table3[[#This Row],[HomeMargin]]-Table3[[#This Row],[HomeForecast]])^2</f>
        <v>1.1927664756579751E-4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-0.28541088532783221</v>
      </c>
      <c r="J286">
        <f>(Table3[[#This Row],[HomeMargin]]-Table3[[#This Row],[HomeForecast]])^2</f>
        <v>1.6522811441192811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-1.0642821470390065</v>
      </c>
      <c r="J287">
        <f>(Table3[[#This Row],[HomeMargin]]-Table3[[#This Row],[HomeForecast]])^2</f>
        <v>4.1321944279444495E-3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0.22159463789835851</v>
      </c>
      <c r="J288">
        <f>(Table3[[#This Row],[HomeMargin]]-Table3[[#This Row],[HomeForecast]])^2</f>
        <v>1.4922934593420214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0.45708867255817542</v>
      </c>
      <c r="J289">
        <f>(Table3[[#This Row],[HomeMargin]]-Table3[[#This Row],[HomeForecast]])^2</f>
        <v>2.123107399697346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-0.11680880430753554</v>
      </c>
      <c r="J290">
        <f>(Table3[[#This Row],[HomeMargin]]-Table3[[#This Row],[HomeForecast]])^2</f>
        <v>0.78002668814868514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-3.844717134828575E-2</v>
      </c>
      <c r="J291">
        <f>(Table3[[#This Row],[HomeMargin]]-Table3[[#This Row],[HomeForecast]])^2</f>
        <v>0.92458384228811286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-0.32488651372944821</v>
      </c>
      <c r="J292">
        <f>(Table3[[#This Row],[HomeMargin]]-Table3[[#This Row],[HomeForecast]])^2</f>
        <v>1.7553242742621711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0.66434099063811058</v>
      </c>
      <c r="J293">
        <f>(Table3[[#This Row],[HomeMargin]]-Table3[[#This Row],[HomeForecast]])^2</f>
        <v>11.126621026737142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-0.19625531926979087</v>
      </c>
      <c r="J294">
        <f>(Table3[[#This Row],[HomeMargin]]-Table3[[#This Row],[HomeForecast]])^2</f>
        <v>0.64600551180210575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-0.52929728802481213</v>
      </c>
      <c r="J295">
        <f>(Table3[[#This Row],[HomeMargin]]-Table3[[#This Row],[HomeForecast]])^2</f>
        <v>2.1629664670111723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0.66867997367847409</v>
      </c>
      <c r="J296">
        <f>(Table3[[#This Row],[HomeMargin]]-Table3[[#This Row],[HomeForecast]])^2</f>
        <v>1.7724130124847484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0.14367360237976445</v>
      </c>
      <c r="J297">
        <f>(Table3[[#This Row],[HomeMargin]]-Table3[[#This Row],[HomeForecast]])^2</f>
        <v>1.3079893087803076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0.15273459342262669</v>
      </c>
      <c r="J298">
        <f>(Table3[[#This Row],[HomeMargin]]-Table3[[#This Row],[HomeForecast]])^2</f>
        <v>1.3287970428732285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-3.1987959153127632E-2</v>
      </c>
      <c r="J299">
        <f>(Table3[[#This Row],[HomeMargin]]-Table3[[#This Row],[HomeForecast]])^2</f>
        <v>9.1929509844495474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-1.0320041225596803</v>
      </c>
      <c r="J300">
        <f>(Table3[[#This Row],[HomeMargin]]-Table3[[#This Row],[HomeForecast]])^2</f>
        <v>3.8730077736220938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0.59227728628547593</v>
      </c>
      <c r="J301">
        <f>(Table3[[#This Row],[HomeMargin]]-Table3[[#This Row],[HomeForecast]])^2</f>
        <v>2.5353469564206397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1.7664802020911383</v>
      </c>
      <c r="J302">
        <f>(Table3[[#This Row],[HomeMargin]]-Table3[[#This Row],[HomeForecast]])^2</f>
        <v>1.5215710918331189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0.52245025052263316</v>
      </c>
      <c r="J303">
        <f>(Table3[[#This Row],[HomeMargin]]-Table3[[#This Row],[HomeForecast]])^2</f>
        <v>0.22805376322589582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0.15332861415995647</v>
      </c>
      <c r="J304">
        <f>(Table3[[#This Row],[HomeMargin]]-Table3[[#This Row],[HomeForecast]])^2</f>
        <v>1.3301668922401255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0.43384619313749329</v>
      </c>
      <c r="J305">
        <f>(Table3[[#This Row],[HomeMargin]]-Table3[[#This Row],[HomeForecast]])^2</f>
        <v>12.717452974199947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1.3533675549906721</v>
      </c>
      <c r="J306">
        <f>(Table3[[#This Row],[HomeMargin]]-Table3[[#This Row],[HomeForecast]])^2</f>
        <v>28.658544178826812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-0.2407319724672452</v>
      </c>
      <c r="J307">
        <f>(Table3[[#This Row],[HomeMargin]]-Table3[[#This Row],[HomeForecast]])^2</f>
        <v>1.539415827502461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-0.34012998294300872</v>
      </c>
      <c r="J308">
        <f>(Table3[[#This Row],[HomeMargin]]-Table3[[#This Row],[HomeForecast]])^2</f>
        <v>2.7551684735247766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0.18827941830950756</v>
      </c>
      <c r="J309">
        <f>(Table3[[#This Row],[HomeMargin]]-Table3[[#This Row],[HomeForecast]])^2</f>
        <v>14.529213792882906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-0.23208838310279353</v>
      </c>
      <c r="J310">
        <f>(Table3[[#This Row],[HomeMargin]]-Table3[[#This Row],[HomeForecast]])^2</f>
        <v>1.5180417837768563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0.74985261306102968</v>
      </c>
      <c r="J311">
        <f>(Table3[[#This Row],[HomeMargin]]-Table3[[#This Row],[HomeForecast]])^2</f>
        <v>5.0631632629482759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0.51447999112471055</v>
      </c>
      <c r="J312">
        <f>(Table3[[#This Row],[HomeMargin]]-Table3[[#This Row],[HomeForecast]])^2</f>
        <v>0.23572967901826114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-0.10636167625981199</v>
      </c>
      <c r="J313">
        <f>(Table3[[#This Row],[HomeMargin]]-Table3[[#This Row],[HomeForecast]])^2</f>
        <v>9.6494828637356687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0.67527609589472992</v>
      </c>
      <c r="J314">
        <f>(Table3[[#This Row],[HomeMargin]]-Table3[[#This Row],[HomeForecast]])^2</f>
        <v>2.8065499974762882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0.27436717067455896</v>
      </c>
      <c r="J315">
        <f>(Table3[[#This Row],[HomeMargin]]-Table3[[#This Row],[HomeForecast]])^2</f>
        <v>2.9778086616457267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-0.41937153396739019</v>
      </c>
      <c r="J316">
        <f>(Table3[[#This Row],[HomeMargin]]-Table3[[#This Row],[HomeForecast]])^2</f>
        <v>2.0146155514369424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0.93253704516669522</v>
      </c>
      <c r="J317">
        <f>(Table3[[#This Row],[HomeMargin]]-Table3[[#This Row],[HomeForecast]])^2</f>
        <v>9.4093289792746688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1.0341387809992177</v>
      </c>
      <c r="J318">
        <f>(Table3[[#This Row],[HomeMargin]]-Table3[[#This Row],[HomeForecast]])^2</f>
        <v>1.1654563681125505E-3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0.22603207459392025</v>
      </c>
      <c r="J319">
        <f>(Table3[[#This Row],[HomeMargin]]-Table3[[#This Row],[HomeForecast]])^2</f>
        <v>0.59902634955739098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0.16489787121964272</v>
      </c>
      <c r="J320">
        <f>(Table3[[#This Row],[HomeMargin]]-Table3[[#This Row],[HomeForecast]])^2</f>
        <v>8.0378040806149116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3.3978721117755212E-2</v>
      </c>
      <c r="J321">
        <f>(Table3[[#This Row],[HomeMargin]]-Table3[[#This Row],[HomeForecast]])^2</f>
        <v>0.93319711125328775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0.4785907329749961</v>
      </c>
      <c r="J322">
        <f>(Table3[[#This Row],[HomeMargin]]-Table3[[#This Row],[HomeForecast]])^2</f>
        <v>20.05777495348951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0.21409340404355953</v>
      </c>
      <c r="J323">
        <f>(Table3[[#This Row],[HomeMargin]]-Table3[[#This Row],[HomeForecast]])^2</f>
        <v>0.61764917756783966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0.45927508379363924</v>
      </c>
      <c r="J324">
        <f>(Table3[[#This Row],[HomeMargin]]-Table3[[#This Row],[HomeForecast]])^2</f>
        <v>6.455283099831818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-2.0809929263463978E-2</v>
      </c>
      <c r="J325">
        <f>(Table3[[#This Row],[HomeMargin]]-Table3[[#This Row],[HomeForecast]])^2</f>
        <v>0.95881319462902226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-4.0112265385627732E-2</v>
      </c>
      <c r="J326">
        <f>(Table3[[#This Row],[HomeMargin]]-Table3[[#This Row],[HomeForecast]])^2</f>
        <v>0.92138446306311161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1.9396375420029348</v>
      </c>
      <c r="J327">
        <f>(Table3[[#This Row],[HomeMargin]]-Table3[[#This Row],[HomeForecast]])^2</f>
        <v>1.1243685423295779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-0.17805064626209194</v>
      </c>
      <c r="J328">
        <f>(Table3[[#This Row],[HomeMargin]]-Table3[[#This Row],[HomeForecast]])^2</f>
        <v>23.251195570013433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0.32902210323705261</v>
      </c>
      <c r="J329">
        <f>(Table3[[#This Row],[HomeMargin]]-Table3[[#This Row],[HomeForecast]])^2</f>
        <v>0.45021133794442847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-0.27286044570353868</v>
      </c>
      <c r="J330">
        <f>(Table3[[#This Row],[HomeMargin]]-Table3[[#This Row],[HomeForecast]])^2</f>
        <v>13.891569257201224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1.2127174548486677</v>
      </c>
      <c r="J331">
        <f>(Table3[[#This Row],[HomeMargin]]-Table3[[#This Row],[HomeForecast]])^2</f>
        <v>4.5248715597294965E-2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-0.12093255124581279</v>
      </c>
      <c r="J332">
        <f>(Table3[[#This Row],[HomeMargin]]-Table3[[#This Row],[HomeForecast]])^2</f>
        <v>1.2564897844424467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0.79953484267485853</v>
      </c>
      <c r="J333">
        <f>(Table3[[#This Row],[HomeMargin]]-Table3[[#This Row],[HomeForecast]])^2</f>
        <v>4.0186279301393721E-2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0.27075788343616269</v>
      </c>
      <c r="J334">
        <f>(Table3[[#This Row],[HomeMargin]]-Table3[[#This Row],[HomeForecast]])^2</f>
        <v>1.6148255983151558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0.24293755712106535</v>
      </c>
      <c r="J335">
        <f>(Table3[[#This Row],[HomeMargin]]-Table3[[#This Row],[HomeForecast]])^2</f>
        <v>10.516643999386343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-1.1765305917978606</v>
      </c>
      <c r="J336">
        <f>(Table3[[#This Row],[HomeMargin]]-Table3[[#This Row],[HomeForecast]])^2</f>
        <v>0.67810186624478175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0.65917006313963866</v>
      </c>
      <c r="J337">
        <f>(Table3[[#This Row],[HomeMargin]]-Table3[[#This Row],[HomeForecast]])^2</f>
        <v>28.52446441446385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5.0489364768253539E-2</v>
      </c>
      <c r="J338">
        <f>(Table3[[#This Row],[HomeMargin]]-Table3[[#This Row],[HomeForecast]])^2</f>
        <v>1.103527905491209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-0.48024236169303808</v>
      </c>
      <c r="J339">
        <f>(Table3[[#This Row],[HomeMargin]]-Table3[[#This Row],[HomeForecast]])^2</f>
        <v>20.428209109034128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-0.48629985416088667</v>
      </c>
      <c r="J340">
        <f>(Table3[[#This Row],[HomeMargin]]-Table3[[#This Row],[HomeForecast]])^2</f>
        <v>0.26388783983512626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-7.2012069251010405E-2</v>
      </c>
      <c r="J341">
        <f>(Table3[[#This Row],[HomeMargin]]-Table3[[#This Row],[HomeForecast]])^2</f>
        <v>1.1492098766198333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-0.91300919414753556</v>
      </c>
      <c r="J342">
        <f>(Table3[[#This Row],[HomeMargin]]-Table3[[#This Row],[HomeForecast]])^2</f>
        <v>3.6596041768930032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0.18613315186207066</v>
      </c>
      <c r="J343">
        <f>(Table3[[#This Row],[HomeMargin]]-Table3[[#This Row],[HomeForecast]])^2</f>
        <v>0.66237924649796731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0.19601990074521597</v>
      </c>
      <c r="J344">
        <f>(Table3[[#This Row],[HomeMargin]]-Table3[[#This Row],[HomeForecast]])^2</f>
        <v>10.21454320595946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0.18398346138112243</v>
      </c>
      <c r="J345">
        <f>(Table3[[#This Row],[HomeMargin]]-Table3[[#This Row],[HomeForecast]])^2</f>
        <v>7.9299491457750459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-2.1052437717169128</v>
      </c>
      <c r="J346">
        <f>(Table3[[#This Row],[HomeMargin]]-Table3[[#This Row],[HomeForecast]])^2</f>
        <v>0.80058870805137605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1.2017823495920483</v>
      </c>
      <c r="J347">
        <f>(Table3[[#This Row],[HomeMargin]]-Table3[[#This Row],[HomeForecast]])^2</f>
        <v>4.8478455149750808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0.31401205305026458</v>
      </c>
      <c r="J348">
        <f>(Table3[[#This Row],[HomeMargin]]-Table3[[#This Row],[HomeForecast]])^2</f>
        <v>7.2145312511592543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0.39906513263870869</v>
      </c>
      <c r="J349">
        <f>(Table3[[#This Row],[HomeMargin]]-Table3[[#This Row],[HomeForecast]])^2</f>
        <v>1.9573832453653675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-0.19944949076360896</v>
      </c>
      <c r="J350">
        <f>(Table3[[#This Row],[HomeMargin]]-Table3[[#This Row],[HomeForecast]])^2</f>
        <v>0.64088111783864499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0.39475197781015503</v>
      </c>
      <c r="J351">
        <f>(Table3[[#This Row],[HomeMargin]]-Table3[[#This Row],[HomeForecast]])^2</f>
        <v>0.36632516836471907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-0.2660421049763888</v>
      </c>
      <c r="J352">
        <f>(Table3[[#This Row],[HomeMargin]]-Table3[[#This Row],[HomeForecast]])^2</f>
        <v>3.0066099817147127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-0.19459160034383732</v>
      </c>
      <c r="J353">
        <f>(Table3[[#This Row],[HomeMargin]]-Table3[[#This Row],[HomeForecast]])^2</f>
        <v>10.205415492987399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-2.1847926305085865</v>
      </c>
      <c r="J354">
        <f>(Table3[[#This Row],[HomeMargin]]-Table3[[#This Row],[HomeForecast]])^2</f>
        <v>1.403733577307456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0.52663547084148143</v>
      </c>
      <c r="J355">
        <f>(Table3[[#This Row],[HomeMargin]]-Table3[[#This Row],[HomeForecast]])^2</f>
        <v>0.22407397746546598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-0.14466084038238977</v>
      </c>
      <c r="J356">
        <f>(Table3[[#This Row],[HomeMargin]]-Table3[[#This Row],[HomeForecast]])^2</f>
        <v>4.599570120269699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-0.18930374374549455</v>
      </c>
      <c r="J357">
        <f>(Table3[[#This Row],[HomeMargin]]-Table3[[#This Row],[HomeForecast]])^2</f>
        <v>7.9000134449230917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-0.62617560429961572</v>
      </c>
      <c r="J358">
        <f>(Table3[[#This Row],[HomeMargin]]-Table3[[#This Row],[HomeForecast]])^2</f>
        <v>5.6350422616222948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-4.2992856129656504E-3</v>
      </c>
      <c r="J359">
        <f>(Table3[[#This Row],[HomeMargin]]-Table3[[#This Row],[HomeForecast]])^2</f>
        <v>1.0086170550827129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9.7626660182938224E-2</v>
      </c>
      <c r="J360">
        <f>(Table3[[#This Row],[HomeMargin]]-Table3[[#This Row],[HomeForecast]])^2</f>
        <v>0.81427764441259853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-0.43892637897401232</v>
      </c>
      <c r="J361">
        <f>(Table3[[#This Row],[HomeMargin]]-Table3[[#This Row],[HomeForecast]])^2</f>
        <v>20.803392576419114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1.0286250096802518</v>
      </c>
      <c r="J362">
        <f>(Table3[[#This Row],[HomeMargin]]-Table3[[#This Row],[HomeForecast]])^2</f>
        <v>8.1939117919451116E-4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0.69274264602126112</v>
      </c>
      <c r="J363">
        <f>(Table3[[#This Row],[HomeMargin]]-Table3[[#This Row],[HomeForecast]])^2</f>
        <v>5.323436497488971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0.24293755712106535</v>
      </c>
      <c r="J364">
        <f>(Table3[[#This Row],[HomeMargin]]-Table3[[#This Row],[HomeForecast]])^2</f>
        <v>14.115518199691429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0.72760179052082374</v>
      </c>
      <c r="J365">
        <f>(Table3[[#This Row],[HomeMargin]]-Table3[[#This Row],[HomeForecast]])^2</f>
        <v>10.708590041402518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-0.62269787948204702</v>
      </c>
      <c r="J366">
        <f>(Table3[[#This Row],[HomeMargin]]-Table3[[#This Row],[HomeForecast]])^2</f>
        <v>19.160773854290969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0.55633481523907446</v>
      </c>
      <c r="J367">
        <f>(Table3[[#This Row],[HomeMargin]]-Table3[[#This Row],[HomeForecast]])^2</f>
        <v>2.4221780571252443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0.53438892107299385</v>
      </c>
      <c r="J368">
        <f>(Table3[[#This Row],[HomeMargin]]-Table3[[#This Row],[HomeForecast]])^2</f>
        <v>6.4231272032575335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-0.12232257562650163</v>
      </c>
      <c r="J369">
        <f>(Table3[[#This Row],[HomeMargin]]-Table3[[#This Row],[HomeForecast]])^2</f>
        <v>0.77031766125489798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-0.91941975971737455</v>
      </c>
      <c r="J370">
        <f>(Table3[[#This Row],[HomeMargin]]-Table3[[#This Row],[HomeForecast]])^2</f>
        <v>6.4931751240056533E-3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2.1126924059698311</v>
      </c>
      <c r="J371">
        <f>(Table3[[#This Row],[HomeMargin]]-Table3[[#This Row],[HomeForecast]])^2</f>
        <v>15.111160330604621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0.30914823117334356</v>
      </c>
      <c r="J372">
        <f>(Table3[[#This Row],[HomeMargin]]-Table3[[#This Row],[HomeForecast]])^2</f>
        <v>10.950462015877669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8.922770409161862E-2</v>
      </c>
      <c r="J373">
        <f>(Table3[[#This Row],[HomeMargin]]-Table3[[#This Row],[HomeForecast]])^2</f>
        <v>4.3648723995439358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0.97292305570323356</v>
      </c>
      <c r="J374">
        <f>(Table3[[#This Row],[HomeMargin]]-Table3[[#This Row],[HomeForecast]])^2</f>
        <v>7.331609124501924E-4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0.20155136349630298</v>
      </c>
      <c r="J375">
        <f>(Table3[[#This Row],[HomeMargin]]-Table3[[#This Row],[HomeForecast]])^2</f>
        <v>4.8468284061124312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-7.1557357305641167E-2</v>
      </c>
      <c r="J376">
        <f>(Table3[[#This Row],[HomeMargin]]-Table3[[#This Row],[HomeForecast]])^2</f>
        <v>4.2913498846071327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-0.9792586050217198</v>
      </c>
      <c r="J377">
        <f>(Table3[[#This Row],[HomeMargin]]-Table3[[#This Row],[HomeForecast]])^2</f>
        <v>4.3020546564502722E-4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1.0898461573403471</v>
      </c>
      <c r="J378">
        <f>(Table3[[#This Row],[HomeMargin]]-Table3[[#This Row],[HomeForecast]])^2</f>
        <v>8.4689953879467446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0.27947239901489707</v>
      </c>
      <c r="J379">
        <f>(Table3[[#This Row],[HomeMargin]]-Table3[[#This Row],[HomeForecast]])^2</f>
        <v>1.6370496198409359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0.12541979389237695</v>
      </c>
      <c r="J380">
        <f>(Table3[[#This Row],[HomeMargin]]-Table3[[#This Row],[HomeForecast]])^2</f>
        <v>1.2665697124847601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0.6369215732060115</v>
      </c>
      <c r="J381">
        <f>(Table3[[#This Row],[HomeMargin]]-Table3[[#This Row],[HomeForecast]])^2</f>
        <v>0.13182594400319766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5.770701025433219E-2</v>
      </c>
      <c r="J382">
        <f>(Table3[[#This Row],[HomeMargin]]-Table3[[#This Row],[HomeForecast]])^2</f>
        <v>0.88791607852382914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0.1200412842251546</v>
      </c>
      <c r="J383">
        <f>(Table3[[#This Row],[HomeMargin]]-Table3[[#This Row],[HomeForecast]])^2</f>
        <v>16.974740183719664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0.32128162080134426</v>
      </c>
      <c r="J384">
        <f>(Table3[[#This Row],[HomeMargin]]-Table3[[#This Row],[HomeForecast]])^2</f>
        <v>28.316038087878184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0.63473516197054769</v>
      </c>
      <c r="J385">
        <f>(Table3[[#This Row],[HomeMargin]]-Table3[[#This Row],[HomeForecast]])^2</f>
        <v>11.325007430077395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-0.16239580601655931</v>
      </c>
      <c r="J386">
        <f>(Table3[[#This Row],[HomeMargin]]-Table3[[#This Row],[HomeForecast]])^2</f>
        <v>0.70158078577864924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-5.3312048868431328E-3</v>
      </c>
      <c r="J387">
        <f>(Table3[[#This Row],[HomeMargin]]-Table3[[#This Row],[HomeForecast]])^2</f>
        <v>0.98936601197185925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0.52789911190120198</v>
      </c>
      <c r="J388">
        <f>(Table3[[#This Row],[HomeMargin]]-Table3[[#This Row],[HomeForecast]])^2</f>
        <v>0.2228792485436738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-0.80751074363514186</v>
      </c>
      <c r="J389">
        <f>(Table3[[#This Row],[HomeMargin]]-Table3[[#This Row],[HomeForecast]])^2</f>
        <v>4.8070091392753298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0.48633121541070456</v>
      </c>
      <c r="J390">
        <f>(Table3[[#This Row],[HomeMargin]]-Table3[[#This Row],[HomeForecast]])^2</f>
        <v>6.1818429127256715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-1.1911552168863815</v>
      </c>
      <c r="J391">
        <f>(Table3[[#This Row],[HomeMargin]]-Table3[[#This Row],[HomeForecast]])^2</f>
        <v>4.8011611844884055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6.3282548648211256E-2</v>
      </c>
      <c r="J392">
        <f>(Table3[[#This Row],[HomeMargin]]-Table3[[#This Row],[HomeForecast]])^2</f>
        <v>1.1305697782598361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0.37769525373892954</v>
      </c>
      <c r="J393">
        <f>(Table3[[#This Row],[HomeMargin]]-Table3[[#This Row],[HomeForecast]])^2</f>
        <v>0.38726319721905528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-0.98080198257213402</v>
      </c>
      <c r="J394">
        <f>(Table3[[#This Row],[HomeMargin]]-Table3[[#This Row],[HomeForecast]])^2</f>
        <v>3.9235764941616962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0.11075249579866224</v>
      </c>
      <c r="J395">
        <f>(Table3[[#This Row],[HomeMargin]]-Table3[[#This Row],[HomeForecast]])^2</f>
        <v>9.6767810901176059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0.53106156098949164</v>
      </c>
      <c r="J396">
        <f>(Table3[[#This Row],[HomeMargin]]-Table3[[#This Row],[HomeForecast]])^2</f>
        <v>2.1577801376026291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0.19915224448028052</v>
      </c>
      <c r="J397">
        <f>(Table3[[#This Row],[HomeMargin]]-Table3[[#This Row],[HomeForecast]])^2</f>
        <v>0.64135712752097251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1.8243579632076767</v>
      </c>
      <c r="J398">
        <f>(Table3[[#This Row],[HomeMargin]]-Table3[[#This Row],[HomeForecast]])^2</f>
        <v>10.084702345842496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0.57284545888957283</v>
      </c>
      <c r="J399">
        <f>(Table3[[#This Row],[HomeMargin]]-Table3[[#This Row],[HomeForecast]])^2</f>
        <v>0.18246100199125961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0.48290265829222739</v>
      </c>
      <c r="J400">
        <f>(Table3[[#This Row],[HomeMargin]]-Table3[[#This Row],[HomeForecast]])^2</f>
        <v>2.1990002939701543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-0.16557674524060351</v>
      </c>
      <c r="J401">
        <f>(Table3[[#This Row],[HomeMargin]]-Table3[[#This Row],[HomeForecast]])^2</f>
        <v>3.3651086776020573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-0.13947764272125457</v>
      </c>
      <c r="J402">
        <f>(Table3[[#This Row],[HomeMargin]]-Table3[[#This Row],[HomeForecast]])^2</f>
        <v>8.1825881564915495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-0.72839978338001599</v>
      </c>
      <c r="J403">
        <f>(Table3[[#This Row],[HomeMargin]]-Table3[[#This Row],[HomeForecast]])^2</f>
        <v>5.1601675441479582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0.11429088429488821</v>
      </c>
      <c r="J404">
        <f>(Table3[[#This Row],[HomeMargin]]-Table3[[#This Row],[HomeForecast]])^2</f>
        <v>26.155971249181793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-0.28234307163484229</v>
      </c>
      <c r="J405">
        <f>(Table3[[#This Row],[HomeMargin]]-Table3[[#This Row],[HomeForecast]])^2</f>
        <v>13.820973037021462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-1.2007240257759153</v>
      </c>
      <c r="J406">
        <f>(Table3[[#This Row],[HomeMargin]]-Table3[[#This Row],[HomeForecast]])^2</f>
        <v>4.8431862376273518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0.39908693856081645</v>
      </c>
      <c r="J407">
        <f>(Table3[[#This Row],[HomeMargin]]-Table3[[#This Row],[HomeForecast]])^2</f>
        <v>0.36109650740821198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0.74739998722366396</v>
      </c>
      <c r="J408">
        <f>(Table3[[#This Row],[HomeMargin]]-Table3[[#This Row],[HomeForecast]])^2</f>
        <v>6.3806766454605132E-2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-0.32495743994373089</v>
      </c>
      <c r="J409">
        <f>(Table3[[#This Row],[HomeMargin]]-Table3[[#This Row],[HomeForecast]])^2</f>
        <v>5.4054270975497065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0.74782115510498315</v>
      </c>
      <c r="J410">
        <f>(Table3[[#This Row],[HomeMargin]]-Table3[[#This Row],[HomeForecast]])^2</f>
        <v>18.08102492897272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-0.21498268458700015</v>
      </c>
      <c r="J411">
        <f>(Table3[[#This Row],[HomeMargin]]-Table3[[#This Row],[HomeForecast]])^2</f>
        <v>7.756321447150234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0.36592590772187988</v>
      </c>
      <c r="J412">
        <f>(Table3[[#This Row],[HomeMargin]]-Table3[[#This Row],[HomeForecast]])^2</f>
        <v>13.206494508167044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0.20954215814017835</v>
      </c>
      <c r="J413">
        <f>(Table3[[#This Row],[HomeMargin]]-Table3[[#This Row],[HomeForecast]])^2</f>
        <v>4.8820765485987563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0.21272309736422257</v>
      </c>
      <c r="J414">
        <f>(Table3[[#This Row],[HomeMargin]]-Table3[[#This Row],[HomeForecast]])^2</f>
        <v>17.747035895066013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-0.41937153396739019</v>
      </c>
      <c r="J415">
        <f>(Table3[[#This Row],[HomeMargin]]-Table3[[#This Row],[HomeForecast]])^2</f>
        <v>11.692101687306504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-0.88577439940383951</v>
      </c>
      <c r="J416">
        <f>(Table3[[#This Row],[HomeMargin]]-Table3[[#This Row],[HomeForecast]])^2</f>
        <v>4.4699498902161956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2.4161700058039299</v>
      </c>
      <c r="J417">
        <f>(Table3[[#This Row],[HomeMargin]]-Table3[[#This Row],[HomeForecast]])^2</f>
        <v>0.17319747373084307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-5.0716936670619481E-2</v>
      </c>
      <c r="J418">
        <f>(Table3[[#This Row],[HomeMargin]]-Table3[[#This Row],[HomeForecast]])^2</f>
        <v>1.1040060810064907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-0.4485291148872434</v>
      </c>
      <c r="J419">
        <f>(Table3[[#This Row],[HomeMargin]]-Table3[[#This Row],[HomeForecast]])^2</f>
        <v>0.30412013712704711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0.26780637794106832</v>
      </c>
      <c r="J420">
        <f>(Table3[[#This Row],[HomeMargin]]-Table3[[#This Row],[HomeForecast]])^2</f>
        <v>10.678558523712326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-0.36604468331504958</v>
      </c>
      <c r="J421">
        <f>(Table3[[#This Row],[HomeMargin]]-Table3[[#This Row],[HomeForecast]])^2</f>
        <v>2.669809976923017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8.888495199854525E-2</v>
      </c>
      <c r="J422">
        <f>(Table3[[#This Row],[HomeMargin]]-Table3[[#This Row],[HomeForecast]])^2</f>
        <v>9.541210246683054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-2.6812817468138322E-2</v>
      </c>
      <c r="J423">
        <f>(Table3[[#This Row],[HomeMargin]]-Table3[[#This Row],[HomeForecast]])^2</f>
        <v>16.215221466925684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-0.55524244346821949</v>
      </c>
      <c r="J424">
        <f>(Table3[[#This Row],[HomeMargin]]-Table3[[#This Row],[HomeForecast]])^2</f>
        <v>2.4187790579649979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-0.69999812799686545</v>
      </c>
      <c r="J425">
        <f>(Table3[[#This Row],[HomeMargin]]-Table3[[#This Row],[HomeForecast]])^2</f>
        <v>2.8899936351928468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0.61962247090923284</v>
      </c>
      <c r="J426">
        <f>(Table3[[#This Row],[HomeMargin]]-Table3[[#This Row],[HomeForecast]])^2</f>
        <v>0.14468706463719741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-0.2407319724672452</v>
      </c>
      <c r="J427">
        <f>(Table3[[#This Row],[HomeMargin]]-Table3[[#This Row],[HomeForecast]])^2</f>
        <v>45.687704268026543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0.2898434735976424</v>
      </c>
      <c r="J428">
        <f>(Table3[[#This Row],[HomeMargin]]-Table3[[#This Row],[HomeForecast]])^2</f>
        <v>0.5043222919918624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-0.75570008197388361</v>
      </c>
      <c r="J429">
        <f>(Table3[[#This Row],[HomeMargin]]-Table3[[#This Row],[HomeForecast]])^2</f>
        <v>5.0368821220520319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6.6948086153750863E-2</v>
      </c>
      <c r="J430">
        <f>(Table3[[#This Row],[HomeMargin]]-Table3[[#This Row],[HomeForecast]])^2</f>
        <v>8.6027935293171449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-0.56119488846569288</v>
      </c>
      <c r="J431">
        <f>(Table3[[#This Row],[HomeMargin]]-Table3[[#This Row],[HomeForecast]])^2</f>
        <v>29.580601041251711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1.0744486400005759</v>
      </c>
      <c r="J432">
        <f>(Table3[[#This Row],[HomeMargin]]-Table3[[#This Row],[HomeForecast]])^2</f>
        <v>3.7077480399956317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0.52887514975402783</v>
      </c>
      <c r="J433">
        <f>(Table3[[#This Row],[HomeMargin]]-Table3[[#This Row],[HomeForecast]])^2</f>
        <v>20.510710122059571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-3.7697844052409613E-2</v>
      </c>
      <c r="J434">
        <f>(Table3[[#This Row],[HomeMargin]]-Table3[[#This Row],[HomeForecast]])^2</f>
        <v>1.0768168155510189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-0.73884042955273199</v>
      </c>
      <c r="J435">
        <f>(Table3[[#This Row],[HomeMargin]]-Table3[[#This Row],[HomeForecast]])^2</f>
        <v>13.978927757658056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0.43077837944450337</v>
      </c>
      <c r="J436">
        <f>(Table3[[#This Row],[HomeMargin]]-Table3[[#This Row],[HomeForecast]])^2</f>
        <v>20.877786217751797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0.5873616867836734</v>
      </c>
      <c r="J437">
        <f>(Table3[[#This Row],[HomeMargin]]-Table3[[#This Row],[HomeForecast]])^2</f>
        <v>2.5197171246687091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0.48990339140389028</v>
      </c>
      <c r="J438">
        <f>(Table3[[#This Row],[HomeMargin]]-Table3[[#This Row],[HomeForecast]])^2</f>
        <v>2.2198121157168136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-1.6180448942814774</v>
      </c>
      <c r="J439">
        <f>(Table3[[#This Row],[HomeMargin]]-Table3[[#This Row],[HomeForecast]])^2</f>
        <v>21.326338645599222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0.1748299346063738</v>
      </c>
      <c r="J440">
        <f>(Table3[[#This Row],[HomeMargin]]-Table3[[#This Row],[HomeForecast]])^2</f>
        <v>4.7298852444599646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0.83124808948065321</v>
      </c>
      <c r="J441">
        <f>(Table3[[#This Row],[HomeMargin]]-Table3[[#This Row],[HomeForecast]])^2</f>
        <v>3.353469565226542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-0.38255532696554789</v>
      </c>
      <c r="J442">
        <f>(Table3[[#This Row],[HomeMargin]]-Table3[[#This Row],[HomeForecast]])^2</f>
        <v>1.9114592321208133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1.0214882997734227</v>
      </c>
      <c r="J443">
        <f>(Table3[[#This Row],[HomeMargin]]-Table3[[#This Row],[HomeForecast]])^2</f>
        <v>3.9145085479334618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-0.13329872076127741</v>
      </c>
      <c r="J444">
        <f>(Table3[[#This Row],[HomeMargin]]-Table3[[#This Row],[HomeForecast]])^2</f>
        <v>8.2179762243889289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-0.72284913380148919</v>
      </c>
      <c r="J445">
        <f>(Table3[[#This Row],[HomeMargin]]-Table3[[#This Row],[HomeForecast]])^2</f>
        <v>5.1854160674286289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-0.21749059991221881</v>
      </c>
      <c r="J446">
        <f>(Table3[[#This Row],[HomeMargin]]-Table3[[#This Row],[HomeForecast]])^2</f>
        <v>10.352245760523489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0.17574323820217283</v>
      </c>
      <c r="J447">
        <f>(Table3[[#This Row],[HomeMargin]]-Table3[[#This Row],[HomeForecast]])^2</f>
        <v>7.9764262565607487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0.84843045859663291</v>
      </c>
      <c r="J448">
        <f>(Table3[[#This Row],[HomeMargin]]-Table3[[#This Row],[HomeForecast]])^2</f>
        <v>4.6292514914946947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-0.45932773615116412</v>
      </c>
      <c r="J449">
        <f>(Table3[[#This Row],[HomeMargin]]-Table3[[#This Row],[HomeForecast]])^2</f>
        <v>6.0482929138024097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0.25186414331720286</v>
      </c>
      <c r="J450">
        <f>(Table3[[#This Row],[HomeMargin]]-Table3[[#This Row],[HomeForecast]])^2</f>
        <v>14.048522400151287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0.46434660747240047</v>
      </c>
      <c r="J451">
        <f>(Table3[[#This Row],[HomeMargin]]-Table3[[#This Row],[HomeForecast]])^2</f>
        <v>0.28692455692632657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0.48990339140389028</v>
      </c>
      <c r="J452">
        <f>(Table3[[#This Row],[HomeMargin]]-Table3[[#This Row],[HomeForecast]])^2</f>
        <v>30.361164636062345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-1.7912022341932738</v>
      </c>
      <c r="J453">
        <f>(Table3[[#This Row],[HomeMargin]]-Table3[[#This Row],[HomeForecast]])^2</f>
        <v>0.62600097539242816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1.1292372903817951</v>
      </c>
      <c r="J454">
        <f>(Table3[[#This Row],[HomeMargin]]-Table3[[#This Row],[HomeForecast]])^2</f>
        <v>4.5336514387524076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-0.12593186286489794</v>
      </c>
      <c r="J455">
        <f>(Table3[[#This Row],[HomeMargin]]-Table3[[#This Row],[HomeForecast]])^2</f>
        <v>0.76399510835482753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0.70367775127788046</v>
      </c>
      <c r="J456">
        <f>(Table3[[#This Row],[HomeMargin]]-Table3[[#This Row],[HomeForecast]])^2</f>
        <v>7.3098733827550175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-3.5548153571461377E-2</v>
      </c>
      <c r="J457">
        <f>(Table3[[#This Row],[HomeMargin]]-Table3[[#This Row],[HomeForecast]])^2</f>
        <v>0.93016736407941747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-1.002361827203057</v>
      </c>
      <c r="J458">
        <f>(Table3[[#This Row],[HomeMargin]]-Table3[[#This Row],[HomeForecast]])^2</f>
        <v>9.0141765414460782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0.47339274775339196</v>
      </c>
      <c r="J459">
        <f>(Table3[[#This Row],[HomeMargin]]-Table3[[#This Row],[HomeForecast]])^2</f>
        <v>30.5433877205848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0.70744378503989003</v>
      </c>
      <c r="J460">
        <f>(Table3[[#This Row],[HomeMargin]]-Table3[[#This Row],[HomeForecast]])^2</f>
        <v>13.745139419230906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0.80284643409750267</v>
      </c>
      <c r="J461">
        <f>(Table3[[#This Row],[HomeMargin]]-Table3[[#This Row],[HomeForecast]])^2</f>
        <v>3.886952854807036E-2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0.10016280934823787</v>
      </c>
      <c r="J462">
        <f>(Table3[[#This Row],[HomeMargin]]-Table3[[#This Row],[HomeForecast]])^2</f>
        <v>8.4090557322871042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1.1439045884755097</v>
      </c>
      <c r="J463">
        <f>(Table3[[#This Row],[HomeMargin]]-Table3[[#This Row],[HomeForecast]])^2</f>
        <v>4.596326884486345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-7.7596766784259169E-2</v>
      </c>
      <c r="J464">
        <f>(Table3[[#This Row],[HomeMargin]]-Table3[[#This Row],[HomeForecast]])^2</f>
        <v>0.8508277246468523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-1.607109789024858</v>
      </c>
      <c r="J465">
        <f>(Table3[[#This Row],[HomeMargin]]-Table3[[#This Row],[HomeForecast]])^2</f>
        <v>0.36858229592980762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0.72760179052082374</v>
      </c>
      <c r="J466">
        <f>(Table3[[#This Row],[HomeMargin]]-Table3[[#This Row],[HomeForecast]])^2</f>
        <v>1.6189972034858133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-0.33015542516533508</v>
      </c>
      <c r="J467">
        <f>(Table3[[#This Row],[HomeMargin]]-Table3[[#This Row],[HomeForecast]])^2</f>
        <v>11.089935155758113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-0.80508984042691623</v>
      </c>
      <c r="J468">
        <f>(Table3[[#This Row],[HomeMargin]]-Table3[[#This Row],[HomeForecast]])^2</f>
        <v>4.8176306085971401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-0.72288601206104985</v>
      </c>
      <c r="J469">
        <f>(Table3[[#This Row],[HomeMargin]]-Table3[[#This Row],[HomeForecast]])^2</f>
        <v>7.4141082346777276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0.37265663662640797</v>
      </c>
      <c r="J470">
        <f>(Table3[[#This Row],[HomeMargin]]-Table3[[#This Row],[HomeForecast]])^2</f>
        <v>5.6294995153273391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-0.32320384964103877</v>
      </c>
      <c r="J471">
        <f>(Table3[[#This Row],[HomeMargin]]-Table3[[#This Row],[HomeForecast]])^2</f>
        <v>13.518829931294476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0.72541537928535993</v>
      </c>
      <c r="J472">
        <f>(Table3[[#This Row],[HomeMargin]]-Table3[[#This Row],[HomeForecast]])^2</f>
        <v>5.1737351967915632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-3.9844110499846486E-2</v>
      </c>
      <c r="J473">
        <f>(Table3[[#This Row],[HomeMargin]]-Table3[[#This Row],[HomeForecast]])^2</f>
        <v>0.92189933214183095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-0.61312020458475791</v>
      </c>
      <c r="J474">
        <f>(Table3[[#This Row],[HomeMargin]]-Table3[[#This Row],[HomeForecast]])^2</f>
        <v>19.244714339422472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-2.1052437717169128</v>
      </c>
      <c r="J475">
        <f>(Table3[[#This Row],[HomeMargin]]-Table3[[#This Row],[HomeForecast]])^2</f>
        <v>9.6425388817866793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9.5560573127537352E-2</v>
      </c>
      <c r="J476">
        <f>(Table3[[#This Row],[HomeMargin]]-Table3[[#This Row],[HomeForecast]])^2</f>
        <v>0.81801067688138884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0.23053188858339202</v>
      </c>
      <c r="J477">
        <f>(Table3[[#This Row],[HomeMargin]]-Table3[[#This Row],[HomeForecast]])^2</f>
        <v>1.5142087288206094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0.43136496304014255</v>
      </c>
      <c r="J478">
        <f>(Table3[[#This Row],[HomeMargin]]-Table3[[#This Row],[HomeForecast]])^2</f>
        <v>6.5978859530977676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0.11421995808060553</v>
      </c>
      <c r="J479">
        <f>(Table3[[#This Row],[HomeMargin]]-Table3[[#This Row],[HomeForecast]])^2</f>
        <v>1.2414861149851464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-0.92601333219091486</v>
      </c>
      <c r="J480">
        <f>(Table3[[#This Row],[HomeMargin]]-Table3[[#This Row],[HomeForecast]])^2</f>
        <v>4.3014206982498324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-0.80034436889441929</v>
      </c>
      <c r="J481">
        <f>(Table3[[#This Row],[HomeMargin]]-Table3[[#This Row],[HomeForecast]])^2</f>
        <v>3.9862371032167727E-2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-5.9682451990713689E-2</v>
      </c>
      <c r="J482">
        <f>(Table3[[#This Row],[HomeMargin]]-Table3[[#This Row],[HomeForecast]])^2</f>
        <v>0.88419709109419653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-0.31937274241048214</v>
      </c>
      <c r="J483">
        <f>(Table3[[#This Row],[HomeMargin]]-Table3[[#This Row],[HomeForecast]])^2</f>
        <v>11.018235403057684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-0.22713816430377096</v>
      </c>
      <c r="J484">
        <f>(Table3[[#This Row],[HomeMargin]]-Table3[[#This Row],[HomeForecast]])^2</f>
        <v>1.5058680742908286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0.19564948245495117</v>
      </c>
      <c r="J485">
        <f>(Table3[[#This Row],[HomeMargin]]-Table3[[#This Row],[HomeForecast]])^2</f>
        <v>1.4295776848947923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-0.21742108500907881</v>
      </c>
      <c r="J486">
        <f>(Table3[[#This Row],[HomeMargin]]-Table3[[#This Row],[HomeForecast]])^2</f>
        <v>7.7427454181520527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1.740535046647731</v>
      </c>
      <c r="J487">
        <f>(Table3[[#This Row],[HomeMargin]]-Table3[[#This Row],[HomeForecast]])^2</f>
        <v>5.1051818754271716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0.23062886267477489</v>
      </c>
      <c r="J488">
        <f>(Table3[[#This Row],[HomeMargin]]-Table3[[#This Row],[HomeForecast]])^2</f>
        <v>7.66941649625001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-9.9951110689973088E-2</v>
      </c>
      <c r="J489">
        <f>(Table3[[#This Row],[HomeMargin]]-Table3[[#This Row],[HomeForecast]])^2</f>
        <v>9.6096968886679974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-0.78410173735703415</v>
      </c>
      <c r="J490">
        <f>(Table3[[#This Row],[HomeMargin]]-Table3[[#This Row],[HomeForecast]])^2</f>
        <v>10.342001635670046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0.71458347215661278</v>
      </c>
      <c r="J491">
        <f>(Table3[[#This Row],[HomeMargin]]-Table3[[#This Row],[HomeForecast]])^2</f>
        <v>18.364794817113275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0.24179029628337828</v>
      </c>
      <c r="J492">
        <f>(Table3[[#This Row],[HomeMargin]]-Table3[[#This Row],[HomeForecast]])^2</f>
        <v>7.6077207696765345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0.10649567838415663</v>
      </c>
      <c r="J493">
        <f>(Table3[[#This Row],[HomeMargin]]-Table3[[#This Row],[HomeForecast]])^2</f>
        <v>1.224332686282815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4.5250768185963047E-3</v>
      </c>
      <c r="J494">
        <f>(Table3[[#This Row],[HomeMargin]]-Table3[[#This Row],[HomeForecast]])^2</f>
        <v>4.0181207835946005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0.25278628919069285</v>
      </c>
      <c r="J495">
        <f>(Table3[[#This Row],[HomeMargin]]-Table3[[#This Row],[HomeForecast]])^2</f>
        <v>1.5694734863841864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-0.59367682281566014</v>
      </c>
      <c r="J496">
        <f>(Table3[[#This Row],[HomeMargin]]-Table3[[#This Row],[HomeForecast]])^2</f>
        <v>0.16509852431717645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-7.195221731304742E-2</v>
      </c>
      <c r="J497">
        <f>(Table3[[#This Row],[HomeMargin]]-Table3[[#This Row],[HomeForecast]])^2</f>
        <v>8.5734638176979789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7.6404065140294353E-2</v>
      </c>
      <c r="J498">
        <f>(Table3[[#This Row],[HomeMargin]]-Table3[[#This Row],[HomeForecast]])^2</f>
        <v>1.1586457114505511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-0.48659930555527808</v>
      </c>
      <c r="J499">
        <f>(Table3[[#This Row],[HomeMargin]]-Table3[[#This Row],[HomeForecast]])^2</f>
        <v>2.2099774952774349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0.67401245483500949</v>
      </c>
      <c r="J500">
        <f>(Table3[[#This Row],[HomeMargin]]-Table3[[#This Row],[HomeForecast]])^2</f>
        <v>1.7582429699326778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-0.26862322499662522</v>
      </c>
      <c r="J501">
        <f>(Table3[[#This Row],[HomeMargin]]-Table3[[#This Row],[HomeForecast]])^2</f>
        <v>0.53491198701433718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-0.24026178215535621</v>
      </c>
      <c r="J502">
        <f>(Table3[[#This Row],[HomeMargin]]-Table3[[#This Row],[HomeForecast]])^2</f>
        <v>14.135631466721618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2.2536790795265738</v>
      </c>
      <c r="J503">
        <f>(Table3[[#This Row],[HomeMargin]]-Table3[[#This Row],[HomeForecast]])^2</f>
        <v>6.4353075389449732E-2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0.64933094045132256</v>
      </c>
      <c r="J504">
        <f>(Table3[[#This Row],[HomeMargin]]-Table3[[#This Row],[HomeForecast]])^2</f>
        <v>21.616278193837985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0.30932406123924772</v>
      </c>
      <c r="J505">
        <f>(Table3[[#This Row],[HomeMargin]]-Table3[[#This Row],[HomeForecast]])^2</f>
        <v>1.7143294973400369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0.57365239051017958</v>
      </c>
      <c r="J506">
        <f>(Table3[[#This Row],[HomeMargin]]-Table3[[#This Row],[HomeForecast]])^2</f>
        <v>0.18177228411768442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1.2931002394563525E-2</v>
      </c>
      <c r="J507">
        <f>(Table3[[#This Row],[HomeMargin]]-Table3[[#This Row],[HomeForecast]])^2</f>
        <v>8.9225811964555461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-0.55524244346821949</v>
      </c>
      <c r="J508">
        <f>(Table3[[#This Row],[HomeMargin]]-Table3[[#This Row],[HomeForecast]])^2</f>
        <v>2.4187790579649979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-4.1061924890427468E-2</v>
      </c>
      <c r="J509">
        <f>(Table3[[#This Row],[HomeMargin]]-Table3[[#This Row],[HomeForecast]])^2</f>
        <v>1.0838099314565619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-0.201861168094917</v>
      </c>
      <c r="J510">
        <f>(Table3[[#This Row],[HomeMargin]]-Table3[[#This Row],[HomeForecast]])^2</f>
        <v>0.63702559499481037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0.29285951958075052</v>
      </c>
      <c r="J511">
        <f>(Table3[[#This Row],[HomeMargin]]-Table3[[#This Row],[HomeForecast]])^2</f>
        <v>1.6714857373705687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2.4311767089781611E-3</v>
      </c>
      <c r="J512">
        <f>(Table3[[#This Row],[HomeMargin]]-Table3[[#This Row],[HomeForecast]])^2</f>
        <v>9.0145929708740589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-0.48848626539635054</v>
      </c>
      <c r="J513">
        <f>(Table3[[#This Row],[HomeMargin]]-Table3[[#This Row],[HomeForecast]])^2</f>
        <v>20.146508954651676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0.35029647590457808</v>
      </c>
      <c r="J514">
        <f>(Table3[[#This Row],[HomeMargin]]-Table3[[#This Row],[HomeForecast]])^2</f>
        <v>0.42211466922201041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0.62844104089139874</v>
      </c>
      <c r="J515">
        <f>(Table3[[#This Row],[HomeMargin]]-Table3[[#This Row],[HomeForecast]])^2</f>
        <v>11.367409814745475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0.11219698418527006</v>
      </c>
      <c r="J516">
        <f>(Table3[[#This Row],[HomeMargin]]-Table3[[#This Row],[HomeForecast]])^2</f>
        <v>8.3394062581486494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0.4950481637288075</v>
      </c>
      <c r="J517">
        <f>(Table3[[#This Row],[HomeMargin]]-Table3[[#This Row],[HomeForecast]])^2</f>
        <v>2.2351690118688792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-0.20072966829147021</v>
      </c>
      <c r="J518">
        <f>(Table3[[#This Row],[HomeMargin]]-Table3[[#This Row],[HomeForecast]])^2</f>
        <v>0.6388330631494632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-0.39640483603951931</v>
      </c>
      <c r="J519">
        <f>(Table3[[#This Row],[HomeMargin]]-Table3[[#This Row],[HomeForecast]])^2</f>
        <v>2.5715174498774407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0.8263380946227793</v>
      </c>
      <c r="J520">
        <f>(Table3[[#This Row],[HomeMargin]]-Table3[[#This Row],[HomeForecast]])^2</f>
        <v>4.7248060788881299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6.863295637158176E-2</v>
      </c>
      <c r="J521">
        <f>(Table3[[#This Row],[HomeMargin]]-Table3[[#This Row],[HomeForecast]])^2</f>
        <v>9.4165082209297957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-0.5661481643469517</v>
      </c>
      <c r="J522">
        <f>(Table3[[#This Row],[HomeMargin]]-Table3[[#This Row],[HomeForecast]])^2</f>
        <v>5.9236347579117128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0.67773259583447309</v>
      </c>
      <c r="J523">
        <f>(Table3[[#This Row],[HomeMargin]]-Table3[[#This Row],[HomeForecast]])^2</f>
        <v>13.525717046463372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-0.12674086769426662</v>
      </c>
      <c r="J524">
        <f>(Table3[[#This Row],[HomeMargin]]-Table3[[#This Row],[HomeForecast]])^2</f>
        <v>0.7625815121553623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-0.2004930396801699</v>
      </c>
      <c r="J525">
        <f>(Table3[[#This Row],[HomeMargin]]-Table3[[#This Row],[HomeForecast]])^2</f>
        <v>10.243155697041214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-0.12239350184078431</v>
      </c>
      <c r="J526">
        <f>(Table3[[#This Row],[HomeMargin]]-Table3[[#This Row],[HomeForecast]])^2</f>
        <v>1.2597671729744184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-0.17805064626209194</v>
      </c>
      <c r="J527">
        <f>(Table3[[#This Row],[HomeMargin]]-Table3[[#This Row],[HomeForecast]])^2</f>
        <v>1.3878033251585324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0.21190699280809566</v>
      </c>
      <c r="J528">
        <f>(Table3[[#This Row],[HomeMargin]]-Table3[[#This Row],[HomeForecast]])^2</f>
        <v>22.925834645520009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5.4047875316727279E-3</v>
      </c>
      <c r="J529">
        <f>(Table3[[#This Row],[HomeMargin]]-Table3[[#This Row],[HomeForecast]])^2</f>
        <v>9.0324579369182985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0.55075011770582571</v>
      </c>
      <c r="J530">
        <f>(Table3[[#This Row],[HomeMargin]]-Table3[[#This Row],[HomeForecast]])^2</f>
        <v>12.607826398387935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4.2504407099035843E-2</v>
      </c>
      <c r="J531">
        <f>(Table3[[#This Row],[HomeMargin]]-Table3[[#This Row],[HomeForecast]])^2</f>
        <v>4.1718242530189844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-2.070462711218128</v>
      </c>
      <c r="J532">
        <f>(Table3[[#This Row],[HomeMargin]]-Table3[[#This Row],[HomeForecast]])^2</f>
        <v>4.9649936722092978E-3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0.11417385608860443</v>
      </c>
      <c r="J533">
        <f>(Table3[[#This Row],[HomeMargin]]-Table3[[#This Row],[HomeForecast]])^2</f>
        <v>8.3279925328825151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0.47332182153910929</v>
      </c>
      <c r="J534">
        <f>(Table3[[#This Row],[HomeMargin]]-Table3[[#This Row],[HomeForecast]])^2</f>
        <v>0.27738990366688182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-0.32542763025561994</v>
      </c>
      <c r="J535">
        <f>(Table3[[#This Row],[HomeMargin]]-Table3[[#This Row],[HomeForecast]])^2</f>
        <v>7.1533373610000686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0.25122480807628733</v>
      </c>
      <c r="J536">
        <f>(Table3[[#This Row],[HomeMargin]]-Table3[[#This Row],[HomeForecast]])^2</f>
        <v>0.5606642880403927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-0.69999515078697172</v>
      </c>
      <c r="J537">
        <f>(Table3[[#This Row],[HomeMargin]]-Table3[[#This Row],[HomeForecast]])^2</f>
        <v>5.2900223064034453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-0.77984346097303692</v>
      </c>
      <c r="J538">
        <f>(Table3[[#This Row],[HomeMargin]]-Table3[[#This Row],[HomeForecast]])^2</f>
        <v>3.1678427455684783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0.28173402857093843</v>
      </c>
      <c r="J539">
        <f>(Table3[[#This Row],[HomeMargin]]-Table3[[#This Row],[HomeForecast]])^2</f>
        <v>1.6428421199966872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4.2741035710336148E-2</v>
      </c>
      <c r="J540">
        <f>(Table3[[#This Row],[HomeMargin]]-Table3[[#This Row],[HomeForecast]])^2</f>
        <v>4.172790938974936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8.1487221655910214E-2</v>
      </c>
      <c r="J541">
        <f>(Table3[[#This Row],[HomeMargin]]-Table3[[#This Row],[HomeForecast]])^2</f>
        <v>3.6806912806695586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-0.71685582161442796</v>
      </c>
      <c r="J542">
        <f>(Table3[[#This Row],[HomeMargin]]-Table3[[#This Row],[HomeForecast]])^2</f>
        <v>5.2127473392959294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0.14046706477901477</v>
      </c>
      <c r="J543">
        <f>(Table3[[#This Row],[HomeMargin]]-Table3[[#This Row],[HomeForecast]])^2</f>
        <v>3.4578627371715731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0.58308762901540123</v>
      </c>
      <c r="J544">
        <f>(Table3[[#This Row],[HomeMargin]]-Table3[[#This Row],[HomeForecast]])^2</f>
        <v>5.8414654090183937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0.12924293289735</v>
      </c>
      <c r="J545">
        <f>(Table3[[#This Row],[HomeMargin]]-Table3[[#This Row],[HomeForecast]])^2</f>
        <v>14.982760272525107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-0.87305299196376163</v>
      </c>
      <c r="J546">
        <f>(Table3[[#This Row],[HomeMargin]]-Table3[[#This Row],[HomeForecast]])^2</f>
        <v>1.2700095589218292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-0.88018970187059076</v>
      </c>
      <c r="J547">
        <f>(Table3[[#This Row],[HomeMargin]]-Table3[[#This Row],[HomeForecast]])^2</f>
        <v>1.4354507537857924E-2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0.85473975000592983</v>
      </c>
      <c r="J548">
        <f>(Table3[[#This Row],[HomeMargin]]-Table3[[#This Row],[HomeForecast]])^2</f>
        <v>3.4400595402520588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0.53106156098949164</v>
      </c>
      <c r="J549">
        <f>(Table3[[#This Row],[HomeMargin]]-Table3[[#This Row],[HomeForecast]])^2</f>
        <v>12.033533893644663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-0.6944134304636167</v>
      </c>
      <c r="J550">
        <f>(Table3[[#This Row],[HomeMargin]]-Table3[[#This Row],[HomeForecast]])^2</f>
        <v>18.53807570777208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2.0399837829004888</v>
      </c>
      <c r="J551">
        <f>(Table3[[#This Row],[HomeMargin]]-Table3[[#This Row],[HomeForecast]])^2</f>
        <v>1.081566268696011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-0.18685111790812892</v>
      </c>
      <c r="J552">
        <f>(Table3[[#This Row],[HomeMargin]]-Table3[[#This Row],[HomeForecast]])^2</f>
        <v>1.4086155760797754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0.72390745761762232</v>
      </c>
      <c r="J553">
        <f>(Table3[[#This Row],[HomeMargin]]-Table3[[#This Row],[HomeForecast]])^2</f>
        <v>13.867486752900145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0.4504539317871733</v>
      </c>
      <c r="J554">
        <f>(Table3[[#This Row],[HomeMargin]]-Table3[[#This Row],[HomeForecast]])^2</f>
        <v>2.1038166082368694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0.27082880965044537</v>
      </c>
      <c r="J555">
        <f>(Table3[[#This Row],[HomeMargin]]-Table3[[#This Row],[HomeForecast]])^2</f>
        <v>0.53169062483578633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0.59657374802614982</v>
      </c>
      <c r="J556">
        <f>(Table3[[#This Row],[HomeMargin]]-Table3[[#This Row],[HomeForecast]])^2</f>
        <v>2.5490477328862675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9.2422326912529468E-2</v>
      </c>
      <c r="J557">
        <f>(Table3[[#This Row],[HomeMargin]]-Table3[[#This Row],[HomeForecast]])^2</f>
        <v>0.82369723268686745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-0.29060783293492931</v>
      </c>
      <c r="J558">
        <f>(Table3[[#This Row],[HomeMargin]]-Table3[[#This Row],[HomeForecast]])^2</f>
        <v>10.828099910172712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1.2277275050354557</v>
      </c>
      <c r="J559">
        <f>(Table3[[#This Row],[HomeMargin]]-Table3[[#This Row],[HomeForecast]])^2</f>
        <v>27.329134866904234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0.59696442269690442</v>
      </c>
      <c r="J560">
        <f>(Table3[[#This Row],[HomeMargin]]-Table3[[#This Row],[HomeForecast]])^2</f>
        <v>5.7745799857844222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0.14391023099106476</v>
      </c>
      <c r="J561">
        <f>(Table3[[#This Row],[HomeMargin]]-Table3[[#This Row],[HomeForecast]])^2</f>
        <v>14.869428306655383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-0.24533765493777454</v>
      </c>
      <c r="J562">
        <f>(Table3[[#This Row],[HomeMargin]]-Table3[[#This Row],[HomeForecast]])^2</f>
        <v>5.0415411846814635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-0.10987479126358526</v>
      </c>
      <c r="J563">
        <f>(Table3[[#This Row],[HomeMargin]]-Table3[[#This Row],[HomeForecast]])^2</f>
        <v>1.2318220522823871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0.56842033092168642</v>
      </c>
      <c r="J564">
        <f>(Table3[[#This Row],[HomeMargin]]-Table3[[#This Row],[HomeForecast]])^2</f>
        <v>2.0494203489183738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0.18042326696278871</v>
      </c>
      <c r="J565">
        <f>(Table3[[#This Row],[HomeMargin]]-Table3[[#This Row],[HomeForecast]])^2</f>
        <v>4.7542456231126797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0.41666382402151364</v>
      </c>
      <c r="J566">
        <f>(Table3[[#This Row],[HomeMargin]]-Table3[[#This Row],[HomeForecast]])^2</f>
        <v>2.5069534461621763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0.61568629256358365</v>
      </c>
      <c r="J567">
        <f>(Table3[[#This Row],[HomeMargin]]-Table3[[#This Row],[HomeForecast]])^2</f>
        <v>13.073187366232194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1.9429003523611335E-2</v>
      </c>
      <c r="J568">
        <f>(Table3[[#This Row],[HomeMargin]]-Table3[[#This Row],[HomeForecast]])^2</f>
        <v>16.155809514366812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0.84291966448756039</v>
      </c>
      <c r="J569">
        <f>(Table3[[#This Row],[HomeMargin]]-Table3[[#This Row],[HomeForecast]])^2</f>
        <v>9.9671562448793392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-0.46725098475392257</v>
      </c>
      <c r="J570">
        <f>(Table3[[#This Row],[HomeMargin]]-Table3[[#This Row],[HomeForecast]])^2</f>
        <v>2.1528254522613555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-2.9651826944071535E-4</v>
      </c>
      <c r="J571">
        <f>(Table3[[#This Row],[HomeMargin]]-Table3[[#This Row],[HomeForecast]])^2</f>
        <v>1.0005931244619657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-1.1911552168863815</v>
      </c>
      <c r="J572">
        <f>(Table3[[#This Row],[HomeMargin]]-Table3[[#This Row],[HomeForecast]])^2</f>
        <v>7.8896090156245906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-0.17284631299168318</v>
      </c>
      <c r="J573">
        <f>(Table3[[#This Row],[HomeMargin]]-Table3[[#This Row],[HomeForecast]])^2</f>
        <v>3.3384905959480866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-0.23982388361880844</v>
      </c>
      <c r="J574">
        <f>(Table3[[#This Row],[HomeMargin]]-Table3[[#This Row],[HomeForecast]])^2</f>
        <v>1.5371632623916247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4.5250768185963047E-3</v>
      </c>
      <c r="J575">
        <f>(Table3[[#This Row],[HomeMargin]]-Table3[[#This Row],[HomeForecast]])^2</f>
        <v>0.99097032268302165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0.49509821870770893</v>
      </c>
      <c r="J576">
        <f>(Table3[[#This Row],[HomeMargin]]-Table3[[#This Row],[HomeForecast]])^2</f>
        <v>0.25492580875212856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0.35906282846293369</v>
      </c>
      <c r="J577">
        <f>(Table3[[#This Row],[HomeMargin]]-Table3[[#This Row],[HomeForecast]])^2</f>
        <v>5.5651774286355362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0.28733945330094368</v>
      </c>
      <c r="J578">
        <f>(Table3[[#This Row],[HomeMargin]]-Table3[[#This Row],[HomeForecast]])^2</f>
        <v>5.2319217746270601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0.73484256287424154</v>
      </c>
      <c r="J579">
        <f>(Table3[[#This Row],[HomeMargin]]-Table3[[#This Row],[HomeForecast]])^2</f>
        <v>5.1309382149661351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1.8312424469650983</v>
      </c>
      <c r="J580">
        <f>(Table3[[#This Row],[HomeMargin]]-Table3[[#This Row],[HomeForecast]])^2</f>
        <v>1.3659942177761311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4.7617054298966094E-3</v>
      </c>
      <c r="J581">
        <f>(Table3[[#This Row],[HomeMargin]]-Table3[[#This Row],[HomeForecast]])^2</f>
        <v>16.038116317277776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0.33528642571778999</v>
      </c>
      <c r="J582">
        <f>(Table3[[#This Row],[HomeMargin]]-Table3[[#This Row],[HomeForecast]])^2</f>
        <v>11.124135541577351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-0.50346518757889791</v>
      </c>
      <c r="J583">
        <f>(Table3[[#This Row],[HomeMargin]]-Table3[[#This Row],[HomeForecast]])^2</f>
        <v>2.2396164447882629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1.6191032180976104</v>
      </c>
      <c r="J584">
        <f>(Table3[[#This Row],[HomeMargin]]-Table3[[#This Row],[HomeForecast]])^2</f>
        <v>0.38328879465881732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-0.77910908825199132</v>
      </c>
      <c r="J585">
        <f>(Table3[[#This Row],[HomeMargin]]-Table3[[#This Row],[HomeForecast]])^2</f>
        <v>3.1652291479008317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0.36452896857031913</v>
      </c>
      <c r="J586">
        <f>(Table3[[#This Row],[HomeMargin]]-Table3[[#This Row],[HomeForecast]])^2</f>
        <v>13.216649620364388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0.37557347211343201</v>
      </c>
      <c r="J587">
        <f>(Table3[[#This Row],[HomeMargin]]-Table3[[#This Row],[HomeForecast]])^2</f>
        <v>1.892202377182203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0.98830620873536179</v>
      </c>
      <c r="J588">
        <f>(Table3[[#This Row],[HomeMargin]]-Table3[[#This Row],[HomeForecast]])^2</f>
        <v>3.9533615796955881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0.30307694779364525</v>
      </c>
      <c r="J589">
        <f>(Table3[[#This Row],[HomeMargin]]-Table3[[#This Row],[HomeForecast]])^2</f>
        <v>0.48570174069662148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-1.6532078313121673E-2</v>
      </c>
      <c r="J590">
        <f>(Table3[[#This Row],[HomeMargin]]-Table3[[#This Row],[HomeForecast]])^2</f>
        <v>0.96720915298710786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3.4144423514772843E-2</v>
      </c>
      <c r="J591">
        <f>(Table3[[#This Row],[HomeMargin]]-Table3[[#This Row],[HomeForecast]])^2</f>
        <v>8.7962993005685188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0.39908693856081645</v>
      </c>
      <c r="J592">
        <f>(Table3[[#This Row],[HomeMargin]]-Table3[[#This Row],[HomeForecast]])^2</f>
        <v>21.168400998921683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0.53657533230845766</v>
      </c>
      <c r="J593">
        <f>(Table3[[#This Row],[HomeMargin]]-Table3[[#This Row],[HomeForecast]])^2</f>
        <v>20.58051574570959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0.21975603650400194</v>
      </c>
      <c r="J594">
        <f>(Table3[[#This Row],[HomeMargin]]-Table3[[#This Row],[HomeForecast]])^2</f>
        <v>7.7297564965559369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0.61349988132811983</v>
      </c>
      <c r="J595">
        <f>(Table3[[#This Row],[HomeMargin]]-Table3[[#This Row],[HomeForecast]])^2</f>
        <v>5.6953828164208984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-0.21609366076065806</v>
      </c>
      <c r="J596">
        <f>(Table3[[#This Row],[HomeMargin]]-Table3[[#This Row],[HomeForecast]])^2</f>
        <v>1.4788837917422586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1.2420238321218391</v>
      </c>
      <c r="J597">
        <f>(Table3[[#This Row],[HomeMargin]]-Table3[[#This Row],[HomeForecast]])^2</f>
        <v>5.0266708638022966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-0.52929728802481213</v>
      </c>
      <c r="J598">
        <f>(Table3[[#This Row],[HomeMargin]]-Table3[[#This Row],[HomeForecast]])^2</f>
        <v>2.1629664670111723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9.0728297555328852E-2</v>
      </c>
      <c r="J599">
        <f>(Table3[[#This Row],[HomeMargin]]-Table3[[#This Row],[HomeForecast]])^2</f>
        <v>24.100948648423998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-0.44384197847581491</v>
      </c>
      <c r="J600">
        <f>(Table3[[#This Row],[HomeMargin]]-Table3[[#This Row],[HomeForecast]])^2</f>
        <v>0.30931174490569585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0.24737499381662706</v>
      </c>
      <c r="J601">
        <f>(Table3[[#This Row],[HomeMargin]]-Table3[[#This Row],[HomeForecast]])^2</f>
        <v>3.0716944122992684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-0.5661481643469517</v>
      </c>
      <c r="J602">
        <f>(Table3[[#This Row],[HomeMargin]]-Table3[[#This Row],[HomeForecast]])^2</f>
        <v>2.4528200726873264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-2.0880855477746652E-2</v>
      </c>
      <c r="J603">
        <f>(Table3[[#This Row],[HomeMargin]]-Table3[[#This Row],[HomeForecast]])^2</f>
        <v>4.0839594320364681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-0.22925994592926846</v>
      </c>
      <c r="J604">
        <f>(Table3[[#This Row],[HomeMargin]]-Table3[[#This Row],[HomeForecast]])^2</f>
        <v>7.6770004472318796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-1.6393878135041842</v>
      </c>
      <c r="J605">
        <f>(Table3[[#This Row],[HomeMargin]]-Table3[[#This Row],[HomeForecast]])^2</f>
        <v>0.40881677605766137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-0.62617560429961572</v>
      </c>
      <c r="J606">
        <f>(Table3[[#This Row],[HomeMargin]]-Table3[[#This Row],[HomeForecast]])^2</f>
        <v>0.13974467882075747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-0.28996614421933209</v>
      </c>
      <c r="J607">
        <f>(Table3[[#This Row],[HomeMargin]]-Table3[[#This Row],[HomeForecast]])^2</f>
        <v>5.2439449416707555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-0.36495974411950588</v>
      </c>
      <c r="J608">
        <f>(Table3[[#This Row],[HomeMargin]]-Table3[[#This Row],[HomeForecast]])^2</f>
        <v>13.213517661871728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-1.0407077669261489E-2</v>
      </c>
      <c r="J609">
        <f>(Table3[[#This Row],[HomeMargin]]-Table3[[#This Row],[HomeForecast]])^2</f>
        <v>1.0209224626041371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-0.38913526828843964</v>
      </c>
      <c r="J610">
        <f>(Table3[[#This Row],[HomeMargin]]-Table3[[#This Row],[HomeForecast]])^2</f>
        <v>11.486237866756552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0.76155551239441899</v>
      </c>
      <c r="J611">
        <f>(Table3[[#This Row],[HomeMargin]]-Table3[[#This Row],[HomeForecast]])^2</f>
        <v>5.6855773669488074E-2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0.25285721540497552</v>
      </c>
      <c r="J612">
        <f>(Table3[[#This Row],[HomeMargin]]-Table3[[#This Row],[HomeForecast]])^2</f>
        <v>1.5696512021923092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0.53438892107299385</v>
      </c>
      <c r="J613">
        <f>(Table3[[#This Row],[HomeMargin]]-Table3[[#This Row],[HomeForecast]])^2</f>
        <v>0.21679367681957076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-0.18461704256616368</v>
      </c>
      <c r="J614">
        <f>(Table3[[#This Row],[HomeMargin]]-Table3[[#This Row],[HomeForecast]])^2</f>
        <v>1.4033175375382041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1.9175422008191878</v>
      </c>
      <c r="J615">
        <f>(Table3[[#This Row],[HomeMargin]]-Table3[[#This Row],[HomeForecast]])^2</f>
        <v>1.1717148870073675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-0.18903752914359279</v>
      </c>
      <c r="J616">
        <f>(Table3[[#This Row],[HomeMargin]]-Table3[[#This Row],[HomeForecast]])^2</f>
        <v>4.7918853039990861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0.36585639281873983</v>
      </c>
      <c r="J617">
        <f>(Table3[[#This Row],[HomeMargin]]-Table3[[#This Row],[HomeForecast]])^2</f>
        <v>11.328989257078778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0.27148964068097137</v>
      </c>
      <c r="J618">
        <f>(Table3[[#This Row],[HomeMargin]]-Table3[[#This Row],[HomeForecast]])^2</f>
        <v>1.6166859063590253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-1.0715517147900862</v>
      </c>
      <c r="J619">
        <f>(Table3[[#This Row],[HomeMargin]]-Table3[[#This Row],[HomeForecast]])^2</f>
        <v>0.86201621830922948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0.70879351533379409</v>
      </c>
      <c r="J620">
        <f>(Table3[[#This Row],[HomeMargin]]-Table3[[#This Row],[HomeForecast]])^2</f>
        <v>2.9199752780468256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-0.37401494271297214</v>
      </c>
      <c r="J621">
        <f>(Table3[[#This Row],[HomeMargin]]-Table3[[#This Row],[HomeForecast]])^2</f>
        <v>6.8957975210947557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-0.1034288355075418</v>
      </c>
      <c r="J622">
        <f>(Table3[[#This Row],[HomeMargin]]-Table3[[#This Row],[HomeForecast]])^2</f>
        <v>3.5969821819842784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-0.49253008232227868</v>
      </c>
      <c r="J623">
        <f>(Table3[[#This Row],[HomeMargin]]-Table3[[#This Row],[HomeForecast]])^2</f>
        <v>0.25752571734783325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0.15804057046477643</v>
      </c>
      <c r="J624">
        <f>(Table3[[#This Row],[HomeMargin]]-Table3[[#This Row],[HomeForecast]])^2</f>
        <v>1.3410579628423849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-0.34036661155430903</v>
      </c>
      <c r="J625">
        <f>(Table3[[#This Row],[HomeMargin]]-Table3[[#This Row],[HomeForecast]])^2</f>
        <v>18.838782322695433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0.13543337920081483</v>
      </c>
      <c r="J626">
        <f>(Table3[[#This Row],[HomeMargin]]-Table3[[#This Row],[HomeForecast]])^2</f>
        <v>14.934875166595234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-0.58640725506458047</v>
      </c>
      <c r="J627">
        <f>(Table3[[#This Row],[HomeMargin]]-Table3[[#This Row],[HomeForecast]])^2</f>
        <v>5.8254299384048931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-0.72281508584676724</v>
      </c>
      <c r="J628">
        <f>(Table3[[#This Row],[HomeMargin]]-Table3[[#This Row],[HomeForecast]])^2</f>
        <v>7.6831476634135018E-2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-6.1106850330517312E-2</v>
      </c>
      <c r="J629">
        <f>(Table3[[#This Row],[HomeMargin]]-Table3[[#This Row],[HomeForecast]])^2</f>
        <v>0.88152034649628164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-0.32288585741425541</v>
      </c>
      <c r="J630">
        <f>(Table3[[#This Row],[HomeMargin]]-Table3[[#This Row],[HomeForecast]])^2</f>
        <v>18.687342136232182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2.8940448977783562</v>
      </c>
      <c r="J631">
        <f>(Table3[[#This Row],[HomeMargin]]-Table3[[#This Row],[HomeForecast]])^2</f>
        <v>4.4350468925733741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0.65707142288703091</v>
      </c>
      <c r="J632">
        <f>(Table3[[#This Row],[HomeMargin]]-Table3[[#This Row],[HomeForecast]])^2</f>
        <v>13.374171392096972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9.5452934547258464E-2</v>
      </c>
      <c r="J633">
        <f>(Table3[[#This Row],[HomeMargin]]-Table3[[#This Row],[HomeForecast]])^2</f>
        <v>0.81820539361916633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0.1056942720993249</v>
      </c>
      <c r="J634">
        <f>(Table3[[#This Row],[HomeMargin]]-Table3[[#This Row],[HomeForecast]])^2</f>
        <v>16.856725455949206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-0.69888422736895806</v>
      </c>
      <c r="J635">
        <f>(Table3[[#This Row],[HomeMargin]]-Table3[[#This Row],[HomeForecast]])^2</f>
        <v>2.8862076180030214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0.54007361211755922</v>
      </c>
      <c r="J636">
        <f>(Table3[[#This Row],[HomeMargin]]-Table3[[#This Row],[HomeForecast]])^2</f>
        <v>6.4519739549759452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0.53657533230845766</v>
      </c>
      <c r="J637">
        <f>(Table3[[#This Row],[HomeMargin]]-Table3[[#This Row],[HomeForecast]])^2</f>
        <v>6.0684610933911856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0.41910934227773589</v>
      </c>
      <c r="J638">
        <f>(Table3[[#This Row],[HomeMargin]]-Table3[[#This Row],[HomeForecast]])^2</f>
        <v>5.8520900098954192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-1.0935885243121781</v>
      </c>
      <c r="J639">
        <f>(Table3[[#This Row],[HomeMargin]]-Table3[[#This Row],[HomeForecast]])^2</f>
        <v>4.3831129091316434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-0.70630444219626887</v>
      </c>
      <c r="J640">
        <f>(Table3[[#This Row],[HomeMargin]]-Table3[[#This Row],[HomeForecast]])^2</f>
        <v>1.6736481962811074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-7.3159330088697461E-2</v>
      </c>
      <c r="J641">
        <f>(Table3[[#This Row],[HomeMargin]]-Table3[[#This Row],[HomeForecast]])^2</f>
        <v>24.273758986692055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-0.28752774379725343</v>
      </c>
      <c r="J642">
        <f>(Table3[[#This Row],[HomeMargin]]-Table3[[#This Row],[HomeForecast]])^2</f>
        <v>1.6577276910476459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0.19891561586898021</v>
      </c>
      <c r="J643">
        <f>(Table3[[#This Row],[HomeMargin]]-Table3[[#This Row],[HomeForecast]])^2</f>
        <v>0.64173619049857522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0.10899871440361514</v>
      </c>
      <c r="J644">
        <f>(Table3[[#This Row],[HomeMargin]]-Table3[[#This Row],[HomeForecast]])^2</f>
        <v>8.3578884333199497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0.18007766612135048</v>
      </c>
      <c r="J645">
        <f>(Table3[[#This Row],[HomeMargin]]-Table3[[#This Row],[HomeForecast]])^2</f>
        <v>0.6722726335930117</v>
      </c>
    </row>
    <row r="646" spans="4:10" x14ac:dyDescent="0.2">
      <c r="D646" t="s">
        <v>34</v>
      </c>
      <c r="F646" t="s">
        <v>31</v>
      </c>
    </row>
    <row r="647" spans="4:10" x14ac:dyDescent="0.2">
      <c r="D647" t="s">
        <v>15</v>
      </c>
      <c r="F647" t="s">
        <v>11</v>
      </c>
    </row>
    <row r="648" spans="4:10" x14ac:dyDescent="0.2">
      <c r="D648" t="s">
        <v>20</v>
      </c>
      <c r="F648" t="s">
        <v>35</v>
      </c>
    </row>
    <row r="649" spans="4:10" x14ac:dyDescent="0.2">
      <c r="D649" t="s">
        <v>32</v>
      </c>
      <c r="F649" t="s">
        <v>38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623" activePane="bottomLeft" state="frozen"/>
      <selection activeCell="I1" sqref="I1"/>
      <selection pane="bottomLeft" activeCell="P647" sqref="P64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7.4217653904830524E-2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0.19285186127150866</v>
      </c>
      <c r="H2" t="s">
        <v>10</v>
      </c>
      <c r="I2">
        <f>VLOOKUP(Table4[[#This Row],[Visitor]],'NHL Model'!$A$6:$B$38,2,FALSE)</f>
        <v>-0.39984103039900787</v>
      </c>
      <c r="J2">
        <f>($B$1+Table4[[#This Row],[Home Differential]])-Table4[[#This Row],[Away Differential]]</f>
        <v>0.66691054557534701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0.61269502477354687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0.15000514383516347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1.584470710005189E-2</v>
      </c>
      <c r="H3" t="s">
        <v>12</v>
      </c>
      <c r="I3">
        <f>VLOOKUP(Table4[[#This Row],[Visitor]],'NHL Model'!$A$6:$B$38,2,FALSE)</f>
        <v>1.8591692540144091</v>
      </c>
      <c r="J3">
        <f>($B$1+Table4[[#This Row],[Home Differential]])-Table4[[#This Row],[Away Differential]]</f>
        <v>-1.7691068930095266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6.9155586058855925E-2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359</v>
      </c>
      <c r="V3">
        <f>COUNTIF(Table4[Locked Correct],"YES")</f>
        <v>349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-6.2506340836952119E-3</v>
      </c>
      <c r="H4" t="s">
        <v>14</v>
      </c>
      <c r="I4">
        <f>VLOOKUP(Table4[[#This Row],[Visitor]],'NHL Model'!$A$6:$B$38,2,FALSE)</f>
        <v>3.9336367625328564E-2</v>
      </c>
      <c r="J4">
        <f>($B$1+Table4[[#This Row],[Home Differential]])-Table4[[#This Row],[Away Differential]]</f>
        <v>2.8630652195806752E-2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0.28707975316394801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280</v>
      </c>
      <c r="V4">
        <f>COUNTIF(Table4[Locked Correct],"NO")</f>
        <v>290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7.1049614431123245E-2</v>
      </c>
      <c r="H5" t="s">
        <v>16</v>
      </c>
      <c r="I5">
        <f>VLOOKUP(Table4[[#This Row],[Visitor]],'NHL Model'!$A$6:$B$38,2,FALSE)</f>
        <v>-0.21926170023436534</v>
      </c>
      <c r="J5">
        <f>($B$1+Table4[[#This Row],[Home Differential]])-Table4[[#This Row],[Away Differential]]</f>
        <v>0.36452896857031913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0.36058043140126778</v>
      </c>
      <c r="O5">
        <v>-4.1674767740132361E-3</v>
      </c>
      <c r="P5" s="11"/>
      <c r="Q5" t="s">
        <v>16</v>
      </c>
      <c r="R5" t="s">
        <v>248</v>
      </c>
      <c r="T5">
        <f>SUM(T3:T4)</f>
        <v>639</v>
      </c>
      <c r="V5">
        <f>SUM(V3:V4)</f>
        <v>639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-7.3686276472912369E-4</v>
      </c>
      <c r="H6" t="s">
        <v>18</v>
      </c>
      <c r="I6">
        <f>VLOOKUP(Table4[[#This Row],[Visitor]],'NHL Model'!$A$6:$B$38,2,FALSE)</f>
        <v>0.10902894471156278</v>
      </c>
      <c r="J6">
        <f>($B$1+Table4[[#This Row],[Home Differential]])-Table4[[#This Row],[Away Differential]]</f>
        <v>-3.5548153571461377E-2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0.26099459334739084</v>
      </c>
      <c r="O6">
        <v>-4.4363714293103977E-3</v>
      </c>
      <c r="P6" s="11"/>
      <c r="Q6" t="s">
        <v>18</v>
      </c>
      <c r="R6" t="s">
        <v>249</v>
      </c>
      <c r="T6" s="13">
        <f>T3/T5</f>
        <v>0.56181533646322379</v>
      </c>
      <c r="V6" s="13">
        <f>V3/V5</f>
        <v>0.54616588419405321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0.14556378660539449</v>
      </c>
      <c r="H7" t="s">
        <v>13</v>
      </c>
      <c r="I7">
        <f>VLOOKUP(Table4[[#This Row],[Visitor]],'NHL Model'!$A$6:$B$38,2,FALSE)</f>
        <v>1.584470710005189E-2</v>
      </c>
      <c r="J7">
        <f>($B$1+Table4[[#This Row],[Home Differential]])-Table4[[#This Row],[Away Differential]]</f>
        <v>0.20393673341017313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0.28048173584616543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0.45610704431993199</v>
      </c>
      <c r="H8" t="s">
        <v>21</v>
      </c>
      <c r="I8">
        <f>VLOOKUP(Table4[[#This Row],[Visitor]],'NHL Model'!$A$6:$B$38,2,FALSE)</f>
        <v>3.9572996236628868E-2</v>
      </c>
      <c r="J8">
        <f>($B$1+Table4[[#This Row],[Home Differential]])-Table4[[#This Row],[Away Differential]]</f>
        <v>0.49075170198813362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0.36838422746114302</v>
      </c>
      <c r="O8">
        <v>-4.9858230986448791E-3</v>
      </c>
      <c r="P8" s="11"/>
      <c r="Q8" t="s">
        <v>21</v>
      </c>
      <c r="R8" t="s">
        <v>248</v>
      </c>
      <c r="T8">
        <f>SUM(Table4[Error])</f>
        <v>151.29134727157145</v>
      </c>
      <c r="V8">
        <f>COUNTIF(Table4[Locked Correct],"")</f>
        <v>673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3.9572996236628868E-2</v>
      </c>
      <c r="H9" t="s">
        <v>10</v>
      </c>
      <c r="I9">
        <f>VLOOKUP(Table4[[#This Row],[Visitor]],'NHL Model'!$A$6:$B$38,2,FALSE)</f>
        <v>-0.39984103039900787</v>
      </c>
      <c r="J9">
        <f>($B$1+Table4[[#This Row],[Home Differential]])-Table4[[#This Row],[Away Differential]]</f>
        <v>0.51363168054046726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0.60941436298925544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0.15255713983908911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0.18511137883580026</v>
      </c>
      <c r="H10" t="s">
        <v>15</v>
      </c>
      <c r="I10">
        <f>VLOOKUP(Table4[[#This Row],[Visitor]],'NHL Model'!$A$6:$B$38,2,FALSE)</f>
        <v>-6.2506340836952119E-3</v>
      </c>
      <c r="J10">
        <f>($B$1+Table4[[#This Row],[Home Differential]])-Table4[[#This Row],[Away Differential]]</f>
        <v>0.26557966682432599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0.54849968938499227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0.30085190925543298</v>
      </c>
      <c r="O10">
        <v>2.893763878885032E-2</v>
      </c>
      <c r="P10" s="11"/>
      <c r="Q10" t="s">
        <v>23</v>
      </c>
      <c r="R10" t="s">
        <v>249</v>
      </c>
      <c r="T10">
        <v>0.10785499530003352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0.45392063308446812</v>
      </c>
      <c r="H11" t="s">
        <v>24</v>
      </c>
      <c r="I11">
        <f>VLOOKUP(Table4[[#This Row],[Visitor]],'NHL Model'!$A$6:$B$38,2,FALSE)</f>
        <v>-6.1952588060713437E-2</v>
      </c>
      <c r="J11">
        <f>($B$1+Table4[[#This Row],[Home Differential]])-Table4[[#This Row],[Away Differential]]</f>
        <v>0.59009087505001212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0.15577947364307013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1.8591692540144091</v>
      </c>
      <c r="H12" t="s">
        <v>55</v>
      </c>
      <c r="I12">
        <f>VLOOKUP(Table4[[#This Row],[Visitor]],'NHL Model'!$A$6:$B$38,2,FALSE)</f>
        <v>0.3142836898216293</v>
      </c>
      <c r="J12">
        <f>($B$1+Table4[[#This Row],[Home Differential]])-Table4[[#This Row],[Away Differential]]</f>
        <v>1.6191032180976104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2.719892620428906E-2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-8.5361594338821137E-2</v>
      </c>
      <c r="H13" t="s">
        <v>18</v>
      </c>
      <c r="I13">
        <f>VLOOKUP(Table4[[#This Row],[Visitor]],'NHL Model'!$A$6:$B$38,2,FALSE)</f>
        <v>0.10902894471156278</v>
      </c>
      <c r="J13">
        <f>($B$1+Table4[[#This Row],[Home Differential]])-Table4[[#This Row],[Away Differential]]</f>
        <v>-0.1201728851455534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0.25174768014651067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0.19285186127150866</v>
      </c>
      <c r="H14" t="s">
        <v>27</v>
      </c>
      <c r="I14">
        <f>VLOOKUP(Table4[[#This Row],[Visitor]],'NHL Model'!$A$6:$B$38,2,FALSE)</f>
        <v>0.17784181108472058</v>
      </c>
      <c r="J14">
        <f>($B$1+Table4[[#This Row],[Home Differential]])-Table4[[#This Row],[Away Differential]]</f>
        <v>8.922770409161862E-2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0.20875671866243958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-0.3202921716073342</v>
      </c>
      <c r="H15" t="s">
        <v>28</v>
      </c>
      <c r="I15">
        <f>VLOOKUP(Table4[[#This Row],[Visitor]],'NHL Model'!$A$6:$B$38,2,FALSE)</f>
        <v>-0.19727709229606127</v>
      </c>
      <c r="J15">
        <f>($B$1+Table4[[#This Row],[Home Differential]])-Table4[[#This Row],[Away Differential]]</f>
        <v>-4.8797425406442385E-2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0.46526304608786562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0.21646970205495936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3.9336367625328564E-2</v>
      </c>
      <c r="H16" t="s">
        <v>30</v>
      </c>
      <c r="I16">
        <f>VLOOKUP(Table4[[#This Row],[Visitor]],'NHL Model'!$A$6:$B$38,2,FALSE)</f>
        <v>0.16690670582810133</v>
      </c>
      <c r="J16">
        <f>($B$1+Table4[[#This Row],[Home Differential]])-Table4[[#This Row],[Away Differential]]</f>
        <v>-5.3352684297942238E-2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0.49933776911143468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0.24933820766118445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-0.2855111111085496</v>
      </c>
      <c r="H17" t="s">
        <v>31</v>
      </c>
      <c r="I17">
        <f>VLOOKUP(Table4[[#This Row],[Visitor]],'NHL Model'!$A$6:$B$38,2,FALSE)</f>
        <v>-6.6593655044643821E-4</v>
      </c>
      <c r="J17">
        <f>($B$1+Table4[[#This Row],[Home Differential]])-Table4[[#This Row],[Away Differential]]</f>
        <v>-0.21062752065327262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0.23301592438034396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-0.17930549805059143</v>
      </c>
      <c r="H18" t="s">
        <v>20</v>
      </c>
      <c r="I18">
        <f>VLOOKUP(Table4[[#This Row],[Visitor]],'NHL Model'!$A$6:$B$38,2,FALSE)</f>
        <v>0.14556378660539449</v>
      </c>
      <c r="J18">
        <f>($B$1+Table4[[#This Row],[Home Differential]])-Table4[[#This Row],[Away Differential]]</f>
        <v>-0.25065163075115537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0.24225762965991643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-0.96065798985911643</v>
      </c>
      <c r="H19" t="s">
        <v>34</v>
      </c>
      <c r="I19">
        <f>VLOOKUP(Table4[[#This Row],[Visitor]],'NHL Model'!$A$6:$B$38,2,FALSE)</f>
        <v>0.59379638322319717</v>
      </c>
      <c r="J19">
        <f>($B$1+Table4[[#This Row],[Home Differential]])-Table4[[#This Row],[Away Differential]]</f>
        <v>-1.480236719177483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0.10429379650106951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0.79636680320115127</v>
      </c>
      <c r="H20" t="s">
        <v>36</v>
      </c>
      <c r="I20">
        <f>VLOOKUP(Table4[[#This Row],[Visitor]],'NHL Model'!$A$6:$B$38,2,FALSE)</f>
        <v>9.4361646617848058E-2</v>
      </c>
      <c r="J20">
        <f>($B$1+Table4[[#This Row],[Home Differential]])-Table4[[#This Row],[Away Differential]]</f>
        <v>0.77622281048813369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0.36909152397741923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-0.48278309788469043</v>
      </c>
      <c r="H21" t="s">
        <v>16</v>
      </c>
      <c r="I21">
        <f>VLOOKUP(Table4[[#This Row],[Visitor]],'NHL Model'!$A$6:$B$38,2,FALSE)</f>
        <v>-0.21926170023436534</v>
      </c>
      <c r="J21">
        <f>($B$1+Table4[[#This Row],[Home Differential]])-Table4[[#This Row],[Away Differential]]</f>
        <v>-0.18930374374549455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0.23080083440095961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-0.10659687498124908</v>
      </c>
      <c r="H22" t="s">
        <v>39</v>
      </c>
      <c r="I22">
        <f>VLOOKUP(Table4[[#This Row],[Visitor]],'NHL Model'!$A$6:$B$38,2,FALSE)</f>
        <v>0.76796514781800074</v>
      </c>
      <c r="J22">
        <f>($B$1+Table4[[#This Row],[Home Differential]])-Table4[[#This Row],[Away Differential]]</f>
        <v>-0.80034436889441929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0.14407992522850135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3.9572996236628868E-2</v>
      </c>
      <c r="H23" t="s">
        <v>23</v>
      </c>
      <c r="I23">
        <f>VLOOKUP(Table4[[#This Row],[Visitor]],'NHL Model'!$A$6:$B$38,2,FALSE)</f>
        <v>0.18511137883580026</v>
      </c>
      <c r="J23">
        <f>($B$1+Table4[[#This Row],[Home Differential]])-Table4[[#This Row],[Away Differential]]</f>
        <v>-7.1320728694340862E-2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0.20582161932025725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0.45392063308446812</v>
      </c>
      <c r="H24" t="s">
        <v>27</v>
      </c>
      <c r="I24">
        <f>VLOOKUP(Table4[[#This Row],[Visitor]],'NHL Model'!$A$6:$B$38,2,FALSE)</f>
        <v>0.17784181108472058</v>
      </c>
      <c r="J24">
        <f>($B$1+Table4[[#This Row],[Home Differential]])-Table4[[#This Row],[Away Differential]]</f>
        <v>0.35029647590457808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0.15658245792256029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-0.21926170023436534</v>
      </c>
      <c r="H25" t="s">
        <v>35</v>
      </c>
      <c r="I25">
        <f>VLOOKUP(Table4[[#This Row],[Visitor]],'NHL Model'!$A$6:$B$38,2,FALSE)</f>
        <v>-0.96065798985911643</v>
      </c>
      <c r="J25">
        <f>($B$1+Table4[[#This Row],[Home Differential]])-Table4[[#This Row],[Away Differential]]</f>
        <v>0.81561394352958161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0.4443024077331641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-0.39984103039900787</v>
      </c>
      <c r="H26" t="s">
        <v>18</v>
      </c>
      <c r="I26">
        <f>VLOOKUP(Table4[[#This Row],[Visitor]],'NHL Model'!$A$6:$B$38,2,FALSE)</f>
        <v>0.10902894471156278</v>
      </c>
      <c r="J26">
        <f>($B$1+Table4[[#This Row],[Home Differential]])-Table4[[#This Row],[Away Differential]]</f>
        <v>-0.4346523212057401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0.573195213534478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0.18216232574987984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1.8591692540144091</v>
      </c>
      <c r="H27" t="s">
        <v>39</v>
      </c>
      <c r="I27">
        <f>VLOOKUP(Table4[[#This Row],[Visitor]],'NHL Model'!$A$6:$B$38,2,FALSE)</f>
        <v>0.76796514781800074</v>
      </c>
      <c r="J27">
        <f>($B$1+Table4[[#This Row],[Home Differential]])-Table4[[#This Row],[Away Differential]]</f>
        <v>1.1654217601012389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0.51373939448524863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-8.5361594338821137E-2</v>
      </c>
      <c r="H28" t="s">
        <v>19</v>
      </c>
      <c r="I28">
        <f>VLOOKUP(Table4[[#This Row],[Visitor]],'NHL Model'!$A$6:$B$38,2,FALSE)</f>
        <v>-7.3686276472912369E-4</v>
      </c>
      <c r="J28">
        <f>($B$1+Table4[[#This Row],[Home Differential]])-Table4[[#This Row],[Away Differential]]</f>
        <v>-1.0407077669261489E-2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0.17698115127337147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7.1049614431123245E-2</v>
      </c>
      <c r="H29" t="s">
        <v>38</v>
      </c>
      <c r="I29">
        <f>VLOOKUP(Table4[[#This Row],[Visitor]],'NHL Model'!$A$6:$B$38,2,FALSE)</f>
        <v>-0.48278309788469043</v>
      </c>
      <c r="J29">
        <f>($B$1+Table4[[#This Row],[Home Differential]])-Table4[[#This Row],[Away Differential]]</f>
        <v>0.62805036622064425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0.17089435630492547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0.19285186127150866</v>
      </c>
      <c r="H30" t="s">
        <v>36</v>
      </c>
      <c r="I30">
        <f>VLOOKUP(Table4[[#This Row],[Visitor]],'NHL Model'!$A$6:$B$38,2,FALSE)</f>
        <v>9.4361646617848058E-2</v>
      </c>
      <c r="J30">
        <f>($B$1+Table4[[#This Row],[Home Differential]])-Table4[[#This Row],[Away Differential]]</f>
        <v>0.17270786855849113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0.21286467016980101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0.59379638322319717</v>
      </c>
      <c r="H31" t="s">
        <v>28</v>
      </c>
      <c r="I31">
        <f>VLOOKUP(Table4[[#This Row],[Visitor]],'NHL Model'!$A$6:$B$38,2,FALSE)</f>
        <v>-0.19727709229606127</v>
      </c>
      <c r="J31">
        <f>($B$1+Table4[[#This Row],[Home Differential]])-Table4[[#This Row],[Away Differential]]</f>
        <v>0.86529112942408892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0.65560970772141725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0.42982408885856216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-0.3202921716073342</v>
      </c>
      <c r="H32" t="s">
        <v>55</v>
      </c>
      <c r="I32">
        <f>VLOOKUP(Table4[[#This Row],[Visitor]],'NHL Model'!$A$6:$B$38,2,FALSE)</f>
        <v>0.3142836898216293</v>
      </c>
      <c r="J32">
        <f>($B$1+Table4[[#This Row],[Home Differential]])-Table4[[#This Row],[Away Differential]]</f>
        <v>-0.5603582075241329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0.22998025678131706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0.16690670582810133</v>
      </c>
      <c r="H33" t="s">
        <v>22</v>
      </c>
      <c r="I33">
        <f>VLOOKUP(Table4[[#This Row],[Visitor]],'NHL Model'!$A$6:$B$38,2,FALSE)</f>
        <v>0.45610704431993199</v>
      </c>
      <c r="J33">
        <f>($B$1+Table4[[#This Row],[Home Differential]])-Table4[[#This Row],[Away Differential]]</f>
        <v>-0.21498268458700015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0.26968134182012682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3.9336367625328564E-2</v>
      </c>
      <c r="H34" t="s">
        <v>15</v>
      </c>
      <c r="I34">
        <f>VLOOKUP(Table4[[#This Row],[Visitor]],'NHL Model'!$A$6:$B$38,2,FALSE)</f>
        <v>-6.2506340836952119E-3</v>
      </c>
      <c r="J34">
        <f>($B$1+Table4[[#This Row],[Home Differential]])-Table4[[#This Row],[Away Differential]]</f>
        <v>0.1198046556138543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0.2436742265574561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-0.2855111111085496</v>
      </c>
      <c r="H35" t="s">
        <v>20</v>
      </c>
      <c r="I35">
        <f>VLOOKUP(Table4[[#This Row],[Visitor]],'NHL Model'!$A$6:$B$38,2,FALSE)</f>
        <v>0.14556378660539449</v>
      </c>
      <c r="J35">
        <f>($B$1+Table4[[#This Row],[Home Differential]])-Table4[[#This Row],[Away Differential]]</f>
        <v>-0.35685724380911354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0.26962894027236128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-0.17930549805059143</v>
      </c>
      <c r="H36" t="s">
        <v>31</v>
      </c>
      <c r="I36">
        <f>VLOOKUP(Table4[[#This Row],[Visitor]],'NHL Model'!$A$6:$B$38,2,FALSE)</f>
        <v>-6.6593655044643821E-4</v>
      </c>
      <c r="J36">
        <f>($B$1+Table4[[#This Row],[Home Differential]])-Table4[[#This Row],[Away Differential]]</f>
        <v>-0.10442190759531446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0.27956342390115885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0.79636680320115127</v>
      </c>
      <c r="H37" t="s">
        <v>24</v>
      </c>
      <c r="I37">
        <f>VLOOKUP(Table4[[#This Row],[Visitor]],'NHL Model'!$A$6:$B$38,2,FALSE)</f>
        <v>-6.1952588060713437E-2</v>
      </c>
      <c r="J37">
        <f>($B$1+Table4[[#This Row],[Home Differential]])-Table4[[#This Row],[Away Differential]]</f>
        <v>0.93253704516669522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0.37549185322563089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-0.10659687498124908</v>
      </c>
      <c r="H38" t="s">
        <v>13</v>
      </c>
      <c r="I38">
        <f>VLOOKUP(Table4[[#This Row],[Visitor]],'NHL Model'!$A$6:$B$38,2,FALSE)</f>
        <v>1.584470710005189E-2</v>
      </c>
      <c r="J38">
        <f>($B$1+Table4[[#This Row],[Home Differential]])-Table4[[#This Row],[Away Differential]]</f>
        <v>-4.8223928176470442E-2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0.24759732355369221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-6.2506340836952119E-3</v>
      </c>
      <c r="H39" t="s">
        <v>22</v>
      </c>
      <c r="I39">
        <f>VLOOKUP(Table4[[#This Row],[Visitor]],'NHL Model'!$A$6:$B$38,2,FALSE)</f>
        <v>0.45610704431993199</v>
      </c>
      <c r="J39">
        <f>($B$1+Table4[[#This Row],[Home Differential]])-Table4[[#This Row],[Away Differential]]</f>
        <v>-0.3881400244987967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0.24814062965672315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3.9572996236628868E-2</v>
      </c>
      <c r="H40" t="s">
        <v>37</v>
      </c>
      <c r="I40">
        <f>VLOOKUP(Table4[[#This Row],[Visitor]],'NHL Model'!$A$6:$B$38,2,FALSE)</f>
        <v>0.79636680320115127</v>
      </c>
      <c r="J40">
        <f>($B$1+Table4[[#This Row],[Home Differential]])-Table4[[#This Row],[Away Differential]]</f>
        <v>-0.68257615305969188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0.15540705060259749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0.18511137883580026</v>
      </c>
      <c r="H41" t="s">
        <v>12</v>
      </c>
      <c r="I41">
        <f>VLOOKUP(Table4[[#This Row],[Visitor]],'NHL Model'!$A$6:$B$38,2,FALSE)</f>
        <v>1.8591692540144091</v>
      </c>
      <c r="J41">
        <f>($B$1+Table4[[#This Row],[Home Differential]])-Table4[[#This Row],[Away Differential]]</f>
        <v>-1.5998402212737783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0.67973761786250975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0.10256799341237983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-0.19727709229606127</v>
      </c>
      <c r="H42" t="s">
        <v>24</v>
      </c>
      <c r="I42">
        <f>VLOOKUP(Table4[[#This Row],[Visitor]],'NHL Model'!$A$6:$B$38,2,FALSE)</f>
        <v>-6.1952588060713437E-2</v>
      </c>
      <c r="J42">
        <f>($B$1+Table4[[#This Row],[Home Differential]])-Table4[[#This Row],[Away Differential]]</f>
        <v>-6.1106850330517312E-2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0.25102002804040713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-0.39984103039900787</v>
      </c>
      <c r="H43" t="s">
        <v>55</v>
      </c>
      <c r="I43">
        <f>VLOOKUP(Table4[[#This Row],[Visitor]],'NHL Model'!$A$6:$B$38,2,FALSE)</f>
        <v>0.3142836898216293</v>
      </c>
      <c r="J43">
        <f>($B$1+Table4[[#This Row],[Home Differential]])-Table4[[#This Row],[Away Differential]]</f>
        <v>-0.63990706631580663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0.27985916999542026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0.59379638322319717</v>
      </c>
      <c r="H44" t="s">
        <v>13</v>
      </c>
      <c r="I44">
        <f>VLOOKUP(Table4[[#This Row],[Visitor]],'NHL Model'!$A$6:$B$38,2,FALSE)</f>
        <v>1.584470710005189E-2</v>
      </c>
      <c r="J44">
        <f>($B$1+Table4[[#This Row],[Home Differential]])-Table4[[#This Row],[Away Differential]]</f>
        <v>0.65216933002797572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0.60043680740363414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0.15965074487780057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0.16690670582810133</v>
      </c>
      <c r="H45" t="s">
        <v>40</v>
      </c>
      <c r="I45">
        <f>VLOOKUP(Table4[[#This Row],[Visitor]],'NHL Model'!$A$6:$B$38,2,FALSE)</f>
        <v>-0.10659687498124908</v>
      </c>
      <c r="J45">
        <f>($B$1+Table4[[#This Row],[Home Differential]])-Table4[[#This Row],[Away Differential]]</f>
        <v>0.34772123471418093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0.57999895134015977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0.33639878355568503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9.4361646617848058E-2</v>
      </c>
      <c r="H46" t="s">
        <v>29</v>
      </c>
      <c r="I46">
        <f>VLOOKUP(Table4[[#This Row],[Visitor]],'NHL Model'!$A$6:$B$38,2,FALSE)</f>
        <v>-0.3202921716073342</v>
      </c>
      <c r="J46">
        <f>($B$1+Table4[[#This Row],[Home Differential]])-Table4[[#This Row],[Away Differential]]</f>
        <v>0.48887147213001281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0.59272723032890307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0.35132556957337252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0.17784181108472058</v>
      </c>
      <c r="H47" t="s">
        <v>11</v>
      </c>
      <c r="I47">
        <f>VLOOKUP(Table4[[#This Row],[Visitor]],'NHL Model'!$A$6:$B$38,2,FALSE)</f>
        <v>0.19285186127150866</v>
      </c>
      <c r="J47">
        <f>($B$1+Table4[[#This Row],[Home Differential]])-Table4[[#This Row],[Away Differential]]</f>
        <v>5.9207603718042456E-2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0.51407814351304337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0.23612005061173047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-7.3686276472912369E-4</v>
      </c>
      <c r="H48" t="s">
        <v>26</v>
      </c>
      <c r="I48">
        <f>VLOOKUP(Table4[[#This Row],[Visitor]],'NHL Model'!$A$6:$B$38,2,FALSE)</f>
        <v>-8.5361594338821137E-2</v>
      </c>
      <c r="J48">
        <f>($B$1+Table4[[#This Row],[Home Differential]])-Table4[[#This Row],[Away Differential]]</f>
        <v>0.15884238547892254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0.30868411857521283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-0.48278309788469043</v>
      </c>
      <c r="H49" t="s">
        <v>35</v>
      </c>
      <c r="I49">
        <f>VLOOKUP(Table4[[#This Row],[Visitor]],'NHL Model'!$A$6:$B$38,2,FALSE)</f>
        <v>-0.96065798985911643</v>
      </c>
      <c r="J49">
        <f>($B$1+Table4[[#This Row],[Home Differential]])-Table4[[#This Row],[Away Differential]]</f>
        <v>0.55209254587925649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0.35945533290063419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-6.6593655044643821E-4</v>
      </c>
      <c r="H50" t="s">
        <v>14</v>
      </c>
      <c r="I50">
        <f>VLOOKUP(Table4[[#This Row],[Visitor]],'NHL Model'!$A$6:$B$38,2,FALSE)</f>
        <v>3.9336367625328564E-2</v>
      </c>
      <c r="J50">
        <f>($B$1+Table4[[#This Row],[Home Differential]])-Table4[[#This Row],[Away Differential]]</f>
        <v>3.4215349729055516E-2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0.56251382579598097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0.19139415261966927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-0.21926170023436534</v>
      </c>
      <c r="H51" t="s">
        <v>20</v>
      </c>
      <c r="I51">
        <f>VLOOKUP(Table4[[#This Row],[Visitor]],'NHL Model'!$A$6:$B$38,2,FALSE)</f>
        <v>0.14556378660539449</v>
      </c>
      <c r="J51">
        <f>($B$1+Table4[[#This Row],[Home Differential]])-Table4[[#This Row],[Away Differential]]</f>
        <v>-0.29060783293492931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0.27751405556790532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0.76796514781800074</v>
      </c>
      <c r="H52" t="s">
        <v>34</v>
      </c>
      <c r="I52">
        <f>VLOOKUP(Table4[[#This Row],[Visitor]],'NHL Model'!$A$6:$B$38,2,FALSE)</f>
        <v>0.59379638322319717</v>
      </c>
      <c r="J52">
        <f>($B$1+Table4[[#This Row],[Home Differential]])-Table4[[#This Row],[Away Differential]]</f>
        <v>0.24838641849963405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0.21555750862837914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0.10902894471156278</v>
      </c>
      <c r="H53" t="s">
        <v>32</v>
      </c>
      <c r="I53">
        <f>VLOOKUP(Table4[[#This Row],[Visitor]],'NHL Model'!$A$6:$B$38,2,FALSE)</f>
        <v>-0.2855111111085496</v>
      </c>
      <c r="J53">
        <f>($B$1+Table4[[#This Row],[Home Differential]])-Table4[[#This Row],[Away Differential]]</f>
        <v>0.46875770972494291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0.5905578605792382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0.16764286553345054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-6.2506340836952119E-3</v>
      </c>
      <c r="H54" t="s">
        <v>17</v>
      </c>
      <c r="I54">
        <f>VLOOKUP(Table4[[#This Row],[Visitor]],'NHL Model'!$A$6:$B$38,2,FALSE)</f>
        <v>7.1049614431123245E-2</v>
      </c>
      <c r="J54">
        <f>($B$1+Table4[[#This Row],[Home Differential]])-Table4[[#This Row],[Away Differential]]</f>
        <v>-3.0825946099879292E-3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0.46033247322717219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0.29124103945310081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-0.17930549805059143</v>
      </c>
      <c r="H55" t="s">
        <v>25</v>
      </c>
      <c r="I55">
        <f>VLOOKUP(Table4[[#This Row],[Visitor]],'NHL Model'!$A$6:$B$38,2,FALSE)</f>
        <v>0.45392063308446812</v>
      </c>
      <c r="J55">
        <f>($B$1+Table4[[#This Row],[Home Differential]])-Table4[[#This Row],[Away Differential]]</f>
        <v>-0.55900847723022906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0.5776954314726801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0.17834114859904582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-7.3686276472912369E-4</v>
      </c>
      <c r="H56" t="s">
        <v>29</v>
      </c>
      <c r="I56">
        <f>VLOOKUP(Table4[[#This Row],[Visitor]],'NHL Model'!$A$6:$B$38,2,FALSE)</f>
        <v>-0.3202921716073342</v>
      </c>
      <c r="J56">
        <f>($B$1+Table4[[#This Row],[Home Differential]])-Table4[[#This Row],[Away Differential]]</f>
        <v>0.39377296274743562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0.60157581235630908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0.15874183329953503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0.45610704431993199</v>
      </c>
      <c r="H57" t="s">
        <v>37</v>
      </c>
      <c r="I57">
        <f>VLOOKUP(Table4[[#This Row],[Visitor]],'NHL Model'!$A$6:$B$38,2,FALSE)</f>
        <v>0.79636680320115127</v>
      </c>
      <c r="J57">
        <f>($B$1+Table4[[#This Row],[Home Differential]])-Table4[[#This Row],[Away Differential]]</f>
        <v>-0.2660421049763888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0.31456137386355326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0.18511137883580026</v>
      </c>
      <c r="H58" t="s">
        <v>36</v>
      </c>
      <c r="I58">
        <f>VLOOKUP(Table4[[#This Row],[Visitor]],'NHL Model'!$A$6:$B$38,2,FALSE)</f>
        <v>9.4361646617848058E-2</v>
      </c>
      <c r="J58">
        <f>($B$1+Table4[[#This Row],[Home Differential]])-Table4[[#This Row],[Away Differential]]</f>
        <v>0.16496738612278272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0.57593209153865244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0.17983359098678187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-8.5361594338821137E-2</v>
      </c>
      <c r="H59" t="s">
        <v>11</v>
      </c>
      <c r="I59">
        <f>VLOOKUP(Table4[[#This Row],[Visitor]],'NHL Model'!$A$6:$B$38,2,FALSE)</f>
        <v>0.19285186127150866</v>
      </c>
      <c r="J59">
        <f>($B$1+Table4[[#This Row],[Home Differential]])-Table4[[#This Row],[Away Differential]]</f>
        <v>-0.20399580170549927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0.22844625433589358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-0.96065798985911643</v>
      </c>
      <c r="H60" t="s">
        <v>10</v>
      </c>
      <c r="I60">
        <f>VLOOKUP(Table4[[#This Row],[Visitor]],'NHL Model'!$A$6:$B$38,2,FALSE)</f>
        <v>-0.39984103039900787</v>
      </c>
      <c r="J60">
        <f>($B$1+Table4[[#This Row],[Home Differential]])-Table4[[#This Row],[Away Differential]]</f>
        <v>-0.48659930555527808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0.23767363864973567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0.3142836898216293</v>
      </c>
      <c r="H61" t="s">
        <v>16</v>
      </c>
      <c r="I61">
        <f>VLOOKUP(Table4[[#This Row],[Visitor]],'NHL Model'!$A$6:$B$38,2,FALSE)</f>
        <v>-0.21926170023436534</v>
      </c>
      <c r="J61">
        <f>($B$1+Table4[[#This Row],[Home Differential]])-Table4[[#This Row],[Away Differential]]</f>
        <v>0.60776304396082514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0.60555028024992885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0.15559058141090967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-6.6593655044643821E-4</v>
      </c>
      <c r="H62" t="s">
        <v>25</v>
      </c>
      <c r="I62">
        <f>VLOOKUP(Table4[[#This Row],[Visitor]],'NHL Model'!$A$6:$B$38,2,FALSE)</f>
        <v>0.45392063308446812</v>
      </c>
      <c r="J62">
        <f>($B$1+Table4[[#This Row],[Home Differential]])-Table4[[#This Row],[Away Differential]]</f>
        <v>-0.38036891573008402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0.53209611618977559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0.21893404448469198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-0.19727709229606127</v>
      </c>
      <c r="H63" t="s">
        <v>12</v>
      </c>
      <c r="I63">
        <f>VLOOKUP(Table4[[#This Row],[Visitor]],'NHL Model'!$A$6:$B$38,2,FALSE)</f>
        <v>1.8591692540144091</v>
      </c>
      <c r="J63">
        <f>($B$1+Table4[[#This Row],[Home Differential]])-Table4[[#This Row],[Away Differential]]</f>
        <v>-1.9822286924056398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0.76001175369795992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5.759435836312865E-2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0.76796514781800074</v>
      </c>
      <c r="H64" t="s">
        <v>38</v>
      </c>
      <c r="I64">
        <f>VLOOKUP(Table4[[#This Row],[Visitor]],'NHL Model'!$A$6:$B$38,2,FALSE)</f>
        <v>-0.48278309788469043</v>
      </c>
      <c r="J64">
        <f>($B$1+Table4[[#This Row],[Home Differential]])-Table4[[#This Row],[Away Differential]]</f>
        <v>1.3249658996075215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0.66671371468439766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0.44450717734826839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1.584470710005189E-2</v>
      </c>
      <c r="H65" t="s">
        <v>14</v>
      </c>
      <c r="I65">
        <f>VLOOKUP(Table4[[#This Row],[Visitor]],'NHL Model'!$A$6:$B$38,2,FALSE)</f>
        <v>3.9336367625328564E-2</v>
      </c>
      <c r="J65">
        <f>($B$1+Table4[[#This Row],[Home Differential]])-Table4[[#This Row],[Away Differential]]</f>
        <v>5.0725993379553844E-2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0.53818133215137309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0.28963914627622656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0.10902894471156278</v>
      </c>
      <c r="H66" t="s">
        <v>29</v>
      </c>
      <c r="I66">
        <f>VLOOKUP(Table4[[#This Row],[Visitor]],'NHL Model'!$A$6:$B$38,2,FALSE)</f>
        <v>-0.3202921716073342</v>
      </c>
      <c r="J66">
        <f>($B$1+Table4[[#This Row],[Home Differential]])-Table4[[#This Row],[Away Differential]]</f>
        <v>0.50353877022372751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0.59430917169586484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0.16458504817009528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-6.1952588060713437E-2</v>
      </c>
      <c r="H67" t="s">
        <v>11</v>
      </c>
      <c r="I67">
        <f>VLOOKUP(Table4[[#This Row],[Visitor]],'NHL Model'!$A$6:$B$38,2,FALSE)</f>
        <v>0.19285186127150866</v>
      </c>
      <c r="J67">
        <f>($B$1+Table4[[#This Row],[Home Differential]])-Table4[[#This Row],[Away Differential]]</f>
        <v>-0.18058679542739159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0.26663962712808303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0.16690670582810133</v>
      </c>
      <c r="H68" t="s">
        <v>17</v>
      </c>
      <c r="I68">
        <f>VLOOKUP(Table4[[#This Row],[Visitor]],'NHL Model'!$A$6:$B$38,2,FALSE)</f>
        <v>7.1049614431123245E-2</v>
      </c>
      <c r="J68">
        <f>($B$1+Table4[[#This Row],[Home Differential]])-Table4[[#This Row],[Away Differential]]</f>
        <v>0.17007474530180861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0.56083889005952092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0.19286248048415355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9.4361646617848058E-2</v>
      </c>
      <c r="H69" t="s">
        <v>32</v>
      </c>
      <c r="I69">
        <f>VLOOKUP(Table4[[#This Row],[Visitor]],'NHL Model'!$A$6:$B$38,2,FALSE)</f>
        <v>-0.2855111111085496</v>
      </c>
      <c r="J69">
        <f>($B$1+Table4[[#This Row],[Home Differential]])-Table4[[#This Row],[Away Differential]]</f>
        <v>0.45409041163122821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0.58897591921227643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0.16894079498739312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0.17784181108472058</v>
      </c>
      <c r="H70" t="s">
        <v>40</v>
      </c>
      <c r="I70">
        <f>VLOOKUP(Table4[[#This Row],[Visitor]],'NHL Model'!$A$6:$B$38,2,FALSE)</f>
        <v>-0.10659687498124908</v>
      </c>
      <c r="J70">
        <f>($B$1+Table4[[#This Row],[Home Differential]])-Table4[[#This Row],[Away Differential]]</f>
        <v>0.35865633997080021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0.58323733330742245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0.34016578696355337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-7.3686276472912369E-4</v>
      </c>
      <c r="H71" t="s">
        <v>15</v>
      </c>
      <c r="I71">
        <f>VLOOKUP(Table4[[#This Row],[Visitor]],'NHL Model'!$A$6:$B$38,2,FALSE)</f>
        <v>-6.2506340836952119E-3</v>
      </c>
      <c r="J71">
        <f>($B$1+Table4[[#This Row],[Home Differential]])-Table4[[#This Row],[Away Differential]]</f>
        <v>7.9731425223796615E-2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0.24147451774642034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0.14556378660539449</v>
      </c>
      <c r="H72" t="s">
        <v>21</v>
      </c>
      <c r="I72">
        <f>VLOOKUP(Table4[[#This Row],[Visitor]],'NHL Model'!$A$6:$B$38,2,FALSE)</f>
        <v>3.9572996236628868E-2</v>
      </c>
      <c r="J72">
        <f>($B$1+Table4[[#This Row],[Home Differential]])-Table4[[#This Row],[Away Differential]]</f>
        <v>0.18020844427359617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0.55943638091015513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0.19409630246554194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-0.39984103039900787</v>
      </c>
      <c r="H73" t="s">
        <v>38</v>
      </c>
      <c r="I73">
        <f>VLOOKUP(Table4[[#This Row],[Visitor]],'NHL Model'!$A$6:$B$38,2,FALSE)</f>
        <v>-0.48278309788469043</v>
      </c>
      <c r="J73">
        <f>($B$1+Table4[[#This Row],[Home Differential]])-Table4[[#This Row],[Away Differential]]</f>
        <v>0.1571597213905131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0.26464635110222973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-8.5361594338821137E-2</v>
      </c>
      <c r="H74" t="s">
        <v>37</v>
      </c>
      <c r="I74">
        <f>VLOOKUP(Table4[[#This Row],[Visitor]],'NHL Model'!$A$6:$B$38,2,FALSE)</f>
        <v>0.79636680320115127</v>
      </c>
      <c r="J74">
        <f>($B$1+Table4[[#This Row],[Home Differential]])-Table4[[#This Row],[Away Differential]]</f>
        <v>-0.80751074363514186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0.35093114981438056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0.3142836898216293</v>
      </c>
      <c r="H75" t="s">
        <v>33</v>
      </c>
      <c r="I75">
        <f>VLOOKUP(Table4[[#This Row],[Visitor]],'NHL Model'!$A$6:$B$38,2,FALSE)</f>
        <v>-0.17930549805059143</v>
      </c>
      <c r="J75">
        <f>($B$1+Table4[[#This Row],[Home Differential]])-Table4[[#This Row],[Away Differential]]</f>
        <v>0.56780684177705121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0.59395108462502255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0.16487572167719561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0.45610704431993199</v>
      </c>
      <c r="H76" t="s">
        <v>34</v>
      </c>
      <c r="I76">
        <f>VLOOKUP(Table4[[#This Row],[Visitor]],'NHL Model'!$A$6:$B$38,2,FALSE)</f>
        <v>0.59379638322319717</v>
      </c>
      <c r="J76">
        <f>($B$1+Table4[[#This Row],[Home Differential]])-Table4[[#This Row],[Away Differential]]</f>
        <v>-6.3471684998434696E-2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0.51011371214340051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0.26021599931672007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0.18511137883580026</v>
      </c>
      <c r="H77" t="s">
        <v>11</v>
      </c>
      <c r="I77">
        <f>VLOOKUP(Table4[[#This Row],[Visitor]],'NHL Model'!$A$6:$B$38,2,FALSE)</f>
        <v>0.19285186127150866</v>
      </c>
      <c r="J77">
        <f>($B$1+Table4[[#This Row],[Home Differential]])-Table4[[#This Row],[Away Differential]]</f>
        <v>6.6477171469122132E-2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0.20309572474638057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-0.19727709229606127</v>
      </c>
      <c r="H78" t="s">
        <v>37</v>
      </c>
      <c r="I78">
        <f>VLOOKUP(Table4[[#This Row],[Visitor]],'NHL Model'!$A$6:$B$38,2,FALSE)</f>
        <v>0.79636680320115127</v>
      </c>
      <c r="J78">
        <f>($B$1+Table4[[#This Row],[Home Differential]])-Table4[[#This Row],[Away Differential]]</f>
        <v>-0.91942624159238207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0.41651947530773153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1.8591692540144091</v>
      </c>
      <c r="H79" t="s">
        <v>21</v>
      </c>
      <c r="I79">
        <f>VLOOKUP(Table4[[#This Row],[Visitor]],'NHL Model'!$A$6:$B$38,2,FALSE)</f>
        <v>3.9572996236628868E-2</v>
      </c>
      <c r="J79">
        <f>($B$1+Table4[[#This Row],[Home Differential]])-Table4[[#This Row],[Away Differential]]</f>
        <v>1.8938139116826107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0.8647079509943264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1.8303938524153587E-2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1.584470710005189E-2</v>
      </c>
      <c r="H80" t="s">
        <v>25</v>
      </c>
      <c r="I80">
        <f>VLOOKUP(Table4[[#This Row],[Visitor]],'NHL Model'!$A$6:$B$38,2,FALSE)</f>
        <v>0.45392063308446812</v>
      </c>
      <c r="J80">
        <f>($B$1+Table4[[#This Row],[Home Differential]])-Table4[[#This Row],[Away Differential]]</f>
        <v>-0.36385827207958571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0.55664750701335697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0.19656143303747137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0.10902894471156278</v>
      </c>
      <c r="H81" t="s">
        <v>15</v>
      </c>
      <c r="I81">
        <f>VLOOKUP(Table4[[#This Row],[Visitor]],'NHL Model'!$A$6:$B$38,2,FALSE)</f>
        <v>-6.2506340836952119E-3</v>
      </c>
      <c r="J81">
        <f>($B$1+Table4[[#This Row],[Home Differential]])-Table4[[#This Row],[Away Differential]]</f>
        <v>0.18949723270008853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0.50115038931434419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0.25115171270991876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-6.1952588060713437E-2</v>
      </c>
      <c r="H82" t="s">
        <v>17</v>
      </c>
      <c r="I82">
        <f>VLOOKUP(Table4[[#This Row],[Visitor]],'NHL Model'!$A$6:$B$38,2,FALSE)</f>
        <v>7.1049614431123245E-2</v>
      </c>
      <c r="J82">
        <f>($B$1+Table4[[#This Row],[Home Differential]])-Table4[[#This Row],[Away Differential]]</f>
        <v>-5.8784548587006158E-2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0.46634020721156616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0.21747318886212647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9.4361646617848058E-2</v>
      </c>
      <c r="H83" t="s">
        <v>30</v>
      </c>
      <c r="I83">
        <f>VLOOKUP(Table4[[#This Row],[Visitor]],'NHL Model'!$A$6:$B$38,2,FALSE)</f>
        <v>0.16690670582810133</v>
      </c>
      <c r="J83">
        <f>($B$1+Table4[[#This Row],[Home Differential]])-Table4[[#This Row],[Away Differential]]</f>
        <v>1.6725946945772563E-3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0.25664050226845742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0.17784181108472058</v>
      </c>
      <c r="H84" t="s">
        <v>34</v>
      </c>
      <c r="I84">
        <f>VLOOKUP(Table4[[#This Row],[Visitor]],'NHL Model'!$A$6:$B$38,2,FALSE)</f>
        <v>0.59379638322319717</v>
      </c>
      <c r="J84">
        <f>($B$1+Table4[[#This Row],[Home Differential]])-Table4[[#This Row],[Away Differential]]</f>
        <v>-0.34173691823364605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0.54967854653045056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0.3021465045158287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-0.17930549805059143</v>
      </c>
      <c r="H85" t="s">
        <v>14</v>
      </c>
      <c r="I85">
        <f>VLOOKUP(Table4[[#This Row],[Visitor]],'NHL Model'!$A$6:$B$38,2,FALSE)</f>
        <v>3.9336367625328564E-2</v>
      </c>
      <c r="J85">
        <f>($B$1+Table4[[#This Row],[Home Differential]])-Table4[[#This Row],[Away Differential]]</f>
        <v>-0.14442421177108947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0.48286659230795015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0.26742696135119187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-0.96065798985911643</v>
      </c>
      <c r="H86" t="s">
        <v>39</v>
      </c>
      <c r="I86">
        <f>VLOOKUP(Table4[[#This Row],[Visitor]],'NHL Model'!$A$6:$B$38,2,FALSE)</f>
        <v>0.76796514781800074</v>
      </c>
      <c r="J86">
        <f>($B$1+Table4[[#This Row],[Home Differential]])-Table4[[#This Row],[Away Differential]]</f>
        <v>-1.6544054837722868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0.50770775391904988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-7.3686276472912369E-4</v>
      </c>
      <c r="H87" t="s">
        <v>32</v>
      </c>
      <c r="I87">
        <f>VLOOKUP(Table4[[#This Row],[Visitor]],'NHL Model'!$A$6:$B$38,2,FALSE)</f>
        <v>-0.2855111111085496</v>
      </c>
      <c r="J87">
        <f>($B$1+Table4[[#This Row],[Home Differential]])-Table4[[#This Row],[Away Differential]]</f>
        <v>0.35899190224865102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0.59782450123968245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0.35739413428247507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0.14556378660539449</v>
      </c>
      <c r="H88" t="s">
        <v>16</v>
      </c>
      <c r="I88">
        <f>VLOOKUP(Table4[[#This Row],[Visitor]],'NHL Model'!$A$6:$B$38,2,FALSE)</f>
        <v>-0.21926170023436534</v>
      </c>
      <c r="J88">
        <f>($B$1+Table4[[#This Row],[Home Differential]])-Table4[[#This Row],[Away Differential]]</f>
        <v>0.43904314074459039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0.17027755000795702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-0.10659687498124908</v>
      </c>
      <c r="H89" t="s">
        <v>29</v>
      </c>
      <c r="I89">
        <f>VLOOKUP(Table4[[#This Row],[Visitor]],'NHL Model'!$A$6:$B$38,2,FALSE)</f>
        <v>-0.3202921716073342</v>
      </c>
      <c r="J89">
        <f>($B$1+Table4[[#This Row],[Home Differential]])-Table4[[#This Row],[Away Differential]]</f>
        <v>0.28791295053091565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0.18399565755632291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-0.39984103039900787</v>
      </c>
      <c r="H90" t="s">
        <v>31</v>
      </c>
      <c r="I90">
        <f>VLOOKUP(Table4[[#This Row],[Visitor]],'NHL Model'!$A$6:$B$38,2,FALSE)</f>
        <v>-6.6593655044643821E-4</v>
      </c>
      <c r="J90">
        <f>($B$1+Table4[[#This Row],[Home Differential]])-Table4[[#This Row],[Away Differential]]</f>
        <v>-0.32495743994373089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0.24507280265752696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-8.5361594338821137E-2</v>
      </c>
      <c r="H91" t="s">
        <v>17</v>
      </c>
      <c r="I91">
        <f>VLOOKUP(Table4[[#This Row],[Visitor]],'NHL Model'!$A$6:$B$38,2,FALSE)</f>
        <v>7.1049614431123245E-2</v>
      </c>
      <c r="J91">
        <f>($B$1+Table4[[#This Row],[Home Differential]])-Table4[[#This Row],[Away Differential]]</f>
        <v>-8.2193554865113858E-2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0.42843380802756709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0.18355552786100221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0.3142836898216293</v>
      </c>
      <c r="H92" t="s">
        <v>21</v>
      </c>
      <c r="I92">
        <f>VLOOKUP(Table4[[#This Row],[Visitor]],'NHL Model'!$A$6:$B$38,2,FALSE)</f>
        <v>3.9572996236628868E-2</v>
      </c>
      <c r="J92">
        <f>($B$1+Table4[[#This Row],[Home Differential]])-Table4[[#This Row],[Away Differential]]</f>
        <v>0.34892834748983098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0.57763366527856419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0.17839332070601996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0.45610704431993199</v>
      </c>
      <c r="H93" t="s">
        <v>38</v>
      </c>
      <c r="I93">
        <f>VLOOKUP(Table4[[#This Row],[Visitor]],'NHL Model'!$A$6:$B$38,2,FALSE)</f>
        <v>-0.48278309788469043</v>
      </c>
      <c r="J93">
        <f>($B$1+Table4[[#This Row],[Home Differential]])-Table4[[#This Row],[Away Differential]]</f>
        <v>1.0131077961094528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0.62089664356455654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0.38551264198973195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-0.21926170023436534</v>
      </c>
      <c r="H94" t="s">
        <v>40</v>
      </c>
      <c r="I94">
        <f>VLOOKUP(Table4[[#This Row],[Visitor]],'NHL Model'!$A$6:$B$38,2,FALSE)</f>
        <v>-0.10659687498124908</v>
      </c>
      <c r="J94">
        <f>($B$1+Table4[[#This Row],[Home Differential]])-Table4[[#This Row],[Away Differential]]</f>
        <v>-3.844717134828575E-2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0.32998748666412536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0.10902894471156278</v>
      </c>
      <c r="H95" t="s">
        <v>23</v>
      </c>
      <c r="I95">
        <f>VLOOKUP(Table4[[#This Row],[Visitor]],'NHL Model'!$A$6:$B$38,2,FALSE)</f>
        <v>0.18511137883580026</v>
      </c>
      <c r="J95">
        <f>($B$1+Table4[[#This Row],[Home Differential]])-Table4[[#This Row],[Away Differential]]</f>
        <v>-1.8647802194069474E-3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0.21178507624446805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-6.2506340836952119E-3</v>
      </c>
      <c r="H96" t="s">
        <v>34</v>
      </c>
      <c r="I96">
        <f>VLOOKUP(Table4[[#This Row],[Visitor]],'NHL Model'!$A$6:$B$38,2,FALSE)</f>
        <v>0.59379638322319717</v>
      </c>
      <c r="J96">
        <f>($B$1+Table4[[#This Row],[Home Differential]])-Table4[[#This Row],[Away Differential]]</f>
        <v>-0.52582936340206188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0.57411689830668389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0.18137641630791942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0.17784181108472058</v>
      </c>
      <c r="H97" t="s">
        <v>32</v>
      </c>
      <c r="I97">
        <f>VLOOKUP(Table4[[#This Row],[Visitor]],'NHL Model'!$A$6:$B$38,2,FALSE)</f>
        <v>-0.2855111111085496</v>
      </c>
      <c r="J97">
        <f>($B$1+Table4[[#This Row],[Home Differential]])-Table4[[#This Row],[Away Differential]]</f>
        <v>0.53757057609810066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0.60253412740404155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0.15797911987846666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0.14556378660539449</v>
      </c>
      <c r="H98" t="s">
        <v>25</v>
      </c>
      <c r="I98">
        <f>VLOOKUP(Table4[[#This Row],[Visitor]],'NHL Model'!$A$6:$B$38,2,FALSE)</f>
        <v>0.45392063308446812</v>
      </c>
      <c r="J98">
        <f>($B$1+Table4[[#This Row],[Home Differential]])-Table4[[#This Row],[Away Differential]]</f>
        <v>-0.23413919257424309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0.54265665630298354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0.29447624662993444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3.9572996236628868E-2</v>
      </c>
      <c r="H99" t="s">
        <v>11</v>
      </c>
      <c r="I99">
        <f>VLOOKUP(Table4[[#This Row],[Visitor]],'NHL Model'!$A$6:$B$38,2,FALSE)</f>
        <v>0.19285186127150866</v>
      </c>
      <c r="J99">
        <f>($B$1+Table4[[#This Row],[Home Differential]])-Table4[[#This Row],[Away Differential]]</f>
        <v>-7.9061211130049269E-2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0.49128576724450157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0.25879017060801546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0.76796514781800074</v>
      </c>
      <c r="H100" t="s">
        <v>28</v>
      </c>
      <c r="I100">
        <f>VLOOKUP(Table4[[#This Row],[Visitor]],'NHL Model'!$A$6:$B$38,2,FALSE)</f>
        <v>-0.19727709229606127</v>
      </c>
      <c r="J100">
        <f>($B$1+Table4[[#This Row],[Home Differential]])-Table4[[#This Row],[Away Differential]]</f>
        <v>1.0394598940188926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0.67814867783303756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0.45988562924669696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-0.3202921716073342</v>
      </c>
      <c r="H101" t="s">
        <v>31</v>
      </c>
      <c r="I101">
        <f>VLOOKUP(Table4[[#This Row],[Visitor]],'NHL Model'!$A$6:$B$38,2,FALSE)</f>
        <v>-6.6593655044643821E-4</v>
      </c>
      <c r="J101">
        <f>($B$1+Table4[[#This Row],[Home Differential]])-Table4[[#This Row],[Away Differential]]</f>
        <v>-0.24540858115205721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0.26371455900600044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0.16690670582810133</v>
      </c>
      <c r="H102" t="s">
        <v>33</v>
      </c>
      <c r="I102">
        <f>VLOOKUP(Table4[[#This Row],[Visitor]],'NHL Model'!$A$6:$B$38,2,FALSE)</f>
        <v>-0.17930549805059143</v>
      </c>
      <c r="J102">
        <f>($B$1+Table4[[#This Row],[Home Differential]])-Table4[[#This Row],[Away Differential]]</f>
        <v>0.42042985778352326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0.58055672794086954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0.17593265847566972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9.4361646617848058E-2</v>
      </c>
      <c r="H103" t="s">
        <v>17</v>
      </c>
      <c r="I103">
        <f>VLOOKUP(Table4[[#This Row],[Visitor]],'NHL Model'!$A$6:$B$38,2,FALSE)</f>
        <v>7.1049614431123245E-2</v>
      </c>
      <c r="J103">
        <f>($B$1+Table4[[#This Row],[Home Differential]])-Table4[[#This Row],[Away Differential]]</f>
        <v>9.7529686091555337E-2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0.55051906383501847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0.30307123964578514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3.9336367625328564E-2</v>
      </c>
      <c r="H104" t="s">
        <v>38</v>
      </c>
      <c r="I104">
        <f>VLOOKUP(Table4[[#This Row],[Visitor]],'NHL Model'!$A$6:$B$38,2,FALSE)</f>
        <v>-0.48278309788469043</v>
      </c>
      <c r="J104">
        <f>($B$1+Table4[[#This Row],[Home Differential]])-Table4[[#This Row],[Away Differential]]</f>
        <v>0.59633711941484946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0.56180537439765377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0.19201452990678039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-0.96065798985911643</v>
      </c>
      <c r="H105" t="s">
        <v>13</v>
      </c>
      <c r="I105">
        <f>VLOOKUP(Table4[[#This Row],[Visitor]],'NHL Model'!$A$6:$B$38,2,FALSE)</f>
        <v>1.584470710005189E-2</v>
      </c>
      <c r="J105">
        <f>($B$1+Table4[[#This Row],[Home Differential]])-Table4[[#This Row],[Away Differential]]</f>
        <v>-0.90228504305433788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0.16834093640694595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-7.3686276472912369E-4</v>
      </c>
      <c r="H106" t="s">
        <v>24</v>
      </c>
      <c r="I106">
        <f>VLOOKUP(Table4[[#This Row],[Visitor]],'NHL Model'!$A$6:$B$38,2,FALSE)</f>
        <v>-6.1952588060713437E-2</v>
      </c>
      <c r="J106">
        <f>($B$1+Table4[[#This Row],[Home Differential]])-Table4[[#This Row],[Away Differential]]</f>
        <v>0.13543337920081483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0.29321021464408403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0.3142836898216293</v>
      </c>
      <c r="H107" t="s">
        <v>12</v>
      </c>
      <c r="I107">
        <f>VLOOKUP(Table4[[#This Row],[Visitor]],'NHL Model'!$A$6:$B$38,2,FALSE)</f>
        <v>1.8591692540144091</v>
      </c>
      <c r="J107">
        <f>($B$1+Table4[[#This Row],[Home Differential]])-Table4[[#This Row],[Away Differential]]</f>
        <v>-1.4706679102879492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0.49679571525441935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0.45610704431993199</v>
      </c>
      <c r="H108" t="s">
        <v>32</v>
      </c>
      <c r="I108">
        <f>VLOOKUP(Table4[[#This Row],[Visitor]],'NHL Model'!$A$6:$B$38,2,FALSE)</f>
        <v>-0.2855111111085496</v>
      </c>
      <c r="J108">
        <f>($B$1+Table4[[#This Row],[Home Differential]])-Table4[[#This Row],[Away Differential]]</f>
        <v>0.81583580933331201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0.64200858787985837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0.12815785115177308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0.18511137883580026</v>
      </c>
      <c r="H109" t="s">
        <v>26</v>
      </c>
      <c r="I109">
        <f>VLOOKUP(Table4[[#This Row],[Visitor]],'NHL Model'!$A$6:$B$38,2,FALSE)</f>
        <v>-8.5361594338821137E-2</v>
      </c>
      <c r="J109">
        <f>($B$1+Table4[[#This Row],[Home Differential]])-Table4[[#This Row],[Away Differential]]</f>
        <v>0.34469062707945192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0.16376902585868927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-0.21926170023436534</v>
      </c>
      <c r="H110" t="s">
        <v>18</v>
      </c>
      <c r="I110">
        <f>VLOOKUP(Table4[[#This Row],[Visitor]],'NHL Model'!$A$6:$B$38,2,FALSE)</f>
        <v>0.10902894471156278</v>
      </c>
      <c r="J110">
        <f>($B$1+Table4[[#This Row],[Home Differential]])-Table4[[#This Row],[Away Differential]]</f>
        <v>-0.2540729910410976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0.51458252843409025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0.23563012170144079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-6.1952588060713437E-2</v>
      </c>
      <c r="H111" t="s">
        <v>34</v>
      </c>
      <c r="I111">
        <f>VLOOKUP(Table4[[#This Row],[Visitor]],'NHL Model'!$A$6:$B$38,2,FALSE)</f>
        <v>0.59379638322319717</v>
      </c>
      <c r="J111">
        <f>($B$1+Table4[[#This Row],[Home Differential]])-Table4[[#This Row],[Away Differential]]</f>
        <v>-0.58153131737908004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0.5801246322910778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0.33654458899085821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3.9572996236628868E-2</v>
      </c>
      <c r="H112" t="s">
        <v>31</v>
      </c>
      <c r="I112">
        <f>VLOOKUP(Table4[[#This Row],[Visitor]],'NHL Model'!$A$6:$B$38,2,FALSE)</f>
        <v>-6.6593655044643821E-4</v>
      </c>
      <c r="J112">
        <f>($B$1+Table4[[#This Row],[Home Differential]])-Table4[[#This Row],[Away Differential]]</f>
        <v>0.11445658669190584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0.56636133511832842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0.32076516191701554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1.8591692540144091</v>
      </c>
      <c r="H113" t="s">
        <v>25</v>
      </c>
      <c r="I113">
        <f>VLOOKUP(Table4[[#This Row],[Visitor]],'NHL Model'!$A$6:$B$38,2,FALSE)</f>
        <v>0.45392063308446812</v>
      </c>
      <c r="J113">
        <f>($B$1+Table4[[#This Row],[Home Differential]])-Table4[[#This Row],[Away Differential]]</f>
        <v>1.4794662748347716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0.76671068526171948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0.58784527489449545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0.76796514781800074</v>
      </c>
      <c r="H114" t="s">
        <v>13</v>
      </c>
      <c r="I114">
        <f>VLOOKUP(Table4[[#This Row],[Visitor]],'NHL Model'!$A$6:$B$38,2,FALSE)</f>
        <v>1.584470710005189E-2</v>
      </c>
      <c r="J114">
        <f>($B$1+Table4[[#This Row],[Home Differential]])-Table4[[#This Row],[Away Differential]]</f>
        <v>0.8263380946227793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0.38815765403890345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7.1049614431123245E-2</v>
      </c>
      <c r="H115" t="s">
        <v>18</v>
      </c>
      <c r="I115">
        <f>VLOOKUP(Table4[[#This Row],[Visitor]],'NHL Model'!$A$6:$B$38,2,FALSE)</f>
        <v>0.10902894471156278</v>
      </c>
      <c r="J115">
        <f>($B$1+Table4[[#This Row],[Home Differential]])-Table4[[#This Row],[Away Differential]]</f>
        <v>3.6238323624390986E-2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0.49895798917468481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0.25104309661187524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0.19285186127150866</v>
      </c>
      <c r="H116" t="s">
        <v>14</v>
      </c>
      <c r="I116">
        <f>VLOOKUP(Table4[[#This Row],[Visitor]],'NHL Model'!$A$6:$B$38,2,FALSE)</f>
        <v>3.9336367625328564E-2</v>
      </c>
      <c r="J116">
        <f>($B$1+Table4[[#This Row],[Home Differential]])-Table4[[#This Row],[Away Differential]]</f>
        <v>0.22773314755101065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0.55803947937303089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0.31140806053892339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-0.3202921716073342</v>
      </c>
      <c r="H117" t="s">
        <v>38</v>
      </c>
      <c r="I117">
        <f>VLOOKUP(Table4[[#This Row],[Visitor]],'NHL Model'!$A$6:$B$38,2,FALSE)</f>
        <v>-0.48278309788469043</v>
      </c>
      <c r="J117">
        <f>($B$1+Table4[[#This Row],[Home Differential]])-Table4[[#This Row],[Away Differential]]</f>
        <v>0.23670858018218677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0.22751217176170424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0.16690670582810133</v>
      </c>
      <c r="H118" t="s">
        <v>26</v>
      </c>
      <c r="I118">
        <f>VLOOKUP(Table4[[#This Row],[Visitor]],'NHL Model'!$A$6:$B$38,2,FALSE)</f>
        <v>-8.5361594338821137E-2</v>
      </c>
      <c r="J118">
        <f>($B$1+Table4[[#This Row],[Home Differential]])-Table4[[#This Row],[Away Differential]]</f>
        <v>0.32648595407175296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0.55695227147671844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0.19629128974963939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-6.2506340836952119E-3</v>
      </c>
      <c r="H119" t="s">
        <v>33</v>
      </c>
      <c r="I119">
        <f>VLOOKUP(Table4[[#This Row],[Visitor]],'NHL Model'!$A$6:$B$38,2,FALSE)</f>
        <v>-0.17930549805059143</v>
      </c>
      <c r="J119">
        <f>($B$1+Table4[[#This Row],[Home Differential]])-Table4[[#This Row],[Away Differential]]</f>
        <v>0.24727251787172674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0.55937985662671441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0.31290582399972355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9.4361646617848058E-2</v>
      </c>
      <c r="H120" t="s">
        <v>27</v>
      </c>
      <c r="I120">
        <f>VLOOKUP(Table4[[#This Row],[Visitor]],'NHL Model'!$A$6:$B$38,2,FALSE)</f>
        <v>0.17784181108472058</v>
      </c>
      <c r="J120">
        <f>($B$1+Table4[[#This Row],[Home Differential]])-Table4[[#This Row],[Away Differential]]</f>
        <v>-9.2625105620419979E-3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0.46828872765930379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0.21929433245276961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-0.96065798985911643</v>
      </c>
      <c r="H121" t="s">
        <v>55</v>
      </c>
      <c r="I121">
        <f>VLOOKUP(Table4[[#This Row],[Visitor]],'NHL Model'!$A$6:$B$38,2,FALSE)</f>
        <v>0.3142836898216293</v>
      </c>
      <c r="J121">
        <f>($B$1+Table4[[#This Row],[Home Differential]])-Table4[[#This Row],[Away Differential]]</f>
        <v>-1.2007240257759153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0.16850689692403067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0.79636680320115127</v>
      </c>
      <c r="H122" t="s">
        <v>10</v>
      </c>
      <c r="I122">
        <f>VLOOKUP(Table4[[#This Row],[Visitor]],'NHL Model'!$A$6:$B$38,2,FALSE)</f>
        <v>-0.39984103039900787</v>
      </c>
      <c r="J122">
        <f>($B$1+Table4[[#This Row],[Home Differential]])-Table4[[#This Row],[Away Differential]]</f>
        <v>1.2704254875049896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0.68157619042943807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0.46454610336030561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-0.10659687498124908</v>
      </c>
      <c r="H123" t="s">
        <v>32</v>
      </c>
      <c r="I123">
        <f>VLOOKUP(Table4[[#This Row],[Visitor]],'NHL Model'!$A$6:$B$38,2,FALSE)</f>
        <v>-0.2855111111085496</v>
      </c>
      <c r="J123">
        <f>($B$1+Table4[[#This Row],[Home Differential]])-Table4[[#This Row],[Away Differential]]</f>
        <v>0.25313189003213105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0.32183103593585827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0.18511137883580026</v>
      </c>
      <c r="H124" t="s">
        <v>19</v>
      </c>
      <c r="I124">
        <f>VLOOKUP(Table4[[#This Row],[Visitor]],'NHL Model'!$A$6:$B$38,2,FALSE)</f>
        <v>-7.3686276472912369E-4</v>
      </c>
      <c r="J124">
        <f>($B$1+Table4[[#This Row],[Home Differential]])-Table4[[#This Row],[Away Differential]]</f>
        <v>0.26006589550535991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0.15473091069275563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-0.19727709229606127</v>
      </c>
      <c r="H125" t="s">
        <v>22</v>
      </c>
      <c r="I125">
        <f>VLOOKUP(Table4[[#This Row],[Visitor]],'NHL Model'!$A$6:$B$38,2,FALSE)</f>
        <v>0.45610704431993199</v>
      </c>
      <c r="J125">
        <f>($B$1+Table4[[#This Row],[Home Differential]])-Table4[[#This Row],[Away Differential]]</f>
        <v>-0.57916648271116278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0.22803872280755186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-6.1952588060713437E-2</v>
      </c>
      <c r="H126" t="s">
        <v>33</v>
      </c>
      <c r="I126">
        <f>VLOOKUP(Table4[[#This Row],[Visitor]],'NHL Model'!$A$6:$B$38,2,FALSE)</f>
        <v>-0.17930549805059143</v>
      </c>
      <c r="J126">
        <f>($B$1+Table4[[#This Row],[Home Differential]])-Table4[[#This Row],[Away Differential]]</f>
        <v>0.1915705638947085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0.55337212264232039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0.1994764608330265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-0.10659687498124908</v>
      </c>
      <c r="H127" t="s">
        <v>16</v>
      </c>
      <c r="I127">
        <f>VLOOKUP(Table4[[#This Row],[Visitor]],'NHL Model'!$A$6:$B$38,2,FALSE)</f>
        <v>-0.21926170023436534</v>
      </c>
      <c r="J127">
        <f>($B$1+Table4[[#This Row],[Home Differential]])-Table4[[#This Row],[Away Differential]]</f>
        <v>0.18688247915794678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0.56015620891123896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0.19346256055933367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3.9572996236628868E-2</v>
      </c>
      <c r="H128" t="s">
        <v>12</v>
      </c>
      <c r="I128">
        <f>VLOOKUP(Table4[[#This Row],[Visitor]],'NHL Model'!$A$6:$B$38,2,FALSE)</f>
        <v>1.8591692540144091</v>
      </c>
      <c r="J128">
        <f>($B$1+Table4[[#This Row],[Home Differential]])-Table4[[#This Row],[Away Differential]]</f>
        <v>-1.7453786038729497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0.72041154380755457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0.51899279245118413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0.76796514781800074</v>
      </c>
      <c r="H129" t="s">
        <v>25</v>
      </c>
      <c r="I129">
        <f>VLOOKUP(Table4[[#This Row],[Visitor]],'NHL Model'!$A$6:$B$38,2,FALSE)</f>
        <v>0.45392063308446812</v>
      </c>
      <c r="J129">
        <f>($B$1+Table4[[#This Row],[Home Differential]])-Table4[[#This Row],[Away Differential]]</f>
        <v>0.3882621686383631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0.5508045858022429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0.20177652013629457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-8.5361594338821137E-2</v>
      </c>
      <c r="H130" t="s">
        <v>35</v>
      </c>
      <c r="I130">
        <f>VLOOKUP(Table4[[#This Row],[Visitor]],'NHL Model'!$A$6:$B$38,2,FALSE)</f>
        <v>-0.96065798985911643</v>
      </c>
      <c r="J130">
        <f>($B$1+Table4[[#This Row],[Home Differential]])-Table4[[#This Row],[Away Differential]]</f>
        <v>0.94951404942512585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0.68284101078416548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0.10058982444040984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0.19285186127150866</v>
      </c>
      <c r="H131" t="s">
        <v>20</v>
      </c>
      <c r="I131">
        <f>VLOOKUP(Table4[[#This Row],[Visitor]],'NHL Model'!$A$6:$B$38,2,FALSE)</f>
        <v>0.14556378660539449</v>
      </c>
      <c r="J131">
        <f>($B$1+Table4[[#This Row],[Home Differential]])-Table4[[#This Row],[Away Differential]]</f>
        <v>0.12150572857094472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0.53310499978394643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0.21799094122674867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0.59379638322319717</v>
      </c>
      <c r="H132" t="s">
        <v>55</v>
      </c>
      <c r="I132">
        <f>VLOOKUP(Table4[[#This Row],[Visitor]],'NHL Model'!$A$6:$B$38,2,FALSE)</f>
        <v>0.3142836898216293</v>
      </c>
      <c r="J132">
        <f>($B$1+Table4[[#This Row],[Home Differential]])-Table4[[#This Row],[Away Differential]]</f>
        <v>0.35373034730639835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0.36052257586973663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-0.3202921716073342</v>
      </c>
      <c r="H133" t="s">
        <v>13</v>
      </c>
      <c r="I133">
        <f>VLOOKUP(Table4[[#This Row],[Visitor]],'NHL Model'!$A$6:$B$38,2,FALSE)</f>
        <v>1.584470710005189E-2</v>
      </c>
      <c r="J133">
        <f>($B$1+Table4[[#This Row],[Home Differential]])-Table4[[#This Row],[Away Differential]]</f>
        <v>-0.26191922480255553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0.52063962800447272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0.27106562224863573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0.17784181108472058</v>
      </c>
      <c r="H134" t="s">
        <v>30</v>
      </c>
      <c r="I134">
        <f>VLOOKUP(Table4[[#This Row],[Visitor]],'NHL Model'!$A$6:$B$38,2,FALSE)</f>
        <v>0.16690670582810133</v>
      </c>
      <c r="J134">
        <f>($B$1+Table4[[#This Row],[Home Differential]])-Table4[[#This Row],[Away Differential]]</f>
        <v>8.5152759161449793E-2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0.23022090320801203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3.9336367625328564E-2</v>
      </c>
      <c r="H135" t="s">
        <v>28</v>
      </c>
      <c r="I135">
        <f>VLOOKUP(Table4[[#This Row],[Visitor]],'NHL Model'!$A$6:$B$38,2,FALSE)</f>
        <v>-0.19727709229606127</v>
      </c>
      <c r="J135">
        <f>($B$1+Table4[[#This Row],[Home Differential]])-Table4[[#This Row],[Away Differential]]</f>
        <v>0.31083111382622036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0.32893056811350663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-0.2855111111085496</v>
      </c>
      <c r="H136" t="s">
        <v>17</v>
      </c>
      <c r="I136">
        <f>VLOOKUP(Table4[[#This Row],[Visitor]],'NHL Model'!$A$6:$B$38,2,FALSE)</f>
        <v>7.1049614431123245E-2</v>
      </c>
      <c r="J136">
        <f>($B$1+Table4[[#This Row],[Home Differential]])-Table4[[#This Row],[Away Differential]]</f>
        <v>-0.28234307163484229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0.24054327285494215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0.79636680320115127</v>
      </c>
      <c r="H137" t="s">
        <v>31</v>
      </c>
      <c r="I137">
        <f>VLOOKUP(Table4[[#This Row],[Visitor]],'NHL Model'!$A$6:$B$38,2,FALSE)</f>
        <v>-6.6593655044643821E-4</v>
      </c>
      <c r="J137">
        <f>($B$1+Table4[[#This Row],[Home Differential]])-Table4[[#This Row],[Away Differential]]</f>
        <v>0.8712503936564282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0.63852316255851105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0.13066550400670063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-7.3686276472912369E-4</v>
      </c>
      <c r="H138" t="s">
        <v>23</v>
      </c>
      <c r="I138">
        <f>VLOOKUP(Table4[[#This Row],[Visitor]],'NHL Model'!$A$6:$B$38,2,FALSE)</f>
        <v>0.18511137883580026</v>
      </c>
      <c r="J138">
        <f>($B$1+Table4[[#This Row],[Home Differential]])-Table4[[#This Row],[Away Differential]]</f>
        <v>-0.11163058769569885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0.20514964788461681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-0.48278309788469043</v>
      </c>
      <c r="H139" t="s">
        <v>18</v>
      </c>
      <c r="I139">
        <f>VLOOKUP(Table4[[#This Row],[Visitor]],'NHL Model'!$A$6:$B$38,2,FALSE)</f>
        <v>0.10902894471156278</v>
      </c>
      <c r="J139">
        <f>($B$1+Table4[[#This Row],[Home Differential]])-Table4[[#This Row],[Away Differential]]</f>
        <v>-0.51759438869142271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0.58214092983332133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0.17460620252056128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0.45610704431993199</v>
      </c>
      <c r="H140" t="s">
        <v>36</v>
      </c>
      <c r="I140">
        <f>VLOOKUP(Table4[[#This Row],[Visitor]],'NHL Model'!$A$6:$B$38,2,FALSE)</f>
        <v>9.4361646617848058E-2</v>
      </c>
      <c r="J140">
        <f>($B$1+Table4[[#This Row],[Home Differential]])-Table4[[#This Row],[Away Differential]]</f>
        <v>0.4359630516069144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0.33681091181522338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-0.21926170023436534</v>
      </c>
      <c r="H141" t="s">
        <v>15</v>
      </c>
      <c r="I141">
        <f>VLOOKUP(Table4[[#This Row],[Visitor]],'NHL Model'!$A$6:$B$38,2,FALSE)</f>
        <v>-6.2506340836952119E-3</v>
      </c>
      <c r="J141">
        <f>($B$1+Table4[[#This Row],[Home Differential]])-Table4[[#This Row],[Away Differential]]</f>
        <v>-0.1387934122458396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0.49511396715758066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0.24513784047451787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-0.39984103039900787</v>
      </c>
      <c r="H142" t="s">
        <v>13</v>
      </c>
      <c r="I142">
        <f>VLOOKUP(Table4[[#This Row],[Visitor]],'NHL Model'!$A$6:$B$38,2,FALSE)</f>
        <v>1.584470710005189E-2</v>
      </c>
      <c r="J142">
        <f>($B$1+Table4[[#This Row],[Home Differential]])-Table4[[#This Row],[Away Differential]]</f>
        <v>-0.3414680835942292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0.52921936979557171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0.22163440177567864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0.59379638322319717</v>
      </c>
      <c r="H143" t="s">
        <v>33</v>
      </c>
      <c r="I143">
        <f>VLOOKUP(Table4[[#This Row],[Visitor]],'NHL Model'!$A$6:$B$38,2,FALSE)</f>
        <v>-0.17930549805059143</v>
      </c>
      <c r="J143">
        <f>($B$1+Table4[[#This Row],[Home Differential]])-Table4[[#This Row],[Away Differential]]</f>
        <v>0.84731953517861913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0.41788961792337331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-6.1952588060713437E-2</v>
      </c>
      <c r="H144" t="s">
        <v>12</v>
      </c>
      <c r="I144">
        <f>VLOOKUP(Table4[[#This Row],[Visitor]],'NHL Model'!$A$6:$B$38,2,FALSE)</f>
        <v>1.8591692540144091</v>
      </c>
      <c r="J144">
        <f>($B$1+Table4[[#This Row],[Home Differential]])-Table4[[#This Row],[Away Differential]]</f>
        <v>-1.8469041881702921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0.7454163299296771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0.5556455049258292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-0.3202921716073342</v>
      </c>
      <c r="H145" t="s">
        <v>39</v>
      </c>
      <c r="I145">
        <f>VLOOKUP(Table4[[#This Row],[Visitor]],'NHL Model'!$A$6:$B$38,2,FALSE)</f>
        <v>0.76796514781800074</v>
      </c>
      <c r="J145">
        <f>($B$1+Table4[[#This Row],[Home Differential]])-Table4[[#This Row],[Away Differential]]</f>
        <v>-1.0140396655205044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0.12711400465600553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0.79636680320115127</v>
      </c>
      <c r="H146" t="s">
        <v>20</v>
      </c>
      <c r="I146">
        <f>VLOOKUP(Table4[[#This Row],[Visitor]],'NHL Model'!$A$6:$B$38,2,FALSE)</f>
        <v>0.14556378660539449</v>
      </c>
      <c r="J146">
        <f>($B$1+Table4[[#This Row],[Home Differential]])-Table4[[#This Row],[Away Differential]]</f>
        <v>0.72502067050058727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0.60200662481879186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0.1583987266881299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-0.48278309788469043</v>
      </c>
      <c r="H147" t="s">
        <v>17</v>
      </c>
      <c r="I147">
        <f>VLOOKUP(Table4[[#This Row],[Visitor]],'NHL Model'!$A$6:$B$38,2,FALSE)</f>
        <v>7.1049614431123245E-2</v>
      </c>
      <c r="J147">
        <f>($B$1+Table4[[#This Row],[Home Differential]])-Table4[[#This Row],[Away Differential]]</f>
        <v>-0.47961505841098312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0.26186644649376417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-0.10659687498124908</v>
      </c>
      <c r="H148" t="s">
        <v>55</v>
      </c>
      <c r="I148">
        <f>VLOOKUP(Table4[[#This Row],[Visitor]],'NHL Model'!$A$6:$B$38,2,FALSE)</f>
        <v>0.3142836898216293</v>
      </c>
      <c r="J148">
        <f>($B$1+Table4[[#This Row],[Home Differential]])-Table4[[#This Row],[Away Differential]]</f>
        <v>-0.34666291089804785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0.49738932662560492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0.25261748898986292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9.4361646617848058E-2</v>
      </c>
      <c r="H149" t="s">
        <v>21</v>
      </c>
      <c r="I149">
        <f>VLOOKUP(Table4[[#This Row],[Visitor]],'NHL Model'!$A$6:$B$38,2,FALSE)</f>
        <v>3.9572996236628868E-2</v>
      </c>
      <c r="J149">
        <f>($B$1+Table4[[#This Row],[Home Differential]])-Table4[[#This Row],[Away Differential]]</f>
        <v>0.1290063042860497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0.19899274228695138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3.9336367625328564E-2</v>
      </c>
      <c r="H150" t="s">
        <v>35</v>
      </c>
      <c r="I150">
        <f>VLOOKUP(Table4[[#This Row],[Visitor]],'NHL Model'!$A$6:$B$38,2,FALSE)</f>
        <v>-0.96065798985911643</v>
      </c>
      <c r="J150">
        <f>($B$1+Table4[[#This Row],[Home Differential]])-Table4[[#This Row],[Away Differential]]</f>
        <v>1.0742120113892755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0.65585913143962993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0.11843293741348591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3.9572996236628868E-2</v>
      </c>
      <c r="H151" t="s">
        <v>30</v>
      </c>
      <c r="I151">
        <f>VLOOKUP(Table4[[#This Row],[Visitor]],'NHL Model'!$A$6:$B$38,2,FALSE)</f>
        <v>0.16690670582810133</v>
      </c>
      <c r="J151">
        <f>($B$1+Table4[[#This Row],[Home Differential]])-Table4[[#This Row],[Away Differential]]</f>
        <v>-5.3116055686641933E-2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0.4851808867309596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0.23540049284904024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0.18511137883580026</v>
      </c>
      <c r="H152" t="s">
        <v>28</v>
      </c>
      <c r="I152">
        <f>VLOOKUP(Table4[[#This Row],[Visitor]],'NHL Model'!$A$6:$B$38,2,FALSE)</f>
        <v>-0.19727709229606127</v>
      </c>
      <c r="J152">
        <f>($B$1+Table4[[#This Row],[Home Differential]])-Table4[[#This Row],[Away Differential]]</f>
        <v>0.45660612503669207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0.39418224193027035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0.45392063308446812</v>
      </c>
      <c r="H153" t="s">
        <v>20</v>
      </c>
      <c r="I153">
        <f>VLOOKUP(Table4[[#This Row],[Visitor]],'NHL Model'!$A$6:$B$38,2,FALSE)</f>
        <v>0.14556378660539449</v>
      </c>
      <c r="J153">
        <f>($B$1+Table4[[#This Row],[Home Differential]])-Table4[[#This Row],[Away Differential]]</f>
        <v>0.38257450038390417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0.59445406030252079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0.35337562981015302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-0.39984103039900787</v>
      </c>
      <c r="H154" t="s">
        <v>36</v>
      </c>
      <c r="I154">
        <f>VLOOKUP(Table4[[#This Row],[Visitor]],'NHL Model'!$A$6:$B$38,2,FALSE)</f>
        <v>9.4361646617848058E-2</v>
      </c>
      <c r="J154">
        <f>($B$1+Table4[[#This Row],[Home Differential]])-Table4[[#This Row],[Away Differential]]</f>
        <v>-0.4199850231120254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0.52606671346306266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0.27674618701382808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1.8591692540144091</v>
      </c>
      <c r="H155" t="s">
        <v>24</v>
      </c>
      <c r="I155">
        <f>VLOOKUP(Table4[[#This Row],[Visitor]],'NHL Model'!$A$6:$B$38,2,FALSE)</f>
        <v>-6.1952588060713437E-2</v>
      </c>
      <c r="J155">
        <f>($B$1+Table4[[#This Row],[Home Differential]])-Table4[[#This Row],[Away Differential]]</f>
        <v>1.9953394959799531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0.84594938143085385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2.3731593081536554E-2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0.76796514781800074</v>
      </c>
      <c r="H156" t="s">
        <v>22</v>
      </c>
      <c r="I156">
        <f>VLOOKUP(Table4[[#This Row],[Visitor]],'NHL Model'!$A$6:$B$38,2,FALSE)</f>
        <v>0.45610704431993199</v>
      </c>
      <c r="J156">
        <f>($B$1+Table4[[#This Row],[Home Differential]])-Table4[[#This Row],[Away Differential]]</f>
        <v>0.38607575740289923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0.60767793484920318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0.15391660280418606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7.1049614431123245E-2</v>
      </c>
      <c r="H157" t="s">
        <v>55</v>
      </c>
      <c r="I157">
        <f>VLOOKUP(Table4[[#This Row],[Visitor]],'NHL Model'!$A$6:$B$38,2,FALSE)</f>
        <v>0.3142836898216293</v>
      </c>
      <c r="J157">
        <f>($B$1+Table4[[#This Row],[Home Differential]])-Table4[[#This Row],[Away Differential]]</f>
        <v>-0.16901642148567553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0.4570620375110715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0.20890570613377213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0.19285186127150866</v>
      </c>
      <c r="H158" t="s">
        <v>31</v>
      </c>
      <c r="I158">
        <f>VLOOKUP(Table4[[#This Row],[Visitor]],'NHL Model'!$A$6:$B$38,2,FALSE)</f>
        <v>-6.6593655044643821E-4</v>
      </c>
      <c r="J158">
        <f>($B$1+Table4[[#This Row],[Home Differential]])-Table4[[#This Row],[Away Differential]]</f>
        <v>0.26773545172678564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0.56964199690261985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0.32449200463520439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0.59379638322319717</v>
      </c>
      <c r="H159" t="s">
        <v>40</v>
      </c>
      <c r="I159">
        <f>VLOOKUP(Table4[[#This Row],[Visitor]],'NHL Model'!$A$6:$B$38,2,FALSE)</f>
        <v>-0.10659687498124908</v>
      </c>
      <c r="J159">
        <f>($B$1+Table4[[#This Row],[Home Differential]])-Table4[[#This Row],[Away Differential]]</f>
        <v>0.77461091210927668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0.41709560526202877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-0.3202921716073342</v>
      </c>
      <c r="H160" t="s">
        <v>37</v>
      </c>
      <c r="I160">
        <f>VLOOKUP(Table4[[#This Row],[Visitor]],'NHL Model'!$A$6:$B$38,2,FALSE)</f>
        <v>0.79636680320115127</v>
      </c>
      <c r="J160">
        <f>($B$1+Table4[[#This Row],[Home Differential]])-Table4[[#This Row],[Away Differential]]</f>
        <v>-1.0424413209036549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0.65865099116158243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0.11651914583497007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0.17784181108472058</v>
      </c>
      <c r="H161" t="s">
        <v>14</v>
      </c>
      <c r="I161">
        <f>VLOOKUP(Table4[[#This Row],[Visitor]],'NHL Model'!$A$6:$B$38,2,FALSE)</f>
        <v>3.9336367625328564E-2</v>
      </c>
      <c r="J161">
        <f>($B$1+Table4[[#This Row],[Home Differential]])-Table4[[#This Row],[Away Differential]]</f>
        <v>0.21272309736422257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0.19340793227881145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-0.2855111111085496</v>
      </c>
      <c r="H162" t="s">
        <v>18</v>
      </c>
      <c r="I162">
        <f>VLOOKUP(Table4[[#This Row],[Visitor]],'NHL Model'!$A$6:$B$38,2,FALSE)</f>
        <v>0.10902894471156278</v>
      </c>
      <c r="J162">
        <f>($B$1+Table4[[#This Row],[Home Differential]])-Table4[[#This Row],[Away Differential]]</f>
        <v>-0.32032240191528183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0.56086416062675237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0.19284028542204673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-0.17930549805059143</v>
      </c>
      <c r="H163" t="s">
        <v>13</v>
      </c>
      <c r="I163">
        <f>VLOOKUP(Table4[[#This Row],[Visitor]],'NHL Model'!$A$6:$B$38,2,FALSE)</f>
        <v>1.584470710005189E-2</v>
      </c>
      <c r="J163">
        <f>($B$1+Table4[[#This Row],[Home Differential]])-Table4[[#This Row],[Away Differential]]</f>
        <v>-0.12093255124581279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0.24459601205104251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-0.96065798985911643</v>
      </c>
      <c r="H164" t="s">
        <v>26</v>
      </c>
      <c r="I164">
        <f>VLOOKUP(Table4[[#This Row],[Visitor]],'NHL Model'!$A$6:$B$38,2,FALSE)</f>
        <v>-8.5361594338821137E-2</v>
      </c>
      <c r="J164">
        <f>($B$1+Table4[[#This Row],[Home Differential]])-Table4[[#This Row],[Away Differential]]</f>
        <v>-0.80107874161546477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0.56716957468112339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0.18734217708171963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-7.3686276472912369E-4</v>
      </c>
      <c r="H165" t="s">
        <v>16</v>
      </c>
      <c r="I165">
        <f>VLOOKUP(Table4[[#This Row],[Visitor]],'NHL Model'!$A$6:$B$38,2,FALSE)</f>
        <v>-0.21926170023436534</v>
      </c>
      <c r="J165">
        <f>($B$1+Table4[[#This Row],[Home Differential]])-Table4[[#This Row],[Away Differential]]</f>
        <v>0.29274249137446673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0.59067917134121728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0.16754354077391256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-0.48278309788469043</v>
      </c>
      <c r="H166" t="s">
        <v>15</v>
      </c>
      <c r="I166">
        <f>VLOOKUP(Table4[[#This Row],[Visitor]],'NHL Model'!$A$6:$B$38,2,FALSE)</f>
        <v>-6.2506340836952119E-3</v>
      </c>
      <c r="J166">
        <f>($B$1+Table4[[#This Row],[Home Differential]])-Table4[[#This Row],[Away Differential]]</f>
        <v>-0.40231480989616469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0.56267949575837783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0.19124922343014666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-0.19727709229606127</v>
      </c>
      <c r="H167" t="s">
        <v>19</v>
      </c>
      <c r="I167">
        <f>VLOOKUP(Table4[[#This Row],[Visitor]],'NHL Model'!$A$6:$B$38,2,FALSE)</f>
        <v>-7.3686276472912369E-4</v>
      </c>
      <c r="J167">
        <f>($B$1+Table4[[#This Row],[Home Differential]])-Table4[[#This Row],[Away Differential]]</f>
        <v>-0.12232257562650163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0.22391171066296939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3.9572996236628868E-2</v>
      </c>
      <c r="H168" t="s">
        <v>23</v>
      </c>
      <c r="I168">
        <f>VLOOKUP(Table4[[#This Row],[Visitor]],'NHL Model'!$A$6:$B$38,2,FALSE)</f>
        <v>0.18511137883580026</v>
      </c>
      <c r="J168">
        <f>($B$1+Table4[[#This Row],[Home Differential]])-Table4[[#This Row],[Away Differential]]</f>
        <v>-7.1320728694340862E-2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0.20582161932025725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0.45392063308446812</v>
      </c>
      <c r="H169" t="s">
        <v>30</v>
      </c>
      <c r="I169">
        <f>VLOOKUP(Table4[[#This Row],[Visitor]],'NHL Model'!$A$6:$B$38,2,FALSE)</f>
        <v>0.16690670582810133</v>
      </c>
      <c r="J169">
        <f>($B$1+Table4[[#This Row],[Home Differential]])-Table4[[#This Row],[Away Differential]]</f>
        <v>0.36123158116119736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0.17686900535164632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7.1049614431123245E-2</v>
      </c>
      <c r="H170" t="s">
        <v>15</v>
      </c>
      <c r="I170">
        <f>VLOOKUP(Table4[[#This Row],[Visitor]],'NHL Model'!$A$6:$B$38,2,FALSE)</f>
        <v>-6.2506340836952119E-3</v>
      </c>
      <c r="J170">
        <f>($B$1+Table4[[#This Row],[Home Differential]])-Table4[[#This Row],[Away Differential]]</f>
        <v>0.15151790241964899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0.5184340128625472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0.26877382569276376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1.584470710005189E-2</v>
      </c>
      <c r="H171" t="s">
        <v>26</v>
      </c>
      <c r="I171">
        <f>VLOOKUP(Table4[[#This Row],[Visitor]],'NHL Model'!$A$6:$B$38,2,FALSE)</f>
        <v>-8.5361594338821137E-2</v>
      </c>
      <c r="J171">
        <f>($B$1+Table4[[#This Row],[Home Differential]])-Table4[[#This Row],[Away Differential]]</f>
        <v>0.17542395534370353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0.53815111910987767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0.28960662699921375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0.59379638322319717</v>
      </c>
      <c r="H172" t="s">
        <v>14</v>
      </c>
      <c r="I172">
        <f>VLOOKUP(Table4[[#This Row],[Visitor]],'NHL Model'!$A$6:$B$38,2,FALSE)</f>
        <v>3.9336367625328564E-2</v>
      </c>
      <c r="J172">
        <f>($B$1+Table4[[#This Row],[Home Differential]])-Table4[[#This Row],[Away Differential]]</f>
        <v>0.6286776695026991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0.62286220686473048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0.38795732874040229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9.4361646617848058E-2</v>
      </c>
      <c r="H173" t="s">
        <v>16</v>
      </c>
      <c r="I173">
        <f>VLOOKUP(Table4[[#This Row],[Visitor]],'NHL Model'!$A$6:$B$38,2,FALSE)</f>
        <v>-0.21926170023436534</v>
      </c>
      <c r="J173">
        <f>($B$1+Table4[[#This Row],[Home Differential]])-Table4[[#This Row],[Away Differential]]</f>
        <v>0.38784100075704392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0.58183058931381126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0.17486565603363438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0.17784181108472058</v>
      </c>
      <c r="H174" t="s">
        <v>29</v>
      </c>
      <c r="I174">
        <f>VLOOKUP(Table4[[#This Row],[Visitor]],'NHL Model'!$A$6:$B$38,2,FALSE)</f>
        <v>-0.3202921716073342</v>
      </c>
      <c r="J174">
        <f>($B$1+Table4[[#This Row],[Home Differential]])-Table4[[#This Row],[Away Differential]]</f>
        <v>0.57235163659688526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0.60628543852066819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0.15501115592086256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-0.17930549805059143</v>
      </c>
      <c r="H175" t="s">
        <v>24</v>
      </c>
      <c r="I175">
        <f>VLOOKUP(Table4[[#This Row],[Visitor]],'NHL Model'!$A$6:$B$38,2,FALSE)</f>
        <v>-6.1952588060713437E-2</v>
      </c>
      <c r="J175">
        <f>($B$1+Table4[[#This Row],[Home Differential]])-Table4[[#This Row],[Away Differential]]</f>
        <v>-4.3135256085047466E-2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0.4970426840867232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0.24705142980413411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-0.96065798985911643</v>
      </c>
      <c r="H176" t="s">
        <v>38</v>
      </c>
      <c r="I176">
        <f>VLOOKUP(Table4[[#This Row],[Visitor]],'NHL Model'!$A$6:$B$38,2,FALSE)</f>
        <v>-0.48278309788469043</v>
      </c>
      <c r="J176">
        <f>($B$1+Table4[[#This Row],[Home Differential]])-Table4[[#This Row],[Away Differential]]</f>
        <v>-0.40365723806959553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0.54604901232889103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0.20607149920757534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0.79636680320115127</v>
      </c>
      <c r="H177" t="s">
        <v>39</v>
      </c>
      <c r="I177">
        <f>VLOOKUP(Table4[[#This Row],[Visitor]],'NHL Model'!$A$6:$B$38,2,FALSE)</f>
        <v>0.76796514781800074</v>
      </c>
      <c r="J177">
        <f>($B$1+Table4[[#This Row],[Home Differential]])-Table4[[#This Row],[Away Differential]]</f>
        <v>0.10261930928798102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0.48153643689284198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0.26880446626977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-0.10659687498124908</v>
      </c>
      <c r="H178" t="s">
        <v>10</v>
      </c>
      <c r="I178">
        <f>VLOOKUP(Table4[[#This Row],[Visitor]],'NHL Model'!$A$6:$B$38,2,FALSE)</f>
        <v>-0.39984103039900787</v>
      </c>
      <c r="J178">
        <f>($B$1+Table4[[#This Row],[Home Differential]])-Table4[[#This Row],[Away Differential]]</f>
        <v>0.36746180932258932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0.17670875794620511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-6.6593655044643821E-4</v>
      </c>
      <c r="H179" t="s">
        <v>26</v>
      </c>
      <c r="I179">
        <f>VLOOKUP(Table4[[#This Row],[Visitor]],'NHL Model'!$A$6:$B$38,2,FALSE)</f>
        <v>-8.5361594338821137E-2</v>
      </c>
      <c r="J179">
        <f>($B$1+Table4[[#This Row],[Home Differential]])-Table4[[#This Row],[Away Differential]]</f>
        <v>0.15891331169320522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0.56259413994032881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0.19132388641454065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0.14556378660539449</v>
      </c>
      <c r="H180" t="s">
        <v>12</v>
      </c>
      <c r="I180">
        <f>VLOOKUP(Table4[[#This Row],[Visitor]],'NHL Model'!$A$6:$B$38,2,FALSE)</f>
        <v>1.8591692540144091</v>
      </c>
      <c r="J180">
        <f>($B$1+Table4[[#This Row],[Home Differential]])-Table4[[#This Row],[Away Differential]]</f>
        <v>-1.6393878135041842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7.6709803818060168E-2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0.45610704431993199</v>
      </c>
      <c r="H181" t="s">
        <v>30</v>
      </c>
      <c r="I181">
        <f>VLOOKUP(Table4[[#This Row],[Visitor]],'NHL Model'!$A$6:$B$38,2,FALSE)</f>
        <v>0.16690670582810133</v>
      </c>
      <c r="J181">
        <f>($B$1+Table4[[#This Row],[Home Differential]])-Table4[[#This Row],[Away Differential]]</f>
        <v>0.36341799239666117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0.31331378333137966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3.9572996236628868E-2</v>
      </c>
      <c r="H182" t="s">
        <v>25</v>
      </c>
      <c r="I182">
        <f>VLOOKUP(Table4[[#This Row],[Visitor]],'NHL Model'!$A$6:$B$38,2,FALSE)</f>
        <v>0.45392063308446812</v>
      </c>
      <c r="J182">
        <f>($B$1+Table4[[#This Row],[Home Differential]])-Table4[[#This Row],[Away Differential]]</f>
        <v>-0.34012998294300872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0.29154890913144976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0.18511137883580026</v>
      </c>
      <c r="H183" t="s">
        <v>22</v>
      </c>
      <c r="I183">
        <f>VLOOKUP(Table4[[#This Row],[Visitor]],'NHL Model'!$A$6:$B$38,2,FALSE)</f>
        <v>0.45610704431993199</v>
      </c>
      <c r="J183">
        <f>($B$1+Table4[[#This Row],[Home Differential]])-Table4[[#This Row],[Away Differential]]</f>
        <v>-0.19677801157930119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0.19592255532696237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-0.19727709229606127</v>
      </c>
      <c r="H184" t="s">
        <v>35</v>
      </c>
      <c r="I184">
        <f>VLOOKUP(Table4[[#This Row],[Visitor]],'NHL Model'!$A$6:$B$38,2,FALSE)</f>
        <v>-0.96065798985911643</v>
      </c>
      <c r="J184">
        <f>($B$1+Table4[[#This Row],[Home Differential]])-Table4[[#This Row],[Away Differential]]</f>
        <v>0.83759855146788564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0.6303391878318837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0.13664911605279137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7.1049614431123245E-2</v>
      </c>
      <c r="H185" t="s">
        <v>10</v>
      </c>
      <c r="I185">
        <f>VLOOKUP(Table4[[#This Row],[Visitor]],'NHL Model'!$A$6:$B$38,2,FALSE)</f>
        <v>-0.39984103039900787</v>
      </c>
      <c r="J185">
        <f>($B$1+Table4[[#This Row],[Home Differential]])-Table4[[#This Row],[Away Differential]]</f>
        <v>0.54510829873496158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0.1444304921772557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0.19285186127150866</v>
      </c>
      <c r="H186" t="s">
        <v>39</v>
      </c>
      <c r="I186">
        <f>VLOOKUP(Table4[[#This Row],[Visitor]],'NHL Model'!$A$6:$B$38,2,FALSE)</f>
        <v>0.76796514781800074</v>
      </c>
      <c r="J186">
        <f>($B$1+Table4[[#This Row],[Home Differential]])-Table4[[#This Row],[Away Differential]]</f>
        <v>-0.50089563264166159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0.58735742943770719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0.34498874991567119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1.584470710005189E-2</v>
      </c>
      <c r="H187" t="s">
        <v>24</v>
      </c>
      <c r="I187">
        <f>VLOOKUP(Table4[[#This Row],[Visitor]],'NHL Model'!$A$6:$B$38,2,FALSE)</f>
        <v>-6.1952588060713437E-2</v>
      </c>
      <c r="J187">
        <f>($B$1+Table4[[#This Row],[Home Differential]])-Table4[[#This Row],[Away Differential]]</f>
        <v>0.15201494906559584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0.5240052403726001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0.2745814919379464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0.59379638322319717</v>
      </c>
      <c r="H188" t="s">
        <v>38</v>
      </c>
      <c r="I188">
        <f>VLOOKUP(Table4[[#This Row],[Visitor]],'NHL Model'!$A$6:$B$38,2,FALSE)</f>
        <v>-0.48278309788469043</v>
      </c>
      <c r="J188">
        <f>($B$1+Table4[[#This Row],[Home Differential]])-Table4[[#This Row],[Away Differential]]</f>
        <v>1.1507971350127182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0.12665112986659086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0.10902894471156278</v>
      </c>
      <c r="H189" t="s">
        <v>36</v>
      </c>
      <c r="I189">
        <f>VLOOKUP(Table4[[#This Row],[Visitor]],'NHL Model'!$A$6:$B$38,2,FALSE)</f>
        <v>9.4361646617848058E-2</v>
      </c>
      <c r="J189">
        <f>($B$1+Table4[[#This Row],[Home Differential]])-Table4[[#This Row],[Away Differential]]</f>
        <v>8.888495199854525E-2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0.22201299041977485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-0.3202921716073342</v>
      </c>
      <c r="H190" t="s">
        <v>16</v>
      </c>
      <c r="I190">
        <f>VLOOKUP(Table4[[#This Row],[Visitor]],'NHL Model'!$A$6:$B$38,2,FALSE)</f>
        <v>-0.21926170023436534</v>
      </c>
      <c r="J190">
        <f>($B$1+Table4[[#This Row],[Home Differential]])-Table4[[#This Row],[Away Differential]]</f>
        <v>-2.6812817468138322E-2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0.21426890766206774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0.17784181108472058</v>
      </c>
      <c r="H191" t="s">
        <v>19</v>
      </c>
      <c r="I191">
        <f>VLOOKUP(Table4[[#This Row],[Visitor]],'NHL Model'!$A$6:$B$38,2,FALSE)</f>
        <v>-7.3686276472912369E-4</v>
      </c>
      <c r="J191">
        <f>($B$1+Table4[[#This Row],[Home Differential]])-Table4[[#This Row],[Away Differential]]</f>
        <v>0.25279632775428024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0.32697788617357798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-0.2855111111085496</v>
      </c>
      <c r="H192" t="s">
        <v>15</v>
      </c>
      <c r="I192">
        <f>VLOOKUP(Table4[[#This Row],[Visitor]],'NHL Model'!$A$6:$B$38,2,FALSE)</f>
        <v>-6.2506340836952119E-3</v>
      </c>
      <c r="J192">
        <f>($B$1+Table4[[#This Row],[Home Differential]])-Table4[[#This Row],[Away Differential]]</f>
        <v>-0.20504282312002384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0.54140272655180888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0.21031145921411498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-0.17930549805059143</v>
      </c>
      <c r="H193" t="s">
        <v>12</v>
      </c>
      <c r="I193">
        <f>VLOOKUP(Table4[[#This Row],[Visitor]],'NHL Model'!$A$6:$B$38,2,FALSE)</f>
        <v>1.8591692540144091</v>
      </c>
      <c r="J193">
        <f>($B$1+Table4[[#This Row],[Home Differential]])-Table4[[#This Row],[Away Differential]]</f>
        <v>-1.9642570981601701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0.75807342748508066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0.57467532145897782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-0.10659687498124908</v>
      </c>
      <c r="H194" t="s">
        <v>14</v>
      </c>
      <c r="I194">
        <f>VLOOKUP(Table4[[#This Row],[Visitor]],'NHL Model'!$A$6:$B$38,2,FALSE)</f>
        <v>3.9336367625328564E-2</v>
      </c>
      <c r="J194">
        <f>($B$1+Table4[[#This Row],[Home Differential]])-Table4[[#This Row],[Away Differential]]</f>
        <v>-7.1715588701747116E-2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0.47502460410853431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0.22564837450846975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-6.6593655044643821E-4</v>
      </c>
      <c r="H195" t="s">
        <v>24</v>
      </c>
      <c r="I195">
        <f>VLOOKUP(Table4[[#This Row],[Visitor]],'NHL Model'!$A$6:$B$38,2,FALSE)</f>
        <v>-6.1952588060713437E-2</v>
      </c>
      <c r="J195">
        <f>($B$1+Table4[[#This Row],[Home Differential]])-Table4[[#This Row],[Away Differential]]</f>
        <v>0.1355043054150975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0.54851312130842544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0.20384040163066056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0.16690670582810133</v>
      </c>
      <c r="H196" t="s">
        <v>28</v>
      </c>
      <c r="I196">
        <f>VLOOKUP(Table4[[#This Row],[Visitor]],'NHL Model'!$A$6:$B$38,2,FALSE)</f>
        <v>-0.19727709229606127</v>
      </c>
      <c r="J196">
        <f>($B$1+Table4[[#This Row],[Home Differential]])-Table4[[#This Row],[Away Differential]]</f>
        <v>0.43840145202899311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0.16828105080659506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0.17784181108472058</v>
      </c>
      <c r="H197" t="s">
        <v>16</v>
      </c>
      <c r="I197">
        <f>VLOOKUP(Table4[[#This Row],[Visitor]],'NHL Model'!$A$6:$B$38,2,FALSE)</f>
        <v>-0.21926170023436534</v>
      </c>
      <c r="J197">
        <f>($B$1+Table4[[#This Row],[Home Differential]])-Table4[[#This Row],[Away Differential]]</f>
        <v>0.47132116522391643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0.59538879750557638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0.35448782019513625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-0.17930549805059143</v>
      </c>
      <c r="H198" t="s">
        <v>26</v>
      </c>
      <c r="I198">
        <f>VLOOKUP(Table4[[#This Row],[Visitor]],'NHL Model'!$A$6:$B$38,2,FALSE)</f>
        <v>-8.5361594338821137E-2</v>
      </c>
      <c r="J198">
        <f>($B$1+Table4[[#This Row],[Home Differential]])-Table4[[#This Row],[Away Differential]]</f>
        <v>-1.9726249806939766E-2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0.48289680534944551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0.2673957139178092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0.3142836898216293</v>
      </c>
      <c r="H199" t="s">
        <v>37</v>
      </c>
      <c r="I199">
        <f>VLOOKUP(Table4[[#This Row],[Visitor]],'NHL Model'!$A$6:$B$38,2,FALSE)</f>
        <v>0.79636680320115127</v>
      </c>
      <c r="J199">
        <f>($B$1+Table4[[#This Row],[Home Differential]])-Table4[[#This Row],[Away Differential]]</f>
        <v>-0.40786545947469144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0.59020881460964691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0.16792881562363074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-0.3202921716073342</v>
      </c>
      <c r="H200" t="s">
        <v>38</v>
      </c>
      <c r="I200">
        <f>VLOOKUP(Table4[[#This Row],[Visitor]],'NHL Model'!$A$6:$B$38,2,FALSE)</f>
        <v>-0.48278309788469043</v>
      </c>
      <c r="J200">
        <f>($B$1+Table4[[#This Row],[Home Differential]])-Table4[[#This Row],[Away Differential]]</f>
        <v>0.23670858018218677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0.27354745173961825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-0.2855111111085496</v>
      </c>
      <c r="H201" t="s">
        <v>10</v>
      </c>
      <c r="I201">
        <f>VLOOKUP(Table4[[#This Row],[Visitor]],'NHL Model'!$A$6:$B$38,2,FALSE)</f>
        <v>-0.39984103039900787</v>
      </c>
      <c r="J201">
        <f>($B$1+Table4[[#This Row],[Home Differential]])-Table4[[#This Row],[Away Differential]]</f>
        <v>0.18854757319528881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0.19330461085372877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-0.96065798985911643</v>
      </c>
      <c r="H202" t="s">
        <v>17</v>
      </c>
      <c r="I202">
        <f>VLOOKUP(Table4[[#This Row],[Visitor]],'NHL Model'!$A$6:$B$38,2,FALSE)</f>
        <v>7.1049614431123245E-2</v>
      </c>
      <c r="J202">
        <f>($B$1+Table4[[#This Row],[Home Differential]])-Table4[[#This Row],[Away Differential]]</f>
        <v>-0.95748995038540918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0.31727317637509594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-7.3686276472912369E-4</v>
      </c>
      <c r="H203" t="s">
        <v>14</v>
      </c>
      <c r="I203">
        <f>VLOOKUP(Table4[[#This Row],[Visitor]],'NHL Model'!$A$6:$B$38,2,FALSE)</f>
        <v>3.9336367625328564E-2</v>
      </c>
      <c r="J203">
        <f>($B$1+Table4[[#This Row],[Home Differential]])-Table4[[#This Row],[Away Differential]]</f>
        <v>3.4144423514772843E-2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0.19753592111952656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-6.6593655044643821E-4</v>
      </c>
      <c r="H204" t="s">
        <v>11</v>
      </c>
      <c r="I204">
        <f>VLOOKUP(Table4[[#This Row],[Visitor]],'NHL Model'!$A$6:$B$38,2,FALSE)</f>
        <v>0.19285186127150866</v>
      </c>
      <c r="J204">
        <f>($B$1+Table4[[#This Row],[Home Differential]])-Table4[[#This Row],[Away Differential]]</f>
        <v>-0.11930014391712458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0.48345535175559246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0.23372907714112362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0.18511137883580026</v>
      </c>
      <c r="H205" t="s">
        <v>55</v>
      </c>
      <c r="I205">
        <f>VLOOKUP(Table4[[#This Row],[Visitor]],'NHL Model'!$A$6:$B$38,2,FALSE)</f>
        <v>0.3142836898216293</v>
      </c>
      <c r="J205">
        <f>($B$1+Table4[[#This Row],[Home Differential]])-Table4[[#This Row],[Away Differential]]</f>
        <v>-5.4954657080998504E-2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0.42733504170645131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0.32794515445735184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1.8591692540144091</v>
      </c>
      <c r="H206" t="s">
        <v>37</v>
      </c>
      <c r="I206">
        <f>VLOOKUP(Table4[[#This Row],[Visitor]],'NHL Model'!$A$6:$B$38,2,FALSE)</f>
        <v>0.79636680320115127</v>
      </c>
      <c r="J206">
        <f>($B$1+Table4[[#This Row],[Home Differential]])-Table4[[#This Row],[Away Differential]]</f>
        <v>1.1370201047180883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0.70184965239453567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8.8893629777259203E-2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0.76796514781800074</v>
      </c>
      <c r="H207" t="s">
        <v>17</v>
      </c>
      <c r="I207">
        <f>VLOOKUP(Table4[[#This Row],[Visitor]],'NHL Model'!$A$6:$B$38,2,FALSE)</f>
        <v>7.1049614431123245E-2</v>
      </c>
      <c r="J207">
        <f>($B$1+Table4[[#This Row],[Home Differential]])-Table4[[#This Row],[Away Differential]]</f>
        <v>0.77113318729170799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0.12305481528742884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1.584470710005189E-2</v>
      </c>
      <c r="H208" t="s">
        <v>40</v>
      </c>
      <c r="I208">
        <f>VLOOKUP(Table4[[#This Row],[Visitor]],'NHL Model'!$A$6:$B$38,2,FALSE)</f>
        <v>-0.10659687498124908</v>
      </c>
      <c r="J208">
        <f>($B$1+Table4[[#This Row],[Home Differential]])-Table4[[#This Row],[Away Differential]]</f>
        <v>0.1966592359861315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0.56121068097299243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0.19253606649218502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0.59379638322319717</v>
      </c>
      <c r="H209" t="s">
        <v>29</v>
      </c>
      <c r="I209">
        <f>VLOOKUP(Table4[[#This Row],[Visitor]],'NHL Model'!$A$6:$B$38,2,FALSE)</f>
        <v>-0.3202921716073342</v>
      </c>
      <c r="J209">
        <f>($B$1+Table4[[#This Row],[Home Differential]])-Table4[[#This Row],[Away Differential]]</f>
        <v>0.98830620873536179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0.10964211098480456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0.10902894471156278</v>
      </c>
      <c r="H210" t="s">
        <v>27</v>
      </c>
      <c r="I210">
        <f>VLOOKUP(Table4[[#This Row],[Visitor]],'NHL Model'!$A$6:$B$38,2,FALSE)</f>
        <v>0.17784181108472058</v>
      </c>
      <c r="J210">
        <f>($B$1+Table4[[#This Row],[Home Differential]])-Table4[[#This Row],[Away Differential]]</f>
        <v>5.4047875316727279E-3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0.28440165178664184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0.16690670582810133</v>
      </c>
      <c r="H211" t="s">
        <v>21</v>
      </c>
      <c r="I211">
        <f>VLOOKUP(Table4[[#This Row],[Visitor]],'NHL Model'!$A$6:$B$38,2,FALSE)</f>
        <v>3.9572996236628868E-2</v>
      </c>
      <c r="J211">
        <f>($B$1+Table4[[#This Row],[Home Differential]])-Table4[[#This Row],[Away Differential]]</f>
        <v>0.20155136349630298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0.31835978170222362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-6.2506340836952119E-3</v>
      </c>
      <c r="H212" t="s">
        <v>25</v>
      </c>
      <c r="I212">
        <f>VLOOKUP(Table4[[#This Row],[Visitor]],'NHL Model'!$A$6:$B$38,2,FALSE)</f>
        <v>0.45392063308446812</v>
      </c>
      <c r="J212">
        <f>($B$1+Table4[[#This Row],[Home Differential]])-Table4[[#This Row],[Away Differential]]</f>
        <v>-0.38595361326333277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0.19445401179555341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0.14556378660539449</v>
      </c>
      <c r="H213" t="s">
        <v>26</v>
      </c>
      <c r="I213">
        <f>VLOOKUP(Table4[[#This Row],[Visitor]],'NHL Model'!$A$6:$B$38,2,FALSE)</f>
        <v>-8.5361594338821137E-2</v>
      </c>
      <c r="J213">
        <f>($B$1+Table4[[#This Row],[Home Differential]])-Table4[[#This Row],[Away Differential]]</f>
        <v>0.30514303484904615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0.5521419698202511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0.20057681519648488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-0.21926170023436534</v>
      </c>
      <c r="H214" t="s">
        <v>28</v>
      </c>
      <c r="I214">
        <f>VLOOKUP(Table4[[#This Row],[Visitor]],'NHL Model'!$A$6:$B$38,2,FALSE)</f>
        <v>-0.19727709229606127</v>
      </c>
      <c r="J214">
        <f>($B$1+Table4[[#This Row],[Home Differential]])-Table4[[#This Row],[Away Differential]]</f>
        <v>5.2233045966526448E-2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0.58422568750196091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0.17286827893321707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-0.2855111111085496</v>
      </c>
      <c r="H215" t="s">
        <v>33</v>
      </c>
      <c r="I215">
        <f>VLOOKUP(Table4[[#This Row],[Visitor]],'NHL Model'!$A$6:$B$38,2,FALSE)</f>
        <v>-0.17930549805059143</v>
      </c>
      <c r="J215">
        <f>($B$1+Table4[[#This Row],[Home Differential]])-Table4[[#This Row],[Away Differential]]</f>
        <v>-3.1987959153127632E-2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0.28011637961674363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-7.3686276472912369E-4</v>
      </c>
      <c r="H216" t="s">
        <v>55</v>
      </c>
      <c r="I216">
        <f>VLOOKUP(Table4[[#This Row],[Visitor]],'NHL Model'!$A$6:$B$38,2,FALSE)</f>
        <v>0.3142836898216293</v>
      </c>
      <c r="J216">
        <f>($B$1+Table4[[#This Row],[Home Differential]])-Table4[[#This Row],[Away Differential]]</f>
        <v>-0.24080289868152788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0.46686636419562644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0.21796420201724331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-0.48278309788469043</v>
      </c>
      <c r="H217" t="s">
        <v>10</v>
      </c>
      <c r="I217">
        <f>VLOOKUP(Table4[[#This Row],[Visitor]],'NHL Model'!$A$6:$B$38,2,FALSE)</f>
        <v>-0.39984103039900787</v>
      </c>
      <c r="J217">
        <f>($B$1+Table4[[#This Row],[Home Differential]])-Table4[[#This Row],[Away Differential]]</f>
        <v>-8.7244135808520196E-3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0.46094097158575836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0.29058463611490609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0.45610704431993199</v>
      </c>
      <c r="H218" t="s">
        <v>35</v>
      </c>
      <c r="I218">
        <f>VLOOKUP(Table4[[#This Row],[Visitor]],'NHL Model'!$A$6:$B$38,2,FALSE)</f>
        <v>-0.96065798985911643</v>
      </c>
      <c r="J218">
        <f>($B$1+Table4[[#This Row],[Home Differential]])-Table4[[#This Row],[Away Differential]]</f>
        <v>1.490982688083879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0.71482655131433315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8.1323895835276661E-2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3.9572996236628868E-2</v>
      </c>
      <c r="H219" t="s">
        <v>36</v>
      </c>
      <c r="I219">
        <f>VLOOKUP(Table4[[#This Row],[Visitor]],'NHL Model'!$A$6:$B$38,2,FALSE)</f>
        <v>9.4361646617848058E-2</v>
      </c>
      <c r="J219">
        <f>($B$1+Table4[[#This Row],[Home Differential]])-Table4[[#This Row],[Away Differential]]</f>
        <v>1.9429003523611335E-2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0.21582635488310206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0.18511137883580026</v>
      </c>
      <c r="H220" t="s">
        <v>35</v>
      </c>
      <c r="I220">
        <f>VLOOKUP(Table4[[#This Row],[Visitor]],'NHL Model'!$A$6:$B$38,2,FALSE)</f>
        <v>-0.96065798985911643</v>
      </c>
      <c r="J220">
        <f>($B$1+Table4[[#This Row],[Home Differential]])-Table4[[#This Row],[Away Differential]]</f>
        <v>1.2199870225997471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0.71017378716333235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0.50434680797391007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0.45392063308446812</v>
      </c>
      <c r="H221" t="s">
        <v>34</v>
      </c>
      <c r="I221">
        <f>VLOOKUP(Table4[[#This Row],[Visitor]],'NHL Model'!$A$6:$B$38,2,FALSE)</f>
        <v>0.59379638322319717</v>
      </c>
      <c r="J221">
        <f>($B$1+Table4[[#This Row],[Home Differential]])-Table4[[#This Row],[Away Differential]]</f>
        <v>-6.5658096233898511E-2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0.49034515198707612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0.24043836807722879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0.76796514781800074</v>
      </c>
      <c r="H222" t="s">
        <v>31</v>
      </c>
      <c r="I222">
        <f>VLOOKUP(Table4[[#This Row],[Visitor]],'NHL Model'!$A$6:$B$38,2,FALSE)</f>
        <v>-6.6593655044643821E-4</v>
      </c>
      <c r="J222">
        <f>($B$1+Table4[[#This Row],[Home Differential]])-Table4[[#This Row],[Away Differential]]</f>
        <v>0.84284873827327766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0.65694318255416018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0.43157434510438863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1.584470710005189E-2</v>
      </c>
      <c r="H223" t="s">
        <v>11</v>
      </c>
      <c r="I223">
        <f>VLOOKUP(Table4[[#This Row],[Visitor]],'NHL Model'!$A$6:$B$38,2,FALSE)</f>
        <v>0.19285186127150866</v>
      </c>
      <c r="J223">
        <f>($B$1+Table4[[#This Row],[Home Differential]])-Table4[[#This Row],[Away Differential]]</f>
        <v>-0.10278950026662625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0.507980771006038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0.24208292169981283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-6.1952588060713437E-2</v>
      </c>
      <c r="H224" t="s">
        <v>18</v>
      </c>
      <c r="I224">
        <f>VLOOKUP(Table4[[#This Row],[Visitor]],'NHL Model'!$A$6:$B$38,2,FALSE)</f>
        <v>0.10902894471156278</v>
      </c>
      <c r="J224">
        <f>($B$1+Table4[[#This Row],[Home Differential]])-Table4[[#This Row],[Away Differential]]</f>
        <v>-9.6763878867445696E-2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0.28810298558154007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-0.3202921716073342</v>
      </c>
      <c r="H225" t="s">
        <v>27</v>
      </c>
      <c r="I225">
        <f>VLOOKUP(Table4[[#This Row],[Visitor]],'NHL Model'!$A$6:$B$38,2,FALSE)</f>
        <v>0.17784181108472058</v>
      </c>
      <c r="J225">
        <f>($B$1+Table4[[#This Row],[Home Differential]])-Table4[[#This Row],[Away Differential]]</f>
        <v>-0.42391632878722424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0.51301121327512178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0.23715807839576891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3.9336367625328564E-2</v>
      </c>
      <c r="H226" t="s">
        <v>22</v>
      </c>
      <c r="I226">
        <f>VLOOKUP(Table4[[#This Row],[Visitor]],'NHL Model'!$A$6:$B$38,2,FALSE)</f>
        <v>0.45610704431993199</v>
      </c>
      <c r="J226">
        <f>($B$1+Table4[[#This Row],[Home Differential]])-Table4[[#This Row],[Away Differential]]</f>
        <v>-0.3425530227897729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0.24695538124512459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0.14556378660539449</v>
      </c>
      <c r="H227" t="s">
        <v>37</v>
      </c>
      <c r="I227">
        <f>VLOOKUP(Table4[[#This Row],[Visitor]],'NHL Model'!$A$6:$B$38,2,FALSE)</f>
        <v>0.79636680320115127</v>
      </c>
      <c r="J227">
        <f>($B$1+Table4[[#This Row],[Home Differential]])-Table4[[#This Row],[Away Differential]]</f>
        <v>-0.57658536269092631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0.60840609897805598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0.15334578331758408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-0.21926170023436534</v>
      </c>
      <c r="H228" t="s">
        <v>10</v>
      </c>
      <c r="I228">
        <f>VLOOKUP(Table4[[#This Row],[Visitor]],'NHL Model'!$A$6:$B$38,2,FALSE)</f>
        <v>-0.39984103039900787</v>
      </c>
      <c r="J228">
        <f>($B$1+Table4[[#This Row],[Home Differential]])-Table4[[#This Row],[Away Differential]]</f>
        <v>0.25479698406947304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0.60607322009401055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0.36732474811512295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-8.5361594338821137E-2</v>
      </c>
      <c r="H229" t="s">
        <v>15</v>
      </c>
      <c r="I229">
        <f>VLOOKUP(Table4[[#This Row],[Visitor]],'NHL Model'!$A$6:$B$38,2,FALSE)</f>
        <v>-6.2506340836952119E-3</v>
      </c>
      <c r="J229">
        <f>($B$1+Table4[[#This Row],[Home Differential]])-Table4[[#This Row],[Away Differential]]</f>
        <v>-4.8933063502954004E-3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0.47878863709863012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0.27166128481750357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0.16690670582810133</v>
      </c>
      <c r="H230" t="s">
        <v>34</v>
      </c>
      <c r="I230">
        <f>VLOOKUP(Table4[[#This Row],[Visitor]],'NHL Model'!$A$6:$B$38,2,FALSE)</f>
        <v>0.59379638322319717</v>
      </c>
      <c r="J230">
        <f>($B$1+Table4[[#This Row],[Home Differential]])-Table4[[#This Row],[Away Differential]]</f>
        <v>-0.35267202349026533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0.55293105645727259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0.19987064028041041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-0.17930549805059143</v>
      </c>
      <c r="H231" t="s">
        <v>40</v>
      </c>
      <c r="I231">
        <f>VLOOKUP(Table4[[#This Row],[Visitor]],'NHL Model'!$A$6:$B$38,2,FALSE)</f>
        <v>-0.10659687498124908</v>
      </c>
      <c r="J231">
        <f>($B$1+Table4[[#This Row],[Home Differential]])-Table4[[#This Row],[Away Differential]]</f>
        <v>1.5090308354881732E-3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0.21145029049710709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0.45392063308446812</v>
      </c>
      <c r="H232" t="s">
        <v>23</v>
      </c>
      <c r="I232">
        <f>VLOOKUP(Table4[[#This Row],[Visitor]],'NHL Model'!$A$6:$B$38,2,FALSE)</f>
        <v>0.18511137883580026</v>
      </c>
      <c r="J232">
        <f>($B$1+Table4[[#This Row],[Home Differential]])-Table4[[#This Row],[Away Differential]]</f>
        <v>0.3430269081534984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0.15155814003620735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7.1049614431123245E-2</v>
      </c>
      <c r="H233" t="s">
        <v>12</v>
      </c>
      <c r="I233">
        <f>VLOOKUP(Table4[[#This Row],[Visitor]],'NHL Model'!$A$6:$B$38,2,FALSE)</f>
        <v>1.8591692540144091</v>
      </c>
      <c r="J233">
        <f>($B$1+Table4[[#This Row],[Home Differential]])-Table4[[#This Row],[Away Differential]]</f>
        <v>-1.7139019856784554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8.4219807890254988E-2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0.10902894471156278</v>
      </c>
      <c r="H234" t="s">
        <v>55</v>
      </c>
      <c r="I234">
        <f>VLOOKUP(Table4[[#This Row],[Visitor]],'NHL Model'!$A$6:$B$38,2,FALSE)</f>
        <v>0.3142836898216293</v>
      </c>
      <c r="J234">
        <f>($B$1+Table4[[#This Row],[Home Differential]])-Table4[[#This Row],[Away Differential]]</f>
        <v>-0.13103709120523599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0.47413300485607079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0.22480210629384687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-6.1952588060713437E-2</v>
      </c>
      <c r="H235" t="s">
        <v>14</v>
      </c>
      <c r="I235">
        <f>VLOOKUP(Table4[[#This Row],[Visitor]],'NHL Model'!$A$6:$B$38,2,FALSE)</f>
        <v>3.9336367625328564E-2</v>
      </c>
      <c r="J235">
        <f>($B$1+Table4[[#This Row],[Home Differential]])-Table4[[#This Row],[Away Differential]]</f>
        <v>-2.7071301781211476E-2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0.22109696895544514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-0.3202921716073342</v>
      </c>
      <c r="H236" t="s">
        <v>39</v>
      </c>
      <c r="I236">
        <f>VLOOKUP(Table4[[#This Row],[Visitor]],'NHL Model'!$A$6:$B$38,2,FALSE)</f>
        <v>0.76796514781800074</v>
      </c>
      <c r="J236">
        <f>($B$1+Table4[[#This Row],[Home Differential]])-Table4[[#This Row],[Away Differential]]</f>
        <v>-1.0140396655205044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0.12711400465600553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-6.2506340836952119E-3</v>
      </c>
      <c r="H237" t="s">
        <v>30</v>
      </c>
      <c r="I237">
        <f>VLOOKUP(Table4[[#This Row],[Visitor]],'NHL Model'!$A$6:$B$38,2,FALSE)</f>
        <v>0.16690670582810133</v>
      </c>
      <c r="J237">
        <f>($B$1+Table4[[#This Row],[Home Differential]])-Table4[[#This Row],[Away Differential]]</f>
        <v>-9.893968600696601E-2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0.24576354627145894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0.17784181108472058</v>
      </c>
      <c r="H238" t="s">
        <v>36</v>
      </c>
      <c r="I238">
        <f>VLOOKUP(Table4[[#This Row],[Visitor]],'NHL Model'!$A$6:$B$38,2,FALSE)</f>
        <v>9.4361646617848058E-2</v>
      </c>
      <c r="J238">
        <f>($B$1+Table4[[#This Row],[Home Differential]])-Table4[[#This Row],[Away Differential]]</f>
        <v>0.15769781837170305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0.29248413212913199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-0.17930549805059143</v>
      </c>
      <c r="H239" t="s">
        <v>11</v>
      </c>
      <c r="I239">
        <f>VLOOKUP(Table4[[#This Row],[Visitor]],'NHL Model'!$A$6:$B$38,2,FALSE)</f>
        <v>0.19285186127150866</v>
      </c>
      <c r="J239">
        <f>($B$1+Table4[[#This Row],[Home Differential]])-Table4[[#This Row],[Away Differential]]</f>
        <v>-0.29793970541726955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0.52902869546536124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0.27987136062578194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-0.96065798985911643</v>
      </c>
      <c r="H240" t="s">
        <v>32</v>
      </c>
      <c r="I240">
        <f>VLOOKUP(Table4[[#This Row],[Visitor]],'NHL Model'!$A$6:$B$38,2,FALSE)</f>
        <v>-0.2855111111085496</v>
      </c>
      <c r="J240">
        <f>($B$1+Table4[[#This Row],[Home Differential]])-Table4[[#This Row],[Away Differential]]</f>
        <v>-0.6009292248457363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0.22580247710192589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0.79636680320115127</v>
      </c>
      <c r="H241" t="s">
        <v>22</v>
      </c>
      <c r="I241">
        <f>VLOOKUP(Table4[[#This Row],[Visitor]],'NHL Model'!$A$6:$B$38,2,FALSE)</f>
        <v>0.45610704431993199</v>
      </c>
      <c r="J241">
        <f>($B$1+Table4[[#This Row],[Home Differential]])-Table4[[#This Row],[Away Differential]]</f>
        <v>0.41447741278604977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0.58925791485355405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0.16870906051045026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-7.3686276472912369E-4</v>
      </c>
      <c r="H242" t="s">
        <v>21</v>
      </c>
      <c r="I242">
        <f>VLOOKUP(Table4[[#This Row],[Visitor]],'NHL Model'!$A$6:$B$38,2,FALSE)</f>
        <v>3.9572996236628868E-2</v>
      </c>
      <c r="J242">
        <f>($B$1+Table4[[#This Row],[Home Differential]])-Table4[[#This Row],[Away Differential]]</f>
        <v>3.3907794903472538E-2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0.56276255636985262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0.31670169485193156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-0.48278309788469043</v>
      </c>
      <c r="H243" t="s">
        <v>28</v>
      </c>
      <c r="I243">
        <f>VLOOKUP(Table4[[#This Row],[Visitor]],'NHL Model'!$A$6:$B$38,2,FALSE)</f>
        <v>-0.19727709229606127</v>
      </c>
      <c r="J243">
        <f>($B$1+Table4[[#This Row],[Home Differential]])-Table4[[#This Row],[Away Differential]]</f>
        <v>-0.21128835168379861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0.48278850417780794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0.23308473976624527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0.14556378660539449</v>
      </c>
      <c r="H244" t="s">
        <v>31</v>
      </c>
      <c r="I244">
        <f>VLOOKUP(Table4[[#This Row],[Visitor]],'NHL Model'!$A$6:$B$38,2,FALSE)</f>
        <v>-6.6593655044643821E-4</v>
      </c>
      <c r="J244">
        <f>($B$1+Table4[[#This Row],[Home Differential]])-Table4[[#This Row],[Away Differential]]</f>
        <v>0.22044737706067147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0.56377635081678346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0.31784377374028888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-6.6593655044643821E-4</v>
      </c>
      <c r="H245" t="s">
        <v>40</v>
      </c>
      <c r="I245">
        <f>VLOOKUP(Table4[[#This Row],[Visitor]],'NHL Model'!$A$6:$B$38,2,FALSE)</f>
        <v>-0.10659687498124908</v>
      </c>
      <c r="J245">
        <f>($B$1+Table4[[#This Row],[Home Differential]])-Table4[[#This Row],[Away Differential]]</f>
        <v>0.18014859233563316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0.171837059721371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0.76796514781800074</v>
      </c>
      <c r="H246" t="s">
        <v>32</v>
      </c>
      <c r="I246">
        <f>VLOOKUP(Table4[[#This Row],[Visitor]],'NHL Model'!$A$6:$B$38,2,FALSE)</f>
        <v>-0.2855111111085496</v>
      </c>
      <c r="J246">
        <f>($B$1+Table4[[#This Row],[Home Differential]])-Table4[[#This Row],[Away Differential]]</f>
        <v>1.1276939128313808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9.7553053828654562E-2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-8.5361594338821137E-2</v>
      </c>
      <c r="H247" t="s">
        <v>10</v>
      </c>
      <c r="I247">
        <f>VLOOKUP(Table4[[#This Row],[Visitor]],'NHL Model'!$A$6:$B$38,2,FALSE)</f>
        <v>-0.39984103039900787</v>
      </c>
      <c r="J247">
        <f>($B$1+Table4[[#This Row],[Home Differential]])-Table4[[#This Row],[Away Differential]]</f>
        <v>0.38869708996501728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0.62235410025741633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0.38732462610721824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0.59379638322319717</v>
      </c>
      <c r="H248" t="s">
        <v>16</v>
      </c>
      <c r="I248">
        <f>VLOOKUP(Table4[[#This Row],[Visitor]],'NHL Model'!$A$6:$B$38,2,FALSE)</f>
        <v>-0.21926170023436534</v>
      </c>
      <c r="J248">
        <f>($B$1+Table4[[#This Row],[Home Differential]])-Table4[[#This Row],[Away Differential]]</f>
        <v>0.88727573736239296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0.11697709383145818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9.4361646617848058E-2</v>
      </c>
      <c r="H249" t="s">
        <v>55</v>
      </c>
      <c r="I249">
        <f>VLOOKUP(Table4[[#This Row],[Visitor]],'NHL Model'!$A$6:$B$38,2,FALSE)</f>
        <v>0.3142836898216293</v>
      </c>
      <c r="J249">
        <f>($B$1+Table4[[#This Row],[Home Differential]])-Table4[[#This Row],[Away Differential]]</f>
        <v>-0.14570438929895072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0.47571494622303262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0.22630471005998282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3.9336367625328564E-2</v>
      </c>
      <c r="H250" t="s">
        <v>13</v>
      </c>
      <c r="I250">
        <f>VLOOKUP(Table4[[#This Row],[Visitor]],'NHL Model'!$A$6:$B$38,2,FALSE)</f>
        <v>1.584470710005189E-2</v>
      </c>
      <c r="J250">
        <f>($B$1+Table4[[#This Row],[Home Differential]])-Table4[[#This Row],[Away Differential]]</f>
        <v>9.7709314430107191E-2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0.51814810640422415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0.26847746017028318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-7.3686276472912369E-4</v>
      </c>
      <c r="H251" t="s">
        <v>25</v>
      </c>
      <c r="I251">
        <f>VLOOKUP(Table4[[#This Row],[Visitor]],'NHL Model'!$A$6:$B$38,2,FALSE)</f>
        <v>0.45392063308446812</v>
      </c>
      <c r="J251">
        <f>($B$1+Table4[[#This Row],[Home Differential]])-Table4[[#This Row],[Away Differential]]</f>
        <v>-0.3804398419443667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0.21238682877443443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-0.48278309788469043</v>
      </c>
      <c r="H252" t="s">
        <v>12</v>
      </c>
      <c r="I252">
        <f>VLOOKUP(Table4[[#This Row],[Visitor]],'NHL Model'!$A$6:$B$38,2,FALSE)</f>
        <v>1.8591692540144091</v>
      </c>
      <c r="J252">
        <f>($B$1+Table4[[#This Row],[Home Differential]])-Table4[[#This Row],[Away Differential]]</f>
        <v>-2.267734697994269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0.79080500258885289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4.3762546941849848E-2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7.1049614431123245E-2</v>
      </c>
      <c r="H253" t="s">
        <v>28</v>
      </c>
      <c r="I253">
        <f>VLOOKUP(Table4[[#This Row],[Visitor]],'NHL Model'!$A$6:$B$38,2,FALSE)</f>
        <v>-0.19727709229606127</v>
      </c>
      <c r="J253">
        <f>($B$1+Table4[[#This Row],[Home Differential]])-Table4[[#This Row],[Away Differential]]</f>
        <v>0.34254436063201504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0.59811234823991344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0.16151368463723662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-6.1952588060713437E-2</v>
      </c>
      <c r="H254" t="s">
        <v>30</v>
      </c>
      <c r="I254">
        <f>VLOOKUP(Table4[[#This Row],[Visitor]],'NHL Model'!$A$6:$B$38,2,FALSE)</f>
        <v>0.16690670582810133</v>
      </c>
      <c r="J254">
        <f>($B$1+Table4[[#This Row],[Home Differential]])-Table4[[#This Row],[Away Differential]]</f>
        <v>-0.15464163998398422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0.23984302562361362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-6.2506340836952119E-3</v>
      </c>
      <c r="H255" t="s">
        <v>29</v>
      </c>
      <c r="I255">
        <f>VLOOKUP(Table4[[#This Row],[Visitor]],'NHL Model'!$A$6:$B$38,2,FALSE)</f>
        <v>-0.3202921716073342</v>
      </c>
      <c r="J255">
        <f>($B$1+Table4[[#This Row],[Home Differential]])-Table4[[#This Row],[Away Differential]]</f>
        <v>0.38825919142846954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0.5818756932667124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0.17482793588119239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0.14556378660539449</v>
      </c>
      <c r="H256" t="s">
        <v>11</v>
      </c>
      <c r="I256">
        <f>VLOOKUP(Table4[[#This Row],[Visitor]],'NHL Model'!$A$6:$B$38,2,FALSE)</f>
        <v>0.19285186127150866</v>
      </c>
      <c r="J256">
        <f>($B$1+Table4[[#This Row],[Home Differential]])-Table4[[#This Row],[Away Differential]]</f>
        <v>2.6929579238716361E-2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0.50601007970433554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0.25604620076238799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3.9572996236628868E-2</v>
      </c>
      <c r="H257" t="s">
        <v>19</v>
      </c>
      <c r="I257">
        <f>VLOOKUP(Table4[[#This Row],[Visitor]],'NHL Model'!$A$6:$B$38,2,FALSE)</f>
        <v>-7.3686276472912369E-4</v>
      </c>
      <c r="J257">
        <f>($B$1+Table4[[#This Row],[Home Differential]])-Table4[[#This Row],[Away Differential]]</f>
        <v>0.11452751290618851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0.18803585728715244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0.45392063308446812</v>
      </c>
      <c r="H258" t="s">
        <v>22</v>
      </c>
      <c r="I258">
        <f>VLOOKUP(Table4[[#This Row],[Visitor]],'NHL Model'!$A$6:$B$38,2,FALSE)</f>
        <v>0.45610704431993199</v>
      </c>
      <c r="J258">
        <f>($B$1+Table4[[#This Row],[Home Differential]])-Table4[[#This Row],[Away Differential]]</f>
        <v>7.2031242669366669E-2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0.58146707585324064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0.33810396030131828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1.8591692540144091</v>
      </c>
      <c r="H259" t="s">
        <v>31</v>
      </c>
      <c r="I259">
        <f>VLOOKUP(Table4[[#This Row],[Visitor]],'NHL Model'!$A$6:$B$38,2,FALSE)</f>
        <v>-6.6593655044643821E-4</v>
      </c>
      <c r="J259">
        <f>($B$1+Table4[[#This Row],[Home Differential]])-Table4[[#This Row],[Away Differential]]</f>
        <v>1.9340528444696861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1.714844702036258E-2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0.59379638322319717</v>
      </c>
      <c r="H260" t="s">
        <v>33</v>
      </c>
      <c r="I260">
        <f>VLOOKUP(Table4[[#This Row],[Visitor]],'NHL Model'!$A$6:$B$38,2,FALSE)</f>
        <v>-0.17930549805059143</v>
      </c>
      <c r="J260">
        <f>($B$1+Table4[[#This Row],[Home Differential]])-Table4[[#This Row],[Away Differential]]</f>
        <v>0.84731953517861913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0.41788961792337331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0.10902894471156278</v>
      </c>
      <c r="H261" t="s">
        <v>13</v>
      </c>
      <c r="I261">
        <f>VLOOKUP(Table4[[#This Row],[Visitor]],'NHL Model'!$A$6:$B$38,2,FALSE)</f>
        <v>1.584470710005189E-2</v>
      </c>
      <c r="J261">
        <f>($B$1+Table4[[#This Row],[Home Differential]])-Table4[[#This Row],[Away Differential]]</f>
        <v>0.16740189151634141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0.5256647989783072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0.2763234808849041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9.4361646617848058E-2</v>
      </c>
      <c r="H262" t="s">
        <v>39</v>
      </c>
      <c r="I262">
        <f>VLOOKUP(Table4[[#This Row],[Visitor]],'NHL Model'!$A$6:$B$38,2,FALSE)</f>
        <v>0.76796514781800074</v>
      </c>
      <c r="J262">
        <f>($B$1+Table4[[#This Row],[Home Differential]])-Table4[[#This Row],[Away Differential]]</f>
        <v>-0.59938584729532218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0.59874700425074967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0.16100396659774791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-0.2855111111085496</v>
      </c>
      <c r="H263" t="s">
        <v>28</v>
      </c>
      <c r="I263">
        <f>VLOOKUP(Table4[[#This Row],[Visitor]],'NHL Model'!$A$6:$B$38,2,FALSE)</f>
        <v>-0.19727709229606127</v>
      </c>
      <c r="J263">
        <f>($B$1+Table4[[#This Row],[Home Differential]])-Table4[[#This Row],[Away Differential]]</f>
        <v>-1.4016364907657786E-2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0.46151173497123898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0.28996961157368517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-0.96065798985911643</v>
      </c>
      <c r="H264" t="s">
        <v>16</v>
      </c>
      <c r="I264">
        <f>VLOOKUP(Table4[[#This Row],[Visitor]],'NHL Model'!$A$6:$B$38,2,FALSE)</f>
        <v>-0.21926170023436534</v>
      </c>
      <c r="J264">
        <f>($B$1+Table4[[#This Row],[Home Differential]])-Table4[[#This Row],[Away Differential]]</f>
        <v>-0.66717863571992064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0.53195854861985481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0.28297989744974245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-0.48278309788469043</v>
      </c>
      <c r="H265" t="s">
        <v>40</v>
      </c>
      <c r="I265">
        <f>VLOOKUP(Table4[[#This Row],[Visitor]],'NHL Model'!$A$6:$B$38,2,FALSE)</f>
        <v>-0.10659687498124908</v>
      </c>
      <c r="J265">
        <f>($B$1+Table4[[#This Row],[Home Differential]])-Table4[[#This Row],[Away Differential]]</f>
        <v>-0.3019685689986108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0.25748640386704374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-0.39984103039900787</v>
      </c>
      <c r="H266" t="s">
        <v>24</v>
      </c>
      <c r="I266">
        <f>VLOOKUP(Table4[[#This Row],[Visitor]],'NHL Model'!$A$6:$B$38,2,FALSE)</f>
        <v>-6.1952588060713437E-2</v>
      </c>
      <c r="J266">
        <f>($B$1+Table4[[#This Row],[Home Differential]])-Table4[[#This Row],[Away Differential]]</f>
        <v>-0.26367078843346392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0.52082854289165204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0.22960528530733734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0.17784181108472058</v>
      </c>
      <c r="H267" t="s">
        <v>17</v>
      </c>
      <c r="I267">
        <f>VLOOKUP(Table4[[#This Row],[Visitor]],'NHL Model'!$A$6:$B$38,2,FALSE)</f>
        <v>7.1049614431123245E-2</v>
      </c>
      <c r="J267">
        <f>($B$1+Table4[[#This Row],[Home Differential]])-Table4[[#This Row],[Away Differential]]</f>
        <v>0.18100985055842789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0.56407727202678359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0.31818316881717801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0.79636680320115127</v>
      </c>
      <c r="H268" t="s">
        <v>15</v>
      </c>
      <c r="I268">
        <f>VLOOKUP(Table4[[#This Row],[Visitor]],'NHL Model'!$A$6:$B$38,2,FALSE)</f>
        <v>-6.2506340836952119E-3</v>
      </c>
      <c r="J268">
        <f>($B$1+Table4[[#This Row],[Home Differential]])-Table4[[#This Row],[Away Differential]]</f>
        <v>0.87683509118967695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0.3362436064332312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0.3142836898216293</v>
      </c>
      <c r="H269" t="s">
        <v>23</v>
      </c>
      <c r="I269">
        <f>VLOOKUP(Table4[[#This Row],[Visitor]],'NHL Model'!$A$6:$B$38,2,FALSE)</f>
        <v>0.18511137883580026</v>
      </c>
      <c r="J269">
        <f>($B$1+Table4[[#This Row],[Home Differential]])-Table4[[#This Row],[Away Differential]]</f>
        <v>0.20338996489065958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0.56193662370735609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0.19189952164891053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-0.19727709229606127</v>
      </c>
      <c r="H270" t="s">
        <v>17</v>
      </c>
      <c r="I270">
        <f>VLOOKUP(Table4[[#This Row],[Visitor]],'NHL Model'!$A$6:$B$38,2,FALSE)</f>
        <v>7.1049614431123245E-2</v>
      </c>
      <c r="J270">
        <f>($B$1+Table4[[#This Row],[Home Differential]])-Table4[[#This Row],[Away Differential]]</f>
        <v>-0.19410905282235399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0.48093563097984898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0.23129908114598546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-0.21926170023436534</v>
      </c>
      <c r="H271" t="s">
        <v>33</v>
      </c>
      <c r="I271">
        <f>VLOOKUP(Table4[[#This Row],[Visitor]],'NHL Model'!$A$6:$B$38,2,FALSE)</f>
        <v>-0.17930549805059143</v>
      </c>
      <c r="J271">
        <f>($B$1+Table4[[#This Row],[Home Differential]])-Table4[[#This Row],[Away Differential]]</f>
        <v>3.4261451721056602E-2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0.18051975121490035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1.8591692540144091</v>
      </c>
      <c r="H272" t="s">
        <v>23</v>
      </c>
      <c r="I272">
        <f>VLOOKUP(Table4[[#This Row],[Visitor]],'NHL Model'!$A$6:$B$38,2,FALSE)</f>
        <v>0.18511137883580026</v>
      </c>
      <c r="J272">
        <f>($B$1+Table4[[#This Row],[Home Differential]])-Table4[[#This Row],[Away Differential]]</f>
        <v>1.7482755290834393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0.8490109094231183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2.2797705473233787E-2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-8.5361594338821137E-2</v>
      </c>
      <c r="H273" t="s">
        <v>31</v>
      </c>
      <c r="I273">
        <f>VLOOKUP(Table4[[#This Row],[Visitor]],'NHL Model'!$A$6:$B$38,2,FALSE)</f>
        <v>-6.6593655044643821E-4</v>
      </c>
      <c r="J273">
        <f>($B$1+Table4[[#This Row],[Home Differential]])-Table4[[#This Row],[Away Differential]]</f>
        <v>-1.0478003883544175E-2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0.42069892761351058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0.17698758769515782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0.19285186127150866</v>
      </c>
      <c r="H274" t="s">
        <v>22</v>
      </c>
      <c r="I274">
        <f>VLOOKUP(Table4[[#This Row],[Visitor]],'NHL Model'!$A$6:$B$38,2,FALSE)</f>
        <v>0.45610704431993199</v>
      </c>
      <c r="J274">
        <f>($B$1+Table4[[#This Row],[Home Differential]])-Table4[[#This Row],[Away Differential]]</f>
        <v>-0.18903752914359279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0.23003846271020154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0.10902894471156278</v>
      </c>
      <c r="H275" t="s">
        <v>39</v>
      </c>
      <c r="I275">
        <f>VLOOKUP(Table4[[#This Row],[Visitor]],'NHL Model'!$A$6:$B$38,2,FALSE)</f>
        <v>0.76796514781800074</v>
      </c>
      <c r="J275">
        <f>($B$1+Table4[[#This Row],[Home Differential]])-Table4[[#This Row],[Away Differential]]</f>
        <v>-0.58471854920160737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0.5971650628837879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0.16227598656142256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9.4361646617848058E-2</v>
      </c>
      <c r="H276" t="s">
        <v>21</v>
      </c>
      <c r="I276">
        <f>VLOOKUP(Table4[[#This Row],[Visitor]],'NHL Model'!$A$6:$B$38,2,FALSE)</f>
        <v>3.9572996236628868E-2</v>
      </c>
      <c r="J276">
        <f>($B$1+Table4[[#This Row],[Home Differential]])-Table4[[#This Row],[Away Differential]]</f>
        <v>0.1290063042860497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0.19899274228695138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-0.2855111111085496</v>
      </c>
      <c r="H277" t="s">
        <v>40</v>
      </c>
      <c r="I277">
        <f>VLOOKUP(Table4[[#This Row],[Visitor]],'NHL Model'!$A$6:$B$38,2,FALSE)</f>
        <v>-0.10659687498124908</v>
      </c>
      <c r="J277">
        <f>($B$1+Table4[[#This Row],[Home Differential]])-Table4[[#This Row],[Away Differential]]</f>
        <v>-0.10469658222246998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0.47129204938353408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0.22211619581213152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-7.3686276472912369E-4</v>
      </c>
      <c r="H278" t="s">
        <v>13</v>
      </c>
      <c r="I278">
        <f>VLOOKUP(Table4[[#This Row],[Visitor]],'NHL Model'!$A$6:$B$38,2,FALSE)</f>
        <v>1.584470710005189E-2</v>
      </c>
      <c r="J278">
        <f>($B$1+Table4[[#This Row],[Home Differential]])-Table4[[#This Row],[Away Differential]]</f>
        <v>5.7636084040049516E-2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0.53309806000335935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0.28419354157934534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0.14556378660539449</v>
      </c>
      <c r="H279" t="s">
        <v>30</v>
      </c>
      <c r="I279">
        <f>VLOOKUP(Table4[[#This Row],[Visitor]],'NHL Model'!$A$6:$B$38,2,FALSE)</f>
        <v>0.16690670582810133</v>
      </c>
      <c r="J279">
        <f>($B$1+Table4[[#This Row],[Home Differential]])-Table4[[#This Row],[Away Differential]]</f>
        <v>5.2874734682123697E-2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0.51211938866339513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0.26226626824496957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0.45392063308446812</v>
      </c>
      <c r="H280" t="s">
        <v>38</v>
      </c>
      <c r="I280">
        <f>VLOOKUP(Table4[[#This Row],[Visitor]],'NHL Model'!$A$6:$B$38,2,FALSE)</f>
        <v>-0.48278309788469043</v>
      </c>
      <c r="J280">
        <f>($B$1+Table4[[#This Row],[Home Differential]])-Table4[[#This Row],[Away Differential]]</f>
        <v>1.0109213848739891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0.64063143422543989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0.12914576606686434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-0.3202921716073342</v>
      </c>
      <c r="H281" t="s">
        <v>14</v>
      </c>
      <c r="I281">
        <f>VLOOKUP(Table4[[#This Row],[Visitor]],'NHL Model'!$A$6:$B$38,2,FALSE)</f>
        <v>3.9336367625328564E-2</v>
      </c>
      <c r="J281">
        <f>($B$1+Table4[[#This Row],[Home Differential]])-Table4[[#This Row],[Away Differential]]</f>
        <v>-0.28541088532783221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0.49807270932177999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0.24807642377113834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-0.96065798985911643</v>
      </c>
      <c r="H282" t="s">
        <v>27</v>
      </c>
      <c r="I282">
        <f>VLOOKUP(Table4[[#This Row],[Visitor]],'NHL Model'!$A$6:$B$38,2,FALSE)</f>
        <v>0.17784181108472058</v>
      </c>
      <c r="J282">
        <f>($B$1+Table4[[#This Row],[Home Differential]])-Table4[[#This Row],[Away Differential]]</f>
        <v>-1.0642821470390065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0.58207786559296981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0.17465891042732781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0.3142836898216293</v>
      </c>
      <c r="H283" t="s">
        <v>30</v>
      </c>
      <c r="I283">
        <f>VLOOKUP(Table4[[#This Row],[Visitor]],'NHL Model'!$A$6:$B$38,2,FALSE)</f>
        <v>0.16690670582810133</v>
      </c>
      <c r="J283">
        <f>($B$1+Table4[[#This Row],[Home Differential]])-Table4[[#This Row],[Away Differential]]</f>
        <v>0.22159463789835851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0.5303166730318043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0.28123577369552161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0.45392063308446812</v>
      </c>
      <c r="H284" t="s">
        <v>17</v>
      </c>
      <c r="I284">
        <f>VLOOKUP(Table4[[#This Row],[Visitor]],'NHL Model'!$A$6:$B$38,2,FALSE)</f>
        <v>7.1049614431123245E-2</v>
      </c>
      <c r="J284">
        <f>($B$1+Table4[[#This Row],[Home Differential]])-Table4[[#This Row],[Away Differential]]</f>
        <v>0.45708867255817542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0.62299744314414118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0.38812581416413744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-0.19727709229606127</v>
      </c>
      <c r="H285" t="s">
        <v>15</v>
      </c>
      <c r="I285">
        <f>VLOOKUP(Table4[[#This Row],[Visitor]],'NHL Model'!$A$6:$B$38,2,FALSE)</f>
        <v>-6.2506340836952119E-3</v>
      </c>
      <c r="J285">
        <f>($B$1+Table4[[#This Row],[Home Differential]])-Table4[[#This Row],[Away Differential]]</f>
        <v>-0.11680880430753554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0.21913048587180933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-0.21926170023436534</v>
      </c>
      <c r="H286" t="s">
        <v>40</v>
      </c>
      <c r="I286">
        <f>VLOOKUP(Table4[[#This Row],[Visitor]],'NHL Model'!$A$6:$B$38,2,FALSE)</f>
        <v>-0.10659687498124908</v>
      </c>
      <c r="J286">
        <f>($B$1+Table4[[#This Row],[Home Differential]])-Table4[[#This Row],[Away Differential]]</f>
        <v>-3.844717134828575E-2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0.32998748666412536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-0.39984103039900787</v>
      </c>
      <c r="H287" t="s">
        <v>19</v>
      </c>
      <c r="I287">
        <f>VLOOKUP(Table4[[#This Row],[Visitor]],'NHL Model'!$A$6:$B$38,2,FALSE)</f>
        <v>-7.3686276472912369E-4</v>
      </c>
      <c r="J287">
        <f>($B$1+Table4[[#This Row],[Home Differential]])-Table4[[#This Row],[Away Differential]]</f>
        <v>-0.32488651372944821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0.49504063341133392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0.2450652287282947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0.76796514781800074</v>
      </c>
      <c r="H288" t="s">
        <v>27</v>
      </c>
      <c r="I288">
        <f>VLOOKUP(Table4[[#This Row],[Visitor]],'NHL Model'!$A$6:$B$38,2,FALSE)</f>
        <v>0.17784181108472058</v>
      </c>
      <c r="J288">
        <f>($B$1+Table4[[#This Row],[Home Differential]])-Table4[[#This Row],[Away Differential]]</f>
        <v>0.66434099063811058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0.63047602383465773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0.13654796896104443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-8.5361594338821137E-2</v>
      </c>
      <c r="H289" t="s">
        <v>23</v>
      </c>
      <c r="I289">
        <f>VLOOKUP(Table4[[#This Row],[Visitor]],'NHL Model'!$A$6:$B$38,2,FALSE)</f>
        <v>0.18511137883580026</v>
      </c>
      <c r="J289">
        <f>($B$1+Table4[[#This Row],[Home Differential]])-Table4[[#This Row],[Away Differential]]</f>
        <v>-0.19625531926979087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0.44073593909134701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0.31277628982403755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0.19285186127150866</v>
      </c>
      <c r="H290" t="s">
        <v>37</v>
      </c>
      <c r="I290">
        <f>VLOOKUP(Table4[[#This Row],[Visitor]],'NHL Model'!$A$6:$B$38,2,FALSE)</f>
        <v>0.79636680320115127</v>
      </c>
      <c r="J290">
        <f>($B$1+Table4[[#This Row],[Home Differential]])-Table4[[#This Row],[Away Differential]]</f>
        <v>-0.52929728802481213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0.15797293969218301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0.59379638322319717</v>
      </c>
      <c r="H291" t="s">
        <v>31</v>
      </c>
      <c r="I291">
        <f>VLOOKUP(Table4[[#This Row],[Visitor]],'NHL Model'!$A$6:$B$38,2,FALSE)</f>
        <v>-6.6593655044643821E-4</v>
      </c>
      <c r="J291">
        <f>($B$1+Table4[[#This Row],[Home Differential]])-Table4[[#This Row],[Away Differential]]</f>
        <v>0.66867997367847409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0.13366027987975962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0.10902894471156278</v>
      </c>
      <c r="H292" t="s">
        <v>21</v>
      </c>
      <c r="I292">
        <f>VLOOKUP(Table4[[#This Row],[Visitor]],'NHL Model'!$A$6:$B$38,2,FALSE)</f>
        <v>3.9572996236628868E-2</v>
      </c>
      <c r="J292">
        <f>($B$1+Table4[[#This Row],[Home Differential]])-Table4[[#This Row],[Away Differential]]</f>
        <v>0.14367360237976445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0.30857571236983411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9.4361646617848058E-2</v>
      </c>
      <c r="H293" t="s">
        <v>13</v>
      </c>
      <c r="I293">
        <f>VLOOKUP(Table4[[#This Row],[Visitor]],'NHL Model'!$A$6:$B$38,2,FALSE)</f>
        <v>1.584470710005189E-2</v>
      </c>
      <c r="J293">
        <f>($B$1+Table4[[#This Row],[Home Differential]])-Table4[[#This Row],[Away Differential]]</f>
        <v>0.15273459342262669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0.52408285761134532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0.27466284164207366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-0.2855111111085496</v>
      </c>
      <c r="H294" t="s">
        <v>33</v>
      </c>
      <c r="I294">
        <f>VLOOKUP(Table4[[#This Row],[Visitor]],'NHL Model'!$A$6:$B$38,2,FALSE)</f>
        <v>-0.17930549805059143</v>
      </c>
      <c r="J294">
        <f>($B$1+Table4[[#This Row],[Home Differential]])-Table4[[#This Row],[Away Differential]]</f>
        <v>-3.1987959153127632E-2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0.22159594123731652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-0.96065798985911643</v>
      </c>
      <c r="H295" t="s">
        <v>20</v>
      </c>
      <c r="I295">
        <f>VLOOKUP(Table4[[#This Row],[Visitor]],'NHL Model'!$A$6:$B$38,2,FALSE)</f>
        <v>0.14556378660539449</v>
      </c>
      <c r="J295">
        <f>($B$1+Table4[[#This Row],[Home Differential]])-Table4[[#This Row],[Away Differential]]</f>
        <v>-1.0320041225596803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0.16640196484570918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0.45610704431993199</v>
      </c>
      <c r="H296" t="s">
        <v>24</v>
      </c>
      <c r="I296">
        <f>VLOOKUP(Table4[[#This Row],[Visitor]],'NHL Model'!$A$6:$B$38,2,FALSE)</f>
        <v>-6.1952588060713437E-2</v>
      </c>
      <c r="J296">
        <f>($B$1+Table4[[#This Row],[Home Differential]])-Table4[[#This Row],[Away Differential]]</f>
        <v>0.59227728628547593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0.34294984080686008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1.8591692540144091</v>
      </c>
      <c r="H297" t="s">
        <v>30</v>
      </c>
      <c r="I297">
        <f>VLOOKUP(Table4[[#This Row],[Visitor]],'NHL Model'!$A$6:$B$38,2,FALSE)</f>
        <v>0.16690670582810133</v>
      </c>
      <c r="J297">
        <f>($B$1+Table4[[#This Row],[Home Differential]])-Table4[[#This Row],[Away Differential]]</f>
        <v>1.7664802020911383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0.82015334352377167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3.2344819845678482E-2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0.59379638322319717</v>
      </c>
      <c r="H298" t="s">
        <v>20</v>
      </c>
      <c r="I298">
        <f>VLOOKUP(Table4[[#This Row],[Visitor]],'NHL Model'!$A$6:$B$38,2,FALSE)</f>
        <v>0.14556378660539449</v>
      </c>
      <c r="J298">
        <f>($B$1+Table4[[#This Row],[Home Differential]])-Table4[[#This Row],[Away Differential]]</f>
        <v>0.52245025052263316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0.59801553598128665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0.16159150931241226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-6.2506340836952119E-3</v>
      </c>
      <c r="H299" t="s">
        <v>26</v>
      </c>
      <c r="I299">
        <f>VLOOKUP(Table4[[#This Row],[Visitor]],'NHL Model'!$A$6:$B$38,2,FALSE)</f>
        <v>-8.5361594338821137E-2</v>
      </c>
      <c r="J299">
        <f>($B$1+Table4[[#This Row],[Home Differential]])-Table4[[#This Row],[Away Differential]]</f>
        <v>0.15332861415995647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0.28704737788790574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3.9336367625328564E-2</v>
      </c>
      <c r="H300" t="s">
        <v>29</v>
      </c>
      <c r="I300">
        <f>VLOOKUP(Table4[[#This Row],[Visitor]],'NHL Model'!$A$6:$B$38,2,FALSE)</f>
        <v>-0.3202921716073342</v>
      </c>
      <c r="J300">
        <f>($B$1+Table4[[#This Row],[Home Differential]])-Table4[[#This Row],[Away Differential]]</f>
        <v>0.43384619313749329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0.58679247912178178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0.17074045531032314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0.79636680320115127</v>
      </c>
      <c r="H301" t="s">
        <v>38</v>
      </c>
      <c r="I301">
        <f>VLOOKUP(Table4[[#This Row],[Visitor]],'NHL Model'!$A$6:$B$38,2,FALSE)</f>
        <v>-0.48278309788469043</v>
      </c>
      <c r="J301">
        <f>($B$1+Table4[[#This Row],[Home Differential]])-Table4[[#This Row],[Away Differential]]</f>
        <v>1.3533675549906721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0.64804214007941729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0.41995861531871109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-6.6593655044643821E-4</v>
      </c>
      <c r="H302" t="s">
        <v>55</v>
      </c>
      <c r="I302">
        <f>VLOOKUP(Table4[[#This Row],[Visitor]],'NHL Model'!$A$6:$B$38,2,FALSE)</f>
        <v>0.3142836898216293</v>
      </c>
      <c r="J302">
        <f>($B$1+Table4[[#This Row],[Home Differential]])-Table4[[#This Row],[Away Differential]]</f>
        <v>-0.2407319724672452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0.21153230253267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3.9572996236628868E-2</v>
      </c>
      <c r="H303" t="s">
        <v>25</v>
      </c>
      <c r="I303">
        <f>VLOOKUP(Table4[[#This Row],[Visitor]],'NHL Model'!$A$6:$B$38,2,FALSE)</f>
        <v>0.45392063308446812</v>
      </c>
      <c r="J303">
        <f>($B$1+Table4[[#This Row],[Home Differential]])-Table4[[#This Row],[Away Differential]]</f>
        <v>-0.34012998294300872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0.21164352599559416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0.18511137883580026</v>
      </c>
      <c r="H304" t="s">
        <v>17</v>
      </c>
      <c r="I304">
        <f>VLOOKUP(Table4[[#This Row],[Visitor]],'NHL Model'!$A$6:$B$38,2,FALSE)</f>
        <v>7.1049614431123245E-2</v>
      </c>
      <c r="J304">
        <f>($B$1+Table4[[#This Row],[Home Differential]])-Table4[[#This Row],[Away Differential]]</f>
        <v>0.18827941830950756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0.59889896835159973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0.160882037589411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-0.19727709229606127</v>
      </c>
      <c r="H305" t="s">
        <v>18</v>
      </c>
      <c r="I305">
        <f>VLOOKUP(Table4[[#This Row],[Visitor]],'NHL Model'!$A$6:$B$38,2,FALSE)</f>
        <v>0.10902894471156278</v>
      </c>
      <c r="J305">
        <f>($B$1+Table4[[#This Row],[Home Differential]])-Table4[[#This Row],[Away Differential]]</f>
        <v>-0.23208838310279353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0.55134768094242836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0.3039842652805938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0.19285186127150866</v>
      </c>
      <c r="H306" t="s">
        <v>38</v>
      </c>
      <c r="I306">
        <f>VLOOKUP(Table4[[#This Row],[Visitor]],'NHL Model'!$A$6:$B$38,2,FALSE)</f>
        <v>-0.48278309788469043</v>
      </c>
      <c r="J306">
        <f>($B$1+Table4[[#This Row],[Home Differential]])-Table4[[#This Row],[Away Differential]]</f>
        <v>0.74985261306102968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0.57913318977866968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0.17712887194587729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0.45610704431993199</v>
      </c>
      <c r="H307" t="s">
        <v>13</v>
      </c>
      <c r="I307">
        <f>VLOOKUP(Table4[[#This Row],[Visitor]],'NHL Model'!$A$6:$B$38,2,FALSE)</f>
        <v>1.584470710005189E-2</v>
      </c>
      <c r="J307">
        <f>($B$1+Table4[[#This Row],[Home Differential]])-Table4[[#This Row],[Away Differential]]</f>
        <v>0.51447999112471055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0.57722836745949946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0.17873585328096001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-0.39984103039900787</v>
      </c>
      <c r="H308" t="s">
        <v>16</v>
      </c>
      <c r="I308">
        <f>VLOOKUP(Table4[[#This Row],[Visitor]],'NHL Model'!$A$6:$B$38,2,FALSE)</f>
        <v>-0.21926170023436534</v>
      </c>
      <c r="J308">
        <f>($B$1+Table4[[#This Row],[Home Differential]])-Table4[[#This Row],[Away Differential]]</f>
        <v>-0.10636167625981199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0.22228550552619644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0.76796514781800074</v>
      </c>
      <c r="H309" t="s">
        <v>30</v>
      </c>
      <c r="I309">
        <f>VLOOKUP(Table4[[#This Row],[Visitor]],'NHL Model'!$A$6:$B$38,2,FALSE)</f>
        <v>0.16690670582810133</v>
      </c>
      <c r="J309">
        <f>($B$1+Table4[[#This Row],[Home Differential]])-Table4[[#This Row],[Away Differential]]</f>
        <v>0.67527609589472992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0.60554218052278297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0.36668133239228667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-8.5361594338821137E-2</v>
      </c>
      <c r="H310" t="s">
        <v>32</v>
      </c>
      <c r="I310">
        <f>VLOOKUP(Table4[[#This Row],[Visitor]],'NHL Model'!$A$6:$B$38,2,FALSE)</f>
        <v>-0.2855111111085496</v>
      </c>
      <c r="J310">
        <f>($B$1+Table4[[#This Row],[Home Differential]])-Table4[[#This Row],[Away Differential]]</f>
        <v>0.27436717067455896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0.61002304734969082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0.15208202359842149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-0.17930549805059143</v>
      </c>
      <c r="H311" t="s">
        <v>55</v>
      </c>
      <c r="I311">
        <f>VLOOKUP(Table4[[#This Row],[Visitor]],'NHL Model'!$A$6:$B$38,2,FALSE)</f>
        <v>0.3142836898216293</v>
      </c>
      <c r="J311">
        <f>($B$1+Table4[[#This Row],[Home Differential]])-Table4[[#This Row],[Away Differential]]</f>
        <v>-0.41937153396739019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0.25525868147981917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0.79636680320115127</v>
      </c>
      <c r="H312" t="s">
        <v>24</v>
      </c>
      <c r="I312">
        <f>VLOOKUP(Table4[[#This Row],[Visitor]],'NHL Model'!$A$6:$B$38,2,FALSE)</f>
        <v>-6.1952588060713437E-2</v>
      </c>
      <c r="J312">
        <f>($B$1+Table4[[#This Row],[Home Differential]])-Table4[[#This Row],[Away Differential]]</f>
        <v>0.93253704516669522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0.14994405207607003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-7.3686276472912369E-4</v>
      </c>
      <c r="H313" t="s">
        <v>35</v>
      </c>
      <c r="I313">
        <f>VLOOKUP(Table4[[#This Row],[Visitor]],'NHL Model'!$A$6:$B$38,2,FALSE)</f>
        <v>-0.96065798985911643</v>
      </c>
      <c r="J313">
        <f>($B$1+Table4[[#This Row],[Home Differential]])-Table4[[#This Row],[Away Differential]]</f>
        <v>1.0341387809992177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0.67064246467415711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0.10847638607591384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0.14556378660539449</v>
      </c>
      <c r="H314" t="s">
        <v>15</v>
      </c>
      <c r="I314">
        <f>VLOOKUP(Table4[[#This Row],[Visitor]],'NHL Model'!$A$6:$B$38,2,FALSE)</f>
        <v>-6.2506340836952119E-3</v>
      </c>
      <c r="J314">
        <f>($B$1+Table4[[#This Row],[Home Differential]])-Table4[[#This Row],[Away Differential]]</f>
        <v>0.22603207459392025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0.50509085451509084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0.24493506228460299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-0.10659687498124908</v>
      </c>
      <c r="H315" t="s">
        <v>28</v>
      </c>
      <c r="I315">
        <f>VLOOKUP(Table4[[#This Row],[Visitor]],'NHL Model'!$A$6:$B$38,2,FALSE)</f>
        <v>-0.19727709229606127</v>
      </c>
      <c r="J315">
        <f>($B$1+Table4[[#This Row],[Home Differential]])-Table4[[#This Row],[Away Differential]]</f>
        <v>0.16489787121964272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0.55778505912538012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0.19555405393274355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-6.6593655044643821E-4</v>
      </c>
      <c r="H316" t="s">
        <v>21</v>
      </c>
      <c r="I316">
        <f>VLOOKUP(Table4[[#This Row],[Visitor]],'NHL Model'!$A$6:$B$38,2,FALSE)</f>
        <v>3.9572996236628868E-2</v>
      </c>
      <c r="J316">
        <f>($B$1+Table4[[#This Row],[Home Differential]])-Table4[[#This Row],[Away Differential]]</f>
        <v>3.3978721117755212E-2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0.56970251065551325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0.1851559293361687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0.18511137883580026</v>
      </c>
      <c r="H317" t="s">
        <v>16</v>
      </c>
      <c r="I317">
        <f>VLOOKUP(Table4[[#This Row],[Visitor]],'NHL Model'!$A$6:$B$38,2,FALSE)</f>
        <v>-0.21926170023436534</v>
      </c>
      <c r="J317">
        <f>($B$1+Table4[[#This Row],[Home Differential]])-Table4[[#This Row],[Away Differential]]</f>
        <v>0.4785907329749961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0.63021049383039252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0.39716526653394718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0.59379638322319717</v>
      </c>
      <c r="H318" t="s">
        <v>25</v>
      </c>
      <c r="I318">
        <f>VLOOKUP(Table4[[#This Row],[Visitor]],'NHL Model'!$A$6:$B$38,2,FALSE)</f>
        <v>0.45392063308446812</v>
      </c>
      <c r="J318">
        <f>($B$1+Table4[[#This Row],[Home Differential]])-Table4[[#This Row],[Away Differential]]</f>
        <v>0.21409340404355953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0.52820351752451411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0.22259192087624147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0.45610704431993199</v>
      </c>
      <c r="H319" t="s">
        <v>17</v>
      </c>
      <c r="I319">
        <f>VLOOKUP(Table4[[#This Row],[Visitor]],'NHL Model'!$A$6:$B$38,2,FALSE)</f>
        <v>7.1049614431123245E-2</v>
      </c>
      <c r="J319">
        <f>($B$1+Table4[[#This Row],[Home Differential]])-Table4[[#This Row],[Away Differential]]</f>
        <v>0.45927508379363924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0.60355173250260041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0.15717122880168971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-6.6593655044643821E-4</v>
      </c>
      <c r="H320" t="s">
        <v>36</v>
      </c>
      <c r="I320">
        <f>VLOOKUP(Table4[[#This Row],[Visitor]],'NHL Model'!$A$6:$B$38,2,FALSE)</f>
        <v>9.4361646617848058E-2</v>
      </c>
      <c r="J320">
        <f>($B$1+Table4[[#This Row],[Home Differential]])-Table4[[#This Row],[Away Differential]]</f>
        <v>-2.0809929263463978E-2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0.45678990936835945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0.29507720256403519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-0.39984103039900787</v>
      </c>
      <c r="H321" t="s">
        <v>32</v>
      </c>
      <c r="I321">
        <f>VLOOKUP(Table4[[#This Row],[Visitor]],'NHL Model'!$A$6:$B$38,2,FALSE)</f>
        <v>-0.2855111111085496</v>
      </c>
      <c r="J321">
        <f>($B$1+Table4[[#This Row],[Home Differential]])-Table4[[#This Row],[Away Differential]]</f>
        <v>-4.0112265385627732E-2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0.4643263081946406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0.28694630409238314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1.8591692540144091</v>
      </c>
      <c r="H322" t="s">
        <v>15</v>
      </c>
      <c r="I322">
        <f>VLOOKUP(Table4[[#This Row],[Visitor]],'NHL Model'!$A$6:$B$38,2,FALSE)</f>
        <v>-6.2506340836952119E-3</v>
      </c>
      <c r="J322">
        <f>($B$1+Table4[[#This Row],[Home Differential]])-Table4[[#This Row],[Away Differential]]</f>
        <v>1.9396375420029348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0.81454084426729634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3.439509844508723E-2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-8.5361594338821137E-2</v>
      </c>
      <c r="H323" t="s">
        <v>30</v>
      </c>
      <c r="I323">
        <f>VLOOKUP(Table4[[#This Row],[Visitor]],'NHL Model'!$A$6:$B$38,2,FALSE)</f>
        <v>0.16690670582810133</v>
      </c>
      <c r="J323">
        <f>($B$1+Table4[[#This Row],[Home Differential]])-Table4[[#This Row],[Away Differential]]</f>
        <v>-0.17805064626209194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0.27891226728613638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0.19285186127150866</v>
      </c>
      <c r="H324" t="s">
        <v>24</v>
      </c>
      <c r="I324">
        <f>VLOOKUP(Table4[[#This Row],[Visitor]],'NHL Model'!$A$6:$B$38,2,FALSE)</f>
        <v>-6.1952588060713437E-2</v>
      </c>
      <c r="J324">
        <f>($B$1+Table4[[#This Row],[Home Differential]])-Table4[[#This Row],[Away Differential]]</f>
        <v>0.32902210323705261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0.5438665656663958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0.20805770991696843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0.10902894471156278</v>
      </c>
      <c r="H325" t="s">
        <v>22</v>
      </c>
      <c r="I325">
        <f>VLOOKUP(Table4[[#This Row],[Visitor]],'NHL Model'!$A$6:$B$38,2,FALSE)</f>
        <v>0.45610704431993199</v>
      </c>
      <c r="J325">
        <f>($B$1+Table4[[#This Row],[Home Differential]])-Table4[[#This Row],[Away Differential]]</f>
        <v>-0.27286044570353868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0.26068237629692687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0.17784181108472058</v>
      </c>
      <c r="H326" t="s">
        <v>35</v>
      </c>
      <c r="I326">
        <f>VLOOKUP(Table4[[#This Row],[Visitor]],'NHL Model'!$A$6:$B$38,2,FALSE)</f>
        <v>-0.96065798985911643</v>
      </c>
      <c r="J326">
        <f>($B$1+Table4[[#This Row],[Home Differential]])-Table4[[#This Row],[Away Differential]]</f>
        <v>1.2127174548486677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0.67535209083851622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0.10539626492292302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-0.17930549805059143</v>
      </c>
      <c r="H327" t="s">
        <v>13</v>
      </c>
      <c r="I327">
        <f>VLOOKUP(Table4[[#This Row],[Visitor]],'NHL Model'!$A$6:$B$38,2,FALSE)</f>
        <v>1.584470710005189E-2</v>
      </c>
      <c r="J327">
        <f>($B$1+Table4[[#This Row],[Home Differential]])-Table4[[#This Row],[Away Differential]]</f>
        <v>-0.12093255124581279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0.2554630340323284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0.79636680320115127</v>
      </c>
      <c r="H328" t="s">
        <v>17</v>
      </c>
      <c r="I328">
        <f>VLOOKUP(Table4[[#This Row],[Visitor]],'NHL Model'!$A$6:$B$38,2,FALSE)</f>
        <v>7.1049614431123245E-2</v>
      </c>
      <c r="J328">
        <f>($B$1+Table4[[#This Row],[Home Differential]])-Table4[[#This Row],[Away Differential]]</f>
        <v>0.79953484267485853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0.63078828214445448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0.13631729260184294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-7.3686276472912369E-4</v>
      </c>
      <c r="H329" t="s">
        <v>28</v>
      </c>
      <c r="I329">
        <f>VLOOKUP(Table4[[#This Row],[Visitor]],'NHL Model'!$A$6:$B$38,2,FALSE)</f>
        <v>-0.19727709229606127</v>
      </c>
      <c r="J329">
        <f>($B$1+Table4[[#This Row],[Home Differential]])-Table4[[#This Row],[Away Differential]]</f>
        <v>0.27075788343616269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0.58830802155535844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0.3461063282263801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0.3142836898216293</v>
      </c>
      <c r="H330" t="s">
        <v>20</v>
      </c>
      <c r="I330">
        <f>VLOOKUP(Table4[[#This Row],[Visitor]],'NHL Model'!$A$6:$B$38,2,FALSE)</f>
        <v>0.14556378660539449</v>
      </c>
      <c r="J330">
        <f>($B$1+Table4[[#This Row],[Home Differential]])-Table4[[#This Row],[Away Differential]]</f>
        <v>0.24293755712106535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0.29749693747474626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-0.48278309788469043</v>
      </c>
      <c r="H331" t="s">
        <v>39</v>
      </c>
      <c r="I331">
        <f>VLOOKUP(Table4[[#This Row],[Visitor]],'NHL Model'!$A$6:$B$38,2,FALSE)</f>
        <v>0.76796514781800074</v>
      </c>
      <c r="J331">
        <f>($B$1+Table4[[#This Row],[Home Differential]])-Table4[[#This Row],[Away Differential]]</f>
        <v>-1.1765305917978606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0.11492442531100934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0.18511137883580026</v>
      </c>
      <c r="H332" t="s">
        <v>10</v>
      </c>
      <c r="I332">
        <f>VLOOKUP(Table4[[#This Row],[Visitor]],'NHL Model'!$A$6:$B$38,2,FALSE)</f>
        <v>-0.39984103039900787</v>
      </c>
      <c r="J332">
        <f>($B$1+Table4[[#This Row],[Home Differential]])-Table4[[#This Row],[Away Differential]]</f>
        <v>0.65917006313963866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0.64968687663658331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0.1227192844006324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1.584470710005189E-2</v>
      </c>
      <c r="H333" t="s">
        <v>21</v>
      </c>
      <c r="I333">
        <f>VLOOKUP(Table4[[#This Row],[Visitor]],'NHL Model'!$A$6:$B$38,2,FALSE)</f>
        <v>3.9572996236628868E-2</v>
      </c>
      <c r="J333">
        <f>($B$1+Table4[[#This Row],[Home Differential]])-Table4[[#This Row],[Away Differential]]</f>
        <v>5.0489364768253539E-2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0.5454455301997817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0.29751082641492099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3.9336367625328564E-2</v>
      </c>
      <c r="H334" t="s">
        <v>34</v>
      </c>
      <c r="I334">
        <f>VLOOKUP(Table4[[#This Row],[Visitor]],'NHL Model'!$A$6:$B$38,2,FALSE)</f>
        <v>0.59379638322319717</v>
      </c>
      <c r="J334">
        <f>($B$1+Table4[[#This Row],[Home Differential]])-Table4[[#This Row],[Away Differential]]</f>
        <v>-0.48024236169303808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0.5692001124516145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0.18558854311170159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-0.10659687498124908</v>
      </c>
      <c r="H335" t="s">
        <v>25</v>
      </c>
      <c r="I335">
        <f>VLOOKUP(Table4[[#This Row],[Visitor]],'NHL Model'!$A$6:$B$38,2,FALSE)</f>
        <v>0.45392063308446812</v>
      </c>
      <c r="J335">
        <f>($B$1+Table4[[#This Row],[Home Differential]])-Table4[[#This Row],[Away Differential]]</f>
        <v>-0.48629985416088667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0.56985344327326426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0.18502606026386689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-6.6593655044643821E-4</v>
      </c>
      <c r="H336" t="s">
        <v>20</v>
      </c>
      <c r="I336">
        <f>VLOOKUP(Table4[[#This Row],[Visitor]],'NHL Model'!$A$6:$B$38,2,FALSE)</f>
        <v>0.14556378660539449</v>
      </c>
      <c r="J336">
        <f>($B$1+Table4[[#This Row],[Home Differential]])-Table4[[#This Row],[Away Differential]]</f>
        <v>-7.2012069251010405E-2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0.21373267746617067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-0.21926170023436534</v>
      </c>
      <c r="H337" t="s">
        <v>39</v>
      </c>
      <c r="I337">
        <f>VLOOKUP(Table4[[#This Row],[Visitor]],'NHL Model'!$A$6:$B$38,2,FALSE)</f>
        <v>0.76796514781800074</v>
      </c>
      <c r="J337">
        <f>($B$1+Table4[[#This Row],[Home Differential]])-Table4[[#This Row],[Away Differential]]</f>
        <v>-0.91300919414753556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0.35219783659444504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-8.5361594338821137E-2</v>
      </c>
      <c r="H338" t="s">
        <v>28</v>
      </c>
      <c r="I338">
        <f>VLOOKUP(Table4[[#This Row],[Visitor]],'NHL Model'!$A$6:$B$38,2,FALSE)</f>
        <v>-0.19727709229606127</v>
      </c>
      <c r="J338">
        <f>($B$1+Table4[[#This Row],[Home Differential]])-Table4[[#This Row],[Away Differential]]</f>
        <v>0.18613315186207066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0.15959500247850614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0.19285186127150866</v>
      </c>
      <c r="H339" t="s">
        <v>17</v>
      </c>
      <c r="I339">
        <f>VLOOKUP(Table4[[#This Row],[Visitor]],'NHL Model'!$A$6:$B$38,2,FALSE)</f>
        <v>7.1049614431123245E-2</v>
      </c>
      <c r="J339">
        <f>($B$1+Table4[[#This Row],[Home Differential]])-Table4[[#This Row],[Away Differential]]</f>
        <v>0.19601990074521597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0.56190711648856329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0.31573960756049185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0.10902894471156278</v>
      </c>
      <c r="H340" t="s">
        <v>19</v>
      </c>
      <c r="I340">
        <f>VLOOKUP(Table4[[#This Row],[Visitor]],'NHL Model'!$A$6:$B$38,2,FALSE)</f>
        <v>-7.3686276472912369E-4</v>
      </c>
      <c r="J340">
        <f>($B$1+Table4[[#This Row],[Home Differential]])-Table4[[#This Row],[Away Differential]]</f>
        <v>0.18398346138112243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0.19373771336214324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-0.3202921716073342</v>
      </c>
      <c r="H341" t="s">
        <v>12</v>
      </c>
      <c r="I341">
        <f>VLOOKUP(Table4[[#This Row],[Visitor]],'NHL Model'!$A$6:$B$38,2,FALSE)</f>
        <v>1.8591692540144091</v>
      </c>
      <c r="J341">
        <f>($B$1+Table4[[#This Row],[Home Differential]])-Table4[[#This Row],[Away Differential]]</f>
        <v>-2.1052437717169128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5.1402164942621523E-2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0.16690670582810133</v>
      </c>
      <c r="H342" t="s">
        <v>35</v>
      </c>
      <c r="I342">
        <f>VLOOKUP(Table4[[#This Row],[Visitor]],'NHL Model'!$A$6:$B$38,2,FALSE)</f>
        <v>-0.96065798985911643</v>
      </c>
      <c r="J342">
        <f>($B$1+Table4[[#This Row],[Home Differential]])-Table4[[#This Row],[Away Differential]]</f>
        <v>1.2017823495920483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0.67211370887125355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0.45173683765267214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0.17784181108472058</v>
      </c>
      <c r="H343" t="s">
        <v>24</v>
      </c>
      <c r="I343">
        <f>VLOOKUP(Table4[[#This Row],[Visitor]],'NHL Model'!$A$6:$B$38,2,FALSE)</f>
        <v>-6.1952588060713437E-2</v>
      </c>
      <c r="J343">
        <f>($B$1+Table4[[#This Row],[Home Differential]])-Table4[[#This Row],[Away Differential]]</f>
        <v>0.31401205305026458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0.54606289045710954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0.20605889942015412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3.9336367625328564E-2</v>
      </c>
      <c r="H344" t="s">
        <v>32</v>
      </c>
      <c r="I344">
        <f>VLOOKUP(Table4[[#This Row],[Visitor]],'NHL Model'!$A$6:$B$38,2,FALSE)</f>
        <v>-0.2855111111085496</v>
      </c>
      <c r="J344">
        <f>($B$1+Table4[[#This Row],[Home Differential]])-Table4[[#This Row],[Away Differential]]</f>
        <v>0.39906513263870869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0.58304116800515526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0.33993700358881568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-0.17930549805059143</v>
      </c>
      <c r="H345" t="s">
        <v>36</v>
      </c>
      <c r="I345">
        <f>VLOOKUP(Table4[[#This Row],[Visitor]],'NHL Model'!$A$6:$B$38,2,FALSE)</f>
        <v>9.4361646617848058E-2</v>
      </c>
      <c r="J345">
        <f>($B$1+Table4[[#This Row],[Home Differential]])-Table4[[#This Row],[Away Differential]]</f>
        <v>-0.19944949076360896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0.50228085465813388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0.24772434763983764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0.3142836898216293</v>
      </c>
      <c r="H346" t="s">
        <v>15</v>
      </c>
      <c r="I346">
        <f>VLOOKUP(Table4[[#This Row],[Visitor]],'NHL Model'!$A$6:$B$38,2,FALSE)</f>
        <v>-6.2506340836952119E-3</v>
      </c>
      <c r="J346">
        <f>($B$1+Table4[[#This Row],[Home Differential]])-Table4[[#This Row],[Away Differential]]</f>
        <v>0.39475197781015503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0.52328813888350001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0.22725419852915718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0.45610704431993199</v>
      </c>
      <c r="H347" t="s">
        <v>37</v>
      </c>
      <c r="I347">
        <f>VLOOKUP(Table4[[#This Row],[Visitor]],'NHL Model'!$A$6:$B$38,2,FALSE)</f>
        <v>0.79636680320115127</v>
      </c>
      <c r="J347">
        <f>($B$1+Table4[[#This Row],[Home Differential]])-Table4[[#This Row],[Away Differential]]</f>
        <v>-0.2660421049763888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0.19284594851975731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0.18511137883580026</v>
      </c>
      <c r="H348" t="s">
        <v>25</v>
      </c>
      <c r="I348">
        <f>VLOOKUP(Table4[[#This Row],[Visitor]],'NHL Model'!$A$6:$B$38,2,FALSE)</f>
        <v>0.45392063308446812</v>
      </c>
      <c r="J348">
        <f>($B$1+Table4[[#This Row],[Home Differential]])-Table4[[#This Row],[Away Differential]]</f>
        <v>-0.19459160034383732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0.49924854570572796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0.24924911038928435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-0.39984103039900787</v>
      </c>
      <c r="H349" t="s">
        <v>12</v>
      </c>
      <c r="I349">
        <f>VLOOKUP(Table4[[#This Row],[Visitor]],'NHL Model'!$A$6:$B$38,2,FALSE)</f>
        <v>1.8591692540144091</v>
      </c>
      <c r="J349">
        <f>($B$1+Table4[[#This Row],[Home Differential]])-Table4[[#This Row],[Away Differential]]</f>
        <v>-2.1847926305085865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4.758537097790401E-2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0.16690670582810133</v>
      </c>
      <c r="H350" t="s">
        <v>32</v>
      </c>
      <c r="I350">
        <f>VLOOKUP(Table4[[#This Row],[Visitor]],'NHL Model'!$A$6:$B$38,2,FALSE)</f>
        <v>-0.2855111111085496</v>
      </c>
      <c r="J350">
        <f>($B$1+Table4[[#This Row],[Home Differential]])-Table4[[#This Row],[Away Differential]]</f>
        <v>0.52663547084148143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0.59929574543677888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0.1605638996250667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-0.17930549805059143</v>
      </c>
      <c r="H351" t="s">
        <v>21</v>
      </c>
      <c r="I351">
        <f>VLOOKUP(Table4[[#This Row],[Visitor]],'NHL Model'!$A$6:$B$38,2,FALSE)</f>
        <v>3.9572996236628868E-2</v>
      </c>
      <c r="J351">
        <f>($B$1+Table4[[#This Row],[Home Differential]])-Table4[[#This Row],[Away Differential]]</f>
        <v>-0.14466084038238977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0.47560239425954159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0.22619763742540844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-0.48278309788469043</v>
      </c>
      <c r="H352" t="s">
        <v>16</v>
      </c>
      <c r="I352">
        <f>VLOOKUP(Table4[[#This Row],[Visitor]],'NHL Model'!$A$6:$B$38,2,FALSE)</f>
        <v>-0.21926170023436534</v>
      </c>
      <c r="J352">
        <f>($B$1+Table4[[#This Row],[Home Differential]])-Table4[[#This Row],[Away Differential]]</f>
        <v>-0.18930374374549455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0.2699661256170614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-0.10659687498124908</v>
      </c>
      <c r="H353" t="s">
        <v>34</v>
      </c>
      <c r="I353">
        <f>VLOOKUP(Table4[[#This Row],[Visitor]],'NHL Model'!$A$6:$B$38,2,FALSE)</f>
        <v>0.59379638322319717</v>
      </c>
      <c r="J353">
        <f>($B$1+Table4[[#This Row],[Home Differential]])-Table4[[#This Row],[Away Differential]]</f>
        <v>-0.62617560429961572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0.17227501806400461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1.584470710005189E-2</v>
      </c>
      <c r="H354" t="s">
        <v>36</v>
      </c>
      <c r="I354">
        <f>VLOOKUP(Table4[[#This Row],[Visitor]],'NHL Model'!$A$6:$B$38,2,FALSE)</f>
        <v>9.4361646617848058E-2</v>
      </c>
      <c r="J354">
        <f>($B$1+Table4[[#This Row],[Home Differential]])-Table4[[#This Row],[Away Differential]]</f>
        <v>-4.2992856129656504E-3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0.48123293019881064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0.23158513310773335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-6.1952588060713437E-2</v>
      </c>
      <c r="H355" t="s">
        <v>26</v>
      </c>
      <c r="I355">
        <f>VLOOKUP(Table4[[#This Row],[Visitor]],'NHL Model'!$A$6:$B$38,2,FALSE)</f>
        <v>-8.5361594338821137E-2</v>
      </c>
      <c r="J355">
        <f>($B$1+Table4[[#This Row],[Home Differential]])-Table4[[#This Row],[Away Differential]]</f>
        <v>9.7626660182938224E-2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0.22112538278622601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-0.3202921716073342</v>
      </c>
      <c r="H356" t="s">
        <v>11</v>
      </c>
      <c r="I356">
        <f>VLOOKUP(Table4[[#This Row],[Visitor]],'NHL Model'!$A$6:$B$38,2,FALSE)</f>
        <v>0.19285186127150866</v>
      </c>
      <c r="J356">
        <f>($B$1+Table4[[#This Row],[Home Differential]])-Table4[[#This Row],[Away Differential]]</f>
        <v>-0.43892637897401232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0.54423481247919103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0.20772190615587816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-6.2506340836952119E-3</v>
      </c>
      <c r="H357" t="s">
        <v>35</v>
      </c>
      <c r="I357">
        <f>VLOOKUP(Table4[[#This Row],[Visitor]],'NHL Model'!$A$6:$B$38,2,FALSE)</f>
        <v>-0.96065798985911643</v>
      </c>
      <c r="J357">
        <f>($B$1+Table4[[#This Row],[Home Differential]])-Table4[[#This Row],[Away Differential]]</f>
        <v>1.0286250096802518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0.65094234558456054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0.12184124610600836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0.79636680320115127</v>
      </c>
      <c r="H358" t="s">
        <v>27</v>
      </c>
      <c r="I358">
        <f>VLOOKUP(Table4[[#This Row],[Visitor]],'NHL Model'!$A$6:$B$38,2,FALSE)</f>
        <v>0.17784181108472058</v>
      </c>
      <c r="J358">
        <f>($B$1+Table4[[#This Row],[Home Differential]])-Table4[[#This Row],[Away Differential]]</f>
        <v>0.69274264602126112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0.61199081909810815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0.15055112446415703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0.3142836898216293</v>
      </c>
      <c r="H359" t="s">
        <v>20</v>
      </c>
      <c r="I359">
        <f>VLOOKUP(Table4[[#This Row],[Visitor]],'NHL Model'!$A$6:$B$38,2,FALSE)</f>
        <v>0.14556378660539449</v>
      </c>
      <c r="J359">
        <f>($B$1+Table4[[#This Row],[Home Differential]])-Table4[[#This Row],[Away Differential]]</f>
        <v>0.24293755712106535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0.20663134085021936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0.45610704431993199</v>
      </c>
      <c r="H360" t="s">
        <v>28</v>
      </c>
      <c r="I360">
        <f>VLOOKUP(Table4[[#This Row],[Visitor]],'NHL Model'!$A$6:$B$38,2,FALSE)</f>
        <v>-0.19727709229606127</v>
      </c>
      <c r="J360">
        <f>($B$1+Table4[[#This Row],[Home Differential]])-Table4[[#This Row],[Away Differential]]</f>
        <v>0.72760179052082374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0.13506205053856282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7.1049614431123245E-2</v>
      </c>
      <c r="H361" t="s">
        <v>39</v>
      </c>
      <c r="I361">
        <f>VLOOKUP(Table4[[#This Row],[Visitor]],'NHL Model'!$A$6:$B$38,2,FALSE)</f>
        <v>0.76796514781800074</v>
      </c>
      <c r="J361">
        <f>($B$1+Table4[[#This Row],[Home Differential]])-Table4[[#This Row],[Away Differential]]</f>
        <v>-0.62269787948204702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0.57992209774654757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0.17646544396166114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-6.6593655044643821E-4</v>
      </c>
      <c r="H362" t="s">
        <v>38</v>
      </c>
      <c r="I362">
        <f>VLOOKUP(Table4[[#This Row],[Visitor]],'NHL Model'!$A$6:$B$38,2,FALSE)</f>
        <v>-0.48278309788469043</v>
      </c>
      <c r="J362">
        <f>($B$1+Table4[[#This Row],[Home Differential]])-Table4[[#This Row],[Away Differential]]</f>
        <v>0.55633481523907446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0.34083763378895193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0.45392063308446812</v>
      </c>
      <c r="H363" t="s">
        <v>15</v>
      </c>
      <c r="I363">
        <f>VLOOKUP(Table4[[#This Row],[Visitor]],'NHL Model'!$A$6:$B$38,2,FALSE)</f>
        <v>-6.2506340836952119E-3</v>
      </c>
      <c r="J363">
        <f>($B$1+Table4[[#This Row],[Home Differential]])-Table4[[#This Row],[Away Differential]]</f>
        <v>0.53438892107299385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0.32774250982252795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-0.19727709229606127</v>
      </c>
      <c r="H364" t="s">
        <v>19</v>
      </c>
      <c r="I364">
        <f>VLOOKUP(Table4[[#This Row],[Visitor]],'NHL Model'!$A$6:$B$38,2,FALSE)</f>
        <v>-7.3686276472912369E-4</v>
      </c>
      <c r="J364">
        <f>($B$1+Table4[[#This Row],[Home Differential]])-Table4[[#This Row],[Away Differential]]</f>
        <v>-0.12232257562650163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0.27752550902440071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-0.39984103039900787</v>
      </c>
      <c r="H365" t="s">
        <v>34</v>
      </c>
      <c r="I365">
        <f>VLOOKUP(Table4[[#This Row],[Visitor]],'NHL Model'!$A$6:$B$38,2,FALSE)</f>
        <v>0.59379638322319717</v>
      </c>
      <c r="J365">
        <f>($B$1+Table4[[#This Row],[Home Differential]])-Table4[[#This Row],[Away Differential]]</f>
        <v>-0.91941975971737455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0.14702041407259414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1.8591692540144091</v>
      </c>
      <c r="H366" t="s">
        <v>33</v>
      </c>
      <c r="I366">
        <f>VLOOKUP(Table4[[#This Row],[Visitor]],'NHL Model'!$A$6:$B$38,2,FALSE)</f>
        <v>-0.17930549805059143</v>
      </c>
      <c r="J366">
        <f>($B$1+Table4[[#This Row],[Home Differential]])-Table4[[#This Row],[Away Differential]]</f>
        <v>2.1126924059698311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1.3992386088452704E-2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-8.5361594338821137E-2</v>
      </c>
      <c r="H367" t="s">
        <v>29</v>
      </c>
      <c r="I367">
        <f>VLOOKUP(Table4[[#This Row],[Visitor]],'NHL Model'!$A$6:$B$38,2,FALSE)</f>
        <v>-0.3202921716073342</v>
      </c>
      <c r="J367">
        <f>($B$1+Table4[[#This Row],[Home Differential]])-Table4[[#This Row],[Away Differential]]</f>
        <v>0.30914823117334356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0.61377435846631734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0.37671896311073944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0.19285186127150866</v>
      </c>
      <c r="H368" t="s">
        <v>27</v>
      </c>
      <c r="I368">
        <f>VLOOKUP(Table4[[#This Row],[Visitor]],'NHL Model'!$A$6:$B$38,2,FALSE)</f>
        <v>0.17784181108472058</v>
      </c>
      <c r="J368">
        <f>($B$1+Table4[[#This Row],[Home Differential]])-Table4[[#This Row],[Away Differential]]</f>
        <v>8.922770409161862E-2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0.29495866950181771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-6.1952588060713437E-2</v>
      </c>
      <c r="H369" t="s">
        <v>35</v>
      </c>
      <c r="I369">
        <f>VLOOKUP(Table4[[#This Row],[Visitor]],'NHL Model'!$A$6:$B$38,2,FALSE)</f>
        <v>-0.96065798985911643</v>
      </c>
      <c r="J369">
        <f>($B$1+Table4[[#This Row],[Home Differential]])-Table4[[#This Row],[Away Differential]]</f>
        <v>0.97292305570323356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0.64493461160016652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0.12607143003952462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0.16690670582810133</v>
      </c>
      <c r="H370" t="s">
        <v>21</v>
      </c>
      <c r="I370">
        <f>VLOOKUP(Table4[[#This Row],[Visitor]],'NHL Model'!$A$6:$B$38,2,FALSE)</f>
        <v>3.9572996236628868E-2</v>
      </c>
      <c r="J370">
        <f>($B$1+Table4[[#This Row],[Home Differential]])-Table4[[#This Row],[Away Differential]]</f>
        <v>0.20155136349630298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0.31835978170222362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3.9336367625328564E-2</v>
      </c>
      <c r="H371" t="s">
        <v>23</v>
      </c>
      <c r="I371">
        <f>VLOOKUP(Table4[[#This Row],[Visitor]],'NHL Model'!$A$6:$B$38,2,FALSE)</f>
        <v>0.18511137883580026</v>
      </c>
      <c r="J371">
        <f>($B$1+Table4[[#This Row],[Home Differential]])-Table4[[#This Row],[Away Differential]]</f>
        <v>-7.1557357305641167E-2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0.2187599576824214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-0.2855111111085496</v>
      </c>
      <c r="H372" t="s">
        <v>39</v>
      </c>
      <c r="I372">
        <f>VLOOKUP(Table4[[#This Row],[Visitor]],'NHL Model'!$A$6:$B$38,2,FALSE)</f>
        <v>0.76796514781800074</v>
      </c>
      <c r="J372">
        <f>($B$1+Table4[[#This Row],[Home Differential]])-Table4[[#This Row],[Away Differential]]</f>
        <v>-0.9792586050217198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0.63971817874994108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0.1298029907232594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0.79636680320115127</v>
      </c>
      <c r="H373" t="s">
        <v>16</v>
      </c>
      <c r="I373">
        <f>VLOOKUP(Table4[[#This Row],[Visitor]],'NHL Model'!$A$6:$B$38,2,FALSE)</f>
        <v>-0.21926170023436534</v>
      </c>
      <c r="J373">
        <f>($B$1+Table4[[#This Row],[Home Differential]])-Table4[[#This Row],[Away Differential]]</f>
        <v>1.0898461573403471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0.66209980762324727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0.11417654000824651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0.3142836898216293</v>
      </c>
      <c r="H374" t="s">
        <v>18</v>
      </c>
      <c r="I374">
        <f>VLOOKUP(Table4[[#This Row],[Visitor]],'NHL Model'!$A$6:$B$38,2,FALSE)</f>
        <v>0.10902894471156278</v>
      </c>
      <c r="J374">
        <f>($B$1+Table4[[#This Row],[Home Differential]])-Table4[[#This Row],[Away Differential]]</f>
        <v>0.27947239901489707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0.50382670480855662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0.25384134847824846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0.14556378660539449</v>
      </c>
      <c r="H375" t="s">
        <v>36</v>
      </c>
      <c r="I375">
        <f>VLOOKUP(Table4[[#This Row],[Visitor]],'NHL Model'!$A$6:$B$38,2,FALSE)</f>
        <v>9.4361646617848058E-2</v>
      </c>
      <c r="J375">
        <f>($B$1+Table4[[#This Row],[Home Differential]])-Table4[[#This Row],[Away Differential]]</f>
        <v>0.12541979389237695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0.53275792051156279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0.28383100186780463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0.45610704431993199</v>
      </c>
      <c r="H376" t="s">
        <v>40</v>
      </c>
      <c r="I376">
        <f>VLOOKUP(Table4[[#This Row],[Visitor]],'NHL Model'!$A$6:$B$38,2,FALSE)</f>
        <v>-0.10659687498124908</v>
      </c>
      <c r="J376">
        <f>($B$1+Table4[[#This Row],[Home Differential]])-Table4[[#This Row],[Away Differential]]</f>
        <v>0.6369215732060115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0.62271179378323938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0.14234639055026088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-6.6593655044643821E-4</v>
      </c>
      <c r="H377" t="s">
        <v>13</v>
      </c>
      <c r="I377">
        <f>VLOOKUP(Table4[[#This Row],[Visitor]],'NHL Model'!$A$6:$B$38,2,FALSE)</f>
        <v>1.584470710005189E-2</v>
      </c>
      <c r="J377">
        <f>($B$1+Table4[[#This Row],[Home Differential]])-Table4[[#This Row],[Away Differential]]</f>
        <v>5.770701025433219E-2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0.21148750410377606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3.9572996236628868E-2</v>
      </c>
      <c r="H378" t="s">
        <v>15</v>
      </c>
      <c r="I378">
        <f>VLOOKUP(Table4[[#This Row],[Visitor]],'NHL Model'!$A$6:$B$38,2,FALSE)</f>
        <v>-6.2506340836952119E-3</v>
      </c>
      <c r="J378">
        <f>($B$1+Table4[[#This Row],[Home Differential]])-Table4[[#This Row],[Away Differential]]</f>
        <v>0.1200412842251546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0.25785313467056159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0.18511137883580026</v>
      </c>
      <c r="H379" t="s">
        <v>24</v>
      </c>
      <c r="I379">
        <f>VLOOKUP(Table4[[#This Row],[Visitor]],'NHL Model'!$A$6:$B$38,2,FALSE)</f>
        <v>-6.1952588060713437E-2</v>
      </c>
      <c r="J379">
        <f>($B$1+Table4[[#This Row],[Home Differential]])-Table4[[#This Row],[Away Differential]]</f>
        <v>0.32128162080134426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0.5812895717362232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0.3378975662092818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0.45392063308446812</v>
      </c>
      <c r="H380" t="s">
        <v>40</v>
      </c>
      <c r="I380">
        <f>VLOOKUP(Table4[[#This Row],[Visitor]],'NHL Model'!$A$6:$B$38,2,FALSE)</f>
        <v>-0.10659687498124908</v>
      </c>
      <c r="J380">
        <f>($B$1+Table4[[#This Row],[Home Differential]])-Table4[[#This Row],[Away Differential]]</f>
        <v>0.63473516197054769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0.64215750442478003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0.12805125163950132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-0.19727709229606127</v>
      </c>
      <c r="H381" t="s">
        <v>14</v>
      </c>
      <c r="I381">
        <f>VLOOKUP(Table4[[#This Row],[Visitor]],'NHL Model'!$A$6:$B$38,2,FALSE)</f>
        <v>3.9336367625328564E-2</v>
      </c>
      <c r="J381">
        <f>($B$1+Table4[[#This Row],[Home Differential]])-Table4[[#This Row],[Away Differential]]</f>
        <v>-0.16239580601655931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0.26542597198032924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-0.39984103039900787</v>
      </c>
      <c r="H382" t="s">
        <v>29</v>
      </c>
      <c r="I382">
        <f>VLOOKUP(Table4[[#This Row],[Visitor]],'NHL Model'!$A$6:$B$38,2,FALSE)</f>
        <v>-0.3202921716073342</v>
      </c>
      <c r="J382">
        <f>($B$1+Table4[[#This Row],[Home Differential]])-Table4[[#This Row],[Away Differential]]</f>
        <v>-5.3312048868431328E-3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0.29097933377738466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0.76796514781800074</v>
      </c>
      <c r="H383" t="s">
        <v>55</v>
      </c>
      <c r="I383">
        <f>VLOOKUP(Table4[[#This Row],[Visitor]],'NHL Model'!$A$6:$B$38,2,FALSE)</f>
        <v>0.3142836898216293</v>
      </c>
      <c r="J383">
        <f>($B$1+Table4[[#This Row],[Home Differential]])-Table4[[#This Row],[Away Differential]]</f>
        <v>0.52789911190120198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0.1421483844310294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-8.5361594338821137E-2</v>
      </c>
      <c r="H384" t="s">
        <v>37</v>
      </c>
      <c r="I384">
        <f>VLOOKUP(Table4[[#This Row],[Visitor]],'NHL Model'!$A$6:$B$38,2,FALSE)</f>
        <v>0.79636680320115127</v>
      </c>
      <c r="J384">
        <f>($B$1+Table4[[#This Row],[Home Differential]])-Table4[[#This Row],[Away Differential]]</f>
        <v>-0.80751074363514186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0.16614230818161002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0.19285186127150866</v>
      </c>
      <c r="H385" t="s">
        <v>16</v>
      </c>
      <c r="I385">
        <f>VLOOKUP(Table4[[#This Row],[Visitor]],'NHL Model'!$A$6:$B$38,2,FALSE)</f>
        <v>-0.21926170023436534</v>
      </c>
      <c r="J385">
        <f>($B$1+Table4[[#This Row],[Home Differential]])-Table4[[#This Row],[Away Differential]]</f>
        <v>0.48633121541070456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0.59321864196735619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0.35190835717759433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0.59379638322319717</v>
      </c>
      <c r="H386" t="s">
        <v>12</v>
      </c>
      <c r="I386">
        <f>VLOOKUP(Table4[[#This Row],[Visitor]],'NHL Model'!$A$6:$B$38,2,FALSE)</f>
        <v>1.8591692540144091</v>
      </c>
      <c r="J386">
        <f>($B$1+Table4[[#This Row],[Home Differential]])-Table4[[#This Row],[Away Differential]]</f>
        <v>-1.1911552168863815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0.42547123890181154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0.16690670582810133</v>
      </c>
      <c r="H387" t="s">
        <v>27</v>
      </c>
      <c r="I387">
        <f>VLOOKUP(Table4[[#This Row],[Visitor]],'NHL Model'!$A$6:$B$38,2,FALSE)</f>
        <v>0.17784181108472058</v>
      </c>
      <c r="J387">
        <f>($B$1+Table4[[#This Row],[Home Differential]])-Table4[[#This Row],[Away Differential]]</f>
        <v>6.3282548648211256E-2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0.29380368288648701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-0.17930549805059143</v>
      </c>
      <c r="H388" t="s">
        <v>38</v>
      </c>
      <c r="I388">
        <f>VLOOKUP(Table4[[#This Row],[Visitor]],'NHL Model'!$A$6:$B$38,2,FALSE)</f>
        <v>-0.48278309788469043</v>
      </c>
      <c r="J388">
        <f>($B$1+Table4[[#This Row],[Home Differential]])-Table4[[#This Row],[Away Differential]]</f>
        <v>0.37769525373892954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0.21323729859662119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-0.96065798985911643</v>
      </c>
      <c r="H389" t="s">
        <v>36</v>
      </c>
      <c r="I389">
        <f>VLOOKUP(Table4[[#This Row],[Visitor]],'NHL Model'!$A$6:$B$38,2,FALSE)</f>
        <v>9.4361646617848058E-2</v>
      </c>
      <c r="J389">
        <f>($B$1+Table4[[#This Row],[Home Differential]])-Table4[[#This Row],[Away Differential]]</f>
        <v>-0.98080198257213402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0.58655362398981181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0.34404515381558154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0.14556378660539449</v>
      </c>
      <c r="H390" t="s">
        <v>18</v>
      </c>
      <c r="I390">
        <f>VLOOKUP(Table4[[#This Row],[Visitor]],'NHL Model'!$A$6:$B$38,2,FALSE)</f>
        <v>0.10902894471156278</v>
      </c>
      <c r="J390">
        <f>($B$1+Table4[[#This Row],[Home Differential]])-Table4[[#This Row],[Away Differential]]</f>
        <v>0.11075249579866224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0.48562942044014745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0.23583593399703351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0.45610704431993199</v>
      </c>
      <c r="H391" t="s">
        <v>19</v>
      </c>
      <c r="I391">
        <f>VLOOKUP(Table4[[#This Row],[Visitor]],'NHL Model'!$A$6:$B$38,2,FALSE)</f>
        <v>-7.3686276472912369E-4</v>
      </c>
      <c r="J391">
        <f>($B$1+Table4[[#This Row],[Home Differential]])-Table4[[#This Row],[Away Differential]]</f>
        <v>0.53106156098949164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0.15109215023857248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3.9572996236628868E-2</v>
      </c>
      <c r="H392" t="s">
        <v>26</v>
      </c>
      <c r="I392">
        <f>VLOOKUP(Table4[[#This Row],[Visitor]],'NHL Model'!$A$6:$B$38,2,FALSE)</f>
        <v>-8.5361594338821137E-2</v>
      </c>
      <c r="J392">
        <f>($B$1+Table4[[#This Row],[Home Differential]])-Table4[[#This Row],[Away Differential]]</f>
        <v>0.19915224448028052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0.19819155603134783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1.8591692540144091</v>
      </c>
      <c r="H393" t="s">
        <v>18</v>
      </c>
      <c r="I393">
        <f>VLOOKUP(Table4[[#This Row],[Visitor]],'NHL Model'!$A$6:$B$38,2,FALSE)</f>
        <v>0.10902894471156278</v>
      </c>
      <c r="J393">
        <f>($B$1+Table4[[#This Row],[Home Differential]])-Table4[[#This Row],[Away Differential]]</f>
        <v>1.8243579632076767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0.79535766884311732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4.1878483701323237E-2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1.584470710005189E-2</v>
      </c>
      <c r="H394" t="s">
        <v>38</v>
      </c>
      <c r="I394">
        <f>VLOOKUP(Table4[[#This Row],[Visitor]],'NHL Model'!$A$6:$B$38,2,FALSE)</f>
        <v>-0.48278309788469043</v>
      </c>
      <c r="J394">
        <f>($B$1+Table4[[#This Row],[Home Differential]])-Table4[[#This Row],[Away Differential]]</f>
        <v>0.57284545888957283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0.1942414507612357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0.59379638322319717</v>
      </c>
      <c r="H395" t="s">
        <v>23</v>
      </c>
      <c r="I395">
        <f>VLOOKUP(Table4[[#This Row],[Visitor]],'NHL Model'!$A$6:$B$38,2,FALSE)</f>
        <v>0.18511137883580026</v>
      </c>
      <c r="J395">
        <f>($B$1+Table4[[#This Row],[Home Differential]])-Table4[[#This Row],[Away Differential]]</f>
        <v>0.48290265829222739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0.61436720096470332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0.37744705762120417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-6.1952588060713437E-2</v>
      </c>
      <c r="H396" t="s">
        <v>27</v>
      </c>
      <c r="I396">
        <f>VLOOKUP(Table4[[#This Row],[Visitor]],'NHL Model'!$A$6:$B$38,2,FALSE)</f>
        <v>0.17784181108472058</v>
      </c>
      <c r="J396">
        <f>($B$1+Table4[[#This Row],[Home Differential]])-Table4[[#This Row],[Away Differential]]</f>
        <v>-0.16557674524060351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0.26507258323655186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-0.3202921716073342</v>
      </c>
      <c r="H397" t="s">
        <v>40</v>
      </c>
      <c r="I397">
        <f>VLOOKUP(Table4[[#This Row],[Visitor]],'NHL Model'!$A$6:$B$38,2,FALSE)</f>
        <v>-0.10659687498124908</v>
      </c>
      <c r="J397">
        <f>($B$1+Table4[[#This Row],[Home Differential]])-Table4[[#This Row],[Away Differential]]</f>
        <v>-0.13947764272125457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0.47504336050016066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0.27557947335496424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-6.2506340836952119E-3</v>
      </c>
      <c r="H398" t="s">
        <v>37</v>
      </c>
      <c r="I398">
        <f>VLOOKUP(Table4[[#This Row],[Visitor]],'NHL Model'!$A$6:$B$38,2,FALSE)</f>
        <v>0.79636680320115127</v>
      </c>
      <c r="J398">
        <f>($B$1+Table4[[#This Row],[Home Differential]])-Table4[[#This Row],[Away Differential]]</f>
        <v>-0.72839978338001599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0.62478004260795506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0.14079001642528802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3.9336367625328564E-2</v>
      </c>
      <c r="H399" t="s">
        <v>19</v>
      </c>
      <c r="I399">
        <f>VLOOKUP(Table4[[#This Row],[Visitor]],'NHL Model'!$A$6:$B$38,2,FALSE)</f>
        <v>-7.3686276472912369E-4</v>
      </c>
      <c r="J399">
        <f>($B$1+Table4[[#This Row],[Home Differential]])-Table4[[#This Row],[Away Differential]]</f>
        <v>0.11429088429488821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0.55232684278846189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0.30506494126467032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-0.2855111111085496</v>
      </c>
      <c r="H400" t="s">
        <v>17</v>
      </c>
      <c r="I400">
        <f>VLOOKUP(Table4[[#This Row],[Visitor]],'NHL Model'!$A$6:$B$38,2,FALSE)</f>
        <v>7.1049614431123245E-2</v>
      </c>
      <c r="J400">
        <f>($B$1+Table4[[#This Row],[Home Differential]])-Table4[[#This Row],[Away Differential]]</f>
        <v>-0.28234307163484229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0.25963905152659628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-0.96065798985911643</v>
      </c>
      <c r="H401" t="s">
        <v>55</v>
      </c>
      <c r="I401">
        <f>VLOOKUP(Table4[[#This Row],[Visitor]],'NHL Model'!$A$6:$B$38,2,FALSE)</f>
        <v>0.3142836898216293</v>
      </c>
      <c r="J401">
        <f>($B$1+Table4[[#This Row],[Home Differential]])-Table4[[#This Row],[Away Differential]]</f>
        <v>-1.2007240257759153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0.34751506523742814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0.14556378660539449</v>
      </c>
      <c r="H402" t="s">
        <v>33</v>
      </c>
      <c r="I402">
        <f>VLOOKUP(Table4[[#This Row],[Visitor]],'NHL Model'!$A$6:$B$38,2,FALSE)</f>
        <v>-0.17930549805059143</v>
      </c>
      <c r="J402">
        <f>($B$1+Table4[[#This Row],[Home Differential]])-Table4[[#This Row],[Away Differential]]</f>
        <v>0.39908693856081645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0.17998483799670539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0.45392063308446812</v>
      </c>
      <c r="H403" t="s">
        <v>16</v>
      </c>
      <c r="I403">
        <f>VLOOKUP(Table4[[#This Row],[Visitor]],'NHL Model'!$A$6:$B$38,2,FALSE)</f>
        <v>-0.21926170023436534</v>
      </c>
      <c r="J403">
        <f>($B$1+Table4[[#This Row],[Home Differential]])-Table4[[#This Row],[Away Differential]]</f>
        <v>0.74739998722366396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0.65430896862293397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0.11950228917453964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-0.39984103039900787</v>
      </c>
      <c r="H404" t="s">
        <v>31</v>
      </c>
      <c r="I404">
        <f>VLOOKUP(Table4[[#This Row],[Visitor]],'NHL Model'!$A$6:$B$38,2,FALSE)</f>
        <v>-6.6593655044643821E-4</v>
      </c>
      <c r="J404">
        <f>($B$1+Table4[[#This Row],[Home Differential]])-Table4[[#This Row],[Away Differential]]</f>
        <v>-0.32495743994373089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0.24507280265752696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0.76796514781800074</v>
      </c>
      <c r="H405" t="s">
        <v>36</v>
      </c>
      <c r="I405">
        <f>VLOOKUP(Table4[[#This Row],[Visitor]],'NHL Model'!$A$6:$B$38,2,FALSE)</f>
        <v>9.4361646617848058E-2</v>
      </c>
      <c r="J405">
        <f>($B$1+Table4[[#This Row],[Home Differential]])-Table4[[#This Row],[Away Differential]]</f>
        <v>0.74782115510498315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0.62611079262365898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0.13979313939250854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0.16690670582810133</v>
      </c>
      <c r="H406" t="s">
        <v>22</v>
      </c>
      <c r="I406">
        <f>VLOOKUP(Table4[[#This Row],[Visitor]],'NHL Model'!$A$6:$B$38,2,FALSE)</f>
        <v>0.45610704431993199</v>
      </c>
      <c r="J406">
        <f>($B$1+Table4[[#This Row],[Home Differential]])-Table4[[#This Row],[Away Differential]]</f>
        <v>-0.21498268458700015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0.26968134182012682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0.18511137883580026</v>
      </c>
      <c r="H407" t="s">
        <v>40</v>
      </c>
      <c r="I407">
        <f>VLOOKUP(Table4[[#This Row],[Visitor]],'NHL Model'!$A$6:$B$38,2,FALSE)</f>
        <v>-0.10659687498124908</v>
      </c>
      <c r="J407">
        <f>($B$1+Table4[[#This Row],[Home Differential]])-Table4[[#This Row],[Away Differential]]</f>
        <v>0.36592590772187988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0.61805902963223858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0.1458789048454672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-6.1952588060713437E-2</v>
      </c>
      <c r="H408" t="s">
        <v>28</v>
      </c>
      <c r="I408">
        <f>VLOOKUP(Table4[[#This Row],[Visitor]],'NHL Model'!$A$6:$B$38,2,FALSE)</f>
        <v>-0.19727709229606127</v>
      </c>
      <c r="J408">
        <f>($B$1+Table4[[#This Row],[Home Differential]])-Table4[[#This Row],[Away Differential]]</f>
        <v>0.20954215814017835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0.3165189495752635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0.17784181108472058</v>
      </c>
      <c r="H409" t="s">
        <v>14</v>
      </c>
      <c r="I409">
        <f>VLOOKUP(Table4[[#This Row],[Visitor]],'NHL Model'!$A$6:$B$38,2,FALSE)</f>
        <v>3.9336367625328564E-2</v>
      </c>
      <c r="J409">
        <f>($B$1+Table4[[#This Row],[Home Differential]])-Table4[[#This Row],[Away Differential]]</f>
        <v>0.21272309736422257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0.31384455814636963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-0.17930549805059143</v>
      </c>
      <c r="H410" t="s">
        <v>55</v>
      </c>
      <c r="I410">
        <f>VLOOKUP(Table4[[#This Row],[Visitor]],'NHL Model'!$A$6:$B$38,2,FALSE)</f>
        <v>0.3142836898216293</v>
      </c>
      <c r="J410">
        <f>($B$1+Table4[[#This Row],[Home Differential]])-Table4[[#This Row],[Away Differential]]</f>
        <v>-0.41937153396739019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0.25525868147981917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-0.96065798985911643</v>
      </c>
      <c r="H411" t="s">
        <v>31</v>
      </c>
      <c r="I411">
        <f>VLOOKUP(Table4[[#This Row],[Visitor]],'NHL Model'!$A$6:$B$38,2,FALSE)</f>
        <v>-6.6593655044643821E-4</v>
      </c>
      <c r="J411">
        <f>($B$1+Table4[[#This Row],[Home Differential]])-Table4[[#This Row],[Away Differential]]</f>
        <v>-0.88577439940383951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0.55553519368459114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0.19754896405299391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1.8591692540144091</v>
      </c>
      <c r="H412" t="s">
        <v>38</v>
      </c>
      <c r="I412">
        <f>VLOOKUP(Table4[[#This Row],[Visitor]],'NHL Model'!$A$6:$B$38,2,FALSE)</f>
        <v>-0.48278309788469043</v>
      </c>
      <c r="J412">
        <f>($B$1+Table4[[#This Row],[Home Differential]])-Table4[[#This Row],[Away Differential]]</f>
        <v>2.4161700058039299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1.3957422743025538E-2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-8.5361594338821137E-2</v>
      </c>
      <c r="H413" t="s">
        <v>21</v>
      </c>
      <c r="I413">
        <f>VLOOKUP(Table4[[#This Row],[Visitor]],'NHL Model'!$A$6:$B$38,2,FALSE)</f>
        <v>3.9572996236628868E-2</v>
      </c>
      <c r="J413">
        <f>($B$1+Table4[[#This Row],[Home Differential]])-Table4[[#This Row],[Away Differential]]</f>
        <v>-5.0716936670619481E-2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0.18065806440513513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7.1049614431123245E-2</v>
      </c>
      <c r="H414" t="s">
        <v>34</v>
      </c>
      <c r="I414">
        <f>VLOOKUP(Table4[[#This Row],[Visitor]],'NHL Model'!$A$6:$B$38,2,FALSE)</f>
        <v>0.59379638322319717</v>
      </c>
      <c r="J414">
        <f>($B$1+Table4[[#This Row],[Home Differential]])-Table4[[#This Row],[Away Differential]]</f>
        <v>-0.4485291148872434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0.20757379679537588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0.19285186127150866</v>
      </c>
      <c r="H415" t="s">
        <v>19</v>
      </c>
      <c r="I415">
        <f>VLOOKUP(Table4[[#This Row],[Visitor]],'NHL Model'!$A$6:$B$38,2,FALSE)</f>
        <v>-7.3686276472912369E-4</v>
      </c>
      <c r="J415">
        <f>($B$1+Table4[[#This Row],[Home Differential]])-Table4[[#This Row],[Away Differential]]</f>
        <v>0.26780637794106832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0.32450071992747637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1.584470710005189E-2</v>
      </c>
      <c r="H416" t="s">
        <v>22</v>
      </c>
      <c r="I416">
        <f>VLOOKUP(Table4[[#This Row],[Visitor]],'NHL Model'!$A$6:$B$38,2,FALSE)</f>
        <v>0.45610704431993199</v>
      </c>
      <c r="J416">
        <f>($B$1+Table4[[#This Row],[Home Differential]])-Table4[[#This Row],[Away Differential]]</f>
        <v>-0.36604468331504958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0.49947974759854696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0.25052052306401423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0.10902894471156278</v>
      </c>
      <c r="H417" t="s">
        <v>36</v>
      </c>
      <c r="I417">
        <f>VLOOKUP(Table4[[#This Row],[Visitor]],'NHL Model'!$A$6:$B$38,2,FALSE)</f>
        <v>9.4361646617848058E-2</v>
      </c>
      <c r="J417">
        <f>($B$1+Table4[[#This Row],[Home Differential]])-Table4[[#This Row],[Away Differential]]</f>
        <v>8.888495199854525E-2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0.27964790104140691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-0.3202921716073342</v>
      </c>
      <c r="H418" t="s">
        <v>16</v>
      </c>
      <c r="I418">
        <f>VLOOKUP(Table4[[#This Row],[Visitor]],'NHL Model'!$A$6:$B$38,2,FALSE)</f>
        <v>-0.21926170023436534</v>
      </c>
      <c r="J418">
        <f>($B$1+Table4[[#This Row],[Home Differential]])-Table4[[#This Row],[Away Differential]]</f>
        <v>-2.6812817468138322E-2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0.21426890766206774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0.16690670582810133</v>
      </c>
      <c r="H419" t="s">
        <v>37</v>
      </c>
      <c r="I419">
        <f>VLOOKUP(Table4[[#This Row],[Visitor]],'NHL Model'!$A$6:$B$38,2,FALSE)</f>
        <v>0.79636680320115127</v>
      </c>
      <c r="J419">
        <f>($B$1+Table4[[#This Row],[Home Differential]])-Table4[[#This Row],[Away Differential]]</f>
        <v>-0.55524244346821949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0.36434733411775927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-6.2506340836952119E-3</v>
      </c>
      <c r="H420" t="s">
        <v>39</v>
      </c>
      <c r="I420">
        <f>VLOOKUP(Table4[[#This Row],[Visitor]],'NHL Model'!$A$6:$B$38,2,FALSE)</f>
        <v>0.76796514781800074</v>
      </c>
      <c r="J420">
        <f>($B$1+Table4[[#This Row],[Home Differential]])-Table4[[#This Row],[Away Differential]]</f>
        <v>-0.69999812799686545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0.60959854131294022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0.37161038157086451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0.14556378660539449</v>
      </c>
      <c r="H421" t="s">
        <v>10</v>
      </c>
      <c r="I421">
        <f>VLOOKUP(Table4[[#This Row],[Visitor]],'NHL Model'!$A$6:$B$38,2,FALSE)</f>
        <v>-0.39984103039900787</v>
      </c>
      <c r="J421">
        <f>($B$1+Table4[[#This Row],[Home Differential]])-Table4[[#This Row],[Away Differential]]</f>
        <v>0.61962247090923284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0.15458313746309177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-6.6593655044643821E-4</v>
      </c>
      <c r="H422" t="s">
        <v>55</v>
      </c>
      <c r="I422">
        <f>VLOOKUP(Table4[[#This Row],[Visitor]],'NHL Model'!$A$6:$B$38,2,FALSE)</f>
        <v>0.3142836898216293</v>
      </c>
      <c r="J422">
        <f>($B$1+Table4[[#This Row],[Home Differential]])-Table4[[#This Row],[Away Differential]]</f>
        <v>-0.2407319724672452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0.29167948271273814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0.10902894471156278</v>
      </c>
      <c r="H423" t="s">
        <v>40</v>
      </c>
      <c r="I423">
        <f>VLOOKUP(Table4[[#This Row],[Visitor]],'NHL Model'!$A$6:$B$38,2,FALSE)</f>
        <v>-0.10659687498124908</v>
      </c>
      <c r="J423">
        <f>($B$1+Table4[[#This Row],[Home Differential]])-Table4[[#This Row],[Away Differential]]</f>
        <v>0.2898434735976424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0.5712610664826191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0.18381707311362117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-6.1952588060713437E-2</v>
      </c>
      <c r="H424" t="s">
        <v>39</v>
      </c>
      <c r="I424">
        <f>VLOOKUP(Table4[[#This Row],[Visitor]],'NHL Model'!$A$6:$B$38,2,FALSE)</f>
        <v>0.76796514781800074</v>
      </c>
      <c r="J424">
        <f>($B$1+Table4[[#This Row],[Home Differential]])-Table4[[#This Row],[Away Differential]]</f>
        <v>-0.75570008197388361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0.61560627529733425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0.14775853559078878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0.17784181108472058</v>
      </c>
      <c r="H425" t="s">
        <v>23</v>
      </c>
      <c r="I425">
        <f>VLOOKUP(Table4[[#This Row],[Visitor]],'NHL Model'!$A$6:$B$38,2,FALSE)</f>
        <v>0.18511137883580026</v>
      </c>
      <c r="J425">
        <f>($B$1+Table4[[#This Row],[Home Differential]])-Table4[[#This Row],[Away Differential]]</f>
        <v>6.6948086153750863E-2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0.55177514096300362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0.20090552425873529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-0.17930549805059143</v>
      </c>
      <c r="H426" t="s">
        <v>22</v>
      </c>
      <c r="I426">
        <f>VLOOKUP(Table4[[#This Row],[Visitor]],'NHL Model'!$A$6:$B$38,2,FALSE)</f>
        <v>0.45610704431993199</v>
      </c>
      <c r="J426">
        <f>($B$1+Table4[[#This Row],[Home Differential]])-Table4[[#This Row],[Away Differential]]</f>
        <v>-0.56119488846569288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0.52052767205787021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0.22989371326224525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3.9572996236628868E-2</v>
      </c>
      <c r="H427" t="s">
        <v>35</v>
      </c>
      <c r="I427">
        <f>VLOOKUP(Table4[[#This Row],[Visitor]],'NHL Model'!$A$6:$B$38,2,FALSE)</f>
        <v>-0.96065798985911643</v>
      </c>
      <c r="J427">
        <f>($B$1+Table4[[#This Row],[Home Differential]])-Table4[[#This Row],[Away Differential]]</f>
        <v>1.0744486400005759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0.66990127351600448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0.10896516922635568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0.45392063308446812</v>
      </c>
      <c r="H428" t="s">
        <v>19</v>
      </c>
      <c r="I428">
        <f>VLOOKUP(Table4[[#This Row],[Visitor]],'NHL Model'!$A$6:$B$38,2,FALSE)</f>
        <v>-7.3686276472912369E-4</v>
      </c>
      <c r="J428">
        <f>($B$1+Table4[[#This Row],[Home Differential]])-Table4[[#This Row],[Away Differential]]</f>
        <v>0.52887514975402783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0.63073997330470577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0.39783291392442094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-0.19727709229606127</v>
      </c>
      <c r="H429" t="s">
        <v>26</v>
      </c>
      <c r="I429">
        <f>VLOOKUP(Table4[[#This Row],[Visitor]],'NHL Model'!$A$6:$B$38,2,FALSE)</f>
        <v>-8.5361594338821137E-2</v>
      </c>
      <c r="J429">
        <f>($B$1+Table4[[#This Row],[Home Differential]])-Table4[[#This Row],[Away Differential]]</f>
        <v>-3.7697844052409613E-2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0.48483513156232477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0.23506510479705678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-0.21926170023436534</v>
      </c>
      <c r="H430" t="s">
        <v>34</v>
      </c>
      <c r="I430">
        <f>VLOOKUP(Table4[[#This Row],[Visitor]],'NHL Model'!$A$6:$B$38,2,FALSE)</f>
        <v>0.59379638322319717</v>
      </c>
      <c r="J430">
        <f>($B$1+Table4[[#This Row],[Home Differential]])-Table4[[#This Row],[Away Differential]]</f>
        <v>-0.73884042955273199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0.55794850062210211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0.31130652934645187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7.1049614431123245E-2</v>
      </c>
      <c r="H431" t="s">
        <v>32</v>
      </c>
      <c r="I431">
        <f>VLOOKUP(Table4[[#This Row],[Visitor]],'NHL Model'!$A$6:$B$38,2,FALSE)</f>
        <v>-0.2855111111085496</v>
      </c>
      <c r="J431">
        <f>($B$1+Table4[[#This Row],[Home Differential]])-Table4[[#This Row],[Away Differential]]</f>
        <v>0.43077837944450337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0.15395513667610766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0.19285186127150866</v>
      </c>
      <c r="H432" t="s">
        <v>29</v>
      </c>
      <c r="I432">
        <f>VLOOKUP(Table4[[#This Row],[Visitor]],'NHL Model'!$A$6:$B$38,2,FALSE)</f>
        <v>-0.3202921716073342</v>
      </c>
      <c r="J432">
        <f>($B$1+Table4[[#This Row],[Home Differential]])-Table4[[#This Row],[Away Differential]]</f>
        <v>0.5873616867836734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0.60411528298244788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0.36495527513296305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1.584470710005189E-2</v>
      </c>
      <c r="H433" t="s">
        <v>10</v>
      </c>
      <c r="I433">
        <f>VLOOKUP(Table4[[#This Row],[Visitor]],'NHL Model'!$A$6:$B$38,2,FALSE)</f>
        <v>-0.39984103039900787</v>
      </c>
      <c r="J433">
        <f>($B$1+Table4[[#This Row],[Home Differential]])-Table4[[#This Row],[Away Differential]]</f>
        <v>0.48990339140389028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0.35145752025433596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0.16690670582810133</v>
      </c>
      <c r="H434" t="s">
        <v>12</v>
      </c>
      <c r="I434">
        <f>VLOOKUP(Table4[[#This Row],[Visitor]],'NHL Model'!$A$6:$B$38,2,FALSE)</f>
        <v>1.8591692540144091</v>
      </c>
      <c r="J434">
        <f>($B$1+Table4[[#This Row],[Home Differential]])-Table4[[#This Row],[Away Differential]]</f>
        <v>-1.6180448942814774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0.7182404602094169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0.51586935868183503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9.4361646617848058E-2</v>
      </c>
      <c r="H435" t="s">
        <v>15</v>
      </c>
      <c r="I435">
        <f>VLOOKUP(Table4[[#This Row],[Visitor]],'NHL Model'!$A$6:$B$38,2,FALSE)</f>
        <v>-6.2506340836952119E-3</v>
      </c>
      <c r="J435">
        <f>($B$1+Table4[[#This Row],[Home Differential]])-Table4[[#This Row],[Away Differential]]</f>
        <v>0.1748299346063738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0.49956844794738237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0.24956863418455649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0.79636680320115127</v>
      </c>
      <c r="H436" t="s">
        <v>14</v>
      </c>
      <c r="I436">
        <f>VLOOKUP(Table4[[#This Row],[Visitor]],'NHL Model'!$A$6:$B$38,2,FALSE)</f>
        <v>3.9336367625328564E-2</v>
      </c>
      <c r="J436">
        <f>($B$1+Table4[[#This Row],[Home Differential]])-Table4[[#This Row],[Away Differential]]</f>
        <v>0.83124808948065321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0.39304037610174936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-6.6593655044643821E-4</v>
      </c>
      <c r="H437" t="s">
        <v>22</v>
      </c>
      <c r="I437">
        <f>VLOOKUP(Table4[[#This Row],[Visitor]],'NHL Model'!$A$6:$B$38,2,FALSE)</f>
        <v>0.45610704431993199</v>
      </c>
      <c r="J437">
        <f>($B$1+Table4[[#This Row],[Home Differential]])-Table4[[#This Row],[Away Differential]]</f>
        <v>-0.38255532696554789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0.47522276714281536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0.22583667841087451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0.76796514781800074</v>
      </c>
      <c r="H438" t="s">
        <v>33</v>
      </c>
      <c r="I438">
        <f>VLOOKUP(Table4[[#This Row],[Visitor]],'NHL Model'!$A$6:$B$38,2,FALSE)</f>
        <v>-0.17930549805059143</v>
      </c>
      <c r="J438">
        <f>($B$1+Table4[[#This Row],[Home Differential]])-Table4[[#This Row],[Away Differential]]</f>
        <v>1.0214882997734227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0.66899614518286643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0.10956355190380204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-6.1952588060713437E-2</v>
      </c>
      <c r="H439" t="s">
        <v>20</v>
      </c>
      <c r="I439">
        <f>VLOOKUP(Table4[[#This Row],[Visitor]],'NHL Model'!$A$6:$B$38,2,FALSE)</f>
        <v>0.14556378660539449</v>
      </c>
      <c r="J439">
        <f>($B$1+Table4[[#This Row],[Home Differential]])-Table4[[#This Row],[Away Differential]]</f>
        <v>-0.13329872076127741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0.49514616367043879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0.25487739605667531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-0.48278309788469043</v>
      </c>
      <c r="H440" t="s">
        <v>55</v>
      </c>
      <c r="I440">
        <f>VLOOKUP(Table4[[#This Row],[Visitor]],'NHL Model'!$A$6:$B$38,2,FALSE)</f>
        <v>0.3142836898216293</v>
      </c>
      <c r="J440">
        <f>($B$1+Table4[[#This Row],[Home Differential]])-Table4[[#This Row],[Away Differential]]</f>
        <v>-0.72284913380148919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0.21347829108295271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-0.10659687498124908</v>
      </c>
      <c r="H441" t="s">
        <v>23</v>
      </c>
      <c r="I441">
        <f>VLOOKUP(Table4[[#This Row],[Visitor]],'NHL Model'!$A$6:$B$38,2,FALSE)</f>
        <v>0.18511137883580026</v>
      </c>
      <c r="J441">
        <f>($B$1+Table4[[#This Row],[Home Differential]])-Table4[[#This Row],[Away Differential]]</f>
        <v>-0.21749059991221881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0.48345744763133386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0.23373110367020392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3.9572996236628868E-2</v>
      </c>
      <c r="H442" t="s">
        <v>24</v>
      </c>
      <c r="I442">
        <f>VLOOKUP(Table4[[#This Row],[Visitor]],'NHL Model'!$A$6:$B$38,2,FALSE)</f>
        <v>-6.1952588060713437E-2</v>
      </c>
      <c r="J442">
        <f>($B$1+Table4[[#This Row],[Home Differential]])-Table4[[#This Row],[Away Differential]]</f>
        <v>0.17574323820217283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0.21096207828031607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0.45392063308446812</v>
      </c>
      <c r="H443" t="s">
        <v>29</v>
      </c>
      <c r="I443">
        <f>VLOOKUP(Table4[[#This Row],[Visitor]],'NHL Model'!$A$6:$B$38,2,FALSE)</f>
        <v>-0.3202921716073342</v>
      </c>
      <c r="J443">
        <f>($B$1+Table4[[#This Row],[Home Differential]])-Table4[[#This Row],[Away Differential]]</f>
        <v>0.84843045859663291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0.66520560963802566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0.11208728381784605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-0.21926170023436534</v>
      </c>
      <c r="H444" t="s">
        <v>55</v>
      </c>
      <c r="I444">
        <f>VLOOKUP(Table4[[#This Row],[Visitor]],'NHL Model'!$A$6:$B$38,2,FALSE)</f>
        <v>0.3142836898216293</v>
      </c>
      <c r="J444">
        <f>($B$1+Table4[[#This Row],[Home Differential]])-Table4[[#This Row],[Away Differential]]</f>
        <v>-0.45932773615116412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0.22179267638245034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7.1049614431123245E-2</v>
      </c>
      <c r="H445" t="s">
        <v>40</v>
      </c>
      <c r="I445">
        <f>VLOOKUP(Table4[[#This Row],[Visitor]],'NHL Model'!$A$6:$B$38,2,FALSE)</f>
        <v>-0.10659687498124908</v>
      </c>
      <c r="J445">
        <f>($B$1+Table4[[#This Row],[Home Differential]])-Table4[[#This Row],[Away Differential]]</f>
        <v>0.25186414331720286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0.58833203382761834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0.16947051437250518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0.19285186127150866</v>
      </c>
      <c r="H446" t="s">
        <v>28</v>
      </c>
      <c r="I446">
        <f>VLOOKUP(Table4[[#This Row],[Visitor]],'NHL Model'!$A$6:$B$38,2,FALSE)</f>
        <v>-0.19727709229606127</v>
      </c>
      <c r="J446">
        <f>($B$1+Table4[[#This Row],[Home Differential]])-Table4[[#This Row],[Away Differential]]</f>
        <v>0.46434660747240047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0.16740577465416998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1.584470710005189E-2</v>
      </c>
      <c r="H447" t="s">
        <v>10</v>
      </c>
      <c r="I447">
        <f>VLOOKUP(Table4[[#This Row],[Visitor]],'NHL Model'!$A$6:$B$38,2,FALSE)</f>
        <v>-0.39984103039900787</v>
      </c>
      <c r="J447">
        <f>($B$1+Table4[[#This Row],[Home Differential]])-Table4[[#This Row],[Away Differential]]</f>
        <v>0.48990339140389028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0.16578046429966165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-6.2506340836952119E-3</v>
      </c>
      <c r="H448" t="s">
        <v>12</v>
      </c>
      <c r="I448">
        <f>VLOOKUP(Table4[[#This Row],[Visitor]],'NHL Model'!$A$6:$B$38,2,FALSE)</f>
        <v>1.8591692540144091</v>
      </c>
      <c r="J448">
        <f>($B$1+Table4[[#This Row],[Home Differential]])-Table4[[#This Row],[Away Differential]]</f>
        <v>-1.7912022341932738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0.73940859594528319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6.7907879867208684E-2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9.4361646617848058E-2</v>
      </c>
      <c r="H449" t="s">
        <v>35</v>
      </c>
      <c r="I449">
        <f>VLOOKUP(Table4[[#This Row],[Visitor]],'NHL Model'!$A$6:$B$38,2,FALSE)</f>
        <v>-0.96065798985911643</v>
      </c>
      <c r="J449">
        <f>($B$1+Table4[[#This Row],[Home Differential]])-Table4[[#This Row],[Away Differential]]</f>
        <v>1.1292372903817951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0.6617938826467511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0.43797114310866175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-0.2855111111085496</v>
      </c>
      <c r="H450" t="s">
        <v>26</v>
      </c>
      <c r="I450">
        <f>VLOOKUP(Table4[[#This Row],[Visitor]],'NHL Model'!$A$6:$B$38,2,FALSE)</f>
        <v>-8.5361594338821137E-2</v>
      </c>
      <c r="J450">
        <f>($B$1+Table4[[#This Row],[Home Differential]])-Table4[[#This Row],[Away Differential]]</f>
        <v>-0.12593186286489794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0.49435161124664878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0.25568029304886014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0.79636680320115127</v>
      </c>
      <c r="H451" t="s">
        <v>30</v>
      </c>
      <c r="I451">
        <f>VLOOKUP(Table4[[#This Row],[Visitor]],'NHL Model'!$A$6:$B$38,2,FALSE)</f>
        <v>0.16690670582810133</v>
      </c>
      <c r="J451">
        <f>($B$1+Table4[[#This Row],[Home Differential]])-Table4[[#This Row],[Away Differential]]</f>
        <v>0.70367775127788046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0.58689760554458903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0.34444879939397199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-7.3686276472912369E-4</v>
      </c>
      <c r="H452" t="s">
        <v>18</v>
      </c>
      <c r="I452">
        <f>VLOOKUP(Table4[[#This Row],[Visitor]],'NHL Model'!$A$6:$B$38,2,FALSE)</f>
        <v>0.10902894471156278</v>
      </c>
      <c r="J452">
        <f>($B$1+Table4[[#This Row],[Home Differential]])-Table4[[#This Row],[Away Differential]]</f>
        <v>-3.5548153571461377E-2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0.23924199443238767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-0.48278309788469043</v>
      </c>
      <c r="H453" t="s">
        <v>34</v>
      </c>
      <c r="I453">
        <f>VLOOKUP(Table4[[#This Row],[Visitor]],'NHL Model'!$A$6:$B$38,2,FALSE)</f>
        <v>0.59379638322319717</v>
      </c>
      <c r="J453">
        <f>($B$1+Table4[[#This Row],[Home Differential]])-Table4[[#This Row],[Away Differential]]</f>
        <v>-1.002361827203057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0.62551330495025359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0.39126689466978892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-6.6593655044643821E-4</v>
      </c>
      <c r="H454" t="s">
        <v>10</v>
      </c>
      <c r="I454">
        <f>VLOOKUP(Table4[[#This Row],[Visitor]],'NHL Model'!$A$6:$B$38,2,FALSE)</f>
        <v>-0.39984103039900787</v>
      </c>
      <c r="J454">
        <f>($B$1+Table4[[#This Row],[Home Differential]])-Table4[[#This Row],[Away Differential]]</f>
        <v>0.47339274775339196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0.6170955084330686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0.14661584966213023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0.45392063308446812</v>
      </c>
      <c r="H455" t="s">
        <v>33</v>
      </c>
      <c r="I455">
        <f>VLOOKUP(Table4[[#This Row],[Visitor]],'NHL Model'!$A$6:$B$38,2,FALSE)</f>
        <v>-0.17930549805059143</v>
      </c>
      <c r="J455">
        <f>($B$1+Table4[[#This Row],[Home Differential]])-Table4[[#This Row],[Away Differential]]</f>
        <v>0.70744378503989003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0.64281510757840532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0.41321126253103679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0.76796514781800074</v>
      </c>
      <c r="H456" t="s">
        <v>14</v>
      </c>
      <c r="I456">
        <f>VLOOKUP(Table4[[#This Row],[Visitor]],'NHL Model'!$A$6:$B$38,2,FALSE)</f>
        <v>3.9336367625328564E-2</v>
      </c>
      <c r="J456">
        <f>($B$1+Table4[[#This Row],[Home Differential]])-Table4[[#This Row],[Away Differential]]</f>
        <v>0.80284643409750267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0.64541452778799957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0.12573085710380733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0.19285186127150866</v>
      </c>
      <c r="H457" t="s">
        <v>30</v>
      </c>
      <c r="I457">
        <f>VLOOKUP(Table4[[#This Row],[Visitor]],'NHL Model'!$A$6:$B$38,2,FALSE)</f>
        <v>0.16690670582810133</v>
      </c>
      <c r="J457">
        <f>($B$1+Table4[[#This Row],[Home Differential]])-Table4[[#This Row],[Away Differential]]</f>
        <v>0.10016280934823787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0.51798991764771418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0.23233371948925735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0.10902894471156278</v>
      </c>
      <c r="H458" t="s">
        <v>35</v>
      </c>
      <c r="I458">
        <f>VLOOKUP(Table4[[#This Row],[Visitor]],'NHL Model'!$A$6:$B$38,2,FALSE)</f>
        <v>-0.96065798985911643</v>
      </c>
      <c r="J458">
        <f>($B$1+Table4[[#This Row],[Home Differential]])-Table4[[#This Row],[Away Differential]]</f>
        <v>1.1439045884755097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0.66337582401371287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0.44006748388587252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-6.2506340836952119E-3</v>
      </c>
      <c r="H459" t="s">
        <v>20</v>
      </c>
      <c r="I459">
        <f>VLOOKUP(Table4[[#This Row],[Visitor]],'NHL Model'!$A$6:$B$38,2,FALSE)</f>
        <v>0.14556378660539449</v>
      </c>
      <c r="J459">
        <f>($B$1+Table4[[#This Row],[Home Differential]])-Table4[[#This Row],[Away Differential]]</f>
        <v>-7.7596766784259169E-2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0.48913842968604482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0.26097954402364015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0.17784181108472058</v>
      </c>
      <c r="H460" t="s">
        <v>12</v>
      </c>
      <c r="I460">
        <f>VLOOKUP(Table4[[#This Row],[Visitor]],'NHL Model'!$A$6:$B$38,2,FALSE)</f>
        <v>1.8591692540144091</v>
      </c>
      <c r="J460">
        <f>($B$1+Table4[[#This Row],[Home Differential]])-Table4[[#This Row],[Away Differential]]</f>
        <v>-1.607109789024858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0.71500148540858055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8.1224153319315526E-2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0.45610704431993199</v>
      </c>
      <c r="H461" t="s">
        <v>28</v>
      </c>
      <c r="I461">
        <f>VLOOKUP(Table4[[#This Row],[Visitor]],'NHL Model'!$A$6:$B$38,2,FALSE)</f>
        <v>-0.19727709229606127</v>
      </c>
      <c r="J461">
        <f>($B$1+Table4[[#This Row],[Home Differential]])-Table4[[#This Row],[Away Differential]]</f>
        <v>0.72760179052082374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0.13506205053856282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-0.21926170023436534</v>
      </c>
      <c r="H462" t="s">
        <v>23</v>
      </c>
      <c r="I462">
        <f>VLOOKUP(Table4[[#This Row],[Visitor]],'NHL Model'!$A$6:$B$38,2,FALSE)</f>
        <v>0.18511137883580026</v>
      </c>
      <c r="J462">
        <f>($B$1+Table4[[#This Row],[Home Differential]])-Table4[[#This Row],[Away Differential]]</f>
        <v>-0.33015542516533508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0.45701681925475302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0.20886437308173159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-0.2855111111085496</v>
      </c>
      <c r="H463" t="s">
        <v>34</v>
      </c>
      <c r="I463">
        <f>VLOOKUP(Table4[[#This Row],[Visitor]],'NHL Model'!$A$6:$B$38,2,FALSE)</f>
        <v>0.59379638322319717</v>
      </c>
      <c r="J463">
        <f>($B$1+Table4[[#This Row],[Home Differential]])-Table4[[#This Row],[Away Differential]]</f>
        <v>-0.80508984042691623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0.15662871964015981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-7.3686276472912369E-4</v>
      </c>
      <c r="H464" t="s">
        <v>37</v>
      </c>
      <c r="I464">
        <f>VLOOKUP(Table4[[#This Row],[Visitor]],'NHL Model'!$A$6:$B$38,2,FALSE)</f>
        <v>0.79636680320115127</v>
      </c>
      <c r="J464">
        <f>($B$1+Table4[[#This Row],[Home Differential]])-Table4[[#This Row],[Away Differential]]</f>
        <v>-0.72288601206104985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0.36601761233427871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0.3142836898216293</v>
      </c>
      <c r="H465" t="s">
        <v>13</v>
      </c>
      <c r="I465">
        <f>VLOOKUP(Table4[[#This Row],[Visitor]],'NHL Model'!$A$6:$B$38,2,FALSE)</f>
        <v>1.584470710005189E-2</v>
      </c>
      <c r="J465">
        <f>($B$1+Table4[[#This Row],[Home Differential]])-Table4[[#This Row],[Away Differential]]</f>
        <v>0.37265663662640797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0.30008763219509543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-0.48278309788469043</v>
      </c>
      <c r="H466" t="s">
        <v>26</v>
      </c>
      <c r="I466">
        <f>VLOOKUP(Table4[[#This Row],[Visitor]],'NHL Model'!$A$6:$B$38,2,FALSE)</f>
        <v>-8.5361594338821137E-2</v>
      </c>
      <c r="J466">
        <f>($B$1+Table4[[#This Row],[Home Differential]])-Table4[[#This Row],[Away Differential]]</f>
        <v>-0.32320384964103877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0.51562838045321768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0.23461586582237284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0.45392063308446812</v>
      </c>
      <c r="H467" t="s">
        <v>28</v>
      </c>
      <c r="I467">
        <f>VLOOKUP(Table4[[#This Row],[Visitor]],'NHL Model'!$A$6:$B$38,2,FALSE)</f>
        <v>-0.19727709229606127</v>
      </c>
      <c r="J467">
        <f>($B$1+Table4[[#This Row],[Home Differential]])-Table4[[#This Row],[Away Differential]]</f>
        <v>0.72541537928535993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0.12114728195589274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7.1049614431123245E-2</v>
      </c>
      <c r="H468" t="s">
        <v>23</v>
      </c>
      <c r="I468">
        <f>VLOOKUP(Table4[[#This Row],[Visitor]],'NHL Model'!$A$6:$B$38,2,FALSE)</f>
        <v>0.18511137883580026</v>
      </c>
      <c r="J468">
        <f>($B$1+Table4[[#This Row],[Home Differential]])-Table4[[#This Row],[Away Differential]]</f>
        <v>-3.9844110499846486E-2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0.44313015851680043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0.31010402035352386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0.10902894471156278</v>
      </c>
      <c r="H469" t="s">
        <v>37</v>
      </c>
      <c r="I469">
        <f>VLOOKUP(Table4[[#This Row],[Visitor]],'NHL Model'!$A$6:$B$38,2,FALSE)</f>
        <v>0.79636680320115127</v>
      </c>
      <c r="J469">
        <f>($B$1+Table4[[#This Row],[Home Differential]])-Table4[[#This Row],[Away Differential]]</f>
        <v>-0.61312020458475791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0.1502751863039791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-0.3202921716073342</v>
      </c>
      <c r="H470" t="s">
        <v>12</v>
      </c>
      <c r="I470">
        <f>VLOOKUP(Table4[[#This Row],[Visitor]],'NHL Model'!$A$6:$B$38,2,FALSE)</f>
        <v>1.8591692540144091</v>
      </c>
      <c r="J470">
        <f>($B$1+Table4[[#This Row],[Home Differential]])-Table4[[#This Row],[Away Differential]]</f>
        <v>-2.1052437717169128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0.59796125394044242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0.16690670582810133</v>
      </c>
      <c r="H471" t="s">
        <v>20</v>
      </c>
      <c r="I471">
        <f>VLOOKUP(Table4[[#This Row],[Visitor]],'NHL Model'!$A$6:$B$38,2,FALSE)</f>
        <v>0.14556378660539449</v>
      </c>
      <c r="J471">
        <f>($B$1+Table4[[#This Row],[Home Differential]])-Table4[[#This Row],[Away Differential]]</f>
        <v>9.5560573127537352E-2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0.5320458156003216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0.21898111869716821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9.4361646617848058E-2</v>
      </c>
      <c r="H472" t="s">
        <v>24</v>
      </c>
      <c r="I472">
        <f>VLOOKUP(Table4[[#This Row],[Visitor]],'NHL Model'!$A$6:$B$38,2,FALSE)</f>
        <v>-6.1952588060713437E-2</v>
      </c>
      <c r="J472">
        <f>($B$1+Table4[[#This Row],[Home Differential]])-Table4[[#This Row],[Away Differential]]</f>
        <v>0.23053188858339202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0.28352822470126199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0.17784181108472058</v>
      </c>
      <c r="H473" t="s">
        <v>33</v>
      </c>
      <c r="I473">
        <f>VLOOKUP(Table4[[#This Row],[Visitor]],'NHL Model'!$A$6:$B$38,2,FALSE)</f>
        <v>-0.17930549805059143</v>
      </c>
      <c r="J473">
        <f>($B$1+Table4[[#This Row],[Home Differential]])-Table4[[#This Row],[Away Differential]]</f>
        <v>0.43136496304014255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0.58379993032864597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0.17322249799443995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3.9336367625328564E-2</v>
      </c>
      <c r="H474" t="s">
        <v>31</v>
      </c>
      <c r="I474">
        <f>VLOOKUP(Table4[[#This Row],[Visitor]],'NHL Model'!$A$6:$B$38,2,FALSE)</f>
        <v>-6.6593655044643821E-4</v>
      </c>
      <c r="J474">
        <f>($B$1+Table4[[#This Row],[Home Differential]])-Table4[[#This Row],[Away Differential]]</f>
        <v>0.11421995808060553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0.55231919304195376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0.30505649100251497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-0.96065798985911643</v>
      </c>
      <c r="H475" t="s">
        <v>21</v>
      </c>
      <c r="I475">
        <f>VLOOKUP(Table4[[#This Row],[Visitor]],'NHL Model'!$A$6:$B$38,2,FALSE)</f>
        <v>3.9572996236628868E-2</v>
      </c>
      <c r="J475">
        <f>($B$1+Table4[[#This Row],[Home Differential]])-Table4[[#This Row],[Away Differential]]</f>
        <v>-0.92601333219091486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0.55987516359121958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0.19370987162385572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-0.10659687498124908</v>
      </c>
      <c r="H476" t="s">
        <v>39</v>
      </c>
      <c r="I476">
        <f>VLOOKUP(Table4[[#This Row],[Visitor]],'NHL Model'!$A$6:$B$38,2,FALSE)</f>
        <v>0.76796514781800074</v>
      </c>
      <c r="J476">
        <f>($B$1+Table4[[#This Row],[Home Differential]])-Table4[[#This Row],[Away Differential]]</f>
        <v>-0.80034436889441929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0.14407992522850135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-0.21926170023436534</v>
      </c>
      <c r="H477" t="s">
        <v>26</v>
      </c>
      <c r="I477">
        <f>VLOOKUP(Table4[[#This Row],[Visitor]],'NHL Model'!$A$6:$B$38,2,FALSE)</f>
        <v>-8.5361594338821137E-2</v>
      </c>
      <c r="J477">
        <f>($B$1+Table4[[#This Row],[Home Differential]])-Table4[[#This Row],[Away Differential]]</f>
        <v>-5.9682451990713689E-2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0.44829751569523196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0.30437563118805278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-0.39984103039900787</v>
      </c>
      <c r="H478" t="s">
        <v>15</v>
      </c>
      <c r="I478">
        <f>VLOOKUP(Table4[[#This Row],[Visitor]],'NHL Model'!$A$6:$B$38,2,FALSE)</f>
        <v>-6.2506340836952119E-3</v>
      </c>
      <c r="J478">
        <f>($B$1+Table4[[#This Row],[Home Differential]])-Table4[[#This Row],[Away Differential]]</f>
        <v>-0.31937274241048214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0.5537337794595345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0.30662109851454039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-0.2855111111085496</v>
      </c>
      <c r="H479" t="s">
        <v>13</v>
      </c>
      <c r="I479">
        <f>VLOOKUP(Table4[[#This Row],[Visitor]],'NHL Model'!$A$6:$B$38,2,FALSE)</f>
        <v>1.584470710005189E-2</v>
      </c>
      <c r="J479">
        <f>($B$1+Table4[[#This Row],[Home Differential]])-Table4[[#This Row],[Away Differential]]</f>
        <v>-0.22713816430377096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0.26717353213515038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0.3142836898216293</v>
      </c>
      <c r="H480" t="s">
        <v>11</v>
      </c>
      <c r="I480">
        <f>VLOOKUP(Table4[[#This Row],[Visitor]],'NHL Model'!$A$6:$B$38,2,FALSE)</f>
        <v>0.19285186127150866</v>
      </c>
      <c r="J480">
        <f>($B$1+Table4[[#This Row],[Home Differential]])-Table4[[#This Row],[Away Differential]]</f>
        <v>0.19564948245495117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0.5242073640727446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0.274793360548095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-0.19727709229606127</v>
      </c>
      <c r="H481" t="s">
        <v>36</v>
      </c>
      <c r="I481">
        <f>VLOOKUP(Table4[[#This Row],[Visitor]],'NHL Model'!$A$6:$B$38,2,FALSE)</f>
        <v>9.4361646617848058E-2</v>
      </c>
      <c r="J481">
        <f>($B$1+Table4[[#This Row],[Home Differential]])-Table4[[#This Row],[Away Differential]]</f>
        <v>-0.21742108500907881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0.24579862061620919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1.8591692540144091</v>
      </c>
      <c r="H482" t="s">
        <v>11</v>
      </c>
      <c r="I482">
        <f>VLOOKUP(Table4[[#This Row],[Visitor]],'NHL Model'!$A$6:$B$38,2,FALSE)</f>
        <v>0.19285186127150866</v>
      </c>
      <c r="J482">
        <f>($B$1+Table4[[#This Row],[Home Differential]])-Table4[[#This Row],[Away Differential]]</f>
        <v>1.740535046647731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0.81426102581136117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3.4498966532647841E-2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7.1049614431123245E-2</v>
      </c>
      <c r="H483" t="s">
        <v>26</v>
      </c>
      <c r="I483">
        <f>VLOOKUP(Table4[[#This Row],[Visitor]],'NHL Model'!$A$6:$B$38,2,FALSE)</f>
        <v>-8.5361594338821137E-2</v>
      </c>
      <c r="J483">
        <f>($B$1+Table4[[#This Row],[Home Differential]])-Table4[[#This Row],[Away Differential]]</f>
        <v>0.23062886267477489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0.56541501544038042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0.18886410880468479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0.59379638322319717</v>
      </c>
      <c r="H484" t="s">
        <v>39</v>
      </c>
      <c r="I484">
        <f>VLOOKUP(Table4[[#This Row],[Visitor]],'NHL Model'!$A$6:$B$38,2,FALSE)</f>
        <v>0.76796514781800074</v>
      </c>
      <c r="J484">
        <f>($B$1+Table4[[#This Row],[Home Differential]])-Table4[[#This Row],[Away Differential]]</f>
        <v>-9.9951110689973088E-2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0.2729102579996589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-6.1952588060713437E-2</v>
      </c>
      <c r="H485" t="s">
        <v>37</v>
      </c>
      <c r="I485">
        <f>VLOOKUP(Table4[[#This Row],[Visitor]],'NHL Model'!$A$6:$B$38,2,FALSE)</f>
        <v>0.79636680320115127</v>
      </c>
      <c r="J485">
        <f>($B$1+Table4[[#This Row],[Home Differential]])-Table4[[#This Row],[Away Differential]]</f>
        <v>-0.78410173735703415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0.63078777659234908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0.13631766591362113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-0.3202921716073342</v>
      </c>
      <c r="H486" t="s">
        <v>35</v>
      </c>
      <c r="I486">
        <f>VLOOKUP(Table4[[#This Row],[Visitor]],'NHL Model'!$A$6:$B$38,2,FALSE)</f>
        <v>-0.96065798985911643</v>
      </c>
      <c r="J486">
        <f>($B$1+Table4[[#This Row],[Home Differential]])-Table4[[#This Row],[Away Differential]]</f>
        <v>0.71458347215661278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0.14663431497184123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0.16690670582810133</v>
      </c>
      <c r="H487" t="s">
        <v>31</v>
      </c>
      <c r="I487">
        <f>VLOOKUP(Table4[[#This Row],[Visitor]],'NHL Model'!$A$6:$B$38,2,FALSE)</f>
        <v>-6.6593655044643821E-4</v>
      </c>
      <c r="J487">
        <f>($B$1+Table4[[#This Row],[Home Differential]])-Table4[[#This Row],[Away Differential]]</f>
        <v>0.24179029628337828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0.56857377047357738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0.18612859152338548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0.17784181108472058</v>
      </c>
      <c r="H488" t="s">
        <v>20</v>
      </c>
      <c r="I488">
        <f>VLOOKUP(Table4[[#This Row],[Visitor]],'NHL Model'!$A$6:$B$38,2,FALSE)</f>
        <v>0.14556378660539449</v>
      </c>
      <c r="J488">
        <f>($B$1+Table4[[#This Row],[Home Differential]])-Table4[[#This Row],[Away Differential]]</f>
        <v>0.10649567838415663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0.53529561470112097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0.28654139511825094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3.9336367625328564E-2</v>
      </c>
      <c r="H489" t="s">
        <v>18</v>
      </c>
      <c r="I489">
        <f>VLOOKUP(Table4[[#This Row],[Visitor]],'NHL Model'!$A$6:$B$38,2,FALSE)</f>
        <v>0.10902894471156278</v>
      </c>
      <c r="J489">
        <f>($B$1+Table4[[#This Row],[Home Differential]])-Table4[[#This Row],[Away Differential]]</f>
        <v>4.5250768185963047E-3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0.22483933468114708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-7.3686276472912369E-4</v>
      </c>
      <c r="H490" t="s">
        <v>33</v>
      </c>
      <c r="I490">
        <f>VLOOKUP(Table4[[#This Row],[Visitor]],'NHL Model'!$A$6:$B$38,2,FALSE)</f>
        <v>-0.17930549805059143</v>
      </c>
      <c r="J490">
        <f>($B$1+Table4[[#This Row],[Home Differential]])-Table4[[#This Row],[Away Differential]]</f>
        <v>0.25278628919069285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0.57913148394958758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0.33539327570165139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-0.48278309788469043</v>
      </c>
      <c r="H491" t="s">
        <v>23</v>
      </c>
      <c r="I491">
        <f>VLOOKUP(Table4[[#This Row],[Visitor]],'NHL Model'!$A$6:$B$38,2,FALSE)</f>
        <v>0.18511137883580026</v>
      </c>
      <c r="J491">
        <f>($B$1+Table4[[#This Row],[Home Differential]])-Table4[[#This Row],[Away Differential]]</f>
        <v>-0.59367682281566014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0.52403101093452187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0.22654647855201324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-0.10659687498124908</v>
      </c>
      <c r="H492" t="s">
        <v>21</v>
      </c>
      <c r="I492">
        <f>VLOOKUP(Table4[[#This Row],[Visitor]],'NHL Model'!$A$6:$B$38,2,FALSE)</f>
        <v>3.9572996236628868E-2</v>
      </c>
      <c r="J492">
        <f>($B$1+Table4[[#This Row],[Home Differential]])-Table4[[#This Row],[Away Differential]]</f>
        <v>-7.195221731304742E-2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0.46776040606012576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0.2832789853572823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0.45610704431993199</v>
      </c>
      <c r="H493" t="s">
        <v>25</v>
      </c>
      <c r="I493">
        <f>VLOOKUP(Table4[[#This Row],[Visitor]],'NHL Model'!$A$6:$B$38,2,FALSE)</f>
        <v>0.45392063308446812</v>
      </c>
      <c r="J493">
        <f>($B$1+Table4[[#This Row],[Home Differential]])-Table4[[#This Row],[Away Differential]]</f>
        <v>7.6404065140294353E-2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0.2549973128442195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-0.96065798985911643</v>
      </c>
      <c r="H494" t="s">
        <v>10</v>
      </c>
      <c r="I494">
        <f>VLOOKUP(Table4[[#This Row],[Visitor]],'NHL Model'!$A$6:$B$38,2,FALSE)</f>
        <v>-0.39984103039900787</v>
      </c>
      <c r="J494">
        <f>($B$1+Table4[[#This Row],[Home Differential]])-Table4[[#This Row],[Away Differential]]</f>
        <v>-0.48659930555527808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0.26263797027706393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0.3142836898216293</v>
      </c>
      <c r="H495" t="s">
        <v>32</v>
      </c>
      <c r="I495">
        <f>VLOOKUP(Table4[[#This Row],[Visitor]],'NHL Model'!$A$6:$B$38,2,FALSE)</f>
        <v>-0.2855111111085496</v>
      </c>
      <c r="J495">
        <f>($B$1+Table4[[#This Row],[Home Differential]])-Table4[[#This Row],[Away Differential]]</f>
        <v>0.67401245483500949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0.15000469039832479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-0.19727709229606127</v>
      </c>
      <c r="H496" t="s">
        <v>20</v>
      </c>
      <c r="I496">
        <f>VLOOKUP(Table4[[#This Row],[Visitor]],'NHL Model'!$A$6:$B$38,2,FALSE)</f>
        <v>0.14556378660539449</v>
      </c>
      <c r="J496">
        <f>($B$1+Table4[[#This Row],[Home Differential]])-Table4[[#This Row],[Away Differential]]</f>
        <v>-0.26862322499662522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0.50974158743872156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0.2403533110871047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-0.39984103039900787</v>
      </c>
      <c r="H497" t="s">
        <v>26</v>
      </c>
      <c r="I497">
        <f>VLOOKUP(Table4[[#This Row],[Visitor]],'NHL Model'!$A$6:$B$38,2,FALSE)</f>
        <v>-8.5361594338821137E-2</v>
      </c>
      <c r="J497">
        <f>($B$1+Table4[[#This Row],[Home Differential]])-Table4[[#This Row],[Away Differential]]</f>
        <v>-0.24026178215535621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0.50668266415437435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0.2433619938458258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1.8591692540144091</v>
      </c>
      <c r="H498" t="s">
        <v>29</v>
      </c>
      <c r="I498">
        <f>VLOOKUP(Table4[[#This Row],[Visitor]],'NHL Model'!$A$6:$B$38,2,FALSE)</f>
        <v>-0.3202921716073342</v>
      </c>
      <c r="J498">
        <f>($B$1+Table4[[#This Row],[Home Differential]])-Table4[[#This Row],[Away Differential]]</f>
        <v>2.2536790795265738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9.3081575024449408E-3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0.76796514781800074</v>
      </c>
      <c r="H499" t="s">
        <v>11</v>
      </c>
      <c r="I499">
        <f>VLOOKUP(Table4[[#This Row],[Visitor]],'NHL Model'!$A$6:$B$38,2,FALSE)</f>
        <v>0.19285186127150866</v>
      </c>
      <c r="J499">
        <f>($B$1+Table4[[#This Row],[Home Differential]])-Table4[[#This Row],[Away Differential]]</f>
        <v>0.64933094045132256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0.59944535023642609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0.35933472792007154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1.584470710005189E-2</v>
      </c>
      <c r="H500" t="s">
        <v>16</v>
      </c>
      <c r="I500">
        <f>VLOOKUP(Table4[[#This Row],[Visitor]],'NHL Model'!$A$6:$B$38,2,FALSE)</f>
        <v>-0.21926170023436534</v>
      </c>
      <c r="J500">
        <f>($B$1+Table4[[#This Row],[Home Differential]])-Table4[[#This Row],[Away Differential]]</f>
        <v>0.30932406123924772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0.32874414951525871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0.59379638322319717</v>
      </c>
      <c r="H501" t="s">
        <v>36</v>
      </c>
      <c r="I501">
        <f>VLOOKUP(Table4[[#This Row],[Visitor]],'NHL Model'!$A$6:$B$38,2,FALSE)</f>
        <v>9.4361646617848058E-2</v>
      </c>
      <c r="J501">
        <f>($B$1+Table4[[#This Row],[Home Differential]])-Table4[[#This Row],[Away Differential]]</f>
        <v>0.57365239051017958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0.60353794254899518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0.15718216299828386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-6.1952588060713437E-2</v>
      </c>
      <c r="H502" t="s">
        <v>31</v>
      </c>
      <c r="I502">
        <f>VLOOKUP(Table4[[#This Row],[Visitor]],'NHL Model'!$A$6:$B$38,2,FALSE)</f>
        <v>-6.6593655044643821E-4</v>
      </c>
      <c r="J502">
        <f>($B$1+Table4[[#This Row],[Home Differential]])-Table4[[#This Row],[Away Differential]]</f>
        <v>1.2931002394563525E-2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0.54139467320249046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0.21031884576705051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0.16690670582810133</v>
      </c>
      <c r="H503" t="s">
        <v>37</v>
      </c>
      <c r="I503">
        <f>VLOOKUP(Table4[[#This Row],[Visitor]],'NHL Model'!$A$6:$B$38,2,FALSE)</f>
        <v>0.79636680320115127</v>
      </c>
      <c r="J503">
        <f>($B$1+Table4[[#This Row],[Home Differential]])-Table4[[#This Row],[Away Differential]]</f>
        <v>-0.55524244346821949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0.36434733411775927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-6.2506340836952119E-3</v>
      </c>
      <c r="H504" t="s">
        <v>18</v>
      </c>
      <c r="I504">
        <f>VLOOKUP(Table4[[#This Row],[Visitor]],'NHL Model'!$A$6:$B$38,2,FALSE)</f>
        <v>0.10902894471156278</v>
      </c>
      <c r="J504">
        <f>($B$1+Table4[[#This Row],[Home Differential]])-Table4[[#This Row],[Away Differential]]</f>
        <v>-4.1061924890427468E-2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0.28168974889591669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0.17784181108472058</v>
      </c>
      <c r="H505" t="s">
        <v>25</v>
      </c>
      <c r="I505">
        <f>VLOOKUP(Table4[[#This Row],[Visitor]],'NHL Model'!$A$6:$B$38,2,FALSE)</f>
        <v>0.45392063308446812</v>
      </c>
      <c r="J505">
        <f>($B$1+Table4[[#This Row],[Home Differential]])-Table4[[#This Row],[Away Differential]]</f>
        <v>-0.201861168094917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0.21660437547588191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3.9336367625328564E-2</v>
      </c>
      <c r="H506" t="s">
        <v>33</v>
      </c>
      <c r="I506">
        <f>VLOOKUP(Table4[[#This Row],[Visitor]],'NHL Model'!$A$6:$B$38,2,FALSE)</f>
        <v>-0.17930549805059143</v>
      </c>
      <c r="J506">
        <f>($B$1+Table4[[#This Row],[Home Differential]])-Table4[[#This Row],[Away Differential]]</f>
        <v>0.29285951958075052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0.56429664248178379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0.3184307007162141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-7.3686276472912369E-4</v>
      </c>
      <c r="H507" t="s">
        <v>17</v>
      </c>
      <c r="I507">
        <f>VLOOKUP(Table4[[#This Row],[Visitor]],'NHL Model'!$A$6:$B$38,2,FALSE)</f>
        <v>7.1049614431123245E-2</v>
      </c>
      <c r="J507">
        <f>($B$1+Table4[[#This Row],[Home Differential]])-Table4[[#This Row],[Away Differential]]</f>
        <v>2.4311767089781611E-3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0.55936764586242449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0.31289216323767072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-0.10659687498124908</v>
      </c>
      <c r="H508" t="s">
        <v>22</v>
      </c>
      <c r="I508">
        <f>VLOOKUP(Table4[[#This Row],[Visitor]],'NHL Model'!$A$6:$B$38,2,FALSE)</f>
        <v>0.45610704431993199</v>
      </c>
      <c r="J508">
        <f>($B$1+Table4[[#This Row],[Home Differential]])-Table4[[#This Row],[Away Differential]]</f>
        <v>-0.48848626539635054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0.51268568385845437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0.26284661043341101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0.45392063308446812</v>
      </c>
      <c r="H509" t="s">
        <v>27</v>
      </c>
      <c r="I509">
        <f>VLOOKUP(Table4[[#This Row],[Visitor]],'NHL Model'!$A$6:$B$38,2,FALSE)</f>
        <v>0.17784181108472058</v>
      </c>
      <c r="J509">
        <f>($B$1+Table4[[#This Row],[Home Differential]])-Table4[[#This Row],[Away Differential]]</f>
        <v>0.35029647590457808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0.15658245792256029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0.59379638322319717</v>
      </c>
      <c r="H510" t="s">
        <v>21</v>
      </c>
      <c r="I510">
        <f>VLOOKUP(Table4[[#This Row],[Visitor]],'NHL Model'!$A$6:$B$38,2,FALSE)</f>
        <v>3.9572996236628868E-2</v>
      </c>
      <c r="J510">
        <f>($B$1+Table4[[#This Row],[Home Differential]])-Table4[[#This Row],[Away Differential]]</f>
        <v>0.62844104089139874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0.63006424253591142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0.13685246465052897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0.10902894471156278</v>
      </c>
      <c r="H511" t="s">
        <v>17</v>
      </c>
      <c r="I511">
        <f>VLOOKUP(Table4[[#This Row],[Visitor]],'NHL Model'!$A$6:$B$38,2,FALSE)</f>
        <v>7.1049614431123245E-2</v>
      </c>
      <c r="J511">
        <f>($B$1+Table4[[#This Row],[Home Differential]])-Table4[[#This Row],[Away Differential]]</f>
        <v>0.11219698418527006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0.55210100520198024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0.20061350954107654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-6.1952588060713437E-2</v>
      </c>
      <c r="H512" t="s">
        <v>38</v>
      </c>
      <c r="I512">
        <f>VLOOKUP(Table4[[#This Row],[Visitor]],'NHL Model'!$A$6:$B$38,2,FALSE)</f>
        <v>-0.48278309788469043</v>
      </c>
      <c r="J512">
        <f>($B$1+Table4[[#This Row],[Home Differential]])-Table4[[#This Row],[Away Differential]]</f>
        <v>0.4950481637288075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0.55088085455819047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0.30346971591876221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3.9336367625328564E-2</v>
      </c>
      <c r="H513" t="s">
        <v>55</v>
      </c>
      <c r="I513">
        <f>VLOOKUP(Table4[[#This Row],[Visitor]],'NHL Model'!$A$6:$B$38,2,FALSE)</f>
        <v>0.3142836898216293</v>
      </c>
      <c r="J513">
        <f>($B$1+Table4[[#This Row],[Home Differential]])-Table4[[#This Row],[Away Differential]]</f>
        <v>-0.20072966829147021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0.48164969743015384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0.26868703617425105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-0.2855111111085496</v>
      </c>
      <c r="H514" t="s">
        <v>23</v>
      </c>
      <c r="I514">
        <f>VLOOKUP(Table4[[#This Row],[Visitor]],'NHL Model'!$A$6:$B$38,2,FALSE)</f>
        <v>0.18511137883580026</v>
      </c>
      <c r="J514">
        <f>($B$1+Table4[[#This Row],[Home Differential]])-Table4[[#This Row],[Away Differential]]</f>
        <v>-0.39640483603951931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0.50275424172795291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0.24725334411954308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0.76796514781800074</v>
      </c>
      <c r="H515" t="s">
        <v>13</v>
      </c>
      <c r="I515">
        <f>VLOOKUP(Table4[[#This Row],[Visitor]],'NHL Model'!$A$6:$B$38,2,FALSE)</f>
        <v>1.584470710005189E-2</v>
      </c>
      <c r="J515">
        <f>($B$1+Table4[[#This Row],[Home Differential]])-Table4[[#This Row],[Away Differential]]</f>
        <v>0.8263380946227793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0.14211166124585498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-6.2506340836952119E-3</v>
      </c>
      <c r="H516" t="s">
        <v>31</v>
      </c>
      <c r="I516">
        <f>VLOOKUP(Table4[[#This Row],[Visitor]],'NHL Model'!$A$6:$B$38,2,FALSE)</f>
        <v>-6.6593655044643821E-4</v>
      </c>
      <c r="J516">
        <f>($B$1+Table4[[#This Row],[Home Differential]])-Table4[[#This Row],[Away Differential]]</f>
        <v>6.863295637158176E-2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0.54740240718688438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0.29964939539399554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-0.96065798985911643</v>
      </c>
      <c r="H517" t="s">
        <v>29</v>
      </c>
      <c r="I517">
        <f>VLOOKUP(Table4[[#This Row],[Visitor]],'NHL Model'!$A$6:$B$38,2,FALSE)</f>
        <v>-0.3202921716073342</v>
      </c>
      <c r="J517">
        <f>($B$1+Table4[[#This Row],[Home Differential]])-Table4[[#This Row],[Away Differential]]</f>
        <v>-0.5661481643469517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0.22938169634718847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0.79636680320115127</v>
      </c>
      <c r="H518" t="s">
        <v>11</v>
      </c>
      <c r="I518">
        <f>VLOOKUP(Table4[[#This Row],[Visitor]],'NHL Model'!$A$6:$B$38,2,FALSE)</f>
        <v>0.19285186127150866</v>
      </c>
      <c r="J518">
        <f>($B$1+Table4[[#This Row],[Home Differential]])-Table4[[#This Row],[Away Differential]]</f>
        <v>0.67773259583447309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0.33731604097508139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-0.10659687498124908</v>
      </c>
      <c r="H519" t="s">
        <v>36</v>
      </c>
      <c r="I519">
        <f>VLOOKUP(Table4[[#This Row],[Visitor]],'NHL Model'!$A$6:$B$38,2,FALSE)</f>
        <v>9.4361646617848058E-2</v>
      </c>
      <c r="J519">
        <f>($B$1+Table4[[#This Row],[Home Differential]])-Table4[[#This Row],[Away Differential]]</f>
        <v>-0.12674086769426662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0.49443886645871804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0.25559205974754595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3.9572996236628868E-2</v>
      </c>
      <c r="H520" t="s">
        <v>55</v>
      </c>
      <c r="I520">
        <f>VLOOKUP(Table4[[#This Row],[Visitor]],'NHL Model'!$A$6:$B$38,2,FALSE)</f>
        <v>0.3142836898216293</v>
      </c>
      <c r="J520">
        <f>($B$1+Table4[[#This Row],[Home Differential]])-Table4[[#This Row],[Away Differential]]</f>
        <v>-0.2004930396801699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0.46760755535377929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0.21865682582393775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-0.19727709229606127</v>
      </c>
      <c r="H521" t="s">
        <v>31</v>
      </c>
      <c r="I521">
        <f>VLOOKUP(Table4[[#This Row],[Visitor]],'NHL Model'!$A$6:$B$38,2,FALSE)</f>
        <v>-6.6593655044643821E-4</v>
      </c>
      <c r="J521">
        <f>($B$1+Table4[[#This Row],[Home Differential]])-Table4[[#This Row],[Away Differential]]</f>
        <v>-0.12239350184078431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0.47320075056579247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0.22391895033602935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-8.5361594338821137E-2</v>
      </c>
      <c r="H522" t="s">
        <v>30</v>
      </c>
      <c r="I522">
        <f>VLOOKUP(Table4[[#This Row],[Visitor]],'NHL Model'!$A$6:$B$38,2,FALSE)</f>
        <v>0.16690670582810133</v>
      </c>
      <c r="J522">
        <f>($B$1+Table4[[#This Row],[Home Differential]])-Table4[[#This Row],[Away Differential]]</f>
        <v>-0.17805064626209194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0.22266936475635116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0.59379638322319717</v>
      </c>
      <c r="H523" t="s">
        <v>22</v>
      </c>
      <c r="I523">
        <f>VLOOKUP(Table4[[#This Row],[Visitor]],'NHL Model'!$A$6:$B$38,2,FALSE)</f>
        <v>0.45610704431993199</v>
      </c>
      <c r="J523">
        <f>($B$1+Table4[[#This Row],[Home Differential]])-Table4[[#This Row],[Away Differential]]</f>
        <v>0.21190699280809566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0.58513896473758276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0.17210967857900461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0.10902894471156278</v>
      </c>
      <c r="H524" t="s">
        <v>27</v>
      </c>
      <c r="I524">
        <f>VLOOKUP(Table4[[#This Row],[Visitor]],'NHL Model'!$A$6:$B$38,2,FALSE)</f>
        <v>0.17784181108472058</v>
      </c>
      <c r="J524">
        <f>($B$1+Table4[[#This Row],[Home Differential]])-Table4[[#This Row],[Away Differential]]</f>
        <v>5.4047875316727279E-3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0.28440165178664184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-6.2506340836952119E-3</v>
      </c>
      <c r="H525" t="s">
        <v>38</v>
      </c>
      <c r="I525">
        <f>VLOOKUP(Table4[[#This Row],[Visitor]],'NHL Model'!$A$6:$B$38,2,FALSE)</f>
        <v>-0.48278309788469043</v>
      </c>
      <c r="J525">
        <f>($B$1+Table4[[#This Row],[Home Differential]])-Table4[[#This Row],[Away Differential]]</f>
        <v>0.55075011770582571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0.55688858854258438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0.31012490004895182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3.9336367625328564E-2</v>
      </c>
      <c r="H526" t="s">
        <v>17</v>
      </c>
      <c r="I526">
        <f>VLOOKUP(Table4[[#This Row],[Visitor]],'NHL Model'!$A$6:$B$38,2,FALSE)</f>
        <v>7.1049614431123245E-2</v>
      </c>
      <c r="J526">
        <f>($B$1+Table4[[#This Row],[Home Differential]])-Table4[[#This Row],[Away Differential]]</f>
        <v>4.2504407099035843E-2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0.5445843126278973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0.29657207356039939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-0.2855111111085496</v>
      </c>
      <c r="H527" t="s">
        <v>12</v>
      </c>
      <c r="I527">
        <f>VLOOKUP(Table4[[#This Row],[Visitor]],'NHL Model'!$A$6:$B$38,2,FALSE)</f>
        <v>1.8591692540144091</v>
      </c>
      <c r="J527">
        <f>($B$1+Table4[[#This Row],[Home Differential]])-Table4[[#This Row],[Away Differential]]</f>
        <v>-2.070462711218128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5.3117235207890981E-2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-0.17930549805059143</v>
      </c>
      <c r="H528" t="s">
        <v>16</v>
      </c>
      <c r="I528">
        <f>VLOOKUP(Table4[[#This Row],[Visitor]],'NHL Model'!$A$6:$B$38,2,FALSE)</f>
        <v>-0.21926170023436534</v>
      </c>
      <c r="J528">
        <f>($B$1+Table4[[#This Row],[Home Differential]])-Table4[[#This Row],[Away Differential]]</f>
        <v>0.11417385608860443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0.20042255697686223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-7.3686276472912369E-4</v>
      </c>
      <c r="H529" t="s">
        <v>10</v>
      </c>
      <c r="I529">
        <f>VLOOKUP(Table4[[#This Row],[Visitor]],'NHL Model'!$A$6:$B$38,2,FALSE)</f>
        <v>-0.39984103039900787</v>
      </c>
      <c r="J529">
        <f>($B$1+Table4[[#This Row],[Home Differential]])-Table4[[#This Row],[Away Differential]]</f>
        <v>0.47332182153910929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0.61015555414740807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0.15197869196211447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-8.5361594338821137E-2</v>
      </c>
      <c r="H530" t="s">
        <v>55</v>
      </c>
      <c r="I530">
        <f>VLOOKUP(Table4[[#This Row],[Visitor]],'NHL Model'!$A$6:$B$38,2,FALSE)</f>
        <v>0.3142836898216293</v>
      </c>
      <c r="J530">
        <f>($B$1+Table4[[#This Row],[Home Differential]])-Table4[[#This Row],[Away Differential]]</f>
        <v>-0.32542763025561994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0.45466781808561807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0.29738718863150054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0.19285186127150866</v>
      </c>
      <c r="H531" t="s">
        <v>13</v>
      </c>
      <c r="I531">
        <f>VLOOKUP(Table4[[#This Row],[Visitor]],'NHL Model'!$A$6:$B$38,2,FALSE)</f>
        <v>1.584470710005189E-2</v>
      </c>
      <c r="J531">
        <f>($B$1+Table4[[#This Row],[Home Differential]])-Table4[[#This Row],[Away Differential]]</f>
        <v>0.25122480807628733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0.53547573876247623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0.21578278927826722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-0.3202921716073342</v>
      </c>
      <c r="H532" t="s">
        <v>25</v>
      </c>
      <c r="I532">
        <f>VLOOKUP(Table4[[#This Row],[Visitor]],'NHL Model'!$A$6:$B$38,2,FALSE)</f>
        <v>0.45392063308446812</v>
      </c>
      <c r="J532">
        <f>($B$1+Table4[[#This Row],[Home Differential]])-Table4[[#This Row],[Away Differential]]</f>
        <v>-0.69999515078697172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0.59290154848651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0.16572914922468138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-0.96065798985911643</v>
      </c>
      <c r="H533" t="s">
        <v>40</v>
      </c>
      <c r="I533">
        <f>VLOOKUP(Table4[[#This Row],[Visitor]],'NHL Model'!$A$6:$B$38,2,FALSE)</f>
        <v>-0.10659687498124908</v>
      </c>
      <c r="J533">
        <f>($B$1+Table4[[#This Row],[Home Differential]])-Table4[[#This Row],[Away Differential]]</f>
        <v>-0.77984346097303692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0.29605570604881365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0.14556378660539449</v>
      </c>
      <c r="H534" t="s">
        <v>24</v>
      </c>
      <c r="I534">
        <f>VLOOKUP(Table4[[#This Row],[Visitor]],'NHL Model'!$A$6:$B$38,2,FALSE)</f>
        <v>-6.1952588060713437E-2</v>
      </c>
      <c r="J534">
        <f>($B$1+Table4[[#This Row],[Home Differential]])-Table4[[#This Row],[Away Differential]]</f>
        <v>0.28173402857093843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0.53799609108297353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0.28943979402055914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3.9572996236628868E-2</v>
      </c>
      <c r="H535" t="s">
        <v>17</v>
      </c>
      <c r="I535">
        <f>VLOOKUP(Table4[[#This Row],[Visitor]],'NHL Model'!$A$6:$B$38,2,FALSE)</f>
        <v>7.1049614431123245E-2</v>
      </c>
      <c r="J535">
        <f>($B$1+Table4[[#This Row],[Home Differential]])-Table4[[#This Row],[Away Differential]]</f>
        <v>4.2741035710336148E-2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0.55862645470427186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0.31206351589546388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0.18511137883580026</v>
      </c>
      <c r="H536" t="s">
        <v>27</v>
      </c>
      <c r="I536">
        <f>VLOOKUP(Table4[[#This Row],[Visitor]],'NHL Model'!$A$6:$B$38,2,FALSE)</f>
        <v>0.17784181108472058</v>
      </c>
      <c r="J536">
        <f>($B$1+Table4[[#This Row],[Home Differential]])-Table4[[#This Row],[Away Differential]]</f>
        <v>8.1487221655910214E-2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0.17621745196871999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-0.19727709229606127</v>
      </c>
      <c r="H537" t="s">
        <v>34</v>
      </c>
      <c r="I537">
        <f>VLOOKUP(Table4[[#This Row],[Visitor]],'NHL Model'!$A$6:$B$38,2,FALSE)</f>
        <v>0.59379638322319717</v>
      </c>
      <c r="J537">
        <f>($B$1+Table4[[#This Row],[Home Differential]])-Table4[[#This Row],[Away Differential]]</f>
        <v>-0.71685582161442796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0.59472005605936062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0.16425183296052778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-0.21926170023436534</v>
      </c>
      <c r="H538" t="s">
        <v>32</v>
      </c>
      <c r="I538">
        <f>VLOOKUP(Table4[[#This Row],[Visitor]],'NHL Model'!$A$6:$B$38,2,FALSE)</f>
        <v>-0.2855111111085496</v>
      </c>
      <c r="J538">
        <f>($B$1+Table4[[#This Row],[Home Differential]])-Table4[[#This Row],[Away Differential]]</f>
        <v>0.14046706477901477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0.16504542672249647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0.10902894471156278</v>
      </c>
      <c r="H539" t="s">
        <v>10</v>
      </c>
      <c r="I539">
        <f>VLOOKUP(Table4[[#This Row],[Visitor]],'NHL Model'!$A$6:$B$38,2,FALSE)</f>
        <v>-0.39984103039900787</v>
      </c>
      <c r="J539">
        <f>($B$1+Table4[[#This Row],[Home Differential]])-Table4[[#This Row],[Away Differential]]</f>
        <v>0.58308762901540123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0.60288891348696383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0.15769721503156409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9.4361646617848058E-2</v>
      </c>
      <c r="H540" t="s">
        <v>14</v>
      </c>
      <c r="I540">
        <f>VLOOKUP(Table4[[#This Row],[Visitor]],'NHL Model'!$A$6:$B$38,2,FALSE)</f>
        <v>3.9336367625328564E-2</v>
      </c>
      <c r="J540">
        <f>($B$1+Table4[[#This Row],[Home Differential]])-Table4[[#This Row],[Away Differential]]</f>
        <v>0.12924293289735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0.2055264253342457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-0.17930549805059143</v>
      </c>
      <c r="H541" t="s">
        <v>39</v>
      </c>
      <c r="I541">
        <f>VLOOKUP(Table4[[#This Row],[Visitor]],'NHL Model'!$A$6:$B$38,2,FALSE)</f>
        <v>0.76796514781800074</v>
      </c>
      <c r="J541">
        <f>($B$1+Table4[[#This Row],[Home Differential]])-Table4[[#This Row],[Away Differential]]</f>
        <v>-0.87305299196376163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0.13818811996282263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-0.96065798985911643</v>
      </c>
      <c r="H542" t="s">
        <v>15</v>
      </c>
      <c r="I542">
        <f>VLOOKUP(Table4[[#This Row],[Visitor]],'NHL Model'!$A$6:$B$38,2,FALSE)</f>
        <v>-6.2506340836952119E-3</v>
      </c>
      <c r="J542">
        <f>($B$1+Table4[[#This Row],[Home Differential]])-Table4[[#This Row],[Away Differential]]</f>
        <v>-0.88018970187059076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0.61422068998628365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0.14882567603465907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0.79636680320115127</v>
      </c>
      <c r="H543" t="s">
        <v>13</v>
      </c>
      <c r="I543">
        <f>VLOOKUP(Table4[[#This Row],[Visitor]],'NHL Model'!$A$6:$B$38,2,FALSE)</f>
        <v>1.584470710005189E-2</v>
      </c>
      <c r="J543">
        <f>($B$1+Table4[[#This Row],[Home Differential]])-Table4[[#This Row],[Away Differential]]</f>
        <v>0.85473975000592983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0.60438307367086086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0.36527889973983724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0.45610704431993199</v>
      </c>
      <c r="H544" t="s">
        <v>19</v>
      </c>
      <c r="I544">
        <f>VLOOKUP(Table4[[#This Row],[Visitor]],'NHL Model'!$A$6:$B$38,2,FALSE)</f>
        <v>-7.3686276472912369E-4</v>
      </c>
      <c r="J544">
        <f>($B$1+Table4[[#This Row],[Home Differential]])-Table4[[#This Row],[Away Differential]]</f>
        <v>0.53106156098949164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0.15109215023857248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-6.6593655044643821E-4</v>
      </c>
      <c r="H545" t="s">
        <v>39</v>
      </c>
      <c r="I545">
        <f>VLOOKUP(Table4[[#This Row],[Visitor]],'NHL Model'!$A$6:$B$38,2,FALSE)</f>
        <v>0.76796514781800074</v>
      </c>
      <c r="J545">
        <f>($B$1+Table4[[#This Row],[Home Differential]])-Table4[[#This Row],[Away Differential]]</f>
        <v>-0.6944134304636167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0.17413223162652766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1.8591692540144091</v>
      </c>
      <c r="H546" t="s">
        <v>40</v>
      </c>
      <c r="I546">
        <f>VLOOKUP(Table4[[#This Row],[Visitor]],'NHL Model'!$A$6:$B$38,2,FALSE)</f>
        <v>-0.10659687498124908</v>
      </c>
      <c r="J546">
        <f>($B$1+Table4[[#This Row],[Home Differential]])-Table4[[#This Row],[Away Differential]]</f>
        <v>2.0399837829004888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1.4286679401073537E-2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0.19285186127150866</v>
      </c>
      <c r="H547" t="s">
        <v>25</v>
      </c>
      <c r="I547">
        <f>VLOOKUP(Table4[[#This Row],[Visitor]],'NHL Model'!$A$6:$B$38,2,FALSE)</f>
        <v>0.45392063308446812</v>
      </c>
      <c r="J547">
        <f>($B$1+Table4[[#This Row],[Home Differential]])-Table4[[#This Row],[Away Differential]]</f>
        <v>-0.18685111790812892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0.53678687732441355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0.28814015166769502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0.16690670582810133</v>
      </c>
      <c r="H548" t="s">
        <v>38</v>
      </c>
      <c r="I548">
        <f>VLOOKUP(Table4[[#This Row],[Visitor]],'NHL Model'!$A$6:$B$38,2,FALSE)</f>
        <v>-0.48278309788469043</v>
      </c>
      <c r="J548">
        <f>($B$1+Table4[[#This Row],[Home Differential]])-Table4[[#This Row],[Away Differential]]</f>
        <v>0.72390745761762232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0.5780770354390079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0.33417305890195198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0.3142836898216293</v>
      </c>
      <c r="H549" t="s">
        <v>24</v>
      </c>
      <c r="I549">
        <f>VLOOKUP(Table4[[#This Row],[Visitor]],'NHL Model'!$A$6:$B$38,2,FALSE)</f>
        <v>-6.1952588060713437E-2</v>
      </c>
      <c r="J549">
        <f>($B$1+Table4[[#This Row],[Home Differential]])-Table4[[#This Row],[Away Differential]]</f>
        <v>0.4504539317871733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0.55619337545138259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0.30935107089600261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-6.6593655044643821E-4</v>
      </c>
      <c r="H550" t="s">
        <v>28</v>
      </c>
      <c r="I550">
        <f>VLOOKUP(Table4[[#This Row],[Visitor]],'NHL Model'!$A$6:$B$38,2,FALSE)</f>
        <v>-0.19727709229606127</v>
      </c>
      <c r="J550">
        <f>($B$1+Table4[[#This Row],[Home Differential]])-Table4[[#This Row],[Away Differential]]</f>
        <v>0.27082880965044537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0.59524797584101907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0.16382420106079229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3.9572996236628868E-2</v>
      </c>
      <c r="H551" t="s">
        <v>38</v>
      </c>
      <c r="I551">
        <f>VLOOKUP(Table4[[#This Row],[Visitor]],'NHL Model'!$A$6:$B$38,2,FALSE)</f>
        <v>-0.48278309788469043</v>
      </c>
      <c r="J551">
        <f>($B$1+Table4[[#This Row],[Home Differential]])-Table4[[#This Row],[Away Differential]]</f>
        <v>0.59657374802614982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0.57597136576622798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0.33174301418261398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0.18511137883580026</v>
      </c>
      <c r="H552" t="s">
        <v>30</v>
      </c>
      <c r="I552">
        <f>VLOOKUP(Table4[[#This Row],[Visitor]],'NHL Model'!$A$6:$B$38,2,FALSE)</f>
        <v>0.16690670582810133</v>
      </c>
      <c r="J552">
        <f>($B$1+Table4[[#This Row],[Home Differential]])-Table4[[#This Row],[Away Differential]]</f>
        <v>9.2422326912529468E-2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0.19764892669237563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-0.21926170023436534</v>
      </c>
      <c r="H553" t="s">
        <v>20</v>
      </c>
      <c r="I553">
        <f>VLOOKUP(Table4[[#This Row],[Visitor]],'NHL Model'!$A$6:$B$38,2,FALSE)</f>
        <v>0.14556378660539449</v>
      </c>
      <c r="J553">
        <f>($B$1+Table4[[#This Row],[Home Differential]])-Table4[[#This Row],[Away Differential]]</f>
        <v>-0.29060783293492931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0.22392199871116289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0.19285186127150866</v>
      </c>
      <c r="H554" t="s">
        <v>35</v>
      </c>
      <c r="I554">
        <f>VLOOKUP(Table4[[#This Row],[Visitor]],'NHL Model'!$A$6:$B$38,2,FALSE)</f>
        <v>-0.96065798985911643</v>
      </c>
      <c r="J554">
        <f>($B$1+Table4[[#This Row],[Home Differential]])-Table4[[#This Row],[Away Differential]]</f>
        <v>1.2277275050354557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0.67318193530029591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0.45317391801465179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0.59379638322319717</v>
      </c>
      <c r="H555" t="s">
        <v>17</v>
      </c>
      <c r="I555">
        <f>VLOOKUP(Table4[[#This Row],[Visitor]],'NHL Model'!$A$6:$B$38,2,FALSE)</f>
        <v>7.1049614431123245E-2</v>
      </c>
      <c r="J555">
        <f>($B$1+Table4[[#This Row],[Home Differential]])-Table4[[#This Row],[Away Differential]]</f>
        <v>0.59696442269690442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0.62666933202848329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0.13937578764805886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0.10902894471156278</v>
      </c>
      <c r="H556" t="s">
        <v>14</v>
      </c>
      <c r="I556">
        <f>VLOOKUP(Table4[[#This Row],[Visitor]],'NHL Model'!$A$6:$B$38,2,FALSE)</f>
        <v>3.9336367625328564E-2</v>
      </c>
      <c r="J556">
        <f>($B$1+Table4[[#This Row],[Home Differential]])-Table4[[#This Row],[Away Differential]]</f>
        <v>0.14391023099106476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0.54823171766099987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0.20409458092753052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-0.3202921716073342</v>
      </c>
      <c r="H557" t="s">
        <v>19</v>
      </c>
      <c r="I557">
        <f>VLOOKUP(Table4[[#This Row],[Visitor]],'NHL Model'!$A$6:$B$38,2,FALSE)</f>
        <v>-7.3686276472912369E-4</v>
      </c>
      <c r="J557">
        <f>($B$1+Table4[[#This Row],[Home Differential]])-Table4[[#This Row],[Away Differential]]</f>
        <v>-0.24533765493777454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0.48646089162023493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0.23664419907595394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-6.2506340836952119E-3</v>
      </c>
      <c r="H558" t="s">
        <v>27</v>
      </c>
      <c r="I558">
        <f>VLOOKUP(Table4[[#This Row],[Visitor]],'NHL Model'!$A$6:$B$38,2,FALSE)</f>
        <v>0.17784181108472058</v>
      </c>
      <c r="J558">
        <f>($B$1+Table4[[#This Row],[Home Differential]])-Table4[[#This Row],[Away Differential]]</f>
        <v>-0.10987479126358526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0.22957539327738369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9.4361646617848058E-2</v>
      </c>
      <c r="H559" t="s">
        <v>10</v>
      </c>
      <c r="I559">
        <f>VLOOKUP(Table4[[#This Row],[Visitor]],'NHL Model'!$A$6:$B$38,2,FALSE)</f>
        <v>-0.39984103039900787</v>
      </c>
      <c r="J559">
        <f>($B$1+Table4[[#This Row],[Home Differential]])-Table4[[#This Row],[Away Differential]]</f>
        <v>0.56842033092168642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0.60130697212000206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0.15895613048012081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-0.17930549805059143</v>
      </c>
      <c r="H560" t="s">
        <v>32</v>
      </c>
      <c r="I560">
        <f>VLOOKUP(Table4[[#This Row],[Visitor]],'NHL Model'!$A$6:$B$38,2,FALSE)</f>
        <v>-0.2855111111085496</v>
      </c>
      <c r="J560">
        <f>($B$1+Table4[[#This Row],[Home Differential]])-Table4[[#This Row],[Away Differential]]</f>
        <v>0.18042326696278871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0.55945955061028829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0.31299498876906573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0.79636680320115127</v>
      </c>
      <c r="H561" t="s">
        <v>25</v>
      </c>
      <c r="I561">
        <f>VLOOKUP(Table4[[#This Row],[Visitor]],'NHL Model'!$A$6:$B$38,2,FALSE)</f>
        <v>0.45392063308446812</v>
      </c>
      <c r="J561">
        <f>($B$1+Table4[[#This Row],[Home Differential]])-Table4[[#This Row],[Away Differential]]</f>
        <v>0.41666382402151364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0.21891285290888729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0.45610704431993199</v>
      </c>
      <c r="H562" t="s">
        <v>26</v>
      </c>
      <c r="I562">
        <f>VLOOKUP(Table4[[#This Row],[Visitor]],'NHL Model'!$A$6:$B$38,2,FALSE)</f>
        <v>-8.5361594338821137E-2</v>
      </c>
      <c r="J562">
        <f>($B$1+Table4[[#This Row],[Home Differential]])-Table4[[#This Row],[Away Differential]]</f>
        <v>0.61568629256358365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0.59973817552407371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0.35968587918094463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3.9572996236628868E-2</v>
      </c>
      <c r="H563" t="s">
        <v>36</v>
      </c>
      <c r="I563">
        <f>VLOOKUP(Table4[[#This Row],[Visitor]],'NHL Model'!$A$6:$B$38,2,FALSE)</f>
        <v>9.4361646617848058E-2</v>
      </c>
      <c r="J563">
        <f>($B$1+Table4[[#This Row],[Home Differential]])-Table4[[#This Row],[Away Differential]]</f>
        <v>1.9429003523611335E-2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0.2866840517172155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0.76796514781800074</v>
      </c>
      <c r="H564" t="s">
        <v>19</v>
      </c>
      <c r="I564">
        <f>VLOOKUP(Table4[[#This Row],[Visitor]],'NHL Model'!$A$6:$B$38,2,FALSE)</f>
        <v>-7.3686276472912369E-4</v>
      </c>
      <c r="J564">
        <f>($B$1+Table4[[#This Row],[Home Differential]])-Table4[[#This Row],[Away Differential]]</f>
        <v>0.84291966448756039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0.65695083230066831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0.1176827314592042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-8.5361594338821137E-2</v>
      </c>
      <c r="H565" t="s">
        <v>22</v>
      </c>
      <c r="I565">
        <f>VLOOKUP(Table4[[#This Row],[Visitor]],'NHL Model'!$A$6:$B$38,2,FALSE)</f>
        <v>0.45610704431993199</v>
      </c>
      <c r="J565">
        <f>($B$1+Table4[[#This Row],[Home Differential]])-Table4[[#This Row],[Away Differential]]</f>
        <v>-0.46725098475392257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0.22086632608276727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7.1049614431123245E-2</v>
      </c>
      <c r="H566" t="s">
        <v>20</v>
      </c>
      <c r="I566">
        <f>VLOOKUP(Table4[[#This Row],[Visitor]],'NHL Model'!$A$6:$B$38,2,FALSE)</f>
        <v>0.14556378660539449</v>
      </c>
      <c r="J566">
        <f>($B$1+Table4[[#This Row],[Home Differential]])-Table4[[#This Row],[Away Differential]]</f>
        <v>-2.9651826944071535E-4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0.21113238383396513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0.59379638322319717</v>
      </c>
      <c r="H567" t="s">
        <v>12</v>
      </c>
      <c r="I567">
        <f>VLOOKUP(Table4[[#This Row],[Visitor]],'NHL Model'!$A$6:$B$38,2,FALSE)</f>
        <v>1.8591692540144091</v>
      </c>
      <c r="J567">
        <f>($B$1+Table4[[#This Row],[Home Differential]])-Table4[[#This Row],[Away Differential]]</f>
        <v>-1.1911552168863815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0.12090811064498158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-6.1952588060713437E-2</v>
      </c>
      <c r="H568" t="s">
        <v>23</v>
      </c>
      <c r="I568">
        <f>VLOOKUP(Table4[[#This Row],[Visitor]],'NHL Model'!$A$6:$B$38,2,FALSE)</f>
        <v>0.18511137883580026</v>
      </c>
      <c r="J568">
        <f>($B$1+Table4[[#This Row],[Home Differential]])-Table4[[#This Row],[Away Differential]]</f>
        <v>-0.17284631299168318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0.27181381143899858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-0.3202921716073342</v>
      </c>
      <c r="H569" t="s">
        <v>15</v>
      </c>
      <c r="I569">
        <f>VLOOKUP(Table4[[#This Row],[Visitor]],'NHL Model'!$A$6:$B$38,2,FALSE)</f>
        <v>-6.2506340836952119E-3</v>
      </c>
      <c r="J569">
        <f>($B$1+Table4[[#This Row],[Home Differential]])-Table4[[#This Row],[Away Differential]]</f>
        <v>-0.23982388361880844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0.54515403766843551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0.29719292478619802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3.9336367625328564E-2</v>
      </c>
      <c r="H570" t="s">
        <v>18</v>
      </c>
      <c r="I570">
        <f>VLOOKUP(Table4[[#This Row],[Visitor]],'NHL Model'!$A$6:$B$38,2,FALSE)</f>
        <v>0.10902894471156278</v>
      </c>
      <c r="J570">
        <f>($B$1+Table4[[#This Row],[Home Differential]])-Table4[[#This Row],[Away Differential]]</f>
        <v>4.5250768185963047E-3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0.27649480935051157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0.3142836898216293</v>
      </c>
      <c r="H571" t="s">
        <v>40</v>
      </c>
      <c r="I571">
        <f>VLOOKUP(Table4[[#This Row],[Visitor]],'NHL Model'!$A$6:$B$38,2,FALSE)</f>
        <v>-0.10659687498124908</v>
      </c>
      <c r="J571">
        <f>($B$1+Table4[[#This Row],[Home Differential]])-Table4[[#This Row],[Away Differential]]</f>
        <v>0.49509821870770893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0.16532452278809837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-6.6593655044643821E-4</v>
      </c>
      <c r="H572" t="s">
        <v>32</v>
      </c>
      <c r="I572">
        <f>VLOOKUP(Table4[[#This Row],[Visitor]],'NHL Model'!$A$6:$B$38,2,FALSE)</f>
        <v>-0.2855111111085496</v>
      </c>
      <c r="J572">
        <f>($B$1+Table4[[#This Row],[Home Differential]])-Table4[[#This Row],[Away Differential]]</f>
        <v>0.35906282846293369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0.36574004666686466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1.584470710005189E-2</v>
      </c>
      <c r="H573" t="s">
        <v>28</v>
      </c>
      <c r="I573">
        <f>VLOOKUP(Table4[[#This Row],[Visitor]],'NHL Model'!$A$6:$B$38,2,FALSE)</f>
        <v>-0.19727709229606127</v>
      </c>
      <c r="J573">
        <f>($B$1+Table4[[#This Row],[Home Differential]])-Table4[[#This Row],[Away Differential]]</f>
        <v>0.28733945330094368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0.57099099538528753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0.32603071681108142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0.17784181108472058</v>
      </c>
      <c r="H574" t="s">
        <v>38</v>
      </c>
      <c r="I574">
        <f>VLOOKUP(Table4[[#This Row],[Visitor]],'NHL Model'!$A$6:$B$38,2,FALSE)</f>
        <v>-0.48278309788469043</v>
      </c>
      <c r="J574">
        <f>($B$1+Table4[[#This Row],[Home Differential]])-Table4[[#This Row],[Away Differential]]</f>
        <v>0.73484256287424154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0.58133112996174641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0.17528362273910808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0.79636680320115127</v>
      </c>
      <c r="H575" t="s">
        <v>35</v>
      </c>
      <c r="I575">
        <f>VLOOKUP(Table4[[#This Row],[Visitor]],'NHL Model'!$A$6:$B$38,2,FALSE)</f>
        <v>-0.96065798985911643</v>
      </c>
      <c r="J575">
        <f>($B$1+Table4[[#This Row],[Home Differential]])-Table4[[#This Row],[Away Differential]]</f>
        <v>1.8312424469650983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0.7420631009561871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6.6531443888338121E-2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3.9572996236628868E-2</v>
      </c>
      <c r="H576" t="s">
        <v>18</v>
      </c>
      <c r="I576">
        <f>VLOOKUP(Table4[[#This Row],[Visitor]],'NHL Model'!$A$6:$B$38,2,FALSE)</f>
        <v>0.10902894471156278</v>
      </c>
      <c r="J576">
        <f>($B$1+Table4[[#This Row],[Home Differential]])-Table4[[#This Row],[Away Differential]]</f>
        <v>4.7617054298966094E-3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0.23845491033469612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0.45392063308446812</v>
      </c>
      <c r="H577" t="s">
        <v>11</v>
      </c>
      <c r="I577">
        <f>VLOOKUP(Table4[[#This Row],[Visitor]],'NHL Model'!$A$6:$B$38,2,FALSE)</f>
        <v>0.19285186127150866</v>
      </c>
      <c r="J577">
        <f>($B$1+Table4[[#This Row],[Home Differential]])-Table4[[#This Row],[Away Differential]]</f>
        <v>0.33528642571778999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0.32873297288242809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-0.39984103039900787</v>
      </c>
      <c r="H578" t="s">
        <v>27</v>
      </c>
      <c r="I578">
        <f>VLOOKUP(Table4[[#This Row],[Visitor]],'NHL Model'!$A$6:$B$38,2,FALSE)</f>
        <v>0.17784181108472058</v>
      </c>
      <c r="J578">
        <f>($B$1+Table4[[#This Row],[Home Differential]])-Table4[[#This Row],[Away Differential]]</f>
        <v>-0.50346518757889791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0.52159095506622077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0.22887521427445079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1.8591692540144091</v>
      </c>
      <c r="H579" t="s">
        <v>55</v>
      </c>
      <c r="I579">
        <f>VLOOKUP(Table4[[#This Row],[Visitor]],'NHL Model'!$A$6:$B$38,2,FALSE)</f>
        <v>0.3142836898216293</v>
      </c>
      <c r="J579">
        <f>($B$1+Table4[[#This Row],[Home Differential]])-Table4[[#This Row],[Away Differential]]</f>
        <v>1.6191032180976104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2.719892620428906E-2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-8.5361594338821137E-2</v>
      </c>
      <c r="H580" t="s">
        <v>39</v>
      </c>
      <c r="I580">
        <f>VLOOKUP(Table4[[#This Row],[Visitor]],'NHL Model'!$A$6:$B$38,2,FALSE)</f>
        <v>0.76796514781800074</v>
      </c>
      <c r="J580">
        <f>($B$1+Table4[[#This Row],[Home Differential]])-Table4[[#This Row],[Away Differential]]</f>
        <v>-0.77910908825199132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0.57713425532749407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0.33308394867242114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7.1049614431123245E-2</v>
      </c>
      <c r="H581" t="s">
        <v>16</v>
      </c>
      <c r="I581">
        <f>VLOOKUP(Table4[[#This Row],[Visitor]],'NHL Model'!$A$6:$B$38,2,FALSE)</f>
        <v>-0.21926170023436534</v>
      </c>
      <c r="J581">
        <f>($B$1+Table4[[#This Row],[Home Differential]])-Table4[[#This Row],[Away Differential]]</f>
        <v>0.36452896857031913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0.15961343534972303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1.584470710005189E-2</v>
      </c>
      <c r="H582" t="s">
        <v>32</v>
      </c>
      <c r="I582">
        <f>VLOOKUP(Table4[[#This Row],[Visitor]],'NHL Model'!$A$6:$B$38,2,FALSE)</f>
        <v>-0.2855111111085496</v>
      </c>
      <c r="J582">
        <f>($B$1+Table4[[#This Row],[Home Differential]])-Table4[[#This Row],[Away Differential]]</f>
        <v>0.37557347211343201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0.33698892861169566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0.59379638322319717</v>
      </c>
      <c r="H583" t="s">
        <v>29</v>
      </c>
      <c r="I583">
        <f>VLOOKUP(Table4[[#This Row],[Visitor]],'NHL Model'!$A$6:$B$38,2,FALSE)</f>
        <v>-0.3202921716073342</v>
      </c>
      <c r="J583">
        <f>($B$1+Table4[[#This Row],[Home Differential]])-Table4[[#This Row],[Away Differential]]</f>
        <v>0.98830620873536179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0.44739710802954008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0.16690670582810133</v>
      </c>
      <c r="H584" t="s">
        <v>24</v>
      </c>
      <c r="I584">
        <f>VLOOKUP(Table4[[#This Row],[Visitor]],'NHL Model'!$A$6:$B$38,2,FALSE)</f>
        <v>-6.1952588060713437E-2</v>
      </c>
      <c r="J584">
        <f>($B$1+Table4[[#This Row],[Home Differential]])-Table4[[#This Row],[Away Differential]]</f>
        <v>0.30307694779364525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0.20902286044181423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9.4361646617848058E-2</v>
      </c>
      <c r="H585" t="s">
        <v>23</v>
      </c>
      <c r="I585">
        <f>VLOOKUP(Table4[[#This Row],[Visitor]],'NHL Model'!$A$6:$B$38,2,FALSE)</f>
        <v>0.18511137883580026</v>
      </c>
      <c r="J585">
        <f>($B$1+Table4[[#This Row],[Home Differential]])-Table4[[#This Row],[Away Differential]]</f>
        <v>-1.6532078313121673E-2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0.28967746672167988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-7.3686276472912369E-4</v>
      </c>
      <c r="H586" t="s">
        <v>14</v>
      </c>
      <c r="I586">
        <f>VLOOKUP(Table4[[#This Row],[Visitor]],'NHL Model'!$A$6:$B$38,2,FALSE)</f>
        <v>3.9336367625328564E-2</v>
      </c>
      <c r="J586">
        <f>($B$1+Table4[[#This Row],[Home Differential]])-Table4[[#This Row],[Away Differential]]</f>
        <v>3.4144423514772843E-2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0.19753592111952656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0.14556378660539449</v>
      </c>
      <c r="H587" t="s">
        <v>33</v>
      </c>
      <c r="I587">
        <f>VLOOKUP(Table4[[#This Row],[Visitor]],'NHL Model'!$A$6:$B$38,2,FALSE)</f>
        <v>-0.17930549805059143</v>
      </c>
      <c r="J587">
        <f>($B$1+Table4[[#This Row],[Home Differential]])-Table4[[#This Row],[Away Differential]]</f>
        <v>0.39908693856081645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0.17998483799670539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0.45610704431993199</v>
      </c>
      <c r="H588" t="s">
        <v>15</v>
      </c>
      <c r="I588">
        <f>VLOOKUP(Table4[[#This Row],[Visitor]],'NHL Model'!$A$6:$B$38,2,FALSE)</f>
        <v>-6.2506340836952119E-3</v>
      </c>
      <c r="J588">
        <f>($B$1+Table4[[#This Row],[Home Differential]])-Table4[[#This Row],[Away Differential]]</f>
        <v>0.53657533230845766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0.30549684568899921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0.18511137883580026</v>
      </c>
      <c r="H589" t="s">
        <v>21</v>
      </c>
      <c r="I589">
        <f>VLOOKUP(Table4[[#This Row],[Visitor]],'NHL Model'!$A$6:$B$38,2,FALSE)</f>
        <v>3.9572996236628868E-2</v>
      </c>
      <c r="J589">
        <f>($B$1+Table4[[#This Row],[Home Differential]])-Table4[[#This Row],[Away Differential]]</f>
        <v>0.21975603650400194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0.15817015879299762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0.45392063308446812</v>
      </c>
      <c r="H590" t="s">
        <v>26</v>
      </c>
      <c r="I590">
        <f>VLOOKUP(Table4[[#This Row],[Visitor]],'NHL Model'!$A$6:$B$38,2,FALSE)</f>
        <v>-8.5361594338821137E-2</v>
      </c>
      <c r="J590">
        <f>($B$1+Table4[[#This Row],[Home Differential]])-Table4[[#This Row],[Away Differential]]</f>
        <v>0.61349988132811983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0.14488641664358004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-0.21926170023436534</v>
      </c>
      <c r="H591" t="s">
        <v>17</v>
      </c>
      <c r="I591">
        <f>VLOOKUP(Table4[[#This Row],[Visitor]],'NHL Model'!$A$6:$B$38,2,FALSE)</f>
        <v>7.1049614431123245E-2</v>
      </c>
      <c r="J591">
        <f>($B$1+Table4[[#This Row],[Home Differential]])-Table4[[#This Row],[Away Differential]]</f>
        <v>-0.21609366076065806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0.19777115389279437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0.76796514781800074</v>
      </c>
      <c r="H592" t="s">
        <v>10</v>
      </c>
      <c r="I592">
        <f>VLOOKUP(Table4[[#This Row],[Visitor]],'NHL Model'!$A$6:$B$38,2,FALSE)</f>
        <v>-0.39984103039900787</v>
      </c>
      <c r="J592">
        <f>($B$1+Table4[[#This Row],[Home Differential]])-Table4[[#This Row],[Away Differential]]</f>
        <v>1.2420238321218391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0.48999469460948297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0.19285186127150866</v>
      </c>
      <c r="H593" t="s">
        <v>37</v>
      </c>
      <c r="I593">
        <f>VLOOKUP(Table4[[#This Row],[Visitor]],'NHL Model'!$A$6:$B$38,2,FALSE)</f>
        <v>0.79636680320115127</v>
      </c>
      <c r="J593">
        <f>($B$1+Table4[[#This Row],[Home Differential]])-Table4[[#This Row],[Away Differential]]</f>
        <v>-0.52929728802481213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0.15797293969218301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1.584470710005189E-2</v>
      </c>
      <c r="H594" t="s">
        <v>31</v>
      </c>
      <c r="I594">
        <f>VLOOKUP(Table4[[#This Row],[Visitor]],'NHL Model'!$A$6:$B$38,2,FALSE)</f>
        <v>-6.6593655044643821E-4</v>
      </c>
      <c r="J594">
        <f>($B$1+Table4[[#This Row],[Home Differential]])-Table4[[#This Row],[Away Differential]]</f>
        <v>9.0728297555328852E-2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0.20269309591443532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-6.1952588060713437E-2</v>
      </c>
      <c r="H595" t="s">
        <v>22</v>
      </c>
      <c r="I595">
        <f>VLOOKUP(Table4[[#This Row],[Visitor]],'NHL Model'!$A$6:$B$38,2,FALSE)</f>
        <v>0.45610704431993199</v>
      </c>
      <c r="J595">
        <f>($B$1+Table4[[#This Row],[Home Differential]])-Table4[[#This Row],[Away Differential]]</f>
        <v>-0.44384197847581491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0.24219137144053224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0.16690670582810133</v>
      </c>
      <c r="H596" t="s">
        <v>15</v>
      </c>
      <c r="I596">
        <f>VLOOKUP(Table4[[#This Row],[Visitor]],'NHL Model'!$A$6:$B$38,2,FALSE)</f>
        <v>-6.2506340836952119E-3</v>
      </c>
      <c r="J596">
        <f>($B$1+Table4[[#This Row],[Home Differential]])-Table4[[#This Row],[Away Differential]]</f>
        <v>0.24737499381662706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0.24019594638397615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-0.96065798985911643</v>
      </c>
      <c r="H597" t="s">
        <v>29</v>
      </c>
      <c r="I597">
        <f>VLOOKUP(Table4[[#This Row],[Visitor]],'NHL Model'!$A$6:$B$38,2,FALSE)</f>
        <v>-0.3202921716073342</v>
      </c>
      <c r="J597">
        <f>($B$1+Table4[[#This Row],[Home Differential]])-Table4[[#This Row],[Away Differential]]</f>
        <v>-0.5661481643469517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0.27150551155671471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-7.3686276472912369E-4</v>
      </c>
      <c r="H598" t="s">
        <v>36</v>
      </c>
      <c r="I598">
        <f>VLOOKUP(Table4[[#This Row],[Visitor]],'NHL Model'!$A$6:$B$38,2,FALSE)</f>
        <v>9.4361646617848058E-2</v>
      </c>
      <c r="J598">
        <f>($B$1+Table4[[#This Row],[Home Differential]])-Table4[[#This Row],[Away Differential]]</f>
        <v>-2.0880855477746652E-2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0.21510168921066272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-0.48278309788469043</v>
      </c>
      <c r="H599" t="s">
        <v>33</v>
      </c>
      <c r="I599">
        <f>VLOOKUP(Table4[[#This Row],[Visitor]],'NHL Model'!$A$6:$B$38,2,FALSE)</f>
        <v>-0.17930549805059143</v>
      </c>
      <c r="J599">
        <f>($B$1+Table4[[#This Row],[Home Differential]])-Table4[[#This Row],[Away Differential]]</f>
        <v>-0.22925994592926846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0.25804718545677796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0.14556378660539449</v>
      </c>
      <c r="H600" t="s">
        <v>12</v>
      </c>
      <c r="I600">
        <f>VLOOKUP(Table4[[#This Row],[Visitor]],'NHL Model'!$A$6:$B$38,2,FALSE)</f>
        <v>1.8591692540144091</v>
      </c>
      <c r="J600">
        <f>($B$1+Table4[[#This Row],[Home Differential]])-Table4[[#This Row],[Away Differential]]</f>
        <v>-1.6393878135041842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7.6709803818060168E-2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-0.10659687498124908</v>
      </c>
      <c r="H601" t="s">
        <v>34</v>
      </c>
      <c r="I601">
        <f>VLOOKUP(Table4[[#This Row],[Visitor]],'NHL Model'!$A$6:$B$38,2,FALSE)</f>
        <v>0.59379638322319717</v>
      </c>
      <c r="J601">
        <f>($B$1+Table4[[#This Row],[Home Differential]])-Table4[[#This Row],[Away Differential]]</f>
        <v>-0.62617560429961572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0.17227501806400461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-0.19727709229606127</v>
      </c>
      <c r="H602" t="s">
        <v>30</v>
      </c>
      <c r="I602">
        <f>VLOOKUP(Table4[[#This Row],[Visitor]],'NHL Model'!$A$6:$B$38,2,FALSE)</f>
        <v>0.16690670582810133</v>
      </c>
      <c r="J602">
        <f>($B$1+Table4[[#This Row],[Home Differential]])-Table4[[#This Row],[Away Differential]]</f>
        <v>-0.28996614421933209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0.27547561860081027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-0.39984103039900787</v>
      </c>
      <c r="H603" t="s">
        <v>14</v>
      </c>
      <c r="I603">
        <f>VLOOKUP(Table4[[#This Row],[Visitor]],'NHL Model'!$A$6:$B$38,2,FALSE)</f>
        <v>3.9336367625328564E-2</v>
      </c>
      <c r="J603">
        <f>($B$1+Table4[[#This Row],[Home Differential]])-Table4[[#This Row],[Away Differential]]</f>
        <v>-0.36495974411950588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0.50665245111287893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0.24339180399293031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-8.5361594338821137E-2</v>
      </c>
      <c r="H604" t="s">
        <v>19</v>
      </c>
      <c r="I604">
        <f>VLOOKUP(Table4[[#This Row],[Visitor]],'NHL Model'!$A$6:$B$38,2,FALSE)</f>
        <v>-7.3686276472912369E-4</v>
      </c>
      <c r="J604">
        <f>($B$1+Table4[[#This Row],[Home Differential]])-Table4[[#This Row],[Away Differential]]</f>
        <v>-1.0407077669261489E-2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0.17698115127337147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-0.2855111111085496</v>
      </c>
      <c r="H605" t="s">
        <v>27</v>
      </c>
      <c r="I605">
        <f>VLOOKUP(Table4[[#This Row],[Visitor]],'NHL Model'!$A$6:$B$38,2,FALSE)</f>
        <v>0.17784181108472058</v>
      </c>
      <c r="J605">
        <f>($B$1+Table4[[#This Row],[Home Differential]])-Table4[[#This Row],[Away Differential]]</f>
        <v>-0.38913526828843964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0.50925990215849515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0.25934564794648007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0.79636680320115127</v>
      </c>
      <c r="H606" t="s">
        <v>18</v>
      </c>
      <c r="I606">
        <f>VLOOKUP(Table4[[#This Row],[Visitor]],'NHL Model'!$A$6:$B$38,2,FALSE)</f>
        <v>0.10902894471156278</v>
      </c>
      <c r="J606">
        <f>($B$1+Table4[[#This Row],[Home Differential]])-Table4[[#This Row],[Away Differential]]</f>
        <v>0.76155551239441899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0.19324953526886265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-6.6593655044643821E-4</v>
      </c>
      <c r="H607" t="s">
        <v>33</v>
      </c>
      <c r="I607">
        <f>VLOOKUP(Table4[[#This Row],[Visitor]],'NHL Model'!$A$6:$B$38,2,FALSE)</f>
        <v>-0.17930549805059143</v>
      </c>
      <c r="J607">
        <f>($B$1+Table4[[#This Row],[Home Differential]])-Table4[[#This Row],[Away Differential]]</f>
        <v>0.25285721540497552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0.34350786852907644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0.45392063308446812</v>
      </c>
      <c r="H608" t="s">
        <v>15</v>
      </c>
      <c r="I608">
        <f>VLOOKUP(Table4[[#This Row],[Visitor]],'NHL Model'!$A$6:$B$38,2,FALSE)</f>
        <v>-6.2506340836952119E-3</v>
      </c>
      <c r="J608">
        <f>($B$1+Table4[[#This Row],[Home Differential]])-Table4[[#This Row],[Away Differential]]</f>
        <v>0.53438892107299385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0.18276651038406297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-0.21926170023436534</v>
      </c>
      <c r="H609" t="s">
        <v>21</v>
      </c>
      <c r="I609">
        <f>VLOOKUP(Table4[[#This Row],[Visitor]],'NHL Model'!$A$6:$B$38,2,FALSE)</f>
        <v>3.9572996236628868E-2</v>
      </c>
      <c r="J609">
        <f>($B$1+Table4[[#This Row],[Home Differential]])-Table4[[#This Row],[Away Differential]]</f>
        <v>-0.18461704256616368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0.44131977768354491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0.19476314617465351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1.8591692540144091</v>
      </c>
      <c r="H610" t="s">
        <v>13</v>
      </c>
      <c r="I610">
        <f>VLOOKUP(Table4[[#This Row],[Visitor]],'NHL Model'!$A$6:$B$38,2,FALSE)</f>
        <v>1.584470710005189E-2</v>
      </c>
      <c r="J610">
        <f>($B$1+Table4[[#This Row],[Home Differential]])-Table4[[#This Row],[Away Differential]]</f>
        <v>1.9175422008191878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0.83755855452693417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2.6387223207379018E-2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0.19285186127150866</v>
      </c>
      <c r="H611" t="s">
        <v>22</v>
      </c>
      <c r="I611">
        <f>VLOOKUP(Table4[[#This Row],[Visitor]],'NHL Model'!$A$6:$B$38,2,FALSE)</f>
        <v>0.45610704431993199</v>
      </c>
      <c r="J611">
        <f>($B$1+Table4[[#This Row],[Home Differential]])-Table4[[#This Row],[Away Differential]]</f>
        <v>-0.18903752914359279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0.23003846271020154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9.4361646617848058E-2</v>
      </c>
      <c r="H612" t="s">
        <v>28</v>
      </c>
      <c r="I612">
        <f>VLOOKUP(Table4[[#This Row],[Visitor]],'NHL Model'!$A$6:$B$38,2,FALSE)</f>
        <v>-0.19727709229606127</v>
      </c>
      <c r="J612">
        <f>($B$1+Table4[[#This Row],[Home Differential]])-Table4[[#This Row],[Away Differential]]</f>
        <v>0.36585639281873983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0.57945943952795242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0.33577324205804876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-0.2855111111085496</v>
      </c>
      <c r="H613" t="s">
        <v>38</v>
      </c>
      <c r="I613">
        <f>VLOOKUP(Table4[[#This Row],[Visitor]],'NHL Model'!$A$6:$B$38,2,FALSE)</f>
        <v>-0.48278309788469043</v>
      </c>
      <c r="J613">
        <f>($B$1+Table4[[#This Row],[Home Differential]])-Table4[[#This Row],[Away Differential]]</f>
        <v>0.27148964068097137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0.27748552784887676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-0.96065798985911643</v>
      </c>
      <c r="H614" t="s">
        <v>23</v>
      </c>
      <c r="I614">
        <f>VLOOKUP(Table4[[#This Row],[Visitor]],'NHL Model'!$A$6:$B$38,2,FALSE)</f>
        <v>0.18511137883580026</v>
      </c>
      <c r="J614">
        <f>($B$1+Table4[[#This Row],[Home Differential]])-Table4[[#This Row],[Away Differential]]</f>
        <v>-1.0715517147900862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0.57557220516242757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0.18013895303068447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0.3142836898216293</v>
      </c>
      <c r="H615" t="s">
        <v>29</v>
      </c>
      <c r="I615">
        <f>VLOOKUP(Table4[[#This Row],[Visitor]],'NHL Model'!$A$6:$B$38,2,FALSE)</f>
        <v>-0.3202921716073342</v>
      </c>
      <c r="J615">
        <f>($B$1+Table4[[#This Row],[Home Differential]])-Table4[[#This Row],[Away Differential]]</f>
        <v>0.70879351533379409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0.38000680673712256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0.14556378660539449</v>
      </c>
      <c r="H616" t="s">
        <v>34</v>
      </c>
      <c r="I616">
        <f>VLOOKUP(Table4[[#This Row],[Visitor]],'NHL Model'!$A$6:$B$38,2,FALSE)</f>
        <v>0.59379638322319717</v>
      </c>
      <c r="J616">
        <f>($B$1+Table4[[#This Row],[Home Differential]])-Table4[[#This Row],[Away Differential]]</f>
        <v>-0.37401494271297214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0.19559129413802043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-0.10659687498124908</v>
      </c>
      <c r="H617" t="s">
        <v>17</v>
      </c>
      <c r="I617">
        <f>VLOOKUP(Table4[[#This Row],[Visitor]],'NHL Model'!$A$6:$B$38,2,FALSE)</f>
        <v>7.1049614431123245E-2</v>
      </c>
      <c r="J617">
        <f>($B$1+Table4[[#This Row],[Home Differential]])-Table4[[#This Row],[Away Differential]]</f>
        <v>-0.1034288355075418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0.27967669919476407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-0.39984103039900787</v>
      </c>
      <c r="H618" t="s">
        <v>30</v>
      </c>
      <c r="I618">
        <f>VLOOKUP(Table4[[#This Row],[Visitor]],'NHL Model'!$A$6:$B$38,2,FALSE)</f>
        <v>0.16690670582810133</v>
      </c>
      <c r="J618">
        <f>($B$1+Table4[[#This Row],[Home Differential]])-Table4[[#This Row],[Away Differential]]</f>
        <v>-0.49253008232227868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0.54670524531123044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0.20547613462835176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0.19285186127150866</v>
      </c>
      <c r="H619" t="s">
        <v>18</v>
      </c>
      <c r="I619">
        <f>VLOOKUP(Table4[[#This Row],[Visitor]],'NHL Model'!$A$6:$B$38,2,FALSE)</f>
        <v>0.10902894471156278</v>
      </c>
      <c r="J619">
        <f>($B$1+Table4[[#This Row],[Home Differential]])-Table4[[#This Row],[Away Differential]]</f>
        <v>0.15804057046477643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0.49149801972921858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0.24157030339774335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3.9336367625328564E-2</v>
      </c>
      <c r="H620" t="s">
        <v>25</v>
      </c>
      <c r="I620">
        <f>VLOOKUP(Table4[[#This Row],[Visitor]],'NHL Model'!$A$6:$B$38,2,FALSE)</f>
        <v>0.45392063308446812</v>
      </c>
      <c r="J620">
        <f>($B$1+Table4[[#This Row],[Home Differential]])-Table4[[#This Row],[Away Differential]]</f>
        <v>-0.34036661155430903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0.3070421189518614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-7.3686276472912369E-4</v>
      </c>
      <c r="H621" t="s">
        <v>24</v>
      </c>
      <c r="I621">
        <f>VLOOKUP(Table4[[#This Row],[Visitor]],'NHL Model'!$A$6:$B$38,2,FALSE)</f>
        <v>-6.1952588060713437E-2</v>
      </c>
      <c r="J621">
        <f>($B$1+Table4[[#This Row],[Home Differential]])-Table4[[#This Row],[Away Differential]]</f>
        <v>0.13543337920081483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0.21023244082952597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-0.48278309788469043</v>
      </c>
      <c r="H622" t="s">
        <v>27</v>
      </c>
      <c r="I622">
        <f>VLOOKUP(Table4[[#This Row],[Visitor]],'NHL Model'!$A$6:$B$38,2,FALSE)</f>
        <v>0.17784181108472058</v>
      </c>
      <c r="J622">
        <f>($B$1+Table4[[#This Row],[Home Differential]])-Table4[[#This Row],[Away Differential]]</f>
        <v>-0.58640725506458047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0.53053667136506411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0.22039581693299382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-6.6593655044643821E-4</v>
      </c>
      <c r="H623" t="s">
        <v>37</v>
      </c>
      <c r="I623">
        <f>VLOOKUP(Table4[[#This Row],[Visitor]],'NHL Model'!$A$6:$B$38,2,FALSE)</f>
        <v>0.79636680320115127</v>
      </c>
      <c r="J623">
        <f>($B$1+Table4[[#This Row],[Home Differential]])-Table4[[#This Row],[Away Differential]]</f>
        <v>-0.72281508584676724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0.59795921768679638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0.16163679064301278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-0.19727709229606127</v>
      </c>
      <c r="H624" t="s">
        <v>24</v>
      </c>
      <c r="I624">
        <f>VLOOKUP(Table4[[#This Row],[Visitor]],'NHL Model'!$A$6:$B$38,2,FALSE)</f>
        <v>-6.1952588060713437E-2</v>
      </c>
      <c r="J624">
        <f>($B$1+Table4[[#This Row],[Home Differential]])-Table4[[#This Row],[Away Differential]]</f>
        <v>-6.1106850330517312E-2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0.25102002804040713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-0.21926170023436534</v>
      </c>
      <c r="H625" t="s">
        <v>27</v>
      </c>
      <c r="I625">
        <f>VLOOKUP(Table4[[#This Row],[Visitor]],'NHL Model'!$A$6:$B$38,2,FALSE)</f>
        <v>0.17784181108472058</v>
      </c>
      <c r="J625">
        <f>($B$1+Table4[[#This Row],[Home Differential]])-Table4[[#This Row],[Away Differential]]</f>
        <v>-0.32288585741425541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0.46339628120529042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0.2147361134348926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1.8591692540144091</v>
      </c>
      <c r="H626" t="s">
        <v>35</v>
      </c>
      <c r="I626">
        <f>VLOOKUP(Table4[[#This Row],[Visitor]],'NHL Model'!$A$6:$B$38,2,FALSE)</f>
        <v>-0.96065798985911643</v>
      </c>
      <c r="J626">
        <f>($B$1+Table4[[#This Row],[Home Differential]])-Table4[[#This Row],[Away Differential]]</f>
        <v>2.8940448977783562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7.5142545783165053E-4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0.76796514781800074</v>
      </c>
      <c r="H627" t="s">
        <v>23</v>
      </c>
      <c r="I627">
        <f>VLOOKUP(Table4[[#This Row],[Visitor]],'NHL Model'!$A$6:$B$38,2,FALSE)</f>
        <v>0.18511137883580026</v>
      </c>
      <c r="J627">
        <f>($B$1+Table4[[#This Row],[Home Differential]])-Table4[[#This Row],[Away Differential]]</f>
        <v>0.65707142288703091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0.63690617107632364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0.40564947075510321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-8.5361594338821137E-2</v>
      </c>
      <c r="H628" t="s">
        <v>40</v>
      </c>
      <c r="I628">
        <f>VLOOKUP(Table4[[#This Row],[Visitor]],'NHL Model'!$A$6:$B$38,2,FALSE)</f>
        <v>-0.10659687498124908</v>
      </c>
      <c r="J628">
        <f>($B$1+Table4[[#This Row],[Home Differential]])-Table4[[#This Row],[Away Differential]]</f>
        <v>9.5452934547258464E-2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0.59072625325307171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0.16750499977626879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7.1049614431123245E-2</v>
      </c>
      <c r="H629" t="s">
        <v>21</v>
      </c>
      <c r="I629">
        <f>VLOOKUP(Table4[[#This Row],[Visitor]],'NHL Model'!$A$6:$B$38,2,FALSE)</f>
        <v>3.9572996236628868E-2</v>
      </c>
      <c r="J629">
        <f>($B$1+Table4[[#This Row],[Home Differential]])-Table4[[#This Row],[Away Differential]]</f>
        <v>0.1056942720993249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0.57256688305440762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0.32783283557063969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-0.17930549805059143</v>
      </c>
      <c r="H630" t="s">
        <v>34</v>
      </c>
      <c r="I630">
        <f>VLOOKUP(Table4[[#This Row],[Visitor]],'NHL Model'!$A$6:$B$38,2,FALSE)</f>
        <v>0.59379638322319717</v>
      </c>
      <c r="J630">
        <f>($B$1+Table4[[#This Row],[Home Differential]])-Table4[[#This Row],[Away Differential]]</f>
        <v>-0.69888422736895806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0.59278172984648136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0.35139017923978683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0.14556378660539449</v>
      </c>
      <c r="H631" t="s">
        <v>29</v>
      </c>
      <c r="I631">
        <f>VLOOKUP(Table4[[#This Row],[Visitor]],'NHL Model'!$A$6:$B$38,2,FALSE)</f>
        <v>-0.3202921716073342</v>
      </c>
      <c r="J631">
        <f>($B$1+Table4[[#This Row],[Home Differential]])-Table4[[#This Row],[Away Differential]]</f>
        <v>0.54007361211755922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0.35790262804692746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0.45610704431993199</v>
      </c>
      <c r="H632" t="s">
        <v>15</v>
      </c>
      <c r="I632">
        <f>VLOOKUP(Table4[[#This Row],[Visitor]],'NHL Model'!$A$6:$B$38,2,FALSE)</f>
        <v>-6.2506340836952119E-3</v>
      </c>
      <c r="J632">
        <f>($B$1+Table4[[#This Row],[Home Differential]])-Table4[[#This Row],[Away Differential]]</f>
        <v>0.53657533230845766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0.20006146415102941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0.45392063308446812</v>
      </c>
      <c r="H633" t="s">
        <v>18</v>
      </c>
      <c r="I633">
        <f>VLOOKUP(Table4[[#This Row],[Visitor]],'NHL Model'!$A$6:$B$38,2,FALSE)</f>
        <v>0.10902894471156278</v>
      </c>
      <c r="J633">
        <f>($B$1+Table4[[#This Row],[Home Differential]])-Table4[[#This Row],[Away Differential]]</f>
        <v>0.41910934227773589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0.305826183213943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-0.39984103039900787</v>
      </c>
      <c r="H634" t="s">
        <v>39</v>
      </c>
      <c r="I634">
        <f>VLOOKUP(Table4[[#This Row],[Visitor]],'NHL Model'!$A$6:$B$38,2,FALSE)</f>
        <v>0.76796514781800074</v>
      </c>
      <c r="J634">
        <f>($B$1+Table4[[#This Row],[Home Differential]])-Table4[[#This Row],[Away Differential]]</f>
        <v>-1.0935885243121781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0.65204923165766659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0.42516820050535337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1.584470710005189E-2</v>
      </c>
      <c r="H635" t="s">
        <v>37</v>
      </c>
      <c r="I635">
        <f>VLOOKUP(Table4[[#This Row],[Visitor]],'NHL Model'!$A$6:$B$38,2,FALSE)</f>
        <v>0.79636680320115127</v>
      </c>
      <c r="J635">
        <f>($B$1+Table4[[#This Row],[Home Differential]])-Table4[[#This Row],[Away Differential]]</f>
        <v>-0.70630444219626887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0.6223969496884294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0.14258406360460252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0.16690670582810133</v>
      </c>
      <c r="H636" t="s">
        <v>55</v>
      </c>
      <c r="I636">
        <f>VLOOKUP(Table4[[#This Row],[Visitor]],'NHL Model'!$A$6:$B$38,2,FALSE)</f>
        <v>0.3142836898216293</v>
      </c>
      <c r="J636">
        <f>($B$1+Table4[[#This Row],[Home Differential]])-Table4[[#This Row],[Away Differential]]</f>
        <v>-7.3159330088697461E-2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0.46539511999853012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0.285802377721386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9.4361646617848058E-2</v>
      </c>
      <c r="H637" t="s">
        <v>22</v>
      </c>
      <c r="I637">
        <f>VLOOKUP(Table4[[#This Row],[Visitor]],'NHL Model'!$A$6:$B$38,2,FALSE)</f>
        <v>0.45610704431993199</v>
      </c>
      <c r="J637">
        <f>($B$1+Table4[[#This Row],[Home Differential]])-Table4[[#This Row],[Away Differential]]</f>
        <v>-0.28752774379725343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0.49101130345588201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0.24109210012144425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3.9336367625328564E-2</v>
      </c>
      <c r="H638" t="s">
        <v>26</v>
      </c>
      <c r="I638">
        <f>VLOOKUP(Table4[[#This Row],[Visitor]],'NHL Model'!$A$6:$B$38,2,FALSE)</f>
        <v>-8.5361594338821137E-2</v>
      </c>
      <c r="J638">
        <f>($B$1+Table4[[#This Row],[Home Differential]])-Table4[[#This Row],[Away Differential]]</f>
        <v>0.19891561586898021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0.21097044188574987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-0.2855111111085496</v>
      </c>
      <c r="H639" t="s">
        <v>29</v>
      </c>
      <c r="I639">
        <f>VLOOKUP(Table4[[#This Row],[Visitor]],'NHL Model'!$A$6:$B$38,2,FALSE)</f>
        <v>-0.3202921716073342</v>
      </c>
      <c r="J639">
        <f>($B$1+Table4[[#This Row],[Home Differential]])-Table4[[#This Row],[Away Differential]]</f>
        <v>0.10899871440361514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0.20092263348533657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-7.3686276472912369E-4</v>
      </c>
      <c r="H640" t="s">
        <v>40</v>
      </c>
      <c r="I640">
        <f>VLOOKUP(Table4[[#This Row],[Visitor]],'NHL Model'!$A$6:$B$38,2,FALSE)</f>
        <v>-0.10659687498124908</v>
      </c>
      <c r="J640">
        <f>($B$1+Table4[[#This Row],[Home Differential]])-Table4[[#This Row],[Away Differential]]</f>
        <v>0.18007766612135048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0.57852770714306334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0.17763889364608337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7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-6.6593655044643821E-4</v>
      </c>
      <c r="H641" t="s">
        <v>34</v>
      </c>
      <c r="I641">
        <f>VLOOKUP(Table4[[#This Row],[Visitor]],'NHL Model'!$A$6:$B$38,2,FALSE)</f>
        <v>0.59379638322319717</v>
      </c>
      <c r="J641">
        <f>($B$1+Table4[[#This Row],[Home Differential]])-Table4[[#This Row],[Away Differential]]</f>
        <v>-0.52024466586881313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0.54718241456357686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O641">
        <v>-0.52024466586881313</v>
      </c>
      <c r="P641" s="11">
        <v>0.54718241456357686</v>
      </c>
      <c r="Q641" t="s">
        <v>34</v>
      </c>
    </row>
    <row r="642" spans="4:17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0.19285186127150866</v>
      </c>
      <c r="H642" t="s">
        <v>15</v>
      </c>
      <c r="I642">
        <f>VLOOKUP(Table4[[#This Row],[Visitor]],'NHL Model'!$A$6:$B$38,2,FALSE)</f>
        <v>-6.2506340836952119E-3</v>
      </c>
      <c r="J642">
        <f>($B$1+Table4[[#This Row],[Home Differential]])-Table4[[#This Row],[Away Differential]]</f>
        <v>0.2733201492600344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O642">
        <v>0.2733201492600344</v>
      </c>
      <c r="P642" s="11">
        <v>0.51096042489532689</v>
      </c>
      <c r="Q642" t="s">
        <v>11</v>
      </c>
    </row>
    <row r="643" spans="4:17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-0.96065798985911643</v>
      </c>
      <c r="H643" t="s">
        <v>20</v>
      </c>
      <c r="I643">
        <f>VLOOKUP(Table4[[#This Row],[Visitor]],'NHL Model'!$A$6:$B$38,2,FALSE)</f>
        <v>0.14556378660539449</v>
      </c>
      <c r="J643">
        <f>($B$1+Table4[[#This Row],[Home Differential]])-Table4[[#This Row],[Away Differential]]</f>
        <v>-1.0320041225596803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O643">
        <v>-1.0320041225596803</v>
      </c>
      <c r="P643" s="11">
        <v>0.59207603055752023</v>
      </c>
      <c r="Q643" t="s">
        <v>20</v>
      </c>
    </row>
    <row r="644" spans="4:17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-0.48278309788469043</v>
      </c>
      <c r="H644" t="s">
        <v>32</v>
      </c>
      <c r="I644">
        <f>VLOOKUP(Table4[[#This Row],[Visitor]],'NHL Model'!$A$6:$B$38,2,FALSE)</f>
        <v>-0.2855111111085496</v>
      </c>
      <c r="J644">
        <f>($B$1+Table4[[#This Row],[Home Differential]])-Table4[[#This Row],[Away Differential]]</f>
        <v>-0.12305433287131029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O644">
        <v>-0.12305433287131029</v>
      </c>
      <c r="P644" s="11">
        <v>0.47327202449348393</v>
      </c>
      <c r="Q644" t="s">
        <v>32</v>
      </c>
    </row>
    <row r="645" spans="4:17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0.45392063308446812</v>
      </c>
      <c r="H645" t="s">
        <v>12</v>
      </c>
      <c r="I645">
        <f>VLOOKUP(Table4[[#This Row],[Visitor]],'NHL Model'!$A$6:$B$38,2,FALSE)</f>
        <v>1.8591692540144091</v>
      </c>
      <c r="J645">
        <f>($B$1+Table4[[#This Row],[Home Differential]])-Table4[[#This Row],[Away Differential]]</f>
        <v>-1.3310309670251104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0.65575346064391193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7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-0.19727709229606127</v>
      </c>
      <c r="H646" t="s">
        <v>23</v>
      </c>
      <c r="I646">
        <f>VLOOKUP(Table4[[#This Row],[Visitor]],'NHL Model'!$A$6:$B$38,2,FALSE)</f>
        <v>0.18511137883580026</v>
      </c>
      <c r="J646">
        <f>($B$1+Table4[[#This Row],[Home Differential]])-Table4[[#This Row],[Away Differential]]</f>
        <v>-0.30817081722703099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0.49323776204362896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7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-0.21926170023436534</v>
      </c>
      <c r="H647" t="s">
        <v>29</v>
      </c>
      <c r="I647">
        <f>VLOOKUP(Table4[[#This Row],[Visitor]],'NHL Model'!$A$6:$B$38,2,FALSE)</f>
        <v>-0.3202921716073342</v>
      </c>
      <c r="J647">
        <f>($B$1+Table4[[#This Row],[Home Differential]])-Table4[[#This Row],[Away Differential]]</f>
        <v>0.17524812527779937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0.59749347830291155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7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-8.5361594338821137E-2</v>
      </c>
      <c r="H648" t="s">
        <v>14</v>
      </c>
      <c r="I648">
        <f>VLOOKUP(Table4[[#This Row],[Visitor]],'NHL Model'!$A$6:$B$38,2,FALSE)</f>
        <v>3.9336367625328564E-2</v>
      </c>
      <c r="J648">
        <f>($B$1+Table4[[#This Row],[Home Differential]])-Table4[[#This Row],[Away Differential]]</f>
        <v>-5.0480308059319176E-2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0.43216869131951657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7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7.1049614431123245E-2</v>
      </c>
      <c r="H649" t="s">
        <v>27</v>
      </c>
      <c r="I649">
        <f>VLOOKUP(Table4[[#This Row],[Visitor]],'NHL Model'!$A$6:$B$38,2,FALSE)</f>
        <v>0.17784181108472058</v>
      </c>
      <c r="J649">
        <f>($B$1+Table4[[#This Row],[Home Differential]])-Table4[[#This Row],[Away Differential]]</f>
        <v>-3.257454274876681E-2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0.44957746709675989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7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1.584470710005189E-2</v>
      </c>
      <c r="H650" t="s">
        <v>34</v>
      </c>
      <c r="I650">
        <f>VLOOKUP(Table4[[#This Row],[Visitor]],'NHL Model'!$A$6:$B$38,2,FALSE)</f>
        <v>0.59379638322319717</v>
      </c>
      <c r="J650">
        <f>($B$1+Table4[[#This Row],[Home Differential]])-Table4[[#This Row],[Away Differential]]</f>
        <v>-0.50373402221831476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7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-6.1952588060713437E-2</v>
      </c>
      <c r="H651" t="s">
        <v>55</v>
      </c>
      <c r="I651">
        <f>VLOOKUP(Table4[[#This Row],[Visitor]],'NHL Model'!$A$6:$B$38,2,FALSE)</f>
        <v>0.3142836898216293</v>
      </c>
      <c r="J651">
        <f>($B$1+Table4[[#This Row],[Home Differential]])-Table4[[#This Row],[Away Differential]]</f>
        <v>-0.30201862397751222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0.4925742172696172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7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0.16690670582810133</v>
      </c>
      <c r="H652" t="s">
        <v>19</v>
      </c>
      <c r="I652">
        <f>VLOOKUP(Table4[[#This Row],[Visitor]],'NHL Model'!$A$6:$B$38,2,FALSE)</f>
        <v>-7.3686276472912369E-4</v>
      </c>
      <c r="J652">
        <f>($B$1+Table4[[#This Row],[Home Differential]])-Table4[[#This Row],[Away Differential]]</f>
        <v>0.24186122249766095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7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9.4361646617848058E-2</v>
      </c>
      <c r="H653" t="s">
        <v>40</v>
      </c>
      <c r="I653">
        <f>VLOOKUP(Table4[[#This Row],[Visitor]],'NHL Model'!$A$6:$B$38,2,FALSE)</f>
        <v>-0.10659687498124908</v>
      </c>
      <c r="J653">
        <f>($B$1+Table4[[#This Row],[Home Differential]])-Table4[[#This Row],[Away Differential]]</f>
        <v>0.27517617550392764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0.56967912511565733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7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-0.17930549805059143</v>
      </c>
      <c r="H654" t="s">
        <v>37</v>
      </c>
      <c r="I654">
        <f>VLOOKUP(Table4[[#This Row],[Visitor]],'NHL Model'!$A$6:$B$38,2,FALSE)</f>
        <v>0.79636680320115127</v>
      </c>
      <c r="J654">
        <f>($B$1+Table4[[#This Row],[Home Differential]])-Table4[[#This Row],[Away Differential]]</f>
        <v>-0.90145464734691216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0.64344487414775264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7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-0.96065798985911643</v>
      </c>
      <c r="H655" t="s">
        <v>18</v>
      </c>
      <c r="I655">
        <f>VLOOKUP(Table4[[#This Row],[Visitor]],'NHL Model'!$A$6:$B$38,2,FALSE)</f>
        <v>0.10902894471156278</v>
      </c>
      <c r="J655">
        <f>($B$1+Table4[[#This Row],[Home Differential]])-Table4[[#This Row],[Away Differential]]</f>
        <v>-0.99546928066584872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0.63368212406122704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7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-0.48278309788469043</v>
      </c>
      <c r="H656" t="s">
        <v>21</v>
      </c>
      <c r="I656">
        <f>VLOOKUP(Table4[[#This Row],[Visitor]],'NHL Model'!$A$6:$B$38,2,FALSE)</f>
        <v>3.9572996236628868E-2</v>
      </c>
      <c r="J656">
        <f>($B$1+Table4[[#This Row],[Home Differential]])-Table4[[#This Row],[Away Differential]]</f>
        <v>-0.44813844021648874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0.50833396936331376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0.45610704431993199</v>
      </c>
      <c r="H657" t="s">
        <v>10</v>
      </c>
      <c r="I657">
        <f>VLOOKUP(Table4[[#This Row],[Visitor]],'NHL Model'!$A$6:$B$38,2,FALSE)</f>
        <v>-0.39984103039900787</v>
      </c>
      <c r="J657">
        <f>($B$1+Table4[[#This Row],[Home Differential]])-Table4[[#This Row],[Away Differential]]</f>
        <v>0.93016572862377034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0.654339640787584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-0.19727709229606127</v>
      </c>
      <c r="H658" t="s">
        <v>14</v>
      </c>
      <c r="I658">
        <f>VLOOKUP(Table4[[#This Row],[Visitor]],'NHL Model'!$A$6:$B$38,2,FALSE)</f>
        <v>3.9336367625328564E-2</v>
      </c>
      <c r="J658">
        <f>($B$1+Table4[[#This Row],[Home Differential]])-Table4[[#This Row],[Away Differential]]</f>
        <v>-0.16239580601655931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-0.39984103039900787</v>
      </c>
      <c r="H659" t="s">
        <v>20</v>
      </c>
      <c r="I659">
        <f>VLOOKUP(Table4[[#This Row],[Visitor]],'NHL Model'!$A$6:$B$38,2,FALSE)</f>
        <v>0.14556378660539449</v>
      </c>
      <c r="J659">
        <f>($B$1+Table4[[#This Row],[Home Differential]])-Table4[[#This Row],[Away Differential]]</f>
        <v>-0.47118716309957182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0.53158912003077119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0.76796514781800074</v>
      </c>
      <c r="H660" t="s">
        <v>18</v>
      </c>
      <c r="I660">
        <f>VLOOKUP(Table4[[#This Row],[Visitor]],'NHL Model'!$A$6:$B$38,2,FALSE)</f>
        <v>0.10902894471156278</v>
      </c>
      <c r="J660">
        <f>($B$1+Table4[[#This Row],[Home Differential]])-Table4[[#This Row],[Away Differential]]</f>
        <v>0.73315385701126845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0.5790743058021518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0.19285186127150866</v>
      </c>
      <c r="H661" t="s">
        <v>12</v>
      </c>
      <c r="I661">
        <f>VLOOKUP(Table4[[#This Row],[Visitor]],'NHL Model'!$A$6:$B$38,2,FALSE)</f>
        <v>1.8591692540144091</v>
      </c>
      <c r="J661">
        <f>($B$1+Table4[[#This Row],[Home Differential]])-Table4[[#This Row],[Away Differential]]</f>
        <v>-1.59209973883807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0.71717045530411017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-6.1952588060713437E-2</v>
      </c>
      <c r="H662" t="s">
        <v>25</v>
      </c>
      <c r="I662">
        <f>VLOOKUP(Table4[[#This Row],[Visitor]],'NHL Model'!$A$6:$B$38,2,FALSE)</f>
        <v>0.45392063308446812</v>
      </c>
      <c r="J662">
        <f>($B$1+Table4[[#This Row],[Home Differential]])-Table4[[#This Row],[Away Differential]]</f>
        <v>-0.44165556724035104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-0.21926170023436534</v>
      </c>
      <c r="H663" t="s">
        <v>32</v>
      </c>
      <c r="I663">
        <f>VLOOKUP(Table4[[#This Row],[Visitor]],'NHL Model'!$A$6:$B$38,2,FALSE)</f>
        <v>-0.2855111111085496</v>
      </c>
      <c r="J663">
        <f>($B$1+Table4[[#This Row],[Home Differential]])-Table4[[#This Row],[Away Differential]]</f>
        <v>0.14046706477901477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1.584470710005189E-2</v>
      </c>
      <c r="H664" t="s">
        <v>34</v>
      </c>
      <c r="I664">
        <f>VLOOKUP(Table4[[#This Row],[Visitor]],'NHL Model'!$A$6:$B$38,2,FALSE)</f>
        <v>0.59379638322319717</v>
      </c>
      <c r="J664">
        <f>($B$1+Table4[[#This Row],[Home Differential]])-Table4[[#This Row],[Away Differential]]</f>
        <v>-0.50373402221831476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-6.2506340836952119E-3</v>
      </c>
      <c r="H665" t="s">
        <v>55</v>
      </c>
      <c r="I665">
        <f>VLOOKUP(Table4[[#This Row],[Visitor]],'NHL Model'!$A$6:$B$38,2,FALSE)</f>
        <v>0.3142836898216293</v>
      </c>
      <c r="J665">
        <f>($B$1+Table4[[#This Row],[Home Differential]])-Table4[[#This Row],[Away Differential]]</f>
        <v>-0.24631667000049398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0.48656648328522323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9.4361646617848058E-2</v>
      </c>
      <c r="H666" t="s">
        <v>26</v>
      </c>
      <c r="I666">
        <f>VLOOKUP(Table4[[#This Row],[Visitor]],'NHL Model'!$A$6:$B$38,2,FALSE)</f>
        <v>-8.5361594338821137E-2</v>
      </c>
      <c r="J666">
        <f>($B$1+Table4[[#This Row],[Home Differential]])-Table4[[#This Row],[Away Differential]]</f>
        <v>0.25394089486149973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0.45610704431993199</v>
      </c>
      <c r="H667" t="s">
        <v>31</v>
      </c>
      <c r="I667">
        <f>VLOOKUP(Table4[[#This Row],[Visitor]],'NHL Model'!$A$6:$B$38,2,FALSE)</f>
        <v>-6.6593655044643821E-4</v>
      </c>
      <c r="J667">
        <f>($B$1+Table4[[#This Row],[Home Differential]])-Table4[[#This Row],[Away Differential]]</f>
        <v>0.53099063477520891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0.61128661291665698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0.18511137883580026</v>
      </c>
      <c r="H668" t="s">
        <v>38</v>
      </c>
      <c r="I668">
        <f>VLOOKUP(Table4[[#This Row],[Visitor]],'NHL Model'!$A$6:$B$38,2,FALSE)</f>
        <v>-0.48278309788469043</v>
      </c>
      <c r="J668">
        <f>($B$1+Table4[[#This Row],[Home Differential]])-Table4[[#This Row],[Away Differential]]</f>
        <v>0.74211213062532122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0.61662586621435045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0.45392063308446812</v>
      </c>
      <c r="H669" t="s">
        <v>39</v>
      </c>
      <c r="I669">
        <f>VLOOKUP(Table4[[#This Row],[Visitor]],'NHL Model'!$A$6:$B$38,2,FALSE)</f>
        <v>0.76796514781800074</v>
      </c>
      <c r="J669">
        <f>($B$1+Table4[[#This Row],[Home Differential]])-Table4[[#This Row],[Away Differential]]</f>
        <v>-0.23982686082870208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0.52586652494750141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7.1049614431123245E-2</v>
      </c>
      <c r="H670" t="s">
        <v>29</v>
      </c>
      <c r="I670">
        <f>VLOOKUP(Table4[[#This Row],[Visitor]],'NHL Model'!$A$6:$B$38,2,FALSE)</f>
        <v>-0.3202921716073342</v>
      </c>
      <c r="J670">
        <f>($B$1+Table4[[#This Row],[Home Differential]])-Table4[[#This Row],[Away Differential]]</f>
        <v>0.46555943994328797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0.16690670582810133</v>
      </c>
      <c r="H671" t="s">
        <v>24</v>
      </c>
      <c r="I671">
        <f>VLOOKUP(Table4[[#This Row],[Visitor]],'NHL Model'!$A$6:$B$38,2,FALSE)</f>
        <v>-6.1952588060713437E-2</v>
      </c>
      <c r="J671">
        <f>($B$1+Table4[[#This Row],[Home Differential]])-Table4[[#This Row],[Away Differential]]</f>
        <v>0.30307694779364525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0.17784181108472058</v>
      </c>
      <c r="H672" t="s">
        <v>31</v>
      </c>
      <c r="I672">
        <f>VLOOKUP(Table4[[#This Row],[Visitor]],'NHL Model'!$A$6:$B$38,2,FALSE)</f>
        <v>-6.6593655044643821E-4</v>
      </c>
      <c r="J672">
        <f>($B$1+Table4[[#This Row],[Home Differential]])-Table4[[#This Row],[Away Differential]]</f>
        <v>0.25272540153999756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0.57181215244084016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-0.2855111111085496</v>
      </c>
      <c r="H673" t="s">
        <v>21</v>
      </c>
      <c r="I673">
        <f>VLOOKUP(Table4[[#This Row],[Visitor]],'NHL Model'!$A$6:$B$38,2,FALSE)</f>
        <v>3.9572996236628868E-2</v>
      </c>
      <c r="J673">
        <f>($B$1+Table4[[#This Row],[Home Differential]])-Table4[[#This Row],[Away Differential]]</f>
        <v>-0.25086645344034791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0.48705720015674481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-0.17930549805059143</v>
      </c>
      <c r="H674" t="s">
        <v>28</v>
      </c>
      <c r="I674">
        <f>VLOOKUP(Table4[[#This Row],[Visitor]],'NHL Model'!$A$6:$B$38,2,FALSE)</f>
        <v>-0.19727709229606127</v>
      </c>
      <c r="J674">
        <f>($B$1+Table4[[#This Row],[Home Differential]])-Table4[[#This Row],[Away Differential]]</f>
        <v>9.2189248150300371E-2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0.54994307092596428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0.79636680320115127</v>
      </c>
      <c r="H675" t="s">
        <v>12</v>
      </c>
      <c r="I675">
        <f>VLOOKUP(Table4[[#This Row],[Visitor]],'NHL Model'!$A$6:$B$38,2,FALSE)</f>
        <v>1.8591692540144091</v>
      </c>
      <c r="J675">
        <f>($B$1+Table4[[#This Row],[Home Differential]])-Table4[[#This Row],[Away Differential]]</f>
        <v>-0.98858479690842738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0.64829047529090966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-7.3686276472912369E-4</v>
      </c>
      <c r="H676" t="s">
        <v>11</v>
      </c>
      <c r="I676">
        <f>VLOOKUP(Table4[[#This Row],[Visitor]],'NHL Model'!$A$6:$B$38,2,FALSE)</f>
        <v>0.19285186127150866</v>
      </c>
      <c r="J676">
        <f>($B$1+Table4[[#This Row],[Home Differential]])-Table4[[#This Row],[Away Differential]]</f>
        <v>-0.11937107013140726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-0.10659687498124908</v>
      </c>
      <c r="H677" t="s">
        <v>20</v>
      </c>
      <c r="I677">
        <f>VLOOKUP(Table4[[#This Row],[Visitor]],'NHL Model'!$A$6:$B$38,2,FALSE)</f>
        <v>0.14556378660539449</v>
      </c>
      <c r="J677">
        <f>($B$1+Table4[[#This Row],[Home Differential]])-Table4[[#This Row],[Away Differential]]</f>
        <v>-0.17794300768181304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-0.39984103039900787</v>
      </c>
      <c r="H678" t="s">
        <v>35</v>
      </c>
      <c r="I678">
        <f>VLOOKUP(Table4[[#This Row],[Visitor]],'NHL Model'!$A$6:$B$38,2,FALSE)</f>
        <v>-0.96065798985911643</v>
      </c>
      <c r="J678">
        <f>($B$1+Table4[[#This Row],[Home Differential]])-Table4[[#This Row],[Away Differential]]</f>
        <v>0.63503461336493916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1.584470710005189E-2</v>
      </c>
      <c r="H679" t="s">
        <v>33</v>
      </c>
      <c r="I679">
        <f>VLOOKUP(Table4[[#This Row],[Visitor]],'NHL Model'!$A$6:$B$38,2,FALSE)</f>
        <v>-0.17930549805059143</v>
      </c>
      <c r="J679">
        <f>($B$1+Table4[[#This Row],[Home Differential]])-Table4[[#This Row],[Away Differential]]</f>
        <v>0.26936785905547384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0.56176294954624006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0.10902894471156278</v>
      </c>
      <c r="H680" t="s">
        <v>16</v>
      </c>
      <c r="I680">
        <f>VLOOKUP(Table4[[#This Row],[Visitor]],'NHL Model'!$A$6:$B$38,2,FALSE)</f>
        <v>-0.21926170023436534</v>
      </c>
      <c r="J680">
        <f>($B$1+Table4[[#This Row],[Home Differential]])-Table4[[#This Row],[Away Differential]]</f>
        <v>0.40250829885075867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0.58341253068077314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0.3142836898216293</v>
      </c>
      <c r="H681" t="s">
        <v>36</v>
      </c>
      <c r="I681">
        <f>VLOOKUP(Table4[[#This Row],[Visitor]],'NHL Model'!$A$6:$B$38,2,FALSE)</f>
        <v>9.4361646617848058E-2</v>
      </c>
      <c r="J681">
        <f>($B$1+Table4[[#This Row],[Home Differential]])-Table4[[#This Row],[Away Differential]]</f>
        <v>0.29413969710861176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0.55095520487997185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0.45610704431993199</v>
      </c>
      <c r="H682" t="s">
        <v>39</v>
      </c>
      <c r="I682">
        <f>VLOOKUP(Table4[[#This Row],[Visitor]],'NHL Model'!$A$6:$B$38,2,FALSE)</f>
        <v>0.76796514781800074</v>
      </c>
      <c r="J682">
        <f>($B$1+Table4[[#This Row],[Home Differential]])-Table4[[#This Row],[Away Differential]]</f>
        <v>-0.23764044959323827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0.54563070957397664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3.9572996236628868E-2</v>
      </c>
      <c r="H683" t="s">
        <v>16</v>
      </c>
      <c r="I683">
        <f>VLOOKUP(Table4[[#This Row],[Visitor]],'NHL Model'!$A$6:$B$38,2,FALSE)</f>
        <v>-0.21926170023436534</v>
      </c>
      <c r="J683">
        <f>($B$1+Table4[[#This Row],[Home Differential]])-Table4[[#This Row],[Away Differential]]</f>
        <v>0.3330523503758247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0.58993798018306465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0.45392063308446812</v>
      </c>
      <c r="H684" t="s">
        <v>31</v>
      </c>
      <c r="I684">
        <f>VLOOKUP(Table4[[#This Row],[Visitor]],'NHL Model'!$A$6:$B$38,2,FALSE)</f>
        <v>-6.6593655044643821E-4</v>
      </c>
      <c r="J684">
        <f>($B$1+Table4[[#This Row],[Home Differential]])-Table4[[#This Row],[Away Differential]]</f>
        <v>0.5288042235397451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0.63073232355819764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1.8591692540144091</v>
      </c>
      <c r="H685" t="s">
        <v>36</v>
      </c>
      <c r="I685">
        <f>VLOOKUP(Table4[[#This Row],[Visitor]],'NHL Model'!$A$6:$B$38,2,FALSE)</f>
        <v>9.4361646617848058E-2</v>
      </c>
      <c r="J685">
        <f>($B$1+Table4[[#This Row],[Home Differential]])-Table4[[#This Row],[Away Differential]]</f>
        <v>1.8390252613013915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0.83985749487656869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-8.5361594338821137E-2</v>
      </c>
      <c r="H686" t="s">
        <v>38</v>
      </c>
      <c r="I686">
        <f>VLOOKUP(Table4[[#This Row],[Visitor]],'NHL Model'!$A$6:$B$38,2,FALSE)</f>
        <v>-0.48278309788469043</v>
      </c>
      <c r="J686">
        <f>($B$1+Table4[[#This Row],[Home Differential]])-Table4[[#This Row],[Away Differential]]</f>
        <v>0.47163915745069984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0.58933017757169559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0.10902894471156278</v>
      </c>
      <c r="H687" t="s">
        <v>11</v>
      </c>
      <c r="I687">
        <f>VLOOKUP(Table4[[#This Row],[Visitor]],'NHL Model'!$A$6:$B$38,2,FALSE)</f>
        <v>0.19285186127150866</v>
      </c>
      <c r="J687">
        <f>($B$1+Table4[[#This Row],[Home Differential]])-Table4[[#This Row],[Away Differential]]</f>
        <v>-9.6052626551153542E-3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-0.3202921716073342</v>
      </c>
      <c r="H688" t="s">
        <v>30</v>
      </c>
      <c r="I688">
        <f>VLOOKUP(Table4[[#This Row],[Visitor]],'NHL Model'!$A$6:$B$38,2,FALSE)</f>
        <v>0.16690670582810133</v>
      </c>
      <c r="J688">
        <f>($B$1+Table4[[#This Row],[Home Differential]])-Table4[[#This Row],[Away Differential]]</f>
        <v>-0.41298122353060496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0.53812550352013144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-6.2506340836952119E-3</v>
      </c>
      <c r="H689" t="s">
        <v>23</v>
      </c>
      <c r="I689">
        <f>VLOOKUP(Table4[[#This Row],[Visitor]],'NHL Model'!$A$6:$B$38,2,FALSE)</f>
        <v>0.18511137883580026</v>
      </c>
      <c r="J689">
        <f>($B$1+Table4[[#This Row],[Home Differential]])-Table4[[#This Row],[Away Differential]]</f>
        <v>-0.11714435901466494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0.17784181108472058</v>
      </c>
      <c r="H690" t="s">
        <v>19</v>
      </c>
      <c r="I690">
        <f>VLOOKUP(Table4[[#This Row],[Visitor]],'NHL Model'!$A$6:$B$38,2,FALSE)</f>
        <v>-7.3686276472912369E-4</v>
      </c>
      <c r="J690">
        <f>($B$1+Table4[[#This Row],[Home Differential]])-Table4[[#This Row],[Away Differential]]</f>
        <v>0.25279632775428024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3.9336367625328564E-2</v>
      </c>
      <c r="H691" t="s">
        <v>24</v>
      </c>
      <c r="I691">
        <f>VLOOKUP(Table4[[#This Row],[Visitor]],'NHL Model'!$A$6:$B$38,2,FALSE)</f>
        <v>-6.1952588060713437E-2</v>
      </c>
      <c r="J691">
        <f>($B$1+Table4[[#This Row],[Home Differential]])-Table4[[#This Row],[Away Differential]]</f>
        <v>0.17550660959087253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-0.2855111111085496</v>
      </c>
      <c r="H692" t="s">
        <v>34</v>
      </c>
      <c r="I692">
        <f>VLOOKUP(Table4[[#This Row],[Visitor]],'NHL Model'!$A$6:$B$38,2,FALSE)</f>
        <v>0.59379638322319717</v>
      </c>
      <c r="J692">
        <f>($B$1+Table4[[#This Row],[Home Differential]])-Table4[[#This Row],[Away Differential]]</f>
        <v>-0.80508984042691623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0.14556378660539449</v>
      </c>
      <c r="H693" t="s">
        <v>28</v>
      </c>
      <c r="I693">
        <f>VLOOKUP(Table4[[#This Row],[Visitor]],'NHL Model'!$A$6:$B$38,2,FALSE)</f>
        <v>-0.19727709229606127</v>
      </c>
      <c r="J693">
        <f>($B$1+Table4[[#This Row],[Home Differential]])-Table4[[#This Row],[Away Differential]]</f>
        <v>0.4170585328062863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0.58498184609566095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-0.10659687498124908</v>
      </c>
      <c r="H694" t="s">
        <v>17</v>
      </c>
      <c r="I694">
        <f>VLOOKUP(Table4[[#This Row],[Visitor]],'NHL Model'!$A$6:$B$38,2,FALSE)</f>
        <v>7.1049614431123245E-2</v>
      </c>
      <c r="J694">
        <f>($B$1+Table4[[#This Row],[Home Differential]])-Table4[[#This Row],[Away Differential]]</f>
        <v>-0.1034288355075418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-0.39984103039900787</v>
      </c>
      <c r="H695" t="s">
        <v>22</v>
      </c>
      <c r="I695">
        <f>VLOOKUP(Table4[[#This Row],[Visitor]],'NHL Model'!$A$6:$B$38,2,FALSE)</f>
        <v>0.45610704431993199</v>
      </c>
      <c r="J695">
        <f>($B$1+Table4[[#This Row],[Home Differential]])-Table4[[#This Row],[Away Differential]]</f>
        <v>-0.78173042081410937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0.54431353086279899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0.3142836898216293</v>
      </c>
      <c r="H696" t="s">
        <v>35</v>
      </c>
      <c r="I696">
        <f>VLOOKUP(Table4[[#This Row],[Visitor]],'NHL Model'!$A$6:$B$38,2,FALSE)</f>
        <v>-0.96065798985911643</v>
      </c>
      <c r="J696">
        <f>($B$1+Table4[[#This Row],[Home Differential]])-Table4[[#This Row],[Away Differential]]</f>
        <v>1.3491593335855763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-0.10659687498124908</v>
      </c>
      <c r="H697" t="s">
        <v>13</v>
      </c>
      <c r="I697">
        <f>VLOOKUP(Table4[[#This Row],[Visitor]],'NHL Model'!$A$6:$B$38,2,FALSE)</f>
        <v>1.584470710005189E-2</v>
      </c>
      <c r="J697">
        <f>($B$1+Table4[[#This Row],[Home Differential]])-Table4[[#This Row],[Away Differential]]</f>
        <v>-4.8223928176470442E-2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3.9572996236628868E-2</v>
      </c>
      <c r="H698" t="s">
        <v>15</v>
      </c>
      <c r="I698">
        <f>VLOOKUP(Table4[[#This Row],[Visitor]],'NHL Model'!$A$6:$B$38,2,FALSE)</f>
        <v>-6.2506340836952119E-3</v>
      </c>
      <c r="J698">
        <f>($B$1+Table4[[#This Row],[Home Differential]])-Table4[[#This Row],[Away Differential]]</f>
        <v>0.1200412842251546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0.18511137883580026</v>
      </c>
      <c r="H699" t="s">
        <v>31</v>
      </c>
      <c r="I699">
        <f>VLOOKUP(Table4[[#This Row],[Visitor]],'NHL Model'!$A$6:$B$38,2,FALSE)</f>
        <v>-6.6593655044643821E-4</v>
      </c>
      <c r="J699">
        <f>($B$1+Table4[[#This Row],[Home Differential]])-Table4[[#This Row],[Away Differential]]</f>
        <v>0.25999496929107724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0.60663384876565629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0.45392063308446812</v>
      </c>
      <c r="H700" t="s">
        <v>32</v>
      </c>
      <c r="I700">
        <f>VLOOKUP(Table4[[#This Row],[Visitor]],'NHL Model'!$A$6:$B$38,2,FALSE)</f>
        <v>-0.2855111111085496</v>
      </c>
      <c r="J700">
        <f>($B$1+Table4[[#This Row],[Home Differential]])-Table4[[#This Row],[Away Differential]]</f>
        <v>0.81364939809784831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0.66145429852139914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1.8591692540144091</v>
      </c>
      <c r="H701" t="s">
        <v>28</v>
      </c>
      <c r="I701">
        <f>VLOOKUP(Table4[[#This Row],[Visitor]],'NHL Model'!$A$6:$B$38,2,FALSE)</f>
        <v>-0.19727709229606127</v>
      </c>
      <c r="J701">
        <f>($B$1+Table4[[#This Row],[Home Differential]])-Table4[[#This Row],[Away Differential]]</f>
        <v>2.130664000215301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0.89025341617983234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7.1049614431123245E-2</v>
      </c>
      <c r="H702" t="s">
        <v>13</v>
      </c>
      <c r="I702">
        <f>VLOOKUP(Table4[[#This Row],[Visitor]],'NHL Model'!$A$6:$B$38,2,FALSE)</f>
        <v>1.584470710005189E-2</v>
      </c>
      <c r="J702">
        <f>($B$1+Table4[[#This Row],[Home Differential]])-Table4[[#This Row],[Away Differential]]</f>
        <v>0.12942256123590187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0.54292612414187702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0.59379638322319717</v>
      </c>
      <c r="H703" t="s">
        <v>30</v>
      </c>
      <c r="I703">
        <f>VLOOKUP(Table4[[#This Row],[Visitor]],'NHL Model'!$A$6:$B$38,2,FALSE)</f>
        <v>0.16690670582810133</v>
      </c>
      <c r="J703">
        <f>($B$1+Table4[[#This Row],[Home Differential]])-Table4[[#This Row],[Away Differential]]</f>
        <v>0.50110733129992635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0.58295485177437145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0.10902894471156278</v>
      </c>
      <c r="H704" t="s">
        <v>26</v>
      </c>
      <c r="I704">
        <f>VLOOKUP(Table4[[#This Row],[Visitor]],'NHL Model'!$A$6:$B$38,2,FALSE)</f>
        <v>-8.5361594338821137E-2</v>
      </c>
      <c r="J704">
        <f>($B$1+Table4[[#This Row],[Home Differential]])-Table4[[#This Row],[Away Differential]]</f>
        <v>0.26860819295521443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0.54820150461950445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-0.3202921716073342</v>
      </c>
      <c r="H705" t="s">
        <v>10</v>
      </c>
      <c r="I705">
        <f>VLOOKUP(Table4[[#This Row],[Visitor]],'NHL Model'!$A$6:$B$38,2,FALSE)</f>
        <v>-0.39984103039900787</v>
      </c>
      <c r="J705">
        <f>($B$1+Table4[[#This Row],[Home Differential]])-Table4[[#This Row],[Away Differential]]</f>
        <v>0.15376651269650421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9.4361646617848058E-2</v>
      </c>
      <c r="H706" t="s">
        <v>11</v>
      </c>
      <c r="I706">
        <f>VLOOKUP(Table4[[#This Row],[Visitor]],'NHL Model'!$A$6:$B$38,2,FALSE)</f>
        <v>0.19285186127150866</v>
      </c>
      <c r="J706">
        <f>($B$1+Table4[[#This Row],[Home Differential]])-Table4[[#This Row],[Away Differential]]</f>
        <v>-2.427256074883008E-2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0.17784181108472058</v>
      </c>
      <c r="H707" t="s">
        <v>37</v>
      </c>
      <c r="I707">
        <f>VLOOKUP(Table4[[#This Row],[Visitor]],'NHL Model'!$A$6:$B$38,2,FALSE)</f>
        <v>0.79636680320115127</v>
      </c>
      <c r="J707">
        <f>($B$1+Table4[[#This Row],[Home Differential]])-Table4[[#This Row],[Away Differential]]</f>
        <v>-0.54430733821160016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3.9336367625328564E-2</v>
      </c>
      <c r="H708" t="s">
        <v>16</v>
      </c>
      <c r="I708">
        <f>VLOOKUP(Table4[[#This Row],[Visitor]],'NHL Model'!$A$6:$B$38,2,FALSE)</f>
        <v>-0.21926170023436534</v>
      </c>
      <c r="J708">
        <f>($B$1+Table4[[#This Row],[Home Differential]])-Table4[[#This Row],[Away Differential]]</f>
        <v>0.33281572176452445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0.57589583810669009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-0.17930549805059143</v>
      </c>
      <c r="H709" t="s">
        <v>39</v>
      </c>
      <c r="I709">
        <f>VLOOKUP(Table4[[#This Row],[Visitor]],'NHL Model'!$A$6:$B$38,2,FALSE)</f>
        <v>0.76796514781800074</v>
      </c>
      <c r="J709">
        <f>($B$1+Table4[[#This Row],[Home Differential]])-Table4[[#This Row],[Away Differential]]</f>
        <v>-0.87305299196376163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-7.3686276472912369E-4</v>
      </c>
      <c r="H710" t="s">
        <v>38</v>
      </c>
      <c r="I710">
        <f>VLOOKUP(Table4[[#This Row],[Visitor]],'NHL Model'!$A$6:$B$38,2,FALSE)</f>
        <v>-0.48278309788469043</v>
      </c>
      <c r="J710">
        <f>($B$1+Table4[[#This Row],[Home Differential]])-Table4[[#This Row],[Away Differential]]</f>
        <v>0.55626388902479185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0.57677436262628023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0.14556378660539449</v>
      </c>
      <c r="H711" t="s">
        <v>35</v>
      </c>
      <c r="I711">
        <f>VLOOKUP(Table4[[#This Row],[Visitor]],'NHL Model'!$A$6:$B$38,2,FALSE)</f>
        <v>-0.96065798985911643</v>
      </c>
      <c r="J711">
        <f>($B$1+Table4[[#This Row],[Home Differential]])-Table4[[#This Row],[Away Differential]]</f>
        <v>1.1804394303693415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0.66731628921445962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3.9572996236628868E-2</v>
      </c>
      <c r="H712" t="s">
        <v>14</v>
      </c>
      <c r="I712">
        <f>VLOOKUP(Table4[[#This Row],[Visitor]],'NHL Model'!$A$6:$B$38,2,FALSE)</f>
        <v>3.9336367625328564E-2</v>
      </c>
      <c r="J712">
        <f>($B$1+Table4[[#This Row],[Home Differential]])-Table4[[#This Row],[Away Differential]]</f>
        <v>7.4454282516130829E-2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-0.3202921716073342</v>
      </c>
      <c r="H713" t="s">
        <v>22</v>
      </c>
      <c r="I713">
        <f>VLOOKUP(Table4[[#This Row],[Visitor]],'NHL Model'!$A$6:$B$38,2,FALSE)</f>
        <v>0.45610704431993199</v>
      </c>
      <c r="J713">
        <f>($B$1+Table4[[#This Row],[Home Differential]])-Table4[[#This Row],[Away Differential]]</f>
        <v>-0.70218156202243565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0.5357337890717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-0.17930549805059143</v>
      </c>
      <c r="H714" t="s">
        <v>20</v>
      </c>
      <c r="I714">
        <f>VLOOKUP(Table4[[#This Row],[Visitor]],'NHL Model'!$A$6:$B$38,2,FALSE)</f>
        <v>0.14556378660539449</v>
      </c>
      <c r="J714">
        <f>($B$1+Table4[[#This Row],[Home Differential]])-Table4[[#This Row],[Away Differential]]</f>
        <v>-0.25065163075115537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0.3142836898216293</v>
      </c>
      <c r="H715" t="s">
        <v>28</v>
      </c>
      <c r="I715">
        <f>VLOOKUP(Table4[[#This Row],[Visitor]],'NHL Model'!$A$6:$B$38,2,FALSE)</f>
        <v>-0.19727709229606127</v>
      </c>
      <c r="J715">
        <f>($B$1+Table4[[#This Row],[Home Differential]])-Table4[[#This Row],[Away Differential]]</f>
        <v>0.58577843602252111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0.60317913046407001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-0.10659687498124908</v>
      </c>
      <c r="H716" t="s">
        <v>24</v>
      </c>
      <c r="I716">
        <f>VLOOKUP(Table4[[#This Row],[Visitor]],'NHL Model'!$A$6:$B$38,2,FALSE)</f>
        <v>-6.1952588060713437E-2</v>
      </c>
      <c r="J716">
        <f>($B$1+Table4[[#This Row],[Home Differential]])-Table4[[#This Row],[Away Differential]]</f>
        <v>2.9573366984294885E-2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0.5107993041126927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0.18511137883580026</v>
      </c>
      <c r="H717" t="s">
        <v>11</v>
      </c>
      <c r="I717">
        <f>VLOOKUP(Table4[[#This Row],[Visitor]],'NHL Model'!$A$6:$B$38,2,FALSE)</f>
        <v>0.19285186127150866</v>
      </c>
      <c r="J717">
        <f>($B$1+Table4[[#This Row],[Home Differential]])-Table4[[#This Row],[Away Differential]]</f>
        <v>6.6477171469122132E-2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-0.39984103039900787</v>
      </c>
      <c r="H718" t="s">
        <v>17</v>
      </c>
      <c r="I718">
        <f>VLOOKUP(Table4[[#This Row],[Visitor]],'NHL Model'!$A$6:$B$38,2,FALSE)</f>
        <v>7.1049614431123245E-2</v>
      </c>
      <c r="J718">
        <f>($B$1+Table4[[#This Row],[Home Differential]])-Table4[[#This Row],[Away Differential]]</f>
        <v>-0.39667299092530056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0.50278316357189856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1.8591692540144091</v>
      </c>
      <c r="H719" t="s">
        <v>19</v>
      </c>
      <c r="I719">
        <f>VLOOKUP(Table4[[#This Row],[Visitor]],'NHL Model'!$A$6:$B$38,2,FALSE)</f>
        <v>-7.3686276472912369E-4</v>
      </c>
      <c r="J719">
        <f>($B$1+Table4[[#This Row],[Home Differential]])-Table4[[#This Row],[Away Differential]]</f>
        <v>1.9341237706839687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0.86905557064746297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-8.5361594338821137E-2</v>
      </c>
      <c r="H720" t="s">
        <v>25</v>
      </c>
      <c r="I720">
        <f>VLOOKUP(Table4[[#This Row],[Visitor]],'NHL Model'!$A$6:$B$38,2,FALSE)</f>
        <v>0.45392063308446812</v>
      </c>
      <c r="J720">
        <f>($B$1+Table4[[#This Row],[Home Differential]])-Table4[[#This Row],[Away Differential]]</f>
        <v>-0.46506457351845876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0.52653749014695106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1.584470710005189E-2</v>
      </c>
      <c r="H721" t="s">
        <v>39</v>
      </c>
      <c r="I721">
        <f>VLOOKUP(Table4[[#This Row],[Visitor]],'NHL Model'!$A$6:$B$38,2,FALSE)</f>
        <v>0.76796514781800074</v>
      </c>
      <c r="J721">
        <f>($B$1+Table4[[#This Row],[Home Differential]])-Table4[[#This Row],[Away Differential]]</f>
        <v>-0.67790278681311833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0.60721544839341457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0.59379638322319717</v>
      </c>
      <c r="H722" t="s">
        <v>24</v>
      </c>
      <c r="I722">
        <f>VLOOKUP(Table4[[#This Row],[Visitor]],'NHL Model'!$A$6:$B$38,2,FALSE)</f>
        <v>-6.1952588060713437E-2</v>
      </c>
      <c r="J722">
        <f>($B$1+Table4[[#This Row],[Home Differential]])-Table4[[#This Row],[Away Differential]]</f>
        <v>0.72996662518874111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0.60882763430755382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0.10902894471156278</v>
      </c>
      <c r="H723" t="s">
        <v>38</v>
      </c>
      <c r="I723">
        <f>VLOOKUP(Table4[[#This Row],[Visitor]],'NHL Model'!$A$6:$B$38,2,FALSE)</f>
        <v>-0.48278309788469043</v>
      </c>
      <c r="J723">
        <f>($B$1+Table4[[#This Row],[Home Differential]])-Table4[[#This Row],[Away Differential]]</f>
        <v>0.66602969650108368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0.56932206697173682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-6.2506340836952119E-3</v>
      </c>
      <c r="H724" t="s">
        <v>32</v>
      </c>
      <c r="I724">
        <f>VLOOKUP(Table4[[#This Row],[Visitor]],'NHL Model'!$A$6:$B$38,2,FALSE)</f>
        <v>-0.2855111111085496</v>
      </c>
      <c r="J724">
        <f>($B$1+Table4[[#This Row],[Home Differential]])-Table4[[#This Row],[Away Differential]]</f>
        <v>0.35347813092968494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0.57812438215008588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0.17784181108472058</v>
      </c>
      <c r="H725" t="s">
        <v>37</v>
      </c>
      <c r="I725">
        <f>VLOOKUP(Table4[[#This Row],[Visitor]],'NHL Model'!$A$6:$B$38,2,FALSE)</f>
        <v>0.79636680320115127</v>
      </c>
      <c r="J725">
        <f>($B$1+Table4[[#This Row],[Home Differential]])-Table4[[#This Row],[Away Differential]]</f>
        <v>-0.54430733821160016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-6.6593655044643821E-4</v>
      </c>
      <c r="H726" t="s">
        <v>39</v>
      </c>
      <c r="I726">
        <f>VLOOKUP(Table4[[#This Row],[Visitor]],'NHL Model'!$A$6:$B$38,2,FALSE)</f>
        <v>0.76796514781800074</v>
      </c>
      <c r="J726">
        <f>($B$1+Table4[[#This Row],[Home Differential]])-Table4[[#This Row],[Away Differential]]</f>
        <v>-0.6944134304636167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3.9572996236628868E-2</v>
      </c>
      <c r="H727" t="s">
        <v>26</v>
      </c>
      <c r="I727">
        <f>VLOOKUP(Table4[[#This Row],[Visitor]],'NHL Model'!$A$6:$B$38,2,FALSE)</f>
        <v>-8.5361594338821137E-2</v>
      </c>
      <c r="J727">
        <f>($B$1+Table4[[#This Row],[Home Differential]])-Table4[[#This Row],[Away Differential]]</f>
        <v>0.19915224448028052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-0.19727709229606127</v>
      </c>
      <c r="H728" t="s">
        <v>16</v>
      </c>
      <c r="I728">
        <f>VLOOKUP(Table4[[#This Row],[Visitor]],'NHL Model'!$A$6:$B$38,2,FALSE)</f>
        <v>-0.21926170023436534</v>
      </c>
      <c r="J728">
        <f>($B$1+Table4[[#This Row],[Home Differential]])-Table4[[#This Row],[Away Differential]]</f>
        <v>9.6202261843134587E-2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0.55037589449894386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-0.3202921716073342</v>
      </c>
      <c r="H729" t="s">
        <v>17</v>
      </c>
      <c r="I729">
        <f>VLOOKUP(Table4[[#This Row],[Visitor]],'NHL Model'!$A$6:$B$38,2,FALSE)</f>
        <v>7.1049614431123245E-2</v>
      </c>
      <c r="J729">
        <f>($B$1+Table4[[#This Row],[Home Differential]])-Table4[[#This Row],[Away Differential]]</f>
        <v>-0.31712413213362689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0.49420342178079957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9.4361646617848058E-2</v>
      </c>
      <c r="H730" t="s">
        <v>38</v>
      </c>
      <c r="I730">
        <f>VLOOKUP(Table4[[#This Row],[Visitor]],'NHL Model'!$A$6:$B$38,2,FALSE)</f>
        <v>-0.48278309788469043</v>
      </c>
      <c r="J730">
        <f>($B$1+Table4[[#This Row],[Home Differential]])-Table4[[#This Row],[Away Differential]]</f>
        <v>0.65136239840736898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0.56774012560477505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3.9336367625328564E-2</v>
      </c>
      <c r="H731" t="s">
        <v>37</v>
      </c>
      <c r="I731">
        <f>VLOOKUP(Table4[[#This Row],[Visitor]],'NHL Model'!$A$6:$B$38,2,FALSE)</f>
        <v>0.79636680320115127</v>
      </c>
      <c r="J731">
        <f>($B$1+Table4[[#This Row],[Home Differential]])-Table4[[#This Row],[Away Differential]]</f>
        <v>-0.68281278167099213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0.61986325675288567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-0.96065798985911643</v>
      </c>
      <c r="H732" t="s">
        <v>25</v>
      </c>
      <c r="I732">
        <f>VLOOKUP(Table4[[#This Row],[Visitor]],'NHL Model'!$A$6:$B$38,2,FALSE)</f>
        <v>0.45392063308446812</v>
      </c>
      <c r="J732">
        <f>($B$1+Table4[[#This Row],[Home Differential]])-Table4[[#This Row],[Away Differential]]</f>
        <v>-1.3403609690387541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0.66196820080435814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0.3142836898216293</v>
      </c>
      <c r="H733" t="s">
        <v>19</v>
      </c>
      <c r="I733">
        <f>VLOOKUP(Table4[[#This Row],[Visitor]],'NHL Model'!$A$6:$B$38,2,FALSE)</f>
        <v>-7.3686276472912369E-4</v>
      </c>
      <c r="J733">
        <f>($B$1+Table4[[#This Row],[Home Differential]])-Table4[[#This Row],[Away Differential]]</f>
        <v>0.38923820649118895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0.58198128493170065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-0.10659687498124908</v>
      </c>
      <c r="H734" t="s">
        <v>30</v>
      </c>
      <c r="I734">
        <f>VLOOKUP(Table4[[#This Row],[Visitor]],'NHL Model'!$A$6:$B$38,2,FALSE)</f>
        <v>0.16690670582810133</v>
      </c>
      <c r="J734">
        <f>($B$1+Table4[[#This Row],[Home Differential]])-Table4[[#This Row],[Away Differential]]</f>
        <v>-0.19928592690451988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0.51507739830688581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0.45610704431993199</v>
      </c>
      <c r="H735" t="s">
        <v>18</v>
      </c>
      <c r="I735">
        <f>VLOOKUP(Table4[[#This Row],[Visitor]],'NHL Model'!$A$6:$B$38,2,FALSE)</f>
        <v>0.10902894471156278</v>
      </c>
      <c r="J735">
        <f>($B$1+Table4[[#This Row],[Home Differential]])-Table4[[#This Row],[Away Differential]]</f>
        <v>0.4212957535131997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0.53324372956387078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0.18511137883580026</v>
      </c>
      <c r="H736" t="s">
        <v>27</v>
      </c>
      <c r="I736">
        <f>VLOOKUP(Table4[[#This Row],[Visitor]],'NHL Model'!$A$6:$B$38,2,FALSE)</f>
        <v>0.17784181108472058</v>
      </c>
      <c r="J736">
        <f>($B$1+Table4[[#This Row],[Home Differential]])-Table4[[#This Row],[Away Differential]]</f>
        <v>8.1487221655910214E-2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1.584470710005189E-2</v>
      </c>
      <c r="H737" t="s">
        <v>20</v>
      </c>
      <c r="I737">
        <f>VLOOKUP(Table4[[#This Row],[Visitor]],'NHL Model'!$A$6:$B$38,2,FALSE)</f>
        <v>0.14556378660539449</v>
      </c>
      <c r="J737">
        <f>($B$1+Table4[[#This Row],[Home Differential]])-Table4[[#This Row],[Away Differential]]</f>
        <v>-5.5501425600512078E-2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-6.1952588060713437E-2</v>
      </c>
      <c r="H738" t="s">
        <v>32</v>
      </c>
      <c r="I738">
        <f>VLOOKUP(Table4[[#This Row],[Visitor]],'NHL Model'!$A$6:$B$38,2,FALSE)</f>
        <v>-0.2855111111085496</v>
      </c>
      <c r="J738">
        <f>($B$1+Table4[[#This Row],[Home Differential]])-Table4[[#This Row],[Away Differential]]</f>
        <v>0.29777617695266667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0.57211664816569185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-6.2506340836952119E-3</v>
      </c>
      <c r="H739" t="s">
        <v>36</v>
      </c>
      <c r="I739">
        <f>VLOOKUP(Table4[[#This Row],[Visitor]],'NHL Model'!$A$6:$B$38,2,FALSE)</f>
        <v>9.4361646617848058E-2</v>
      </c>
      <c r="J739">
        <f>($B$1+Table4[[#This Row],[Home Differential]])-Table4[[#This Row],[Away Differential]]</f>
        <v>-2.6394626796712742E-2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3.9572996236628868E-2</v>
      </c>
      <c r="H740" t="s">
        <v>32</v>
      </c>
      <c r="I740">
        <f>VLOOKUP(Table4[[#This Row],[Visitor]],'NHL Model'!$A$6:$B$38,2,FALSE)</f>
        <v>-0.2855111111085496</v>
      </c>
      <c r="J740">
        <f>($B$1+Table4[[#This Row],[Home Differential]])-Table4[[#This Row],[Away Differential]]</f>
        <v>0.39930176125000899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0.59708331008152982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0.18511137883580026</v>
      </c>
      <c r="H741" t="s">
        <v>18</v>
      </c>
      <c r="I741">
        <f>VLOOKUP(Table4[[#This Row],[Visitor]],'NHL Model'!$A$6:$B$38,2,FALSE)</f>
        <v>0.10902894471156278</v>
      </c>
      <c r="J741">
        <f>($B$1+Table4[[#This Row],[Home Differential]])-Table4[[#This Row],[Away Differential]]</f>
        <v>0.15030008802906802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-0.19727709229606127</v>
      </c>
      <c r="H742" t="s">
        <v>38</v>
      </c>
      <c r="I742">
        <f>VLOOKUP(Table4[[#This Row],[Visitor]],'NHL Model'!$A$6:$B$38,2,FALSE)</f>
        <v>-0.48278309788469043</v>
      </c>
      <c r="J742">
        <f>($B$1+Table4[[#This Row],[Home Differential]])-Table4[[#This Row],[Away Differential]]</f>
        <v>0.35972365949345969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0.53628543078990765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-0.39984103039900787</v>
      </c>
      <c r="H743" t="s">
        <v>16</v>
      </c>
      <c r="I743">
        <f>VLOOKUP(Table4[[#This Row],[Visitor]],'NHL Model'!$A$6:$B$38,2,FALSE)</f>
        <v>-0.21926170023436534</v>
      </c>
      <c r="J743">
        <f>($B$1+Table4[[#This Row],[Home Differential]])-Table4[[#This Row],[Away Differential]]</f>
        <v>-0.10636167625981199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7.1049614431123245E-2</v>
      </c>
      <c r="H744" t="s">
        <v>30</v>
      </c>
      <c r="I744">
        <f>VLOOKUP(Table4[[#This Row],[Visitor]],'NHL Model'!$A$6:$B$38,2,FALSE)</f>
        <v>0.16690670582810133</v>
      </c>
      <c r="J744">
        <f>($B$1+Table4[[#This Row],[Home Differential]])-Table4[[#This Row],[Away Differential]]</f>
        <v>-2.1639437492147556E-2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0.47455614365123316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0.59379638322319717</v>
      </c>
      <c r="H745" t="s">
        <v>40</v>
      </c>
      <c r="I745">
        <f>VLOOKUP(Table4[[#This Row],[Visitor]],'NHL Model'!$A$6:$B$38,2,FALSE)</f>
        <v>-0.10659687498124908</v>
      </c>
      <c r="J745">
        <f>($B$1+Table4[[#This Row],[Home Differential]])-Table4[[#This Row],[Away Differential]]</f>
        <v>0.77461091210927668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3.9336367625328564E-2</v>
      </c>
      <c r="H746" t="s">
        <v>27</v>
      </c>
      <c r="I746">
        <f>VLOOKUP(Table4[[#This Row],[Visitor]],'NHL Model'!$A$6:$B$38,2,FALSE)</f>
        <v>0.17784181108472058</v>
      </c>
      <c r="J746">
        <f>($B$1+Table4[[#This Row],[Home Differential]])-Table4[[#This Row],[Away Differential]]</f>
        <v>-6.4287789554561492E-2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0.3142836898216293</v>
      </c>
      <c r="H747" t="s">
        <v>39</v>
      </c>
      <c r="I747">
        <f>VLOOKUP(Table4[[#This Row],[Visitor]],'NHL Model'!$A$6:$B$38,2,FALSE)</f>
        <v>0.76796514781800074</v>
      </c>
      <c r="J747">
        <f>($B$1+Table4[[#This Row],[Home Differential]])-Table4[[#This Row],[Away Differential]]</f>
        <v>-0.3794638040915409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0.14556378660539449</v>
      </c>
      <c r="H748" t="s">
        <v>19</v>
      </c>
      <c r="I748">
        <f>VLOOKUP(Table4[[#This Row],[Visitor]],'NHL Model'!$A$6:$B$38,2,FALSE)</f>
        <v>-7.3686276472912369E-4</v>
      </c>
      <c r="J748">
        <f>($B$1+Table4[[#This Row],[Home Differential]])-Table4[[#This Row],[Away Differential]]</f>
        <v>0.22051830327495414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0.56378400056329159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0.45610704431993199</v>
      </c>
      <c r="H749" t="s">
        <v>33</v>
      </c>
      <c r="I749">
        <f>VLOOKUP(Table4[[#This Row],[Visitor]],'NHL Model'!$A$6:$B$38,2,FALSE)</f>
        <v>-0.17930549805059143</v>
      </c>
      <c r="J749">
        <f>($B$1+Table4[[#This Row],[Home Differential]])-Table4[[#This Row],[Away Differential]]</f>
        <v>0.70963019627535395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0.6232997514120977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0.45392063308446812</v>
      </c>
      <c r="H750" t="s">
        <v>11</v>
      </c>
      <c r="I750">
        <f>VLOOKUP(Table4[[#This Row],[Visitor]],'NHL Model'!$A$6:$B$38,2,FALSE)</f>
        <v>0.19285186127150866</v>
      </c>
      <c r="J750">
        <f>($B$1+Table4[[#This Row],[Home Differential]])-Table4[[#This Row],[Away Differential]]</f>
        <v>0.33528642571778999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1.8591692540144091</v>
      </c>
      <c r="H751" t="s">
        <v>29</v>
      </c>
      <c r="I751">
        <f>VLOOKUP(Table4[[#This Row],[Visitor]],'NHL Model'!$A$6:$B$38,2,FALSE)</f>
        <v>-0.3202921716073342</v>
      </c>
      <c r="J751">
        <f>($B$1+Table4[[#This Row],[Home Differential]])-Table4[[#This Row],[Away Differential]]</f>
        <v>2.2536790795265738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-8.5361594338821137E-2</v>
      </c>
      <c r="H752" t="s">
        <v>33</v>
      </c>
      <c r="I752">
        <f>VLOOKUP(Table4[[#This Row],[Visitor]],'NHL Model'!$A$6:$B$38,2,FALSE)</f>
        <v>-0.17930549805059143</v>
      </c>
      <c r="J752">
        <f>($B$1+Table4[[#This Row],[Home Differential]])-Table4[[#This Row],[Away Differential]]</f>
        <v>0.16816155761660082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0.59141292607535034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1.584470710005189E-2</v>
      </c>
      <c r="H753" t="s">
        <v>31</v>
      </c>
      <c r="I753">
        <f>VLOOKUP(Table4[[#This Row],[Visitor]],'NHL Model'!$A$6:$B$38,2,FALSE)</f>
        <v>-6.6593655044643821E-4</v>
      </c>
      <c r="J753">
        <f>($B$1+Table4[[#This Row],[Home Differential]])-Table4[[#This Row],[Away Differential]]</f>
        <v>9.0728297555328852E-2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-0.96065798985911643</v>
      </c>
      <c r="H754" t="s">
        <v>37</v>
      </c>
      <c r="I754">
        <f>VLOOKUP(Table4[[#This Row],[Visitor]],'NHL Model'!$A$6:$B$38,2,FALSE)</f>
        <v>0.79636680320115127</v>
      </c>
      <c r="J754">
        <f>($B$1+Table4[[#This Row],[Home Differential]])-Table4[[#This Row],[Away Differential]]</f>
        <v>-1.6828071391554373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0.72771764347943058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-6.6593655044643821E-4</v>
      </c>
      <c r="H755" t="s">
        <v>13</v>
      </c>
      <c r="I755">
        <f>VLOOKUP(Table4[[#This Row],[Visitor]],'NHL Model'!$A$6:$B$38,2,FALSE)</f>
        <v>1.584470710005189E-2</v>
      </c>
      <c r="J755">
        <f>($B$1+Table4[[#This Row],[Home Differential]])-Table4[[#This Row],[Away Differential]]</f>
        <v>5.770701025433219E-2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0.18511137883580026</v>
      </c>
      <c r="H756" t="s">
        <v>34</v>
      </c>
      <c r="I756">
        <f>VLOOKUP(Table4[[#This Row],[Visitor]],'NHL Model'!$A$6:$B$38,2,FALSE)</f>
        <v>0.59379638322319717</v>
      </c>
      <c r="J756">
        <f>($B$1+Table4[[#This Row],[Home Differential]])-Table4[[#This Row],[Away Differential]]</f>
        <v>-0.33446735048256637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0.51433484407952923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-0.21926170023436534</v>
      </c>
      <c r="H757" t="s">
        <v>30</v>
      </c>
      <c r="I757">
        <f>VLOOKUP(Table4[[#This Row],[Visitor]],'NHL Model'!$A$6:$B$38,2,FALSE)</f>
        <v>0.16690670582810133</v>
      </c>
      <c r="J757">
        <f>($B$1+Table4[[#This Row],[Home Differential]])-Table4[[#This Row],[Away Differential]]</f>
        <v>-0.31195075215763612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0.48819090145325822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-0.39984103039900787</v>
      </c>
      <c r="H758" t="s">
        <v>21</v>
      </c>
      <c r="I758">
        <f>VLOOKUP(Table4[[#This Row],[Visitor]],'NHL Model'!$A$6:$B$38,2,FALSE)</f>
        <v>3.9572996236628868E-2</v>
      </c>
      <c r="J758">
        <f>($B$1+Table4[[#This Row],[Home Differential]])-Table4[[#This Row],[Away Differential]]</f>
        <v>-0.36519637273080618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0.49938825306447043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-6.1952588060713437E-2</v>
      </c>
      <c r="H759" t="s">
        <v>25</v>
      </c>
      <c r="I759">
        <f>VLOOKUP(Table4[[#This Row],[Visitor]],'NHL Model'!$A$6:$B$38,2,FALSE)</f>
        <v>0.45392063308446812</v>
      </c>
      <c r="J759">
        <f>($B$1+Table4[[#This Row],[Home Differential]])-Table4[[#This Row],[Away Differential]]</f>
        <v>-0.44165556724035104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9.4361646617848058E-2</v>
      </c>
      <c r="H760" t="s">
        <v>18</v>
      </c>
      <c r="I760">
        <f>VLOOKUP(Table4[[#This Row],[Visitor]],'NHL Model'!$A$6:$B$38,2,FALSE)</f>
        <v>0.10902894471156278</v>
      </c>
      <c r="J760">
        <f>($B$1+Table4[[#This Row],[Home Differential]])-Table4[[#This Row],[Away Differential]]</f>
        <v>5.9550355811115799E-2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0.17784181108472058</v>
      </c>
      <c r="H761" t="s">
        <v>15</v>
      </c>
      <c r="I761">
        <f>VLOOKUP(Table4[[#This Row],[Visitor]],'NHL Model'!$A$6:$B$38,2,FALSE)</f>
        <v>-6.2506340836952119E-3</v>
      </c>
      <c r="J761">
        <f>($B$1+Table4[[#This Row],[Home Differential]])-Table4[[#This Row],[Away Differential]]</f>
        <v>0.25831009907324631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3.9336367625328564E-2</v>
      </c>
      <c r="H762" t="s">
        <v>28</v>
      </c>
      <c r="I762">
        <f>VLOOKUP(Table4[[#This Row],[Visitor]],'NHL Model'!$A$6:$B$38,2,FALSE)</f>
        <v>-0.19727709229606127</v>
      </c>
      <c r="J762">
        <f>($B$1+Table4[[#This Row],[Home Differential]])-Table4[[#This Row],[Away Differential]]</f>
        <v>0.31083111382622036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0.3142836898216293</v>
      </c>
      <c r="H763" t="s">
        <v>32</v>
      </c>
      <c r="I763">
        <f>VLOOKUP(Table4[[#This Row],[Visitor]],'NHL Model'!$A$6:$B$38,2,FALSE)</f>
        <v>-0.2855111111085496</v>
      </c>
      <c r="J763">
        <f>($B$1+Table4[[#This Row],[Home Differential]])-Table4[[#This Row],[Away Differential]]</f>
        <v>0.67401245483500949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-0.48278309788469043</v>
      </c>
      <c r="H764" t="s">
        <v>17</v>
      </c>
      <c r="I764">
        <f>VLOOKUP(Table4[[#This Row],[Visitor]],'NHL Model'!$A$6:$B$38,2,FALSE)</f>
        <v>7.1049614431123245E-2</v>
      </c>
      <c r="J764">
        <f>($B$1+Table4[[#This Row],[Home Differential]])-Table4[[#This Row],[Away Differential]]</f>
        <v>-0.47961505841098312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0.14556378660539449</v>
      </c>
      <c r="H765" t="s">
        <v>29</v>
      </c>
      <c r="I765">
        <f>VLOOKUP(Table4[[#This Row],[Visitor]],'NHL Model'!$A$6:$B$38,2,FALSE)</f>
        <v>-0.3202921716073342</v>
      </c>
      <c r="J765">
        <f>($B$1+Table4[[#This Row],[Home Differential]])-Table4[[#This Row],[Away Differential]]</f>
        <v>0.54007361211755922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-0.10659687498124908</v>
      </c>
      <c r="H766" t="s">
        <v>19</v>
      </c>
      <c r="I766">
        <f>VLOOKUP(Table4[[#This Row],[Visitor]],'NHL Model'!$A$6:$B$38,2,FALSE)</f>
        <v>-7.3686276472912369E-4</v>
      </c>
      <c r="J766">
        <f>($B$1+Table4[[#This Row],[Home Differential]])-Table4[[#This Row],[Away Differential]]</f>
        <v>-3.1642358311689427E-2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0.46341278640698924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0.45610704431993199</v>
      </c>
      <c r="H767" t="s">
        <v>11</v>
      </c>
      <c r="I767">
        <f>VLOOKUP(Table4[[#This Row],[Visitor]],'NHL Model'!$A$6:$B$38,2,FALSE)</f>
        <v>0.19285186127150866</v>
      </c>
      <c r="J767">
        <f>($B$1+Table4[[#This Row],[Home Differential]])-Table4[[#This Row],[Away Differential]]</f>
        <v>0.33747283695325381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0.55363951055382687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0.76796514781800074</v>
      </c>
      <c r="H768" t="s">
        <v>37</v>
      </c>
      <c r="I768">
        <f>VLOOKUP(Table4[[#This Row],[Visitor]],'NHL Model'!$A$6:$B$38,2,FALSE)</f>
        <v>0.79636680320115127</v>
      </c>
      <c r="J768">
        <f>($B$1+Table4[[#This Row],[Home Differential]])-Table4[[#This Row],[Away Differential]]</f>
        <v>4.5815998521679946E-2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0.4849414843052221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-8.5361594338821137E-2</v>
      </c>
      <c r="H769" t="s">
        <v>36</v>
      </c>
      <c r="I769">
        <f>VLOOKUP(Table4[[#This Row],[Visitor]],'NHL Model'!$A$6:$B$38,2,FALSE)</f>
        <v>9.4361646617848058E-2</v>
      </c>
      <c r="J769">
        <f>($B$1+Table4[[#This Row],[Home Differential]])-Table4[[#This Row],[Away Differential]]</f>
        <v>-0.10550558705183867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7.1049614431123245E-2</v>
      </c>
      <c r="H770" t="s">
        <v>35</v>
      </c>
      <c r="I770">
        <f>VLOOKUP(Table4[[#This Row],[Visitor]],'NHL Model'!$A$6:$B$38,2,FALSE)</f>
        <v>-0.96065798985911643</v>
      </c>
      <c r="J770">
        <f>($B$1+Table4[[#This Row],[Home Differential]])-Table4[[#This Row],[Away Differential]]</f>
        <v>1.1059252581950703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0.68044679135871222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-6.6593655044643821E-4</v>
      </c>
      <c r="H771" t="s">
        <v>15</v>
      </c>
      <c r="I771">
        <f>VLOOKUP(Table4[[#This Row],[Visitor]],'NHL Model'!$A$6:$B$38,2,FALSE)</f>
        <v>-6.2506340836952119E-3</v>
      </c>
      <c r="J771">
        <f>($B$1+Table4[[#This Row],[Home Differential]])-Table4[[#This Row],[Away Differential]]</f>
        <v>7.9802351438079289E-2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0.51564933576041239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0.45392063308446812</v>
      </c>
      <c r="H772" t="s">
        <v>23</v>
      </c>
      <c r="I772">
        <f>VLOOKUP(Table4[[#This Row],[Visitor]],'NHL Model'!$A$6:$B$38,2,FALSE)</f>
        <v>0.18511137883580026</v>
      </c>
      <c r="J772">
        <f>($B$1+Table4[[#This Row],[Home Differential]])-Table4[[#This Row],[Away Differential]]</f>
        <v>0.3430269081534984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-0.21926170023436534</v>
      </c>
      <c r="H773" t="s">
        <v>24</v>
      </c>
      <c r="I773">
        <f>VLOOKUP(Table4[[#This Row],[Visitor]],'NHL Model'!$A$6:$B$38,2,FALSE)</f>
        <v>-6.1952588060713437E-2</v>
      </c>
      <c r="J773">
        <f>($B$1+Table4[[#This Row],[Home Differential]])-Table4[[#This Row],[Away Differential]]</f>
        <v>-8.3091458268821389E-2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0.46232408480634951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-0.39984103039900787</v>
      </c>
      <c r="H774" t="s">
        <v>40</v>
      </c>
      <c r="I774">
        <f>VLOOKUP(Table4[[#This Row],[Visitor]],'NHL Model'!$A$6:$B$38,2,FALSE)</f>
        <v>-0.10659687498124908</v>
      </c>
      <c r="J774">
        <f>($B$1+Table4[[#This Row],[Home Differential]])-Table4[[#This Row],[Away Differential]]</f>
        <v>-0.21902650151292824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1.8591692540144091</v>
      </c>
      <c r="H775" t="s">
        <v>22</v>
      </c>
      <c r="I775">
        <f>VLOOKUP(Table4[[#This Row],[Visitor]],'NHL Model'!$A$6:$B$38,2,FALSE)</f>
        <v>0.45610704431993199</v>
      </c>
      <c r="J775">
        <f>($B$1+Table4[[#This Row],[Home Differential]])-Table4[[#This Row],[Away Differential]]</f>
        <v>1.4772798635993076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0.81978267319599785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0.19285186127150866</v>
      </c>
      <c r="H776" t="s">
        <v>33</v>
      </c>
      <c r="I776">
        <f>VLOOKUP(Table4[[#This Row],[Visitor]],'NHL Model'!$A$6:$B$38,2,FALSE)</f>
        <v>-0.17930549805059143</v>
      </c>
      <c r="J776">
        <f>($B$1+Table4[[#This Row],[Home Differential]])-Table4[[#This Row],[Away Differential]]</f>
        <v>0.44637501322693063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0.58162109676789775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-0.2855111111085496</v>
      </c>
      <c r="H777" t="s">
        <v>14</v>
      </c>
      <c r="I777">
        <f>VLOOKUP(Table4[[#This Row],[Visitor]],'NHL Model'!$A$6:$B$38,2,FALSE)</f>
        <v>3.9336367625328564E-2</v>
      </c>
      <c r="J777">
        <f>($B$1+Table4[[#This Row],[Home Differential]])-Table4[[#This Row],[Away Differential]]</f>
        <v>-0.25062982482904761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0.49432139820515336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-7.3686276472912369E-4</v>
      </c>
      <c r="H778" t="s">
        <v>34</v>
      </c>
      <c r="I778">
        <f>VLOOKUP(Table4[[#This Row],[Visitor]],'NHL Model'!$A$6:$B$38,2,FALSE)</f>
        <v>0.59379638322319717</v>
      </c>
      <c r="J778">
        <f>($B$1+Table4[[#This Row],[Home Differential]])-Table4[[#This Row],[Away Differential]]</f>
        <v>-0.52031559208309575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0.5542318432858262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-0.48278309788469043</v>
      </c>
      <c r="H779" t="s">
        <v>30</v>
      </c>
      <c r="I779">
        <f>VLOOKUP(Table4[[#This Row],[Visitor]],'NHL Model'!$A$6:$B$38,2,FALSE)</f>
        <v>0.16690670582810133</v>
      </c>
      <c r="J779">
        <f>($B$1+Table4[[#This Row],[Home Differential]])-Table4[[#This Row],[Away Differential]]</f>
        <v>-0.57547214980796124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0.55565096161007377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0.14556378660539449</v>
      </c>
      <c r="H780" t="s">
        <v>27</v>
      </c>
      <c r="I780">
        <f>VLOOKUP(Table4[[#This Row],[Visitor]],'NHL Model'!$A$6:$B$38,2,FALSE)</f>
        <v>0.17784181108472058</v>
      </c>
      <c r="J780">
        <f>($B$1+Table4[[#This Row],[Home Differential]])-Table4[[#This Row],[Away Differential]]</f>
        <v>4.1939629425504443E-2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0.53723367890840479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-0.19727709229606127</v>
      </c>
      <c r="H781" t="s">
        <v>36</v>
      </c>
      <c r="I781">
        <f>VLOOKUP(Table4[[#This Row],[Visitor]],'NHL Model'!$A$6:$B$38,2,FALSE)</f>
        <v>9.4361646617848058E-2</v>
      </c>
      <c r="J781">
        <f>($B$1+Table4[[#This Row],[Home Differential]])-Table4[[#This Row],[Away Differential]]</f>
        <v>-0.21742108500907881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0.76796514781800074</v>
      </c>
      <c r="H782" t="s">
        <v>21</v>
      </c>
      <c r="I782">
        <f>VLOOKUP(Table4[[#This Row],[Visitor]],'NHL Model'!$A$6:$B$38,2,FALSE)</f>
        <v>3.9572996236628868E-2</v>
      </c>
      <c r="J782">
        <f>($B$1+Table4[[#This Row],[Home Differential]])-Table4[[#This Row],[Away Differential]]</f>
        <v>0.80260980548620231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0.65260321264753174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7.1049614431123245E-2</v>
      </c>
      <c r="H783" t="s">
        <v>24</v>
      </c>
      <c r="I783">
        <f>VLOOKUP(Table4[[#This Row],[Visitor]],'NHL Model'!$A$6:$B$38,2,FALSE)</f>
        <v>-6.1952588060713437E-2</v>
      </c>
      <c r="J783">
        <f>($B$1+Table4[[#This Row],[Home Differential]])-Table4[[#This Row],[Away Differential]]</f>
        <v>0.20721985639666721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0.55131695104579659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1.584470710005189E-2</v>
      </c>
      <c r="H784" t="s">
        <v>15</v>
      </c>
      <c r="I784">
        <f>VLOOKUP(Table4[[#This Row],[Visitor]],'NHL Model'!$A$6:$B$38,2,FALSE)</f>
        <v>-6.2506340836952119E-3</v>
      </c>
      <c r="J784">
        <f>($B$1+Table4[[#This Row],[Home Differential]])-Table4[[#This Row],[Away Differential]]</f>
        <v>9.6312995088577616E-2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0.49110000380471747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0.10902894471156278</v>
      </c>
      <c r="H785" t="s">
        <v>34</v>
      </c>
      <c r="I785">
        <f>VLOOKUP(Table4[[#This Row],[Visitor]],'NHL Model'!$A$6:$B$38,2,FALSE)</f>
        <v>0.59379638322319717</v>
      </c>
      <c r="J785">
        <f>($B$1+Table4[[#This Row],[Home Differential]])-Table4[[#This Row],[Away Differential]]</f>
        <v>-0.41054978460680386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0.56168341987753145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-0.3202921716073342</v>
      </c>
      <c r="H786" t="s">
        <v>23</v>
      </c>
      <c r="I786">
        <f>VLOOKUP(Table4[[#This Row],[Visitor]],'NHL Model'!$A$6:$B$38,2,FALSE)</f>
        <v>0.18511137883580026</v>
      </c>
      <c r="J786">
        <f>($B$1+Table4[[#This Row],[Home Differential]])-Table4[[#This Row],[Away Differential]]</f>
        <v>-0.43118589653830391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0.50650555284457954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0.79636680320115127</v>
      </c>
      <c r="H787" t="s">
        <v>33</v>
      </c>
      <c r="I787">
        <f>VLOOKUP(Table4[[#This Row],[Visitor]],'NHL Model'!$A$6:$B$38,2,FALSE)</f>
        <v>-0.17930549805059143</v>
      </c>
      <c r="J787">
        <f>($B$1+Table4[[#This Row],[Home Differential]])-Table4[[#This Row],[Away Differential]]</f>
        <v>1.0498899551565732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0.65051094044631685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-0.10659687498124908</v>
      </c>
      <c r="H788" t="s">
        <v>35</v>
      </c>
      <c r="I788">
        <f>VLOOKUP(Table4[[#This Row],[Visitor]],'NHL Model'!$A$6:$B$38,2,FALSE)</f>
        <v>-0.96065798985911643</v>
      </c>
      <c r="J788">
        <f>($B$1+Table4[[#This Row],[Home Differential]])-Table4[[#This Row],[Away Differential]]</f>
        <v>0.92827876878269788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-0.21926170023436534</v>
      </c>
      <c r="H789" t="s">
        <v>14</v>
      </c>
      <c r="I789">
        <f>VLOOKUP(Table4[[#This Row],[Visitor]],'NHL Model'!$A$6:$B$38,2,FALSE)</f>
        <v>3.9336367625328564E-2</v>
      </c>
      <c r="J789">
        <f>($B$1+Table4[[#This Row],[Home Differential]])-Table4[[#This Row],[Away Differential]]</f>
        <v>-0.18438041395486338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0.44845777725194863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1.8591692540144091</v>
      </c>
      <c r="H790" t="s">
        <v>31</v>
      </c>
      <c r="I790">
        <f>VLOOKUP(Table4[[#This Row],[Visitor]],'NHL Model'!$A$6:$B$38,2,FALSE)</f>
        <v>-6.6593655044643821E-4</v>
      </c>
      <c r="J790">
        <f>($B$1+Table4[[#This Row],[Home Differential]])-Table4[[#This Row],[Away Differential]]</f>
        <v>1.9340528444696861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-0.2855111111085496</v>
      </c>
      <c r="H791" t="s">
        <v>30</v>
      </c>
      <c r="I791">
        <f>VLOOKUP(Table4[[#This Row],[Visitor]],'NHL Model'!$A$6:$B$38,2,FALSE)</f>
        <v>0.16690670582810133</v>
      </c>
      <c r="J791">
        <f>($B$1+Table4[[#This Row],[Home Differential]])-Table4[[#This Row],[Away Differential]]</f>
        <v>-0.37820016303182036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0.53437419240350481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-7.3686276472912369E-4</v>
      </c>
      <c r="H792" t="s">
        <v>26</v>
      </c>
      <c r="I792">
        <f>VLOOKUP(Table4[[#This Row],[Visitor]],'NHL Model'!$A$6:$B$38,2,FALSE)</f>
        <v>-8.5361594338821137E-2</v>
      </c>
      <c r="J792">
        <f>($B$1+Table4[[#This Row],[Home Differential]])-Table4[[#This Row],[Away Differential]]</f>
        <v>0.15884238547892254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0.3142836898216293</v>
      </c>
      <c r="H793" t="s">
        <v>27</v>
      </c>
      <c r="I793">
        <f>VLOOKUP(Table4[[#This Row],[Visitor]],'NHL Model'!$A$6:$B$38,2,FALSE)</f>
        <v>0.17784181108472058</v>
      </c>
      <c r="J793">
        <f>($B$1+Table4[[#This Row],[Home Differential]])-Table4[[#This Row],[Away Differential]]</f>
        <v>0.21065953264173926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0.55543096327681385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-0.48278309788469043</v>
      </c>
      <c r="H794" t="s">
        <v>22</v>
      </c>
      <c r="I794">
        <f>VLOOKUP(Table4[[#This Row],[Visitor]],'NHL Model'!$A$6:$B$38,2,FALSE)</f>
        <v>0.45610704431993199</v>
      </c>
      <c r="J794">
        <f>($B$1+Table4[[#This Row],[Home Differential]])-Table4[[#This Row],[Away Differential]]</f>
        <v>-0.86467248829979182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0.55325924716164232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3.9572996236628868E-2</v>
      </c>
      <c r="H795" t="s">
        <v>20</v>
      </c>
      <c r="I795">
        <f>VLOOKUP(Table4[[#This Row],[Visitor]],'NHL Model'!$A$6:$B$38,2,FALSE)</f>
        <v>0.14556378660539449</v>
      </c>
      <c r="J795">
        <f>($B$1+Table4[[#This Row],[Home Differential]])-Table4[[#This Row],[Away Differential]]</f>
        <v>-3.1773136463935092E-2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0.47009355815065174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0.45392063308446812</v>
      </c>
      <c r="H796" t="s">
        <v>10</v>
      </c>
      <c r="I796">
        <f>VLOOKUP(Table4[[#This Row],[Visitor]],'NHL Model'!$A$6:$B$38,2,FALSE)</f>
        <v>-0.39984103039900787</v>
      </c>
      <c r="J796">
        <f>($B$1+Table4[[#This Row],[Home Differential]])-Table4[[#This Row],[Away Differential]]</f>
        <v>0.92797931738830652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0.67378535142912466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-0.19727709229606127</v>
      </c>
      <c r="H797" t="s">
        <v>39</v>
      </c>
      <c r="I797">
        <f>VLOOKUP(Table4[[#This Row],[Visitor]],'NHL Model'!$A$6:$B$38,2,FALSE)</f>
        <v>0.76796514781800074</v>
      </c>
      <c r="J797">
        <f>($B$1+Table4[[#This Row],[Home Differential]])-Table4[[#This Row],[Away Differential]]</f>
        <v>-0.89102458620923153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0.63020169906561707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7.1049614431123245E-2</v>
      </c>
      <c r="H798" t="s">
        <v>14</v>
      </c>
      <c r="I798">
        <f>VLOOKUP(Table4[[#This Row],[Visitor]],'NHL Model'!$A$6:$B$38,2,FALSE)</f>
        <v>3.9336367625328564E-2</v>
      </c>
      <c r="J798">
        <f>($B$1+Table4[[#This Row],[Home Differential]])-Table4[[#This Row],[Away Differential]]</f>
        <v>0.10593090071062521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0.5653610368565819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0.59379638322319717</v>
      </c>
      <c r="H799" t="s">
        <v>26</v>
      </c>
      <c r="I799">
        <f>VLOOKUP(Table4[[#This Row],[Visitor]],'NHL Model'!$A$6:$B$38,2,FALSE)</f>
        <v>-8.5361594338821137E-2</v>
      </c>
      <c r="J799">
        <f>($B$1+Table4[[#This Row],[Home Differential]])-Table4[[#This Row],[Away Differential]]</f>
        <v>0.75337563146684883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0.62292199185768349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0.10902894471156278</v>
      </c>
      <c r="H800" t="s">
        <v>23</v>
      </c>
      <c r="I800">
        <f>VLOOKUP(Table4[[#This Row],[Visitor]],'NHL Model'!$A$6:$B$38,2,FALSE)</f>
        <v>0.18511137883580026</v>
      </c>
      <c r="J800">
        <f>($B$1+Table4[[#This Row],[Home Differential]])-Table4[[#This Row],[Away Differential]]</f>
        <v>-1.8647802194069474E-3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-0.3202921716073342</v>
      </c>
      <c r="H801" t="s">
        <v>36</v>
      </c>
      <c r="I801">
        <f>VLOOKUP(Table4[[#This Row],[Visitor]],'NHL Model'!$A$6:$B$38,2,FALSE)</f>
        <v>9.4361646617848058E-2</v>
      </c>
      <c r="J801">
        <f>($B$1+Table4[[#This Row],[Home Differential]])-Table4[[#This Row],[Away Differential]]</f>
        <v>-0.34043616432035173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0.51748697167196367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-0.10659687498124908</v>
      </c>
      <c r="H802" t="s">
        <v>11</v>
      </c>
      <c r="I802">
        <f>VLOOKUP(Table4[[#This Row],[Visitor]],'NHL Model'!$A$6:$B$38,2,FALSE)</f>
        <v>0.19285186127150866</v>
      </c>
      <c r="J802">
        <f>($B$1+Table4[[#This Row],[Home Differential]])-Table4[[#This Row],[Away Differential]]</f>
        <v>-0.22523108234792721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0.5211867072659454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-0.21926170023436534</v>
      </c>
      <c r="H803" t="s">
        <v>22</v>
      </c>
      <c r="I803">
        <f>VLOOKUP(Table4[[#This Row],[Visitor]],'NHL Model'!$A$6:$B$38,2,FALSE)</f>
        <v>0.45610704431993199</v>
      </c>
      <c r="J803">
        <f>($B$1+Table4[[#This Row],[Home Differential]])-Table4[[#This Row],[Away Differential]]</f>
        <v>-0.60115109064946681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0.48624505548187352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-0.39984103039900787</v>
      </c>
      <c r="H804" t="s">
        <v>37</v>
      </c>
      <c r="I804">
        <f>VLOOKUP(Table4[[#This Row],[Visitor]],'NHL Model'!$A$6:$B$38,2,FALSE)</f>
        <v>0.79636680320115127</v>
      </c>
      <c r="J804">
        <f>($B$1+Table4[[#This Row],[Home Differential]])-Table4[[#This Row],[Away Differential]]</f>
        <v>-1.1219901796953287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0.66723073295268143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1.8591692540144091</v>
      </c>
      <c r="H805" t="s">
        <v>27</v>
      </c>
      <c r="I805">
        <f>VLOOKUP(Table4[[#This Row],[Visitor]],'NHL Model'!$A$6:$B$38,2,FALSE)</f>
        <v>0.17784181108472058</v>
      </c>
      <c r="J805">
        <f>($B$1+Table4[[#This Row],[Home Differential]])-Table4[[#This Row],[Away Differential]]</f>
        <v>1.755545096834519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0.84319046201423775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0.76796514781800074</v>
      </c>
      <c r="H806" t="s">
        <v>35</v>
      </c>
      <c r="I806">
        <f>VLOOKUP(Table4[[#This Row],[Visitor]],'NHL Model'!$A$6:$B$38,2,FALSE)</f>
        <v>-0.96065798985911643</v>
      </c>
      <c r="J806">
        <f>($B$1+Table4[[#This Row],[Home Differential]])-Table4[[#This Row],[Away Differential]]</f>
        <v>1.8028407915819478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-0.2855111111085496</v>
      </c>
      <c r="H807" t="s">
        <v>31</v>
      </c>
      <c r="I807">
        <f>VLOOKUP(Table4[[#This Row],[Visitor]],'NHL Model'!$A$6:$B$38,2,FALSE)</f>
        <v>-6.6593655044643821E-4</v>
      </c>
      <c r="J807">
        <f>($B$1+Table4[[#This Row],[Home Differential]])-Table4[[#This Row],[Away Differential]]</f>
        <v>-0.21062752065327262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-0.17930549805059143</v>
      </c>
      <c r="H808" t="s">
        <v>15</v>
      </c>
      <c r="I808">
        <f>VLOOKUP(Table4[[#This Row],[Visitor]],'NHL Model'!$A$6:$B$38,2,FALSE)</f>
        <v>-6.2506340836952119E-3</v>
      </c>
      <c r="J808">
        <f>($B$1+Table4[[#This Row],[Home Differential]])-Table4[[#This Row],[Away Differential]]</f>
        <v>-9.8837210062065695E-2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0.52994792065460561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-7.3686276472912369E-4</v>
      </c>
      <c r="H809" t="s">
        <v>20</v>
      </c>
      <c r="I809">
        <f>VLOOKUP(Table4[[#This Row],[Visitor]],'NHL Model'!$A$6:$B$38,2,FALSE)</f>
        <v>0.14556378660539449</v>
      </c>
      <c r="J809">
        <f>($B$1+Table4[[#This Row],[Home Differential]])-Table4[[#This Row],[Away Differential]]</f>
        <v>-7.2082995465293079E-2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0.46931297267558297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-0.48278309788469043</v>
      </c>
      <c r="H810" t="s">
        <v>24</v>
      </c>
      <c r="I810">
        <f>VLOOKUP(Table4[[#This Row],[Visitor]],'NHL Model'!$A$6:$B$38,2,FALSE)</f>
        <v>-6.1952588060713437E-2</v>
      </c>
      <c r="J810">
        <f>($B$1+Table4[[#This Row],[Home Differential]])-Table4[[#This Row],[Away Differential]]</f>
        <v>-0.34661285591914648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0.52977425919049537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3.9572996236628868E-2</v>
      </c>
      <c r="H811" t="s">
        <v>18</v>
      </c>
      <c r="I811">
        <f>VLOOKUP(Table4[[#This Row],[Visitor]],'NHL Model'!$A$6:$B$38,2,FALSE)</f>
        <v>0.10902894471156278</v>
      </c>
      <c r="J811">
        <f>($B$1+Table4[[#This Row],[Home Differential]])-Table4[[#This Row],[Away Differential]]</f>
        <v>4.7617054298966094E-3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-0.19727709229606127</v>
      </c>
      <c r="H812" t="s">
        <v>37</v>
      </c>
      <c r="I812">
        <f>VLOOKUP(Table4[[#This Row],[Visitor]],'NHL Model'!$A$6:$B$38,2,FALSE)</f>
        <v>0.79636680320115127</v>
      </c>
      <c r="J812">
        <f>($B$1+Table4[[#This Row],[Home Differential]])-Table4[[#This Row],[Away Differential]]</f>
        <v>-0.91942624159238207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7.1049614431123245E-2</v>
      </c>
      <c r="H813" t="s">
        <v>22</v>
      </c>
      <c r="I813">
        <f>VLOOKUP(Table4[[#This Row],[Visitor]],'NHL Model'!$A$6:$B$38,2,FALSE)</f>
        <v>0.45610704431993199</v>
      </c>
      <c r="J813">
        <f>($B$1+Table4[[#This Row],[Home Differential]])-Table4[[#This Row],[Away Differential]]</f>
        <v>-0.31083977598397822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0.47235839474392094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0.59379638322319717</v>
      </c>
      <c r="H814" t="s">
        <v>11</v>
      </c>
      <c r="I814">
        <f>VLOOKUP(Table4[[#This Row],[Visitor]],'NHL Model'!$A$6:$B$38,2,FALSE)</f>
        <v>0.19285186127150866</v>
      </c>
      <c r="J814">
        <f>($B$1+Table4[[#This Row],[Home Differential]])-Table4[[#This Row],[Away Differential]]</f>
        <v>0.47516217585651899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0.57685508324645407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-0.3202921716073342</v>
      </c>
      <c r="H815" t="s">
        <v>55</v>
      </c>
      <c r="I815">
        <f>VLOOKUP(Table4[[#This Row],[Visitor]],'NHL Model'!$A$6:$B$38,2,FALSE)</f>
        <v>0.3142836898216293</v>
      </c>
      <c r="J815">
        <f>($B$1+Table4[[#This Row],[Home Differential]])-Table4[[#This Row],[Away Differential]]</f>
        <v>-0.5603582075241329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0.16690670582810133</v>
      </c>
      <c r="H816" t="s">
        <v>23</v>
      </c>
      <c r="I816">
        <f>VLOOKUP(Table4[[#This Row],[Visitor]],'NHL Model'!$A$6:$B$38,2,FALSE)</f>
        <v>0.18511137883580026</v>
      </c>
      <c r="J816">
        <f>($B$1+Table4[[#This Row],[Home Differential]])-Table4[[#This Row],[Away Differential]]</f>
        <v>5.6012980897131581E-2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0.54853675899574095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9.4361646617848058E-2</v>
      </c>
      <c r="H817" t="s">
        <v>25</v>
      </c>
      <c r="I817">
        <f>VLOOKUP(Table4[[#This Row],[Visitor]],'NHL Model'!$A$6:$B$38,2,FALSE)</f>
        <v>0.45392063308446812</v>
      </c>
      <c r="J817">
        <f>($B$1+Table4[[#This Row],[Home Differential]])-Table4[[#This Row],[Away Differential]]</f>
        <v>-0.28534133256178951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-0.96065798985911643</v>
      </c>
      <c r="H818" t="s">
        <v>13</v>
      </c>
      <c r="I818">
        <f>VLOOKUP(Table4[[#This Row],[Visitor]],'NHL Model'!$A$6:$B$38,2,FALSE)</f>
        <v>1.584470710005189E-2</v>
      </c>
      <c r="J818">
        <f>($B$1+Table4[[#This Row],[Home Differential]])-Table4[[#This Row],[Away Differential]]</f>
        <v>-0.90228504305433788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-0.10659687498124908</v>
      </c>
      <c r="H819" t="s">
        <v>26</v>
      </c>
      <c r="I819">
        <f>VLOOKUP(Table4[[#This Row],[Visitor]],'NHL Model'!$A$6:$B$38,2,FALSE)</f>
        <v>-8.5361594338821137E-2</v>
      </c>
      <c r="J819">
        <f>($B$1+Table4[[#This Row],[Home Differential]])-Table4[[#This Row],[Away Differential]]</f>
        <v>5.2982373262402585E-2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0.52494518284997027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-0.21926170023436534</v>
      </c>
      <c r="H820" t="s">
        <v>31</v>
      </c>
      <c r="I820">
        <f>VLOOKUP(Table4[[#This Row],[Visitor]],'NHL Model'!$A$6:$B$38,2,FALSE)</f>
        <v>-6.6593655044643821E-4</v>
      </c>
      <c r="J820">
        <f>($B$1+Table4[[#This Row],[Home Differential]])-Table4[[#This Row],[Away Differential]]</f>
        <v>-0.14437810977908838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-0.39984103039900787</v>
      </c>
      <c r="H821" t="s">
        <v>11</v>
      </c>
      <c r="I821">
        <f>VLOOKUP(Table4[[#This Row],[Visitor]],'NHL Model'!$A$6:$B$38,2,FALSE)</f>
        <v>0.19285186127150866</v>
      </c>
      <c r="J821">
        <f>($B$1+Table4[[#This Row],[Home Differential]])-Table4[[#This Row],[Away Differential]]</f>
        <v>-0.51847523776568605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0.55281455427029003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9.4361646617848058E-2</v>
      </c>
      <c r="H822" t="s">
        <v>20</v>
      </c>
      <c r="I822">
        <f>VLOOKUP(Table4[[#This Row],[Visitor]],'NHL Model'!$A$6:$B$38,2,FALSE)</f>
        <v>0.14556378660539449</v>
      </c>
      <c r="J822">
        <f>($B$1+Table4[[#This Row],[Home Differential]])-Table4[[#This Row],[Away Differential]]</f>
        <v>2.3015513917284097E-2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0.52171310737614585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-0.2855111111085496</v>
      </c>
      <c r="H823" t="s">
        <v>24</v>
      </c>
      <c r="I823">
        <f>VLOOKUP(Table4[[#This Row],[Visitor]],'NHL Model'!$A$6:$B$38,2,FALSE)</f>
        <v>-6.1952588060713437E-2</v>
      </c>
      <c r="J823">
        <f>($B$1+Table4[[#This Row],[Home Differential]])-Table4[[#This Row],[Away Differential]]</f>
        <v>-0.14934086914300562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0.50849748998392652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-7.3686276472912369E-4</v>
      </c>
      <c r="H824" t="s">
        <v>12</v>
      </c>
      <c r="I824">
        <f>VLOOKUP(Table4[[#This Row],[Visitor]],'NHL Model'!$A$6:$B$38,2,FALSE)</f>
        <v>1.8591692540144091</v>
      </c>
      <c r="J824">
        <f>($B$1+Table4[[#This Row],[Home Differential]])-Table4[[#This Row],[Away Differential]]</f>
        <v>-1.7856884628743077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0.71962244779765949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-0.48278309788469043</v>
      </c>
      <c r="H825" t="s">
        <v>14</v>
      </c>
      <c r="I825">
        <f>VLOOKUP(Table4[[#This Row],[Visitor]],'NHL Model'!$A$6:$B$38,2,FALSE)</f>
        <v>3.9336367625328564E-2</v>
      </c>
      <c r="J825">
        <f>($B$1+Table4[[#This Row],[Home Differential]])-Table4[[#This Row],[Away Differential]]</f>
        <v>-0.44790181160518844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0.51559816741172226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-0.19727709229606127</v>
      </c>
      <c r="H826" t="s">
        <v>13</v>
      </c>
      <c r="I826">
        <f>VLOOKUP(Table4[[#This Row],[Visitor]],'NHL Model'!$A$6:$B$38,2,FALSE)</f>
        <v>1.584470710005189E-2</v>
      </c>
      <c r="J826">
        <f>($B$1+Table4[[#This Row],[Home Differential]])-Table4[[#This Row],[Away Differential]]</f>
        <v>-0.13890414549128263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0.50737183720352219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7.1049614431123245E-2</v>
      </c>
      <c r="H827" t="s">
        <v>31</v>
      </c>
      <c r="I827">
        <f>VLOOKUP(Table4[[#This Row],[Visitor]],'NHL Model'!$A$6:$B$38,2,FALSE)</f>
        <v>-6.6593655044643821E-4</v>
      </c>
      <c r="J827">
        <f>($B$1+Table4[[#This Row],[Home Differential]])-Table4[[#This Row],[Away Differential]]</f>
        <v>0.14593320488640021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-6.2506340836952119E-3</v>
      </c>
      <c r="H828" t="s">
        <v>21</v>
      </c>
      <c r="I828">
        <f>VLOOKUP(Table4[[#This Row],[Visitor]],'NHL Model'!$A$6:$B$38,2,FALSE)</f>
        <v>3.9572996236628868E-2</v>
      </c>
      <c r="J828">
        <f>($B$1+Table4[[#This Row],[Home Differential]])-Table4[[#This Row],[Away Differential]]</f>
        <v>2.8394023584506448E-2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0.54306243728025605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0.17784181108472058</v>
      </c>
      <c r="H829" t="s">
        <v>30</v>
      </c>
      <c r="I829">
        <f>VLOOKUP(Table4[[#This Row],[Visitor]],'NHL Model'!$A$6:$B$38,2,FALSE)</f>
        <v>0.16690670582810133</v>
      </c>
      <c r="J829">
        <f>($B$1+Table4[[#This Row],[Home Differential]])-Table4[[#This Row],[Away Differential]]</f>
        <v>8.5152759161449793E-2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0.79636680320115127</v>
      </c>
      <c r="H830" t="s">
        <v>55</v>
      </c>
      <c r="I830">
        <f>VLOOKUP(Table4[[#This Row],[Visitor]],'NHL Model'!$A$6:$B$38,2,FALSE)</f>
        <v>0.3142836898216293</v>
      </c>
      <c r="J830">
        <f>($B$1+Table4[[#This Row],[Home Differential]])-Table4[[#This Row],[Away Differential]]</f>
        <v>0.55630076728435252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0.60455427208640344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3.9572996236628868E-2</v>
      </c>
      <c r="H831" t="s">
        <v>29</v>
      </c>
      <c r="I831">
        <f>VLOOKUP(Table4[[#This Row],[Visitor]],'NHL Model'!$A$6:$B$38,2,FALSE)</f>
        <v>-0.3202921716073342</v>
      </c>
      <c r="J831">
        <f>($B$1+Table4[[#This Row],[Home Differential]])-Table4[[#This Row],[Away Differential]]</f>
        <v>0.43408282174879359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0.60083462119815645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-8.5361594338821137E-2</v>
      </c>
      <c r="H832" t="s">
        <v>13</v>
      </c>
      <c r="I832">
        <f>VLOOKUP(Table4[[#This Row],[Visitor]],'NHL Model'!$A$6:$B$38,2,FALSE)</f>
        <v>1.584470710005189E-2</v>
      </c>
      <c r="J832">
        <f>($B$1+Table4[[#This Row],[Home Differential]])-Table4[[#This Row],[Away Differential]]</f>
        <v>-2.6988647534042502E-2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0.45440339776637129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0.19285186127150866</v>
      </c>
      <c r="H833" t="s">
        <v>55</v>
      </c>
      <c r="I833">
        <f>VLOOKUP(Table4[[#This Row],[Visitor]],'NHL Model'!$A$6:$B$38,2,FALSE)</f>
        <v>0.3142836898216293</v>
      </c>
      <c r="J833">
        <f>($B$1+Table4[[#This Row],[Home Differential]])-Table4[[#This Row],[Away Differential]]</f>
        <v>-4.7214174645290097E-2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0.46432689356948764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0.59379638322319717</v>
      </c>
      <c r="H834" t="s">
        <v>10</v>
      </c>
      <c r="I834">
        <f>VLOOKUP(Table4[[#This Row],[Visitor]],'NHL Model'!$A$6:$B$38,2,FALSE)</f>
        <v>-0.39984103039900787</v>
      </c>
      <c r="J834">
        <f>($B$1+Table4[[#This Row],[Home Differential]])-Table4[[#This Row],[Away Differential]]</f>
        <v>1.0678550675270355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0.10902894471156278</v>
      </c>
      <c r="H835" t="s">
        <v>20</v>
      </c>
      <c r="I835">
        <f>VLOOKUP(Table4[[#This Row],[Visitor]],'NHL Model'!$A$6:$B$38,2,FALSE)</f>
        <v>0.14556378660539449</v>
      </c>
      <c r="J835">
        <f>($B$1+Table4[[#This Row],[Home Differential]])-Table4[[#This Row],[Away Differential]]</f>
        <v>3.7682812010998823E-2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0.52329504874310762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-6.1952588060713437E-2</v>
      </c>
      <c r="H836" t="s">
        <v>40</v>
      </c>
      <c r="I836">
        <f>VLOOKUP(Table4[[#This Row],[Visitor]],'NHL Model'!$A$6:$B$38,2,FALSE)</f>
        <v>-0.10659687498124908</v>
      </c>
      <c r="J836">
        <f>($B$1+Table4[[#This Row],[Home Differential]])-Table4[[#This Row],[Away Differential]]</f>
        <v>0.11886194082536616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0.55281985406907275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-0.2855111111085496</v>
      </c>
      <c r="H837" t="s">
        <v>22</v>
      </c>
      <c r="I837">
        <f>VLOOKUP(Table4[[#This Row],[Visitor]],'NHL Model'!$A$6:$B$38,2,FALSE)</f>
        <v>0.45610704431993199</v>
      </c>
      <c r="J837">
        <f>($B$1+Table4[[#This Row],[Home Differential]])-Table4[[#This Row],[Away Differential]]</f>
        <v>-0.66740050152365105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0.53198247795507347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-0.96065798985911643</v>
      </c>
      <c r="H838" t="s">
        <v>39</v>
      </c>
      <c r="I838">
        <f>VLOOKUP(Table4[[#This Row],[Visitor]],'NHL Model'!$A$6:$B$38,2,FALSE)</f>
        <v>0.76796514781800074</v>
      </c>
      <c r="J838">
        <f>($B$1+Table4[[#This Row],[Home Differential]])-Table4[[#This Row],[Away Differential]]</f>
        <v>-1.6544054837722868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-7.3686276472912369E-4</v>
      </c>
      <c r="H839" t="s">
        <v>23</v>
      </c>
      <c r="I839">
        <f>VLOOKUP(Table4[[#This Row],[Visitor]],'NHL Model'!$A$6:$B$38,2,FALSE)</f>
        <v>0.18511137883580026</v>
      </c>
      <c r="J839">
        <f>($B$1+Table4[[#This Row],[Home Differential]])-Table4[[#This Row],[Away Differential]]</f>
        <v>-0.11163058769569885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-0.48278309788469043</v>
      </c>
      <c r="H840" t="s">
        <v>33</v>
      </c>
      <c r="I840">
        <f>VLOOKUP(Table4[[#This Row],[Visitor]],'NHL Model'!$A$6:$B$38,2,FALSE)</f>
        <v>-0.17930549805059143</v>
      </c>
      <c r="J840">
        <f>($B$1+Table4[[#This Row],[Home Differential]])-Table4[[#This Row],[Away Differential]]</f>
        <v>-0.22925994592926846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-0.19727709229606127</v>
      </c>
      <c r="H841" t="s">
        <v>27</v>
      </c>
      <c r="I841">
        <f>VLOOKUP(Table4[[#This Row],[Visitor]],'NHL Model'!$A$6:$B$38,2,FALSE)</f>
        <v>0.17784181108472058</v>
      </c>
      <c r="J841">
        <f>($B$1+Table4[[#This Row],[Home Differential]])-Table4[[#This Row],[Away Differential]]</f>
        <v>-0.30090124947595132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0.49974342247417114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0.16690670582810133</v>
      </c>
      <c r="H842" t="s">
        <v>15</v>
      </c>
      <c r="I842">
        <f>VLOOKUP(Table4[[#This Row],[Visitor]],'NHL Model'!$A$6:$B$38,2,FALSE)</f>
        <v>-6.2506340836952119E-3</v>
      </c>
      <c r="J842">
        <f>($B$1+Table4[[#This Row],[Home Differential]])-Table4[[#This Row],[Away Differential]]</f>
        <v>0.24737499381662706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9.4361646617848058E-2</v>
      </c>
      <c r="H843" t="s">
        <v>12</v>
      </c>
      <c r="I843">
        <f>VLOOKUP(Table4[[#This Row],[Visitor]],'NHL Model'!$A$6:$B$38,2,FALSE)</f>
        <v>1.8591692540144091</v>
      </c>
      <c r="J843">
        <f>($B$1+Table4[[#This Row],[Home Differential]])-Table4[[#This Row],[Away Differential]]</f>
        <v>-1.6905899534917306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0.72855705888309252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3.9572996236628868E-2</v>
      </c>
      <c r="H844" t="s">
        <v>27</v>
      </c>
      <c r="I844">
        <f>VLOOKUP(Table4[[#This Row],[Visitor]],'NHL Model'!$A$6:$B$38,2,FALSE)</f>
        <v>0.17784181108472058</v>
      </c>
      <c r="J844">
        <f>($B$1+Table4[[#This Row],[Home Differential]])-Table4[[#This Row],[Away Differential]]</f>
        <v>-6.4051160943261187E-2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0.46014564773443961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0.18511137883580026</v>
      </c>
      <c r="H845" t="s">
        <v>13</v>
      </c>
      <c r="I845">
        <f>VLOOKUP(Table4[[#This Row],[Visitor]],'NHL Model'!$A$6:$B$38,2,FALSE)</f>
        <v>1.584470710005189E-2</v>
      </c>
      <c r="J845">
        <f>($B$1+Table4[[#This Row],[Home Differential]])-Table4[[#This Row],[Away Differential]]</f>
        <v>0.2434843256405789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0.57289874483230352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0.45392063308446812</v>
      </c>
      <c r="H846" t="s">
        <v>55</v>
      </c>
      <c r="I846">
        <f>VLOOKUP(Table4[[#This Row],[Visitor]],'NHL Model'!$A$6:$B$38,2,FALSE)</f>
        <v>0.3142836898216293</v>
      </c>
      <c r="J846">
        <f>($B$1+Table4[[#This Row],[Home Differential]])-Table4[[#This Row],[Away Differential]]</f>
        <v>0.21385459716766936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0.59676343308609014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-8.5361594338821137E-2</v>
      </c>
      <c r="H847" t="s">
        <v>22</v>
      </c>
      <c r="I847">
        <f>VLOOKUP(Table4[[#This Row],[Visitor]],'NHL Model'!$A$6:$B$38,2,FALSE)</f>
        <v>0.45610704431993199</v>
      </c>
      <c r="J847">
        <f>($B$1+Table4[[#This Row],[Home Differential]])-Table4[[#This Row],[Away Differential]]</f>
        <v>-0.46725098475392257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7.1049614431123245E-2</v>
      </c>
      <c r="H848" t="s">
        <v>33</v>
      </c>
      <c r="I848">
        <f>VLOOKUP(Table4[[#This Row],[Visitor]],'NHL Model'!$A$6:$B$38,2,FALSE)</f>
        <v>-0.17930549805059143</v>
      </c>
      <c r="J848">
        <f>($B$1+Table4[[#This Row],[Home Differential]])-Table4[[#This Row],[Away Differential]]</f>
        <v>0.3245727663865452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0.59379638322319717</v>
      </c>
      <c r="H849" t="s">
        <v>16</v>
      </c>
      <c r="I849">
        <f>VLOOKUP(Table4[[#This Row],[Visitor]],'NHL Model'!$A$6:$B$38,2,FALSE)</f>
        <v>-0.21926170023436534</v>
      </c>
      <c r="J849">
        <f>($B$1+Table4[[#This Row],[Home Differential]])-Table4[[#This Row],[Away Differential]]</f>
        <v>0.88727573736239296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0.10902894471156278</v>
      </c>
      <c r="H850" t="s">
        <v>12</v>
      </c>
      <c r="I850">
        <f>VLOOKUP(Table4[[#This Row],[Visitor]],'NHL Model'!$A$6:$B$38,2,FALSE)</f>
        <v>1.8591692540144091</v>
      </c>
      <c r="J850">
        <f>($B$1+Table4[[#This Row],[Home Differential]])-Table4[[#This Row],[Away Differential]]</f>
        <v>-1.6759226553980158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0.72697511751613075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-6.1952588060713437E-2</v>
      </c>
      <c r="H851" t="s">
        <v>29</v>
      </c>
      <c r="I851">
        <f>VLOOKUP(Table4[[#This Row],[Visitor]],'NHL Model'!$A$6:$B$38,2,FALSE)</f>
        <v>-0.3202921716073342</v>
      </c>
      <c r="J851">
        <f>($B$1+Table4[[#This Row],[Home Differential]])-Table4[[#This Row],[Away Differential]]</f>
        <v>0.33255723745145127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0.57586795928231849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-6.2506340836952119E-3</v>
      </c>
      <c r="H852" t="s">
        <v>30</v>
      </c>
      <c r="I852">
        <f>VLOOKUP(Table4[[#This Row],[Visitor]],'NHL Model'!$A$6:$B$38,2,FALSE)</f>
        <v>0.16690670582810133</v>
      </c>
      <c r="J852">
        <f>($B$1+Table4[[#This Row],[Home Differential]])-Table4[[#This Row],[Away Differential]]</f>
        <v>-9.893968600696601E-2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3.9336367625328564E-2</v>
      </c>
      <c r="H853" t="s">
        <v>10</v>
      </c>
      <c r="I853">
        <f>VLOOKUP(Table4[[#This Row],[Visitor]],'NHL Model'!$A$6:$B$38,2,FALSE)</f>
        <v>-0.39984103039900787</v>
      </c>
      <c r="J853">
        <f>($B$1+Table4[[#This Row],[Home Differential]])-Table4[[#This Row],[Away Differential]]</f>
        <v>0.51339505192916701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0.59537222091288078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-0.2855111111085496</v>
      </c>
      <c r="H854" t="s">
        <v>19</v>
      </c>
      <c r="I854">
        <f>VLOOKUP(Table4[[#This Row],[Visitor]],'NHL Model'!$A$6:$B$38,2,FALSE)</f>
        <v>-7.3686276472912369E-4</v>
      </c>
      <c r="J854">
        <f>($B$1+Table4[[#This Row],[Home Differential]])-Table4[[#This Row],[Away Differential]]</f>
        <v>-0.21055659443898994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0.48270958050360835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-0.96065798985911643</v>
      </c>
      <c r="H855" t="s">
        <v>11</v>
      </c>
      <c r="I855">
        <f>VLOOKUP(Table4[[#This Row],[Visitor]],'NHL Model'!$A$6:$B$38,2,FALSE)</f>
        <v>0.19285186127150866</v>
      </c>
      <c r="J855">
        <f>($B$1+Table4[[#This Row],[Home Differential]])-Table4[[#This Row],[Away Differential]]</f>
        <v>-1.0792921972257945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0.61330146479703918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0.79636680320115127</v>
      </c>
      <c r="H856" t="s">
        <v>40</v>
      </c>
      <c r="I856">
        <f>VLOOKUP(Table4[[#This Row],[Visitor]],'NHL Model'!$A$6:$B$38,2,FALSE)</f>
        <v>-0.10659687498124908</v>
      </c>
      <c r="J856">
        <f>($B$1+Table4[[#This Row],[Home Differential]])-Table4[[#This Row],[Away Differential]]</f>
        <v>0.97718133208723079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0.64994834342509333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-0.48278309788469043</v>
      </c>
      <c r="H857" t="s">
        <v>31</v>
      </c>
      <c r="I857">
        <f>VLOOKUP(Table4[[#This Row],[Visitor]],'NHL Model'!$A$6:$B$38,2,FALSE)</f>
        <v>-6.6593655044643821E-4</v>
      </c>
      <c r="J857">
        <f>($B$1+Table4[[#This Row],[Home Differential]])-Table4[[#This Row],[Away Differential]]</f>
        <v>-0.40789950742941344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0.14556378660539449</v>
      </c>
      <c r="H858" t="s">
        <v>39</v>
      </c>
      <c r="I858">
        <f>VLOOKUP(Table4[[#This Row],[Visitor]],'NHL Model'!$A$6:$B$38,2,FALSE)</f>
        <v>0.76796514781800074</v>
      </c>
      <c r="J858">
        <f>($B$1+Table4[[#This Row],[Home Differential]])-Table4[[#This Row],[Away Differential]]</f>
        <v>-0.54818370730777577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0.59322459768304114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-0.39984103039900787</v>
      </c>
      <c r="H859" t="s">
        <v>28</v>
      </c>
      <c r="I859">
        <f>VLOOKUP(Table4[[#This Row],[Visitor]],'NHL Model'!$A$6:$B$38,2,FALSE)</f>
        <v>-0.19727709229606127</v>
      </c>
      <c r="J859">
        <f>($B$1+Table4[[#This Row],[Home Differential]])-Table4[[#This Row],[Away Differential]]</f>
        <v>-0.12834628419811606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0.47384278787896461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0.18511137883580026</v>
      </c>
      <c r="H860" t="s">
        <v>18</v>
      </c>
      <c r="I860">
        <f>VLOOKUP(Table4[[#This Row],[Visitor]],'NHL Model'!$A$6:$B$38,2,FALSE)</f>
        <v>0.10902894471156278</v>
      </c>
      <c r="J860">
        <f>($B$1+Table4[[#This Row],[Home Differential]])-Table4[[#This Row],[Away Differential]]</f>
        <v>0.15030008802906802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-0.21926170023436534</v>
      </c>
      <c r="H861" t="s">
        <v>33</v>
      </c>
      <c r="I861">
        <f>VLOOKUP(Table4[[#This Row],[Visitor]],'NHL Model'!$A$6:$B$38,2,FALSE)</f>
        <v>-0.17930549805059143</v>
      </c>
      <c r="J861">
        <f>($B$1+Table4[[#This Row],[Home Differential]])-Table4[[#This Row],[Away Differential]]</f>
        <v>3.4261451721056602E-2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-8.5361594338821137E-2</v>
      </c>
      <c r="H862" t="s">
        <v>12</v>
      </c>
      <c r="I862">
        <f>VLOOKUP(Table4[[#This Row],[Visitor]],'NHL Model'!$A$6:$B$38,2,FALSE)</f>
        <v>1.8591692540144091</v>
      </c>
      <c r="J862">
        <f>($B$1+Table4[[#This Row],[Home Differential]])-Table4[[#This Row],[Away Differential]]</f>
        <v>-1.8703131944483997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0.70702297415371329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7.1049614431123245E-2</v>
      </c>
      <c r="H863" t="s">
        <v>34</v>
      </c>
      <c r="I863">
        <f>VLOOKUP(Table4[[#This Row],[Visitor]],'NHL Model'!$A$6:$B$38,2,FALSE)</f>
        <v>0.59379638322319717</v>
      </c>
      <c r="J863">
        <f>($B$1+Table4[[#This Row],[Home Differential]])-Table4[[#This Row],[Away Differential]]</f>
        <v>-0.4485291148872434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0.19285186127150866</v>
      </c>
      <c r="H864" t="s">
        <v>40</v>
      </c>
      <c r="I864">
        <f>VLOOKUP(Table4[[#This Row],[Visitor]],'NHL Model'!$A$6:$B$38,2,FALSE)</f>
        <v>-0.10659687498124908</v>
      </c>
      <c r="J864">
        <f>($B$1+Table4[[#This Row],[Home Differential]])-Table4[[#This Row],[Away Differential]]</f>
        <v>0.37366639015758829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0.58106717776920214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0.16690670582810133</v>
      </c>
      <c r="H865" t="s">
        <v>29</v>
      </c>
      <c r="I865">
        <f>VLOOKUP(Table4[[#This Row],[Visitor]],'NHL Model'!$A$6:$B$38,2,FALSE)</f>
        <v>-0.3202921716073342</v>
      </c>
      <c r="J865">
        <f>($B$1+Table4[[#This Row],[Home Differential]])-Table4[[#This Row],[Away Differential]]</f>
        <v>0.56141653134026603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0.6030470565534054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9.4361646617848058E-2</v>
      </c>
      <c r="H866" t="s">
        <v>24</v>
      </c>
      <c r="I866">
        <f>VLOOKUP(Table4[[#This Row],[Visitor]],'NHL Model'!$A$6:$B$38,2,FALSE)</f>
        <v>-6.1952588060713437E-2</v>
      </c>
      <c r="J866">
        <f>($B$1+Table4[[#This Row],[Home Differential]])-Table4[[#This Row],[Away Differential]]</f>
        <v>0.23053188858339202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0.17784181108472058</v>
      </c>
      <c r="H867" t="s">
        <v>13</v>
      </c>
      <c r="I867">
        <f>VLOOKUP(Table4[[#This Row],[Visitor]],'NHL Model'!$A$6:$B$38,2,FALSE)</f>
        <v>1.584470710005189E-2</v>
      </c>
      <c r="J867">
        <f>($B$1+Table4[[#This Row],[Home Differential]])-Table4[[#This Row],[Away Differential]]</f>
        <v>0.23621475788949922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0.53767206355318986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3.9336367625328564E-2</v>
      </c>
      <c r="H868" t="s">
        <v>15</v>
      </c>
      <c r="I868">
        <f>VLOOKUP(Table4[[#This Row],[Visitor]],'NHL Model'!$A$6:$B$38,2,FALSE)</f>
        <v>-6.2506340836952119E-3</v>
      </c>
      <c r="J868">
        <f>($B$1+Table4[[#This Row],[Home Differential]])-Table4[[#This Row],[Away Differential]]</f>
        <v>0.1198046556138543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-0.96065798985911643</v>
      </c>
      <c r="H869" t="s">
        <v>28</v>
      </c>
      <c r="I869">
        <f>VLOOKUP(Table4[[#This Row],[Visitor]],'NHL Model'!$A$6:$B$38,2,FALSE)</f>
        <v>-0.19727709229606127</v>
      </c>
      <c r="J869">
        <f>($B$1+Table4[[#This Row],[Home Differential]])-Table4[[#This Row],[Away Differential]]</f>
        <v>-0.68916324365822468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0.53432969840571376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0.3142836898216293</v>
      </c>
      <c r="H870" t="s">
        <v>39</v>
      </c>
      <c r="I870">
        <f>VLOOKUP(Table4[[#This Row],[Visitor]],'NHL Model'!$A$6:$B$38,2,FALSE)</f>
        <v>0.76796514781800074</v>
      </c>
      <c r="J870">
        <f>($B$1+Table4[[#This Row],[Home Differential]])-Table4[[#This Row],[Away Differential]]</f>
        <v>-0.3794638040915409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-0.48278309788469043</v>
      </c>
      <c r="H871" t="s">
        <v>19</v>
      </c>
      <c r="I871">
        <f>VLOOKUP(Table4[[#This Row],[Visitor]],'NHL Model'!$A$6:$B$38,2,FALSE)</f>
        <v>-7.3686276472912369E-4</v>
      </c>
      <c r="J871">
        <f>($B$1+Table4[[#This Row],[Home Differential]])-Table4[[#This Row],[Away Differential]]</f>
        <v>-0.40782858121513077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0.50398634971017731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0.14556378660539449</v>
      </c>
      <c r="H872" t="s">
        <v>32</v>
      </c>
      <c r="I872">
        <f>VLOOKUP(Table4[[#This Row],[Visitor]],'NHL Model'!$A$6:$B$38,2,FALSE)</f>
        <v>-0.2855111111085496</v>
      </c>
      <c r="J872">
        <f>($B$1+Table4[[#This Row],[Home Differential]])-Table4[[#This Row],[Away Differential]]</f>
        <v>0.50529255161877462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0.45610704431993199</v>
      </c>
      <c r="H873" t="s">
        <v>25</v>
      </c>
      <c r="I873">
        <f>VLOOKUP(Table4[[#This Row],[Visitor]],'NHL Model'!$A$6:$B$38,2,FALSE)</f>
        <v>0.45392063308446812</v>
      </c>
      <c r="J873">
        <f>($B$1+Table4[[#This Row],[Home Differential]])-Table4[[#This Row],[Away Differential]]</f>
        <v>7.6404065140294353E-2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-6.6593655044643821E-4</v>
      </c>
      <c r="H874" t="s">
        <v>20</v>
      </c>
      <c r="I874">
        <f>VLOOKUP(Table4[[#This Row],[Visitor]],'NHL Model'!$A$6:$B$38,2,FALSE)</f>
        <v>0.14556378660539449</v>
      </c>
      <c r="J874">
        <f>($B$1+Table4[[#This Row],[Home Differential]])-Table4[[#This Row],[Away Differential]]</f>
        <v>-7.2012069251010405E-2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0.45392063308446812</v>
      </c>
      <c r="H875" t="s">
        <v>13</v>
      </c>
      <c r="I875">
        <f>VLOOKUP(Table4[[#This Row],[Visitor]],'NHL Model'!$A$6:$B$38,2,FALSE)</f>
        <v>1.584470710005189E-2</v>
      </c>
      <c r="J875">
        <f>($B$1+Table4[[#This Row],[Home Differential]])-Table4[[#This Row],[Away Differential]]</f>
        <v>0.51229357988924673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0.59692008831785881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0.79636680320115127</v>
      </c>
      <c r="H876" t="s">
        <v>21</v>
      </c>
      <c r="I876">
        <f>VLOOKUP(Table4[[#This Row],[Visitor]],'NHL Model'!$A$6:$B$38,2,FALSE)</f>
        <v>3.9572996236628868E-2</v>
      </c>
      <c r="J876">
        <f>($B$1+Table4[[#This Row],[Home Differential]])-Table4[[#This Row],[Away Differential]]</f>
        <v>0.83101146086935285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-0.21926170023436534</v>
      </c>
      <c r="H877" t="s">
        <v>19</v>
      </c>
      <c r="I877">
        <f>VLOOKUP(Table4[[#This Row],[Visitor]],'NHL Model'!$A$6:$B$38,2,FALSE)</f>
        <v>-7.3686276472912369E-4</v>
      </c>
      <c r="J877">
        <f>($B$1+Table4[[#This Row],[Home Differential]])-Table4[[#This Row],[Away Differential]]</f>
        <v>-0.14430718356480571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0.43697215803040845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-0.39984103039900787</v>
      </c>
      <c r="H878" t="s">
        <v>33</v>
      </c>
      <c r="I878">
        <f>VLOOKUP(Table4[[#This Row],[Visitor]],'NHL Model'!$A$6:$B$38,2,FALSE)</f>
        <v>-0.17930549805059143</v>
      </c>
      <c r="J878">
        <f>($B$1+Table4[[#This Row],[Home Differential]])-Table4[[#This Row],[Away Differential]]</f>
        <v>-0.1463178784435859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1.8591692540144091</v>
      </c>
      <c r="H879" t="s">
        <v>26</v>
      </c>
      <c r="I879">
        <f>VLOOKUP(Table4[[#This Row],[Visitor]],'NHL Model'!$A$6:$B$38,2,FALSE)</f>
        <v>-8.5361594338821137E-2</v>
      </c>
      <c r="J879">
        <f>($B$1+Table4[[#This Row],[Home Differential]])-Table4[[#This Row],[Away Differential]]</f>
        <v>2.0187485022580609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0.859241544185257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0.76796514781800074</v>
      </c>
      <c r="H880" t="s">
        <v>40</v>
      </c>
      <c r="I880">
        <f>VLOOKUP(Table4[[#This Row],[Visitor]],'NHL Model'!$A$6:$B$38,2,FALSE)</f>
        <v>-0.10659687498124908</v>
      </c>
      <c r="J880">
        <f>($B$1+Table4[[#This Row],[Home Differential]])-Table4[[#This Row],[Away Differential]]</f>
        <v>0.94877967670408025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0.19285186127150866</v>
      </c>
      <c r="H881" t="s">
        <v>23</v>
      </c>
      <c r="I881">
        <f>VLOOKUP(Table4[[#This Row],[Visitor]],'NHL Model'!$A$6:$B$38,2,FALSE)</f>
        <v>0.18511137883580026</v>
      </c>
      <c r="J881">
        <f>($B$1+Table4[[#This Row],[Home Differential]])-Table4[[#This Row],[Away Differential]]</f>
        <v>8.1958136340538945E-2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0.59379638322319717</v>
      </c>
      <c r="H882" t="s">
        <v>18</v>
      </c>
      <c r="I882">
        <f>VLOOKUP(Table4[[#This Row],[Visitor]],'NHL Model'!$A$6:$B$38,2,FALSE)</f>
        <v>0.10902894471156278</v>
      </c>
      <c r="J882">
        <f>($B$1+Table4[[#This Row],[Home Differential]])-Table4[[#This Row],[Away Differential]]</f>
        <v>0.55898509241646488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0.55647254062223694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-0.3202921716073342</v>
      </c>
      <c r="H883" t="s">
        <v>35</v>
      </c>
      <c r="I883">
        <f>VLOOKUP(Table4[[#This Row],[Visitor]],'NHL Model'!$A$6:$B$38,2,FALSE)</f>
        <v>-0.96065798985911643</v>
      </c>
      <c r="J883">
        <f>($B$1+Table4[[#This Row],[Home Differential]])-Table4[[#This Row],[Away Differential]]</f>
        <v>0.71458347215661278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3.9336367625328564E-2</v>
      </c>
      <c r="H884" t="s">
        <v>36</v>
      </c>
      <c r="I884">
        <f>VLOOKUP(Table4[[#This Row],[Visitor]],'NHL Model'!$A$6:$B$38,2,FALSE)</f>
        <v>9.4361646617848058E-2</v>
      </c>
      <c r="J884">
        <f>($B$1+Table4[[#This Row],[Home Differential]])-Table4[[#This Row],[Away Differential]]</f>
        <v>1.919237491231103E-2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0.52130076273673309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0.3142836898216293</v>
      </c>
      <c r="H885" t="s">
        <v>38</v>
      </c>
      <c r="I885">
        <f>VLOOKUP(Table4[[#This Row],[Visitor]],'NHL Model'!$A$6:$B$38,2,FALSE)</f>
        <v>-0.48278309788469043</v>
      </c>
      <c r="J885">
        <f>($B$1+Table4[[#This Row],[Home Differential]])-Table4[[#This Row],[Away Differential]]</f>
        <v>0.87128444161115026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0.59145981654089264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0.45610704431993199</v>
      </c>
      <c r="H886" t="s">
        <v>30</v>
      </c>
      <c r="I886">
        <f>VLOOKUP(Table4[[#This Row],[Visitor]],'NHL Model'!$A$6:$B$38,2,FALSE)</f>
        <v>0.16690670582810133</v>
      </c>
      <c r="J886">
        <f>($B$1+Table4[[#This Row],[Home Differential]])-Table4[[#This Row],[Away Differential]]</f>
        <v>0.36341799239666117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-6.6593655044643821E-4</v>
      </c>
      <c r="H887" t="s">
        <v>32</v>
      </c>
      <c r="I887">
        <f>VLOOKUP(Table4[[#This Row],[Visitor]],'NHL Model'!$A$6:$B$38,2,FALSE)</f>
        <v>-0.2855111111085496</v>
      </c>
      <c r="J887">
        <f>($B$1+Table4[[#This Row],[Home Differential]])-Table4[[#This Row],[Away Differential]]</f>
        <v>0.35906282846293369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0.45392063308446812</v>
      </c>
      <c r="H888" t="s">
        <v>36</v>
      </c>
      <c r="I888">
        <f>VLOOKUP(Table4[[#This Row],[Visitor]],'NHL Model'!$A$6:$B$38,2,FALSE)</f>
        <v>9.4361646617848058E-2</v>
      </c>
      <c r="J888">
        <f>($B$1+Table4[[#This Row],[Home Differential]])-Table4[[#This Row],[Away Differential]]</f>
        <v>0.43377664037145058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0.59997646687022932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7.1049614431123245E-2</v>
      </c>
      <c r="H889" t="s">
        <v>19</v>
      </c>
      <c r="I889">
        <f>VLOOKUP(Table4[[#This Row],[Visitor]],'NHL Model'!$A$6:$B$38,2,FALSE)</f>
        <v>-7.3686276472912369E-4</v>
      </c>
      <c r="J889">
        <f>($B$1+Table4[[#This Row],[Home Differential]])-Table4[[#This Row],[Away Differential]]</f>
        <v>0.14600413110068289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0.57691450270754419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-6.1952588060713437E-2</v>
      </c>
      <c r="H890" t="s">
        <v>28</v>
      </c>
      <c r="I890">
        <f>VLOOKUP(Table4[[#This Row],[Visitor]],'NHL Model'!$A$6:$B$38,2,FALSE)</f>
        <v>-0.19727709229606127</v>
      </c>
      <c r="J890">
        <f>($B$1+Table4[[#This Row],[Home Differential]])-Table4[[#This Row],[Away Differential]]</f>
        <v>0.20954215814017835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0.16690670582810133</v>
      </c>
      <c r="H891" t="s">
        <v>14</v>
      </c>
      <c r="I891">
        <f>VLOOKUP(Table4[[#This Row],[Visitor]],'NHL Model'!$A$6:$B$38,2,FALSE)</f>
        <v>3.9336367625328564E-2</v>
      </c>
      <c r="J891">
        <f>($B$1+Table4[[#This Row],[Home Differential]])-Table4[[#This Row],[Away Differential]]</f>
        <v>0.20178799210760329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0.17784181108472058</v>
      </c>
      <c r="H892" t="s">
        <v>22</v>
      </c>
      <c r="I892">
        <f>VLOOKUP(Table4[[#This Row],[Visitor]],'NHL Model'!$A$6:$B$38,2,FALSE)</f>
        <v>0.45610704431993199</v>
      </c>
      <c r="J892">
        <f>($B$1+Table4[[#This Row],[Home Differential]])-Table4[[#This Row],[Away Differential]]</f>
        <v>-0.20404757933038087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0.79636680320115127</v>
      </c>
      <c r="H893" t="s">
        <v>23</v>
      </c>
      <c r="I893">
        <f>VLOOKUP(Table4[[#This Row],[Visitor]],'NHL Model'!$A$6:$B$38,2,FALSE)</f>
        <v>0.18511137883580026</v>
      </c>
      <c r="J893">
        <f>($B$1+Table4[[#This Row],[Home Differential]])-Table4[[#This Row],[Away Differential]]</f>
        <v>0.68547307827018145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-0.19727709229606127</v>
      </c>
      <c r="H894" t="s">
        <v>10</v>
      </c>
      <c r="I894">
        <f>VLOOKUP(Table4[[#This Row],[Visitor]],'NHL Model'!$A$6:$B$38,2,FALSE)</f>
        <v>-0.39984103039900787</v>
      </c>
      <c r="J894">
        <f>($B$1+Table4[[#This Row],[Home Differential]])-Table4[[#This Row],[Away Differential]]</f>
        <v>0.27678159200777713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0.56985227730513466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-0.21926170023436534</v>
      </c>
      <c r="H895" t="s">
        <v>17</v>
      </c>
      <c r="I895">
        <f>VLOOKUP(Table4[[#This Row],[Visitor]],'NHL Model'!$A$6:$B$38,2,FALSE)</f>
        <v>7.1049614431123245E-2</v>
      </c>
      <c r="J895">
        <f>($B$1+Table4[[#This Row],[Home Differential]])-Table4[[#This Row],[Away Differential]]</f>
        <v>-0.21609366076065806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1.8591692540144091</v>
      </c>
      <c r="H896" t="s">
        <v>33</v>
      </c>
      <c r="I896">
        <f>VLOOKUP(Table4[[#This Row],[Visitor]],'NHL Model'!$A$6:$B$38,2,FALSE)</f>
        <v>-0.17930549805059143</v>
      </c>
      <c r="J896">
        <f>($B$1+Table4[[#This Row],[Home Differential]])-Table4[[#This Row],[Away Differential]]</f>
        <v>2.1126924059698311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0.76796514781800074</v>
      </c>
      <c r="H897" t="s">
        <v>35</v>
      </c>
      <c r="I897">
        <f>VLOOKUP(Table4[[#This Row],[Visitor]],'NHL Model'!$A$6:$B$38,2,FALSE)</f>
        <v>-0.96065798985911643</v>
      </c>
      <c r="J897">
        <f>($B$1+Table4[[#This Row],[Home Differential]])-Table4[[#This Row],[Away Differential]]</f>
        <v>1.8028407915819478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0.19285186127150866</v>
      </c>
      <c r="H898" t="s">
        <v>21</v>
      </c>
      <c r="I898">
        <f>VLOOKUP(Table4[[#This Row],[Visitor]],'NHL Model'!$A$6:$B$38,2,FALSE)</f>
        <v>3.9572996236628868E-2</v>
      </c>
      <c r="J898">
        <f>($B$1+Table4[[#This Row],[Home Differential]])-Table4[[#This Row],[Away Differential]]</f>
        <v>0.22749651893971035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1.584470710005189E-2</v>
      </c>
      <c r="H899" t="s">
        <v>32</v>
      </c>
      <c r="I899">
        <f>VLOOKUP(Table4[[#This Row],[Visitor]],'NHL Model'!$A$6:$B$38,2,FALSE)</f>
        <v>-0.2855111111085496</v>
      </c>
      <c r="J899">
        <f>($B$1+Table4[[#This Row],[Home Differential]])-Table4[[#This Row],[Away Differential]]</f>
        <v>0.37557347211343201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-0.3202921716073342</v>
      </c>
      <c r="H900" t="s">
        <v>34</v>
      </c>
      <c r="I900">
        <f>VLOOKUP(Table4[[#This Row],[Visitor]],'NHL Model'!$A$6:$B$38,2,FALSE)</f>
        <v>0.59379638322319717</v>
      </c>
      <c r="J900">
        <f>($B$1+Table4[[#This Row],[Home Differential]])-Table4[[#This Row],[Away Differential]]</f>
        <v>-0.83987090092570083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0.3142836898216293</v>
      </c>
      <c r="H901" t="s">
        <v>26</v>
      </c>
      <c r="I901">
        <f>VLOOKUP(Table4[[#This Row],[Visitor]],'NHL Model'!$A$6:$B$38,2,FALSE)</f>
        <v>-8.5361594338821137E-2</v>
      </c>
      <c r="J901">
        <f>($B$1+Table4[[#This Row],[Home Differential]])-Table4[[#This Row],[Away Differential]]</f>
        <v>0.47386293806528096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0.57033925418866027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0.14556378660539449</v>
      </c>
      <c r="H902" t="s">
        <v>38</v>
      </c>
      <c r="I902">
        <f>VLOOKUP(Table4[[#This Row],[Visitor]],'NHL Model'!$A$6:$B$38,2,FALSE)</f>
        <v>-0.48278309788469043</v>
      </c>
      <c r="J902">
        <f>($B$1+Table4[[#This Row],[Home Differential]])-Table4[[#This Row],[Away Differential]]</f>
        <v>0.70256453839491551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-0.10659687498124908</v>
      </c>
      <c r="H903" t="s">
        <v>18</v>
      </c>
      <c r="I903">
        <f>VLOOKUP(Table4[[#This Row],[Visitor]],'NHL Model'!$A$6:$B$38,2,FALSE)</f>
        <v>0.10902894471156278</v>
      </c>
      <c r="J903">
        <f>($B$1+Table4[[#This Row],[Home Differential]])-Table4[[#This Row],[Away Differential]]</f>
        <v>-0.14140816578798132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0.54156736653013327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0.18511137883580026</v>
      </c>
      <c r="H904" t="s">
        <v>14</v>
      </c>
      <c r="I904">
        <f>VLOOKUP(Table4[[#This Row],[Visitor]],'NHL Model'!$A$6:$B$38,2,FALSE)</f>
        <v>3.9336367625328564E-2</v>
      </c>
      <c r="J904">
        <f>($B$1+Table4[[#This Row],[Home Differential]])-Table4[[#This Row],[Away Differential]]</f>
        <v>0.21999266511530224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0.5951558792906243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-6.1952588060713437E-2</v>
      </c>
      <c r="H905" t="s">
        <v>30</v>
      </c>
      <c r="I905">
        <f>VLOOKUP(Table4[[#This Row],[Visitor]],'NHL Model'!$A$6:$B$38,2,FALSE)</f>
        <v>0.16690670582810133</v>
      </c>
      <c r="J905">
        <f>($B$1+Table4[[#This Row],[Home Differential]])-Table4[[#This Row],[Away Differential]]</f>
        <v>-0.15464163998398422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-6.2506340836952119E-3</v>
      </c>
      <c r="H906" t="s">
        <v>25</v>
      </c>
      <c r="I906">
        <f>VLOOKUP(Table4[[#This Row],[Visitor]],'NHL Model'!$A$6:$B$38,2,FALSE)</f>
        <v>0.45392063308446812</v>
      </c>
      <c r="J906">
        <f>($B$1+Table4[[#This Row],[Home Differential]])-Table4[[#This Row],[Away Differential]]</f>
        <v>-0.38595361326333277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0.17784181108472058</v>
      </c>
      <c r="H907" t="s">
        <v>36</v>
      </c>
      <c r="I907">
        <f>VLOOKUP(Table4[[#This Row],[Visitor]],'NHL Model'!$A$6:$B$38,2,FALSE)</f>
        <v>9.4361646617848058E-2</v>
      </c>
      <c r="J907">
        <f>($B$1+Table4[[#This Row],[Home Differential]])-Table4[[#This Row],[Away Differential]]</f>
        <v>0.15769781837170305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0.79636680320115127</v>
      </c>
      <c r="H908" t="s">
        <v>11</v>
      </c>
      <c r="I908">
        <f>VLOOKUP(Table4[[#This Row],[Visitor]],'NHL Model'!$A$6:$B$38,2,FALSE)</f>
        <v>0.19285186127150866</v>
      </c>
      <c r="J908">
        <f>($B$1+Table4[[#This Row],[Home Differential]])-Table4[[#This Row],[Away Differential]]</f>
        <v>0.67773259583447309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0.14556378660539449</v>
      </c>
      <c r="H909" t="s">
        <v>13</v>
      </c>
      <c r="I909">
        <f>VLOOKUP(Table4[[#This Row],[Visitor]],'NHL Model'!$A$6:$B$38,2,FALSE)</f>
        <v>1.584470710005189E-2</v>
      </c>
      <c r="J909">
        <f>($B$1+Table4[[#This Row],[Home Differential]])-Table4[[#This Row],[Away Differential]]</f>
        <v>0.20393673341017313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0.45610704431993199</v>
      </c>
      <c r="H910" t="s">
        <v>29</v>
      </c>
      <c r="I910">
        <f>VLOOKUP(Table4[[#This Row],[Visitor]],'NHL Model'!$A$6:$B$38,2,FALSE)</f>
        <v>-0.3202921716073342</v>
      </c>
      <c r="J910">
        <f>($B$1+Table4[[#This Row],[Home Differential]])-Table4[[#This Row],[Away Differential]]</f>
        <v>0.85061686983209661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0.645759898996485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-6.6593655044643821E-4</v>
      </c>
      <c r="H911" t="s">
        <v>17</v>
      </c>
      <c r="I911">
        <f>VLOOKUP(Table4[[#This Row],[Visitor]],'NHL Model'!$A$6:$B$38,2,FALSE)</f>
        <v>7.1049614431123245E-2</v>
      </c>
      <c r="J911">
        <f>($B$1+Table4[[#This Row],[Home Differential]])-Table4[[#This Row],[Away Differential]]</f>
        <v>2.5021029232608349E-3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0.56630760014808512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0.76796514781800074</v>
      </c>
      <c r="H912" t="s">
        <v>32</v>
      </c>
      <c r="I912">
        <f>VLOOKUP(Table4[[#This Row],[Visitor]],'NHL Model'!$A$6:$B$38,2,FALSE)</f>
        <v>-0.2855111111085496</v>
      </c>
      <c r="J912">
        <f>($B$1+Table4[[#This Row],[Home Differential]])-Table4[[#This Row],[Away Differential]]</f>
        <v>1.1276939128313808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1.584470710005189E-2</v>
      </c>
      <c r="H913" t="s">
        <v>20</v>
      </c>
      <c r="I913">
        <f>VLOOKUP(Table4[[#This Row],[Visitor]],'NHL Model'!$A$6:$B$38,2,FALSE)</f>
        <v>0.14556378660539449</v>
      </c>
      <c r="J913">
        <f>($B$1+Table4[[#This Row],[Home Differential]])-Table4[[#This Row],[Away Differential]]</f>
        <v>-5.5501425600512078E-2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-6.1952588060713437E-2</v>
      </c>
      <c r="H914" t="s">
        <v>23</v>
      </c>
      <c r="I914">
        <f>VLOOKUP(Table4[[#This Row],[Visitor]],'NHL Model'!$A$6:$B$38,2,FALSE)</f>
        <v>0.18511137883580026</v>
      </c>
      <c r="J914">
        <f>($B$1+Table4[[#This Row],[Home Differential]])-Table4[[#This Row],[Away Differential]]</f>
        <v>-0.17284631299168318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0.79636680320115127</v>
      </c>
      <c r="H915" t="s">
        <v>19</v>
      </c>
      <c r="I915">
        <f>VLOOKUP(Table4[[#This Row],[Visitor]],'NHL Model'!$A$6:$B$38,2,FALSE)</f>
        <v>-7.3686276472912369E-4</v>
      </c>
      <c r="J915">
        <f>($B$1+Table4[[#This Row],[Home Differential]])-Table4[[#This Row],[Away Differential]]</f>
        <v>0.87132131987071093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0.63853081230501907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0.3142836898216293</v>
      </c>
      <c r="H916" t="s">
        <v>12</v>
      </c>
      <c r="I916">
        <f>VLOOKUP(Table4[[#This Row],[Visitor]],'NHL Model'!$A$6:$B$38,2,FALSE)</f>
        <v>1.8591692540144091</v>
      </c>
      <c r="J916">
        <f>($B$1+Table4[[#This Row],[Home Differential]])-Table4[[#This Row],[Away Differential]]</f>
        <v>-1.4706679102879492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-0.48278309788469043</v>
      </c>
      <c r="H917" t="s">
        <v>40</v>
      </c>
      <c r="I917">
        <f>VLOOKUP(Table4[[#This Row],[Visitor]],'NHL Model'!$A$6:$B$38,2,FALSE)</f>
        <v>-0.10659687498124908</v>
      </c>
      <c r="J917">
        <f>($B$1+Table4[[#This Row],[Home Differential]])-Table4[[#This Row],[Away Differential]]</f>
        <v>-0.3019685689986108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0.45610704431993199</v>
      </c>
      <c r="H918" t="s">
        <v>27</v>
      </c>
      <c r="I918">
        <f>VLOOKUP(Table4[[#This Row],[Visitor]],'NHL Model'!$A$6:$B$38,2,FALSE)</f>
        <v>0.17784181108472058</v>
      </c>
      <c r="J918">
        <f>($B$1+Table4[[#This Row],[Home Differential]])-Table4[[#This Row],[Away Differential]]</f>
        <v>0.35248288714004189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3.9572996236628868E-2</v>
      </c>
      <c r="H919" t="s">
        <v>28</v>
      </c>
      <c r="I919">
        <f>VLOOKUP(Table4[[#This Row],[Visitor]],'NHL Model'!$A$6:$B$38,2,FALSE)</f>
        <v>-0.19727709229606127</v>
      </c>
      <c r="J919">
        <f>($B$1+Table4[[#This Row],[Home Differential]])-Table4[[#This Row],[Away Differential]]</f>
        <v>0.31106774243752067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0.58756683039720581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0.45392063308446812</v>
      </c>
      <c r="H920" t="s">
        <v>37</v>
      </c>
      <c r="I920">
        <f>VLOOKUP(Table4[[#This Row],[Visitor]],'NHL Model'!$A$6:$B$38,2,FALSE)</f>
        <v>0.79636680320115127</v>
      </c>
      <c r="J920">
        <f>($B$1+Table4[[#This Row],[Home Differential]])-Table4[[#This Row],[Away Differential]]</f>
        <v>-0.26822851621185262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0.5411249073065838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1.8591692540144091</v>
      </c>
      <c r="H921" t="s">
        <v>34</v>
      </c>
      <c r="I921">
        <f>VLOOKUP(Table4[[#This Row],[Visitor]],'NHL Model'!$A$6:$B$38,2,FALSE)</f>
        <v>0.59379638322319717</v>
      </c>
      <c r="J921">
        <f>($B$1+Table4[[#This Row],[Home Differential]])-Table4[[#This Row],[Away Differential]]</f>
        <v>1.3395905246960425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0.19285186127150866</v>
      </c>
      <c r="H922" t="s">
        <v>19</v>
      </c>
      <c r="I922">
        <f>VLOOKUP(Table4[[#This Row],[Visitor]],'NHL Model'!$A$6:$B$38,2,FALSE)</f>
        <v>-7.3686276472912369E-4</v>
      </c>
      <c r="J922">
        <f>($B$1+Table4[[#This Row],[Home Differential]])-Table4[[#This Row],[Away Differential]]</f>
        <v>0.26780637794106832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1.584470710005189E-2</v>
      </c>
      <c r="H923" t="s">
        <v>17</v>
      </c>
      <c r="I923">
        <f>VLOOKUP(Table4[[#This Row],[Visitor]],'NHL Model'!$A$6:$B$38,2,FALSE)</f>
        <v>7.1049614431123245E-2</v>
      </c>
      <c r="J923">
        <f>($B$1+Table4[[#This Row],[Home Differential]])-Table4[[#This Row],[Away Differential]]</f>
        <v>1.9012746573759162E-2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0.10902894471156278</v>
      </c>
      <c r="H924" t="s">
        <v>30</v>
      </c>
      <c r="I924">
        <f>VLOOKUP(Table4[[#This Row],[Visitor]],'NHL Model'!$A$6:$B$38,2,FALSE)</f>
        <v>0.16690670582810133</v>
      </c>
      <c r="J924">
        <f>($B$1+Table4[[#This Row],[Home Differential]])-Table4[[#This Row],[Away Differential]]</f>
        <v>1.6339892788291982E-2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-0.3202921716073342</v>
      </c>
      <c r="H925" t="s">
        <v>10</v>
      </c>
      <c r="I925">
        <f>VLOOKUP(Table4[[#This Row],[Visitor]],'NHL Model'!$A$6:$B$38,2,FALSE)</f>
        <v>-0.39984103039900787</v>
      </c>
      <c r="J925">
        <f>($B$1+Table4[[#This Row],[Home Differential]])-Table4[[#This Row],[Away Differential]]</f>
        <v>0.15376651269650421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-6.2506340836952119E-3</v>
      </c>
      <c r="H926" t="s">
        <v>27</v>
      </c>
      <c r="I926">
        <f>VLOOKUP(Table4[[#This Row],[Visitor]],'NHL Model'!$A$6:$B$38,2,FALSE)</f>
        <v>0.17784181108472058</v>
      </c>
      <c r="J926">
        <f>($B$1+Table4[[#This Row],[Home Differential]])-Table4[[#This Row],[Away Differential]]</f>
        <v>-0.10987479126358526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9.4361646617848058E-2</v>
      </c>
      <c r="H927" t="s">
        <v>26</v>
      </c>
      <c r="I927">
        <f>VLOOKUP(Table4[[#This Row],[Visitor]],'NHL Model'!$A$6:$B$38,2,FALSE)</f>
        <v>-8.5361594338821137E-2</v>
      </c>
      <c r="J927">
        <f>($B$1+Table4[[#This Row],[Home Differential]])-Table4[[#This Row],[Away Differential]]</f>
        <v>0.25394089486149973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3.9336367625328564E-2</v>
      </c>
      <c r="H928" t="s">
        <v>24</v>
      </c>
      <c r="I928">
        <f>VLOOKUP(Table4[[#This Row],[Visitor]],'NHL Model'!$A$6:$B$38,2,FALSE)</f>
        <v>-6.1952588060713437E-2</v>
      </c>
      <c r="J928">
        <f>($B$1+Table4[[#This Row],[Home Differential]])-Table4[[#This Row],[Away Differential]]</f>
        <v>0.17550660959087253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-0.17930549805059143</v>
      </c>
      <c r="H929" t="s">
        <v>16</v>
      </c>
      <c r="I929">
        <f>VLOOKUP(Table4[[#This Row],[Visitor]],'NHL Model'!$A$6:$B$38,2,FALSE)</f>
        <v>-0.21926170023436534</v>
      </c>
      <c r="J929">
        <f>($B$1+Table4[[#This Row],[Home Differential]])-Table4[[#This Row],[Away Differential]]</f>
        <v>0.11417385608860443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-0.96065798985911643</v>
      </c>
      <c r="H930" t="s">
        <v>32</v>
      </c>
      <c r="I930">
        <f>VLOOKUP(Table4[[#This Row],[Visitor]],'NHL Model'!$A$6:$B$38,2,FALSE)</f>
        <v>-0.2855111111085496</v>
      </c>
      <c r="J930">
        <f>($B$1+Table4[[#This Row],[Home Differential]])-Table4[[#This Row],[Away Differential]]</f>
        <v>-0.6009292248457363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-6.6593655044643821E-4</v>
      </c>
      <c r="H931" t="s">
        <v>40</v>
      </c>
      <c r="I931">
        <f>VLOOKUP(Table4[[#This Row],[Visitor]],'NHL Model'!$A$6:$B$38,2,FALSE)</f>
        <v>-0.10659687498124908</v>
      </c>
      <c r="J931">
        <f>($B$1+Table4[[#This Row],[Home Differential]])-Table4[[#This Row],[Away Differential]]</f>
        <v>0.18014859233563316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0.19285186127150866</v>
      </c>
      <c r="H932" t="s">
        <v>23</v>
      </c>
      <c r="I932">
        <f>VLOOKUP(Table4[[#This Row],[Visitor]],'NHL Model'!$A$6:$B$38,2,FALSE)</f>
        <v>0.18511137883580026</v>
      </c>
      <c r="J932">
        <f>($B$1+Table4[[#This Row],[Home Differential]])-Table4[[#This Row],[Away Differential]]</f>
        <v>8.1958136340538945E-2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0.3142836898216293</v>
      </c>
      <c r="H933" t="s">
        <v>34</v>
      </c>
      <c r="I933">
        <f>VLOOKUP(Table4[[#This Row],[Visitor]],'NHL Model'!$A$6:$B$38,2,FALSE)</f>
        <v>0.59379638322319717</v>
      </c>
      <c r="J933">
        <f>($B$1+Table4[[#This Row],[Home Differential]])-Table4[[#This Row],[Away Differential]]</f>
        <v>-0.20529503949673733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0.53954567030837564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0.45610704431993199</v>
      </c>
      <c r="H934" t="s">
        <v>20</v>
      </c>
      <c r="I934">
        <f>VLOOKUP(Table4[[#This Row],[Visitor]],'NHL Model'!$A$6:$B$38,2,FALSE)</f>
        <v>0.14556378660539449</v>
      </c>
      <c r="J934">
        <f>($B$1+Table4[[#This Row],[Home Differential]])-Table4[[#This Row],[Away Differential]]</f>
        <v>0.38476091161936798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0.57483171964767688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0.45392063308446812</v>
      </c>
      <c r="H935" t="s">
        <v>26</v>
      </c>
      <c r="I935">
        <f>VLOOKUP(Table4[[#This Row],[Visitor]],'NHL Model'!$A$6:$B$38,2,FALSE)</f>
        <v>-8.5361594338821137E-2</v>
      </c>
      <c r="J935">
        <f>($B$1+Table4[[#This Row],[Home Differential]])-Table4[[#This Row],[Away Differential]]</f>
        <v>0.61349988132811983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-0.19727709229606127</v>
      </c>
      <c r="H936" t="s">
        <v>30</v>
      </c>
      <c r="I936">
        <f>VLOOKUP(Table4[[#This Row],[Visitor]],'NHL Model'!$A$6:$B$38,2,FALSE)</f>
        <v>0.16690670582810133</v>
      </c>
      <c r="J936">
        <f>($B$1+Table4[[#This Row],[Home Differential]])-Table4[[#This Row],[Away Differential]]</f>
        <v>-0.28996614421933209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1.8591692540144091</v>
      </c>
      <c r="H937" t="s">
        <v>10</v>
      </c>
      <c r="I937">
        <f>VLOOKUP(Table4[[#This Row],[Visitor]],'NHL Model'!$A$6:$B$38,2,FALSE)</f>
        <v>-0.39984103039900787</v>
      </c>
      <c r="J937">
        <f>($B$1+Table4[[#This Row],[Home Differential]])-Table4[[#This Row],[Away Differential]]</f>
        <v>2.3332279383182475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0.91210094877188186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0.76796514781800074</v>
      </c>
      <c r="H938" t="s">
        <v>29</v>
      </c>
      <c r="I938">
        <f>VLOOKUP(Table4[[#This Row],[Visitor]],'NHL Model'!$A$6:$B$38,2,FALSE)</f>
        <v>-0.3202921716073342</v>
      </c>
      <c r="J938">
        <f>($B$1+Table4[[#This Row],[Home Differential]])-Table4[[#This Row],[Away Differential]]</f>
        <v>1.1624749733301654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0.6914164686339882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1.584470710005189E-2</v>
      </c>
      <c r="H939" t="s">
        <v>16</v>
      </c>
      <c r="I939">
        <f>VLOOKUP(Table4[[#This Row],[Visitor]],'NHL Model'!$A$6:$B$38,2,FALSE)</f>
        <v>-0.21926170023436534</v>
      </c>
      <c r="J939">
        <f>($B$1+Table4[[#This Row],[Home Differential]])-Table4[[#This Row],[Away Differential]]</f>
        <v>0.30932406123924772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0.10902894471156278</v>
      </c>
      <c r="H940" t="s">
        <v>22</v>
      </c>
      <c r="I940">
        <f>VLOOKUP(Table4[[#This Row],[Visitor]],'NHL Model'!$A$6:$B$38,2,FALSE)</f>
        <v>0.45610704431993199</v>
      </c>
      <c r="J940">
        <f>($B$1+Table4[[#This Row],[Home Differential]])-Table4[[#This Row],[Away Differential]]</f>
        <v>-0.27286044570353868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-6.2506340836952119E-3</v>
      </c>
      <c r="H941" t="s">
        <v>14</v>
      </c>
      <c r="I941">
        <f>VLOOKUP(Table4[[#This Row],[Visitor]],'NHL Model'!$A$6:$B$38,2,FALSE)</f>
        <v>3.9336367625328564E-2</v>
      </c>
      <c r="J941">
        <f>($B$1+Table4[[#This Row],[Home Differential]])-Table4[[#This Row],[Away Differential]]</f>
        <v>2.8630652195806752E-2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0.17784181108472058</v>
      </c>
      <c r="H942" t="s">
        <v>21</v>
      </c>
      <c r="I942">
        <f>VLOOKUP(Table4[[#This Row],[Visitor]],'NHL Model'!$A$6:$B$38,2,FALSE)</f>
        <v>3.9572996236628868E-2</v>
      </c>
      <c r="J942">
        <f>($B$1+Table4[[#This Row],[Home Differential]])-Table4[[#This Row],[Away Differential]]</f>
        <v>0.21248646875292226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-0.2855111111085496</v>
      </c>
      <c r="H943" t="s">
        <v>38</v>
      </c>
      <c r="I943">
        <f>VLOOKUP(Table4[[#This Row],[Visitor]],'NHL Model'!$A$6:$B$38,2,FALSE)</f>
        <v>-0.48278309788469043</v>
      </c>
      <c r="J943">
        <f>($B$1+Table4[[#This Row],[Home Differential]])-Table4[[#This Row],[Away Differential]]</f>
        <v>0.27148964068097137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-0.17930549805059143</v>
      </c>
      <c r="H944" t="s">
        <v>17</v>
      </c>
      <c r="I944">
        <f>VLOOKUP(Table4[[#This Row],[Visitor]],'NHL Model'!$A$6:$B$38,2,FALSE)</f>
        <v>7.1049614431123245E-2</v>
      </c>
      <c r="J944">
        <f>($B$1+Table4[[#This Row],[Home Differential]])-Table4[[#This Row],[Away Differential]]</f>
        <v>-0.17613745857688415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-0.96065798985911643</v>
      </c>
      <c r="H945" t="s">
        <v>24</v>
      </c>
      <c r="I945">
        <f>VLOOKUP(Table4[[#This Row],[Visitor]],'NHL Model'!$A$6:$B$38,2,FALSE)</f>
        <v>-6.1952588060713437E-2</v>
      </c>
      <c r="J945">
        <f>($B$1+Table4[[#This Row],[Home Differential]])-Table4[[#This Row],[Away Differential]]</f>
        <v>-0.82448774789357249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0.58131545341840118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0.79636680320115127</v>
      </c>
      <c r="H946" t="s">
        <v>23</v>
      </c>
      <c r="I946">
        <f>VLOOKUP(Table4[[#This Row],[Visitor]],'NHL Model'!$A$6:$B$38,2,FALSE)</f>
        <v>0.18511137883580026</v>
      </c>
      <c r="J946">
        <f>($B$1+Table4[[#This Row],[Home Differential]])-Table4[[#This Row],[Away Differential]]</f>
        <v>0.68547307827018145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-7.3686276472912369E-4</v>
      </c>
      <c r="H947" t="s">
        <v>36</v>
      </c>
      <c r="I947">
        <f>VLOOKUP(Table4[[#This Row],[Visitor]],'NHL Model'!$A$6:$B$38,2,FALSE)</f>
        <v>9.4361646617848058E-2</v>
      </c>
      <c r="J947">
        <f>($B$1+Table4[[#This Row],[Home Differential]])-Table4[[#This Row],[Away Differential]]</f>
        <v>-2.0880855477746652E-2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-6.6593655044643821E-4</v>
      </c>
      <c r="H948" t="s">
        <v>16</v>
      </c>
      <c r="I948">
        <f>VLOOKUP(Table4[[#This Row],[Visitor]],'NHL Model'!$A$6:$B$38,2,FALSE)</f>
        <v>-0.21926170023436534</v>
      </c>
      <c r="J948">
        <f>($B$1+Table4[[#This Row],[Home Differential]])-Table4[[#This Row],[Away Differential]]</f>
        <v>0.2928134175887494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0.59379638322319717</v>
      </c>
      <c r="H949" t="s">
        <v>35</v>
      </c>
      <c r="I949">
        <f>VLOOKUP(Table4[[#This Row],[Visitor]],'NHL Model'!$A$6:$B$38,2,FALSE)</f>
        <v>-0.96065798985911643</v>
      </c>
      <c r="J949">
        <f>($B$1+Table4[[#This Row],[Home Differential]])-Table4[[#This Row],[Away Differential]]</f>
        <v>1.628672026987144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0.73794415084021592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0.16690670582810133</v>
      </c>
      <c r="H950" t="s">
        <v>11</v>
      </c>
      <c r="I950">
        <f>VLOOKUP(Table4[[#This Row],[Visitor]],'NHL Model'!$A$6:$B$38,2,FALSE)</f>
        <v>0.19285186127150866</v>
      </c>
      <c r="J950">
        <f>($B$1+Table4[[#This Row],[Home Differential]])-Table4[[#This Row],[Away Differential]]</f>
        <v>4.8272498461423174E-2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3.9336367625328564E-2</v>
      </c>
      <c r="H951" t="s">
        <v>20</v>
      </c>
      <c r="I951">
        <f>VLOOKUP(Table4[[#This Row],[Visitor]],'NHL Model'!$A$6:$B$38,2,FALSE)</f>
        <v>0.14556378660539449</v>
      </c>
      <c r="J951">
        <f>($B$1+Table4[[#This Row],[Home Differential]])-Table4[[#This Row],[Away Differential]]</f>
        <v>-3.2009765075235397E-2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0.48422164383097543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-0.17930549805059143</v>
      </c>
      <c r="H952" t="s">
        <v>40</v>
      </c>
      <c r="I952">
        <f>VLOOKUP(Table4[[#This Row],[Visitor]],'NHL Model'!$A$6:$B$38,2,FALSE)</f>
        <v>-0.10659687498124908</v>
      </c>
      <c r="J952">
        <f>($B$1+Table4[[#This Row],[Home Differential]])-Table4[[#This Row],[Away Differential]]</f>
        <v>1.5090308354881732E-3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0.3142836898216293</v>
      </c>
      <c r="H953" t="s">
        <v>10</v>
      </c>
      <c r="I953">
        <f>VLOOKUP(Table4[[#This Row],[Visitor]],'NHL Model'!$A$6:$B$38,2,FALSE)</f>
        <v>-0.39984103039900787</v>
      </c>
      <c r="J953">
        <f>($B$1+Table4[[#This Row],[Home Differential]])-Table4[[#This Row],[Away Differential]]</f>
        <v>0.7883423741254677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1.584470710005189E-2</v>
      </c>
      <c r="H954" t="s">
        <v>12</v>
      </c>
      <c r="I954">
        <f>VLOOKUP(Table4[[#This Row],[Visitor]],'NHL Model'!$A$6:$B$38,2,FALSE)</f>
        <v>1.8591692540144091</v>
      </c>
      <c r="J954">
        <f>($B$1+Table4[[#This Row],[Home Differential]])-Table4[[#This Row],[Away Differential]]</f>
        <v>-1.7691068930095266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-0.3202921716073342</v>
      </c>
      <c r="H955" t="s">
        <v>26</v>
      </c>
      <c r="I955">
        <f>VLOOKUP(Table4[[#This Row],[Visitor]],'NHL Model'!$A$6:$B$38,2,FALSE)</f>
        <v>-8.5361594338821137E-2</v>
      </c>
      <c r="J955">
        <f>($B$1+Table4[[#This Row],[Home Differential]])-Table4[[#This Row],[Away Differential]]</f>
        <v>-0.16071292336368254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0.49810292236327536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-6.2506340836952119E-3</v>
      </c>
      <c r="H956" t="s">
        <v>28</v>
      </c>
      <c r="I956">
        <f>VLOOKUP(Table4[[#This Row],[Visitor]],'NHL Model'!$A$6:$B$38,2,FALSE)</f>
        <v>-0.19727709229606127</v>
      </c>
      <c r="J956">
        <f>($B$1+Table4[[#This Row],[Home Differential]])-Table4[[#This Row],[Away Differential]]</f>
        <v>0.26524411211719656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0.56860790246576187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-0.2855111111085496</v>
      </c>
      <c r="H957" t="s">
        <v>25</v>
      </c>
      <c r="I957">
        <f>VLOOKUP(Table4[[#This Row],[Visitor]],'NHL Model'!$A$6:$B$38,2,FALSE)</f>
        <v>0.45392063308446812</v>
      </c>
      <c r="J957">
        <f>($B$1+Table4[[#This Row],[Home Differential]])-Table4[[#This Row],[Away Differential]]</f>
        <v>-0.66521409028818712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0.58915023736988337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-7.3686276472912369E-4</v>
      </c>
      <c r="H958" t="s">
        <v>27</v>
      </c>
      <c r="I958">
        <f>VLOOKUP(Table4[[#This Row],[Visitor]],'NHL Model'!$A$6:$B$38,2,FALSE)</f>
        <v>0.17784181108472058</v>
      </c>
      <c r="J958">
        <f>($B$1+Table4[[#This Row],[Home Differential]])-Table4[[#This Row],[Away Differential]]</f>
        <v>-0.10436101994461917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0.45938863739862112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-0.48278309788469043</v>
      </c>
      <c r="H959" t="s">
        <v>39</v>
      </c>
      <c r="I959">
        <f>VLOOKUP(Table4[[#This Row],[Visitor]],'NHL Model'!$A$6:$B$38,2,FALSE)</f>
        <v>0.76796514781800074</v>
      </c>
      <c r="J959">
        <f>($B$1+Table4[[#This Row],[Home Differential]])-Table4[[#This Row],[Away Differential]]</f>
        <v>-1.1765305917978606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-6.6593655044643821E-4</v>
      </c>
      <c r="H960" t="s">
        <v>12</v>
      </c>
      <c r="I960">
        <f>VLOOKUP(Table4[[#This Row],[Visitor]],'NHL Model'!$A$6:$B$38,2,FALSE)</f>
        <v>1.8591692540144091</v>
      </c>
      <c r="J960">
        <f>($B$1+Table4[[#This Row],[Home Differential]])-Table4[[#This Row],[Away Differential]]</f>
        <v>-1.7856175366600251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0.71258777102412441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3.9572996236628868E-2</v>
      </c>
      <c r="H961" t="s">
        <v>14</v>
      </c>
      <c r="I961">
        <f>VLOOKUP(Table4[[#This Row],[Visitor]],'NHL Model'!$A$6:$B$38,2,FALSE)</f>
        <v>3.9336367625328564E-2</v>
      </c>
      <c r="J961">
        <f>($B$1+Table4[[#This Row],[Home Differential]])-Table4[[#This Row],[Away Differential]]</f>
        <v>7.4454282516130829E-2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0.18511137883580026</v>
      </c>
      <c r="H962" t="s">
        <v>20</v>
      </c>
      <c r="I962">
        <f>VLOOKUP(Table4[[#This Row],[Visitor]],'NHL Model'!$A$6:$B$38,2,FALSE)</f>
        <v>0.14556378660539449</v>
      </c>
      <c r="J962">
        <f>($B$1+Table4[[#This Row],[Home Differential]])-Table4[[#This Row],[Away Differential]]</f>
        <v>0.11376524613523631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0.57040968497094402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-0.19727709229606127</v>
      </c>
      <c r="H963" t="s">
        <v>29</v>
      </c>
      <c r="I963">
        <f>VLOOKUP(Table4[[#This Row],[Visitor]],'NHL Model'!$A$6:$B$38,2,FALSE)</f>
        <v>-0.3202921716073342</v>
      </c>
      <c r="J963">
        <f>($B$1+Table4[[#This Row],[Home Differential]])-Table4[[#This Row],[Away Differential]]</f>
        <v>0.19723273321610346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0.56127253551403566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-0.21926170023436534</v>
      </c>
      <c r="H964" t="s">
        <v>39</v>
      </c>
      <c r="I964">
        <f>VLOOKUP(Table4[[#This Row],[Visitor]],'NHL Model'!$A$6:$B$38,2,FALSE)</f>
        <v>0.76796514781800074</v>
      </c>
      <c r="J964">
        <f>($B$1+Table4[[#This Row],[Home Differential]])-Table4[[#This Row],[Away Differential]]</f>
        <v>-0.91300919414753556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7.1049614431123245E-2</v>
      </c>
      <c r="H965" t="s">
        <v>36</v>
      </c>
      <c r="I965">
        <f>VLOOKUP(Table4[[#This Row],[Visitor]],'NHL Model'!$A$6:$B$38,2,FALSE)</f>
        <v>9.4361646617848058E-2</v>
      </c>
      <c r="J965">
        <f>($B$1+Table4[[#This Row],[Home Differential]])-Table4[[#This Row],[Away Differential]]</f>
        <v>5.0905621718105712E-2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0.546030966131692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0.59379638322319717</v>
      </c>
      <c r="H966" t="s">
        <v>37</v>
      </c>
      <c r="I966">
        <f>VLOOKUP(Table4[[#This Row],[Visitor]],'NHL Model'!$A$6:$B$38,2,FALSE)</f>
        <v>0.79636680320115127</v>
      </c>
      <c r="J966">
        <f>($B$1+Table4[[#This Row],[Home Differential]])-Table4[[#This Row],[Away Differential]]</f>
        <v>-0.12835276607312363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0.53765301079108685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-6.1952588060713437E-2</v>
      </c>
      <c r="H967" t="s">
        <v>11</v>
      </c>
      <c r="I967">
        <f>VLOOKUP(Table4[[#This Row],[Visitor]],'NHL Model'!$A$6:$B$38,2,FALSE)</f>
        <v>0.19285186127150866</v>
      </c>
      <c r="J967">
        <f>($B$1+Table4[[#This Row],[Home Differential]])-Table4[[#This Row],[Away Differential]]</f>
        <v>-0.18058679542739159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-0.17930549805059143</v>
      </c>
      <c r="H968" t="s">
        <v>18</v>
      </c>
      <c r="I968">
        <f>VLOOKUP(Table4[[#This Row],[Visitor]],'NHL Model'!$A$6:$B$38,2,FALSE)</f>
        <v>0.10902894471156278</v>
      </c>
      <c r="J968">
        <f>($B$1+Table4[[#This Row],[Home Differential]])-Table4[[#This Row],[Away Differential]]</f>
        <v>-0.21411678885732369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0.5494093547295491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-0.10659687498124908</v>
      </c>
      <c r="H969" t="s">
        <v>10</v>
      </c>
      <c r="I969">
        <f>VLOOKUP(Table4[[#This Row],[Visitor]],'NHL Model'!$A$6:$B$38,2,FALSE)</f>
        <v>-0.39984103039900787</v>
      </c>
      <c r="J969">
        <f>($B$1+Table4[[#This Row],[Home Differential]])-Table4[[#This Row],[Away Differential]]</f>
        <v>0.36746180932258932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0.45610704431993199</v>
      </c>
      <c r="H970" t="s">
        <v>55</v>
      </c>
      <c r="I970">
        <f>VLOOKUP(Table4[[#This Row],[Visitor]],'NHL Model'!$A$6:$B$38,2,FALSE)</f>
        <v>0.3142836898216293</v>
      </c>
      <c r="J970">
        <f>($B$1+Table4[[#This Row],[Home Differential]])-Table4[[#This Row],[Away Differential]]</f>
        <v>0.21604100840313317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0.57731772244454937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-6.6593655044643821E-4</v>
      </c>
      <c r="H971" t="s">
        <v>30</v>
      </c>
      <c r="I971">
        <f>VLOOKUP(Table4[[#This Row],[Visitor]],'NHL Model'!$A$6:$B$38,2,FALSE)</f>
        <v>0.16690670582810133</v>
      </c>
      <c r="J971">
        <f>($B$1+Table4[[#This Row],[Home Differential]])-Table4[[#This Row],[Away Differential]]</f>
        <v>-9.3354988473717246E-2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0.47735852146923569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-8.5361594338821137E-2</v>
      </c>
      <c r="H972" t="s">
        <v>20</v>
      </c>
      <c r="I972">
        <f>VLOOKUP(Table4[[#This Row],[Visitor]],'NHL Model'!$A$6:$B$38,2,FALSE)</f>
        <v>0.14556378660539449</v>
      </c>
      <c r="J972">
        <f>($B$1+Table4[[#This Row],[Home Differential]])-Table4[[#This Row],[Away Differential]]</f>
        <v>-0.1567077270393851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0.45690171116331185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-6.1952588060713437E-2</v>
      </c>
      <c r="H973" t="s">
        <v>19</v>
      </c>
      <c r="I973">
        <f>VLOOKUP(Table4[[#This Row],[Visitor]],'NHL Model'!$A$6:$B$38,2,FALSE)</f>
        <v>-7.3686276472912369E-4</v>
      </c>
      <c r="J973">
        <f>($B$1+Table4[[#This Row],[Home Differential]])-Table4[[#This Row],[Away Differential]]</f>
        <v>1.3001928608846211E-2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0.54140232294899848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-0.2855111111085496</v>
      </c>
      <c r="H974" t="s">
        <v>35</v>
      </c>
      <c r="I974">
        <f>VLOOKUP(Table4[[#This Row],[Visitor]],'NHL Model'!$A$6:$B$38,2,FALSE)</f>
        <v>-0.96065798985911643</v>
      </c>
      <c r="J974">
        <f>($B$1+Table4[[#This Row],[Home Differential]])-Table4[[#This Row],[Away Differential]]</f>
        <v>0.74936453265539738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0.62082270814755969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-0.48278309788469043</v>
      </c>
      <c r="H975" t="s">
        <v>25</v>
      </c>
      <c r="I975">
        <f>VLOOKUP(Table4[[#This Row],[Visitor]],'NHL Model'!$A$6:$B$38,2,FALSE)</f>
        <v>0.45392063308446812</v>
      </c>
      <c r="J975">
        <f>($B$1+Table4[[#This Row],[Home Differential]])-Table4[[#This Row],[Away Differential]]</f>
        <v>-0.86248607706432801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0.61042700657645232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-0.19727709229606127</v>
      </c>
      <c r="H976" t="s">
        <v>11</v>
      </c>
      <c r="I976">
        <f>VLOOKUP(Table4[[#This Row],[Visitor]],'NHL Model'!$A$6:$B$38,2,FALSE)</f>
        <v>0.19285186127150866</v>
      </c>
      <c r="J976">
        <f>($B$1+Table4[[#This Row],[Home Differential]])-Table4[[#This Row],[Away Differential]]</f>
        <v>-0.3159112996627394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0.5309670216782405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-0.21926170023436534</v>
      </c>
      <c r="H977" t="s">
        <v>36</v>
      </c>
      <c r="I977">
        <f>VLOOKUP(Table4[[#This Row],[Visitor]],'NHL Model'!$A$6:$B$38,2,FALSE)</f>
        <v>9.4361646617848058E-2</v>
      </c>
      <c r="J977">
        <f>($B$1+Table4[[#This Row],[Home Differential]])-Table4[[#This Row],[Away Differential]]</f>
        <v>-0.2394056929473829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0.46768156500392033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1.584470710005189E-2</v>
      </c>
      <c r="H978" t="s">
        <v>30</v>
      </c>
      <c r="I978">
        <f>VLOOKUP(Table4[[#This Row],[Visitor]],'NHL Model'!$A$6:$B$38,2,FALSE)</f>
        <v>0.16690670582810133</v>
      </c>
      <c r="J978">
        <f>($B$1+Table4[[#This Row],[Home Differential]])-Table4[[#This Row],[Away Differential]]</f>
        <v>-7.6844344823218919E-2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0.50187146204697841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-0.3202921716073342</v>
      </c>
      <c r="H979" t="s">
        <v>21</v>
      </c>
      <c r="I979">
        <f>VLOOKUP(Table4[[#This Row],[Visitor]],'NHL Model'!$A$6:$B$38,2,FALSE)</f>
        <v>3.9572996236628868E-2</v>
      </c>
      <c r="J979">
        <f>($B$1+Table4[[#This Row],[Home Differential]])-Table4[[#This Row],[Away Differential]]</f>
        <v>-0.28564751393913251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0.49080851127337144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-6.2506340836952119E-3</v>
      </c>
      <c r="H980" t="s">
        <v>19</v>
      </c>
      <c r="I980">
        <f>VLOOKUP(Table4[[#This Row],[Visitor]],'NHL Model'!$A$6:$B$38,2,FALSE)</f>
        <v>-7.3686276472912369E-4</v>
      </c>
      <c r="J980">
        <f>($B$1+Table4[[#This Row],[Home Differential]])-Table4[[#This Row],[Away Differential]]</f>
        <v>6.8703882585864434E-2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0.54741005693339251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0.17784181108472058</v>
      </c>
      <c r="H981" t="s">
        <v>55</v>
      </c>
      <c r="I981">
        <f>VLOOKUP(Table4[[#This Row],[Visitor]],'NHL Model'!$A$6:$B$38,2,FALSE)</f>
        <v>0.3142836898216293</v>
      </c>
      <c r="J981">
        <f>($B$1+Table4[[#This Row],[Home Differential]])-Table4[[#This Row],[Away Differential]]</f>
        <v>-6.2224224832078179E-2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0.4621567380312675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3.9336367625328564E-2</v>
      </c>
      <c r="H982" t="s">
        <v>23</v>
      </c>
      <c r="I982">
        <f>VLOOKUP(Table4[[#This Row],[Visitor]],'NHL Model'!$A$6:$B$38,2,FALSE)</f>
        <v>0.18511137883580026</v>
      </c>
      <c r="J982">
        <f>($B$1+Table4[[#This Row],[Home Differential]])-Table4[[#This Row],[Away Differential]]</f>
        <v>-7.1557357305641167E-2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-0.10659687498124908</v>
      </c>
      <c r="H983" t="s">
        <v>37</v>
      </c>
      <c r="I983">
        <f>VLOOKUP(Table4[[#This Row],[Visitor]],'NHL Model'!$A$6:$B$38,2,FALSE)</f>
        <v>0.79636680320115127</v>
      </c>
      <c r="J983">
        <f>($B$1+Table4[[#This Row],[Home Differential]])-Table4[[#This Row],[Away Differential]]</f>
        <v>-0.82874602427756983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0.6356028859483368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-6.6593655044643821E-4</v>
      </c>
      <c r="H984" t="s">
        <v>18</v>
      </c>
      <c r="I984">
        <f>VLOOKUP(Table4[[#This Row],[Visitor]],'NHL Model'!$A$6:$B$38,2,FALSE)</f>
        <v>0.10902894471156278</v>
      </c>
      <c r="J984">
        <f>($B$1+Table4[[#This Row],[Home Differential]])-Table4[[#This Row],[Away Differential]]</f>
        <v>-3.5477227357178703E-2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0.50382639618986669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-0.39984103039900787</v>
      </c>
      <c r="H985" t="s">
        <v>38</v>
      </c>
      <c r="I985">
        <f>VLOOKUP(Table4[[#This Row],[Visitor]],'NHL Model'!$A$6:$B$38,2,FALSE)</f>
        <v>-0.48278309788469043</v>
      </c>
      <c r="J985">
        <f>($B$1+Table4[[#This Row],[Home Differential]])-Table4[[#This Row],[Away Differential]]</f>
        <v>0.1571597213905131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0.76796514781800074</v>
      </c>
      <c r="H986" t="s">
        <v>12</v>
      </c>
      <c r="I986">
        <f>VLOOKUP(Table4[[#This Row],[Visitor]],'NHL Model'!$A$6:$B$38,2,FALSE)</f>
        <v>1.8591692540144091</v>
      </c>
      <c r="J986">
        <f>($B$1+Table4[[#This Row],[Home Differential]])-Table4[[#This Row],[Away Differential]]</f>
        <v>-1.0169864522915779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-8.5361594338821137E-2</v>
      </c>
      <c r="H987" t="s">
        <v>11</v>
      </c>
      <c r="I987">
        <f>VLOOKUP(Table4[[#This Row],[Visitor]],'NHL Model'!$A$6:$B$38,2,FALSE)</f>
        <v>0.19285186127150866</v>
      </c>
      <c r="J987">
        <f>($B$1+Table4[[#This Row],[Home Differential]])-Table4[[#This Row],[Away Differential]]</f>
        <v>-0.20399580170549927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7.1049614431123245E-2</v>
      </c>
      <c r="H988" t="s">
        <v>25</v>
      </c>
      <c r="I988">
        <f>VLOOKUP(Table4[[#This Row],[Visitor]],'NHL Model'!$A$6:$B$38,2,FALSE)</f>
        <v>0.45392063308446812</v>
      </c>
      <c r="J988">
        <f>($B$1+Table4[[#This Row],[Home Differential]])-Table4[[#This Row],[Away Differential]]</f>
        <v>-0.30865336474851435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0.52931102736344171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-0.17930549805059143</v>
      </c>
      <c r="H989" t="s">
        <v>35</v>
      </c>
      <c r="I989">
        <f>VLOOKUP(Table4[[#This Row],[Visitor]],'NHL Model'!$A$6:$B$38,2,FALSE)</f>
        <v>-0.96065798985911643</v>
      </c>
      <c r="J989">
        <f>($B$1+Table4[[#This Row],[Home Differential]])-Table4[[#This Row],[Away Differential]]</f>
        <v>0.85557014571335555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0.14556378660539449</v>
      </c>
      <c r="H990" t="s">
        <v>34</v>
      </c>
      <c r="I990">
        <f>VLOOKUP(Table4[[#This Row],[Visitor]],'NHL Model'!$A$6:$B$38,2,FALSE)</f>
        <v>0.59379638322319717</v>
      </c>
      <c r="J990">
        <f>($B$1+Table4[[#This Row],[Home Differential]])-Table4[[#This Row],[Away Differential]]</f>
        <v>-0.37401494271297214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3.9572996236628868E-2</v>
      </c>
      <c r="H991" t="s">
        <v>22</v>
      </c>
      <c r="I991">
        <f>VLOOKUP(Table4[[#This Row],[Visitor]],'NHL Model'!$A$6:$B$38,2,FALSE)</f>
        <v>0.45610704431993199</v>
      </c>
      <c r="J991">
        <f>($B$1+Table4[[#This Row],[Home Differential]])-Table4[[#This Row],[Away Differential]]</f>
        <v>-0.34231639417847259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0.48290391258662868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0.18511137883580026</v>
      </c>
      <c r="H992" t="s">
        <v>29</v>
      </c>
      <c r="I992">
        <f>VLOOKUP(Table4[[#This Row],[Visitor]],'NHL Model'!$A$6:$B$38,2,FALSE)</f>
        <v>-0.3202921716073342</v>
      </c>
      <c r="J992">
        <f>($B$1+Table4[[#This Row],[Home Differential]])-Table4[[#This Row],[Away Differential]]</f>
        <v>0.57962120434796494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0.64110713484548432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-0.19727709229606127</v>
      </c>
      <c r="H993" t="s">
        <v>55</v>
      </c>
      <c r="I993">
        <f>VLOOKUP(Table4[[#This Row],[Visitor]],'NHL Model'!$A$6:$B$38,2,FALSE)</f>
        <v>0.3142836898216293</v>
      </c>
      <c r="J993">
        <f>($B$1+Table4[[#This Row],[Home Differential]])-Table4[[#This Row],[Away Differential]]</f>
        <v>-0.43734312821286003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0.50716964103789997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-0.21926170023436534</v>
      </c>
      <c r="H994" t="s">
        <v>25</v>
      </c>
      <c r="I994">
        <f>VLOOKUP(Table4[[#This Row],[Visitor]],'NHL Model'!$A$6:$B$38,2,FALSE)</f>
        <v>0.45392063308446812</v>
      </c>
      <c r="J994">
        <f>($B$1+Table4[[#This Row],[Home Differential]])-Table4[[#This Row],[Away Differential]]</f>
        <v>-0.59896467941400289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0.54286220224830073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1.584470710005189E-2</v>
      </c>
      <c r="H995" t="s">
        <v>18</v>
      </c>
      <c r="I995">
        <f>VLOOKUP(Table4[[#This Row],[Visitor]],'NHL Model'!$A$6:$B$38,2,FALSE)</f>
        <v>0.10902894471156278</v>
      </c>
      <c r="J995">
        <f>($B$1+Table4[[#This Row],[Home Differential]])-Table4[[#This Row],[Away Differential]]</f>
        <v>-1.8966583706680376E-2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0.52836143027022586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-6.1952588060713437E-2</v>
      </c>
      <c r="H996" t="s">
        <v>15</v>
      </c>
      <c r="I996">
        <f>VLOOKUP(Table4[[#This Row],[Visitor]],'NHL Model'!$A$6:$B$38,2,FALSE)</f>
        <v>-6.2506340836952119E-3</v>
      </c>
      <c r="J996">
        <f>($B$1+Table4[[#This Row],[Home Differential]])-Table4[[#This Row],[Away Differential]]</f>
        <v>1.8515699927812299E-2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0.48270917690079779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3.9336367625328564E-2</v>
      </c>
      <c r="H997" t="s">
        <v>27</v>
      </c>
      <c r="I997">
        <f>VLOOKUP(Table4[[#This Row],[Visitor]],'NHL Model'!$A$6:$B$38,2,FALSE)</f>
        <v>0.17784181108472058</v>
      </c>
      <c r="J997">
        <f>($B$1+Table4[[#This Row],[Home Differential]])-Table4[[#This Row],[Away Differential]]</f>
        <v>-6.4287789554561492E-2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-0.2855111111085496</v>
      </c>
      <c r="H998" t="s">
        <v>36</v>
      </c>
      <c r="I998">
        <f>VLOOKUP(Table4[[#This Row],[Visitor]],'NHL Model'!$A$6:$B$38,2,FALSE)</f>
        <v>9.4361646617848058E-2</v>
      </c>
      <c r="J998">
        <f>($B$1+Table4[[#This Row],[Home Differential]])-Table4[[#This Row],[Away Differential]]</f>
        <v>-0.30565510382156713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0.51373566055533715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-0.17930549805059143</v>
      </c>
      <c r="H999" t="s">
        <v>30</v>
      </c>
      <c r="I999">
        <f>VLOOKUP(Table4[[#This Row],[Visitor]],'NHL Model'!$A$6:$B$38,2,FALSE)</f>
        <v>0.16690670582810133</v>
      </c>
      <c r="J999">
        <f>($B$1+Table4[[#This Row],[Home Differential]])-Table4[[#This Row],[Away Differential]]</f>
        <v>-0.27199454997386224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0.52291938650630154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-7.3686276472912369E-4</v>
      </c>
      <c r="H1000" t="s">
        <v>37</v>
      </c>
      <c r="I1000">
        <f>VLOOKUP(Table4[[#This Row],[Visitor]],'NHL Model'!$A$6:$B$38,2,FALSE)</f>
        <v>0.79636680320115127</v>
      </c>
      <c r="J1000">
        <f>($B$1+Table4[[#This Row],[Home Differential]])-Table4[[#This Row],[Away Differential]]</f>
        <v>-0.72288601206104985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-0.10659687498124908</v>
      </c>
      <c r="H1001" t="s">
        <v>38</v>
      </c>
      <c r="I1001">
        <f>VLOOKUP(Table4[[#This Row],[Visitor]],'NHL Model'!$A$6:$B$38,2,FALSE)</f>
        <v>-0.48278309788469043</v>
      </c>
      <c r="J1001">
        <f>($B$1+Table4[[#This Row],[Home Differential]])-Table4[[#This Row],[Away Differential]]</f>
        <v>0.45040387680827187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0.54606574520220275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-6.6593655044643821E-4</v>
      </c>
      <c r="H1002" t="s">
        <v>35</v>
      </c>
      <c r="I1002">
        <f>VLOOKUP(Table4[[#This Row],[Visitor]],'NHL Model'!$A$6:$B$38,2,FALSE)</f>
        <v>-0.96065798985911643</v>
      </c>
      <c r="J1002">
        <f>($B$1+Table4[[#This Row],[Home Differential]])-Table4[[#This Row],[Away Differential]]</f>
        <v>1.0342097072135006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0.18511137883580026</v>
      </c>
      <c r="H1003" t="s">
        <v>37</v>
      </c>
      <c r="I1003">
        <f>VLOOKUP(Table4[[#This Row],[Visitor]],'NHL Model'!$A$6:$B$38,2,FALSE)</f>
        <v>0.79636680320115127</v>
      </c>
      <c r="J1003">
        <f>($B$1+Table4[[#This Row],[Home Differential]])-Table4[[#This Row],[Away Differential]]</f>
        <v>-0.53703777046052048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1.8591692540144091</v>
      </c>
      <c r="H1004" t="s">
        <v>34</v>
      </c>
      <c r="I1004">
        <f>VLOOKUP(Table4[[#This Row],[Visitor]],'NHL Model'!$A$6:$B$38,2,FALSE)</f>
        <v>0.59379638322319717</v>
      </c>
      <c r="J1004">
        <f>($B$1+Table4[[#This Row],[Home Differential]])-Table4[[#This Row],[Away Differential]]</f>
        <v>1.3395905246960425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0.76796514781800074</v>
      </c>
      <c r="H1005" t="s">
        <v>10</v>
      </c>
      <c r="I1005">
        <f>VLOOKUP(Table4[[#This Row],[Visitor]],'NHL Model'!$A$6:$B$38,2,FALSE)</f>
        <v>-0.39984103039900787</v>
      </c>
      <c r="J1005">
        <f>($B$1+Table4[[#This Row],[Home Differential]])-Table4[[#This Row],[Away Differential]]</f>
        <v>1.2420238321218391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-6.1952588060713437E-2</v>
      </c>
      <c r="H1006" t="s">
        <v>26</v>
      </c>
      <c r="I1006">
        <f>VLOOKUP(Table4[[#This Row],[Visitor]],'NHL Model'!$A$6:$B$38,2,FALSE)</f>
        <v>-8.5361594338821137E-2</v>
      </c>
      <c r="J1006">
        <f>($B$1+Table4[[#This Row],[Home Differential]])-Table4[[#This Row],[Away Differential]]</f>
        <v>9.7626660182938224E-2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3.9336367625328564E-2</v>
      </c>
      <c r="H1007" t="s">
        <v>21</v>
      </c>
      <c r="I1007">
        <f>VLOOKUP(Table4[[#This Row],[Visitor]],'NHL Model'!$A$6:$B$38,2,FALSE)</f>
        <v>3.9572996236628868E-2</v>
      </c>
      <c r="J1007">
        <f>($B$1+Table4[[#This Row],[Home Differential]])-Table4[[#This Row],[Away Differential]]</f>
        <v>7.398102529353022E-2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0.54797922313532543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0.14556378660539449</v>
      </c>
      <c r="H1008" t="s">
        <v>17</v>
      </c>
      <c r="I1008">
        <f>VLOOKUP(Table4[[#This Row],[Visitor]],'NHL Model'!$A$6:$B$38,2,FALSE)</f>
        <v>7.1049614431123245E-2</v>
      </c>
      <c r="J1008">
        <f>($B$1+Table4[[#This Row],[Home Differential]])-Table4[[#This Row],[Away Differential]]</f>
        <v>0.14873182607910179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-0.39984103039900787</v>
      </c>
      <c r="H1009" t="s">
        <v>55</v>
      </c>
      <c r="I1009">
        <f>VLOOKUP(Table4[[#This Row],[Visitor]],'NHL Model'!$A$6:$B$38,2,FALSE)</f>
        <v>0.3142836898216293</v>
      </c>
      <c r="J1009">
        <f>($B$1+Table4[[#This Row],[Home Differential]])-Table4[[#This Row],[Away Differential]]</f>
        <v>-0.63990706631580663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0.17784181108472058</v>
      </c>
      <c r="H1010" t="s">
        <v>15</v>
      </c>
      <c r="I1010">
        <f>VLOOKUP(Table4[[#This Row],[Visitor]],'NHL Model'!$A$6:$B$38,2,FALSE)</f>
        <v>-6.2506340836952119E-3</v>
      </c>
      <c r="J1010">
        <f>($B$1+Table4[[#This Row],[Home Differential]])-Table4[[#This Row],[Away Differential]]</f>
        <v>0.25831009907324631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-0.48278309788469043</v>
      </c>
      <c r="H1011" t="s">
        <v>36</v>
      </c>
      <c r="I1011">
        <f>VLOOKUP(Table4[[#This Row],[Visitor]],'NHL Model'!$A$6:$B$38,2,FALSE)</f>
        <v>9.4361646617848058E-2</v>
      </c>
      <c r="J1011">
        <f>($B$1+Table4[[#This Row],[Home Differential]])-Table4[[#This Row],[Away Differential]]</f>
        <v>-0.5029270905977079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0.53501242976190599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0.45610704431993199</v>
      </c>
      <c r="H1012" t="s">
        <v>16</v>
      </c>
      <c r="I1012">
        <f>VLOOKUP(Table4[[#This Row],[Visitor]],'NHL Model'!$A$6:$B$38,2,FALSE)</f>
        <v>-0.21926170023436534</v>
      </c>
      <c r="J1012">
        <f>($B$1+Table4[[#This Row],[Home Differential]])-Table4[[#This Row],[Away Differential]]</f>
        <v>0.74958639845912778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0.63486325798139331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3.9572996236628868E-2</v>
      </c>
      <c r="H1013" t="s">
        <v>13</v>
      </c>
      <c r="I1013">
        <f>VLOOKUP(Table4[[#This Row],[Visitor]],'NHL Model'!$A$6:$B$38,2,FALSE)</f>
        <v>1.584470710005189E-2</v>
      </c>
      <c r="J1013">
        <f>($B$1+Table4[[#This Row],[Home Differential]])-Table4[[#This Row],[Away Differential]]</f>
        <v>9.7945943041407496E-2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0.53230308966117079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0.18511137883580026</v>
      </c>
      <c r="H1014" t="s">
        <v>33</v>
      </c>
      <c r="I1014">
        <f>VLOOKUP(Table4[[#This Row],[Visitor]],'NHL Model'!$A$6:$B$38,2,FALSE)</f>
        <v>-0.17930549805059143</v>
      </c>
      <c r="J1014">
        <f>($B$1+Table4[[#This Row],[Home Differential]])-Table4[[#This Row],[Away Differential]]</f>
        <v>0.43863453079122222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0.61873749668549116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0.45392063308446812</v>
      </c>
      <c r="H1015" t="s">
        <v>14</v>
      </c>
      <c r="I1015">
        <f>VLOOKUP(Table4[[#This Row],[Visitor]],'NHL Model'!$A$6:$B$38,2,FALSE)</f>
        <v>3.9336367625328564E-2</v>
      </c>
      <c r="J1015">
        <f>($B$1+Table4[[#This Row],[Home Differential]])-Table4[[#This Row],[Away Differential]]</f>
        <v>0.48880191936397011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1.8591692540144091</v>
      </c>
      <c r="H1016" t="s">
        <v>17</v>
      </c>
      <c r="I1016">
        <f>VLOOKUP(Table4[[#This Row],[Visitor]],'NHL Model'!$A$6:$B$38,2,FALSE)</f>
        <v>7.1049614431123245E-2</v>
      </c>
      <c r="J1016">
        <f>($B$1+Table4[[#This Row],[Home Differential]])-Table4[[#This Row],[Away Differential]]</f>
        <v>1.8623372934881164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0.86131304048689827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0.76796514781800074</v>
      </c>
      <c r="H1017" t="s">
        <v>20</v>
      </c>
      <c r="I1017">
        <f>VLOOKUP(Table4[[#This Row],[Visitor]],'NHL Model'!$A$6:$B$38,2,FALSE)</f>
        <v>0.14556378660539449</v>
      </c>
      <c r="J1017">
        <f>($B$1+Table4[[#This Row],[Home Differential]])-Table4[[#This Row],[Away Differential]]</f>
        <v>0.69661901511743674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0.19285186127150866</v>
      </c>
      <c r="H1018" t="s">
        <v>26</v>
      </c>
      <c r="I1018">
        <f>VLOOKUP(Table4[[#This Row],[Visitor]],'NHL Model'!$A$6:$B$38,2,FALSE)</f>
        <v>-8.5361594338821137E-2</v>
      </c>
      <c r="J1018">
        <f>($B$1+Table4[[#This Row],[Home Differential]])-Table4[[#This Row],[Away Differential]]</f>
        <v>0.35243110951516032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0.59379638322319717</v>
      </c>
      <c r="H1019" t="s">
        <v>55</v>
      </c>
      <c r="I1019">
        <f>VLOOKUP(Table4[[#This Row],[Visitor]],'NHL Model'!$A$6:$B$38,2,FALSE)</f>
        <v>0.3142836898216293</v>
      </c>
      <c r="J1019">
        <f>($B$1+Table4[[#This Row],[Home Differential]])-Table4[[#This Row],[Away Differential]]</f>
        <v>0.35373034730639835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0.10902894471156278</v>
      </c>
      <c r="H1020" t="s">
        <v>19</v>
      </c>
      <c r="I1020">
        <f>VLOOKUP(Table4[[#This Row],[Visitor]],'NHL Model'!$A$6:$B$38,2,FALSE)</f>
        <v>-7.3686276472912369E-4</v>
      </c>
      <c r="J1020">
        <f>($B$1+Table4[[#This Row],[Home Differential]])-Table4[[#This Row],[Away Differential]]</f>
        <v>0.18398346138112243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-6.2506340836952119E-3</v>
      </c>
      <c r="H1021" t="s">
        <v>16</v>
      </c>
      <c r="I1021">
        <f>VLOOKUP(Table4[[#This Row],[Visitor]],'NHL Model'!$A$6:$B$38,2,FALSE)</f>
        <v>-0.21926170023436534</v>
      </c>
      <c r="J1021">
        <f>($B$1+Table4[[#This Row],[Home Differential]])-Table4[[#This Row],[Away Differential]]</f>
        <v>0.28722872005550065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0.57097905225162071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-0.2855111111085496</v>
      </c>
      <c r="H1022" t="s">
        <v>29</v>
      </c>
      <c r="I1022">
        <f>VLOOKUP(Table4[[#This Row],[Visitor]],'NHL Model'!$A$6:$B$38,2,FALSE)</f>
        <v>-0.3202921716073342</v>
      </c>
      <c r="J1022">
        <f>($B$1+Table4[[#This Row],[Home Differential]])-Table4[[#This Row],[Away Differential]]</f>
        <v>0.10899871440361514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-0.96065798985911643</v>
      </c>
      <c r="H1023" t="s">
        <v>30</v>
      </c>
      <c r="I1023">
        <f>VLOOKUP(Table4[[#This Row],[Visitor]],'NHL Model'!$A$6:$B$38,2,FALSE)</f>
        <v>0.16690670582810133</v>
      </c>
      <c r="J1023">
        <f>($B$1+Table4[[#This Row],[Home Differential]])-Table4[[#This Row],[Away Differential]]</f>
        <v>-1.0533470417823874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0.60719215583797959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0.79636680320115127</v>
      </c>
      <c r="H1024" t="s">
        <v>28</v>
      </c>
      <c r="I1024">
        <f>VLOOKUP(Table4[[#This Row],[Visitor]],'NHL Model'!$A$6:$B$38,2,FALSE)</f>
        <v>-0.19727709229606127</v>
      </c>
      <c r="J1024">
        <f>($B$1+Table4[[#This Row],[Home Differential]])-Table4[[#This Row],[Away Differential]]</f>
        <v>1.0678615494020431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0.65972865783738843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-0.10659687498124908</v>
      </c>
      <c r="H1025" t="s">
        <v>31</v>
      </c>
      <c r="I1025">
        <f>VLOOKUP(Table4[[#This Row],[Visitor]],'NHL Model'!$A$6:$B$38,2,FALSE)</f>
        <v>-6.6593655044643821E-4</v>
      </c>
      <c r="J1025">
        <f>($B$1+Table4[[#This Row],[Home Differential]])-Table4[[#This Row],[Away Differential]]</f>
        <v>-3.1713284525972114E-2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0.46342043615349737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9.4361646617848058E-2</v>
      </c>
      <c r="H1026" t="s">
        <v>18</v>
      </c>
      <c r="I1026">
        <f>VLOOKUP(Table4[[#This Row],[Visitor]],'NHL Model'!$A$6:$B$38,2,FALSE)</f>
        <v>0.10902894471156278</v>
      </c>
      <c r="J1026">
        <f>($B$1+Table4[[#This Row],[Home Differential]])-Table4[[#This Row],[Away Differential]]</f>
        <v>5.9550355811115799E-2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0.17784181108472058</v>
      </c>
      <c r="H1027" t="s">
        <v>22</v>
      </c>
      <c r="I1027">
        <f>VLOOKUP(Table4[[#This Row],[Visitor]],'NHL Model'!$A$6:$B$38,2,FALSE)</f>
        <v>0.45610704431993199</v>
      </c>
      <c r="J1027">
        <f>($B$1+Table4[[#This Row],[Home Differential]])-Table4[[#This Row],[Away Differential]]</f>
        <v>-0.20404757933038087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3.9572996236628868E-2</v>
      </c>
      <c r="H1028" t="s">
        <v>33</v>
      </c>
      <c r="I1028">
        <f>VLOOKUP(Table4[[#This Row],[Visitor]],'NHL Model'!$A$6:$B$38,2,FALSE)</f>
        <v>-0.17930549805059143</v>
      </c>
      <c r="J1028">
        <f>($B$1+Table4[[#This Row],[Home Differential]])-Table4[[#This Row],[Away Differential]]</f>
        <v>0.29309614819205082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0.57837447361376915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0.18511137883580026</v>
      </c>
      <c r="H1029" t="s">
        <v>22</v>
      </c>
      <c r="I1029">
        <f>VLOOKUP(Table4[[#This Row],[Visitor]],'NHL Model'!$A$6:$B$38,2,FALSE)</f>
        <v>0.45610704431993199</v>
      </c>
      <c r="J1029">
        <f>($B$1+Table4[[#This Row],[Home Differential]])-Table4[[#This Row],[Away Differential]]</f>
        <v>-0.19677801157930119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0.45392063308446812</v>
      </c>
      <c r="H1030" t="s">
        <v>35</v>
      </c>
      <c r="I1030">
        <f>VLOOKUP(Table4[[#This Row],[Visitor]],'NHL Model'!$A$6:$B$38,2,FALSE)</f>
        <v>-0.96065798985911643</v>
      </c>
      <c r="J1030">
        <f>($B$1+Table4[[#This Row],[Home Differential]])-Table4[[#This Row],[Away Differential]]</f>
        <v>1.4887962768484151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0.73427226195587381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0.76796514781800074</v>
      </c>
      <c r="H1031" t="s">
        <v>17</v>
      </c>
      <c r="I1031">
        <f>VLOOKUP(Table4[[#This Row],[Visitor]],'NHL Model'!$A$6:$B$38,2,FALSE)</f>
        <v>7.1049614431123245E-2</v>
      </c>
      <c r="J1031">
        <f>($B$1+Table4[[#This Row],[Home Differential]])-Table4[[#This Row],[Away Differential]]</f>
        <v>0.77113318729170799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0.19285186127150866</v>
      </c>
      <c r="H1032" t="s">
        <v>28</v>
      </c>
      <c r="I1032">
        <f>VLOOKUP(Table4[[#This Row],[Visitor]],'NHL Model'!$A$6:$B$38,2,FALSE)</f>
        <v>-0.19727709229606127</v>
      </c>
      <c r="J1032">
        <f>($B$1+Table4[[#This Row],[Home Differential]])-Table4[[#This Row],[Away Differential]]</f>
        <v>0.46434660747240047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0.59379638322319717</v>
      </c>
      <c r="H1033" t="s">
        <v>27</v>
      </c>
      <c r="I1033">
        <f>VLOOKUP(Table4[[#This Row],[Visitor]],'NHL Model'!$A$6:$B$38,2,FALSE)</f>
        <v>0.17784181108472058</v>
      </c>
      <c r="J1033">
        <f>($B$1+Table4[[#This Row],[Home Differential]])-Table4[[#This Row],[Away Differential]]</f>
        <v>0.49017222604330707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0.60792370291138875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-6.1952588060713437E-2</v>
      </c>
      <c r="H1034" t="s">
        <v>16</v>
      </c>
      <c r="I1034">
        <f>VLOOKUP(Table4[[#This Row],[Visitor]],'NHL Model'!$A$6:$B$38,2,FALSE)</f>
        <v>-0.21926170023436534</v>
      </c>
      <c r="J1034">
        <f>($B$1+Table4[[#This Row],[Home Differential]])-Table4[[#This Row],[Away Differential]]</f>
        <v>0.23152676607848244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0.56497131826722669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-0.2855111111085496</v>
      </c>
      <c r="H1035" t="s">
        <v>12</v>
      </c>
      <c r="I1035">
        <f>VLOOKUP(Table4[[#This Row],[Visitor]],'NHL Model'!$A$6:$B$38,2,FALSE)</f>
        <v>1.8591692540144091</v>
      </c>
      <c r="J1035">
        <f>($B$1+Table4[[#This Row],[Home Differential]])-Table4[[#This Row],[Away Differential]]</f>
        <v>-2.070462711218128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0.79636680320115127</v>
      </c>
      <c r="H1036" t="s">
        <v>26</v>
      </c>
      <c r="I1036">
        <f>VLOOKUP(Table4[[#This Row],[Visitor]],'NHL Model'!$A$6:$B$38,2,FALSE)</f>
        <v>-8.5361594338821137E-2</v>
      </c>
      <c r="J1036">
        <f>($B$1+Table4[[#This Row],[Home Differential]])-Table4[[#This Row],[Away Differential]]</f>
        <v>0.95594605144480294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-7.3686276472912369E-4</v>
      </c>
      <c r="H1037" t="s">
        <v>31</v>
      </c>
      <c r="I1037">
        <f>VLOOKUP(Table4[[#This Row],[Visitor]],'NHL Model'!$A$6:$B$38,2,FALSE)</f>
        <v>-6.6593655044643821E-4</v>
      </c>
      <c r="J1037">
        <f>($B$1+Table4[[#This Row],[Home Differential]])-Table4[[#This Row],[Away Differential]]</f>
        <v>7.4146727690547851E-2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0.56710252627648094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0.3142836898216293</v>
      </c>
      <c r="H1038" t="s">
        <v>10</v>
      </c>
      <c r="I1038">
        <f>VLOOKUP(Table4[[#This Row],[Visitor]],'NHL Model'!$A$6:$B$38,2,FALSE)</f>
        <v>-0.39984103039900787</v>
      </c>
      <c r="J1038">
        <f>($B$1+Table4[[#This Row],[Home Differential]])-Table4[[#This Row],[Away Differential]]</f>
        <v>0.7883423741254677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-0.48278309788469043</v>
      </c>
      <c r="H1039" t="s">
        <v>29</v>
      </c>
      <c r="I1039">
        <f>VLOOKUP(Table4[[#This Row],[Visitor]],'NHL Model'!$A$6:$B$38,2,FALSE)</f>
        <v>-0.3202921716073342</v>
      </c>
      <c r="J1039">
        <f>($B$1+Table4[[#This Row],[Home Differential]])-Table4[[#This Row],[Away Differential]]</f>
        <v>-8.8273272372525691E-2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0.46952071337685736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0.14556378660539449</v>
      </c>
      <c r="H1040" t="s">
        <v>14</v>
      </c>
      <c r="I1040">
        <f>VLOOKUP(Table4[[#This Row],[Visitor]],'NHL Model'!$A$6:$B$38,2,FALSE)</f>
        <v>3.9336367625328564E-2</v>
      </c>
      <c r="J1040">
        <f>($B$1+Table4[[#This Row],[Home Differential]])-Table4[[#This Row],[Away Differential]]</f>
        <v>0.18044507288489647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0.55217218286174652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-0.10659687498124908</v>
      </c>
      <c r="H1041" t="s">
        <v>15</v>
      </c>
      <c r="I1041">
        <f>VLOOKUP(Table4[[#This Row],[Visitor]],'NHL Model'!$A$6:$B$38,2,FALSE)</f>
        <v>-6.2506340836952119E-3</v>
      </c>
      <c r="J1041">
        <f>($B$1+Table4[[#This Row],[Home Differential]])-Table4[[#This Row],[Away Differential]]</f>
        <v>-2.612858699272334E-2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0.52210593245518977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0.16690670582810133</v>
      </c>
      <c r="H1042" t="s">
        <v>13</v>
      </c>
      <c r="I1042">
        <f>VLOOKUP(Table4[[#This Row],[Visitor]],'NHL Model'!$A$6:$B$38,2,FALSE)</f>
        <v>1.584470710005189E-2</v>
      </c>
      <c r="J1042">
        <f>($B$1+Table4[[#This Row],[Home Differential]])-Table4[[#This Row],[Away Differential]]</f>
        <v>0.22527965263287994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0.53441899336579102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-0.96065798985911643</v>
      </c>
      <c r="H1043" t="s">
        <v>17</v>
      </c>
      <c r="I1043">
        <f>VLOOKUP(Table4[[#This Row],[Visitor]],'NHL Model'!$A$6:$B$38,2,FALSE)</f>
        <v>7.1049614431123245E-2</v>
      </c>
      <c r="J1043">
        <f>($B$1+Table4[[#This Row],[Home Differential]])-Table4[[#This Row],[Away Differential]]</f>
        <v>-0.95748995038540918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0.18511137883580026</v>
      </c>
      <c r="H1044" t="s">
        <v>19</v>
      </c>
      <c r="I1044">
        <f>VLOOKUP(Table4[[#This Row],[Visitor]],'NHL Model'!$A$6:$B$38,2,FALSE)</f>
        <v>-7.3686276472912369E-4</v>
      </c>
      <c r="J1044">
        <f>($B$1+Table4[[#This Row],[Home Differential]])-Table4[[#This Row],[Away Differential]]</f>
        <v>0.26006589550535991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0.76796514781800074</v>
      </c>
      <c r="H1045" t="s">
        <v>26</v>
      </c>
      <c r="I1045">
        <f>VLOOKUP(Table4[[#This Row],[Visitor]],'NHL Model'!$A$6:$B$38,2,FALSE)</f>
        <v>-8.5361594338821137E-2</v>
      </c>
      <c r="J1045">
        <f>($B$1+Table4[[#This Row],[Home Differential]])-Table4[[#This Row],[Away Differential]]</f>
        <v>0.9275443960616524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0.64549484193234741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0.59379638322319717</v>
      </c>
      <c r="H1046" t="s">
        <v>15</v>
      </c>
      <c r="I1046">
        <f>VLOOKUP(Table4[[#This Row],[Visitor]],'NHL Model'!$A$6:$B$38,2,FALSE)</f>
        <v>-6.2506340836952119E-3</v>
      </c>
      <c r="J1046">
        <f>($B$1+Table4[[#This Row],[Home Differential]])-Table4[[#This Row],[Away Differential]]</f>
        <v>0.67426467121172284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0.57594861939613184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0.10902894471156278</v>
      </c>
      <c r="H1047" t="s">
        <v>33</v>
      </c>
      <c r="I1047">
        <f>VLOOKUP(Table4[[#This Row],[Visitor]],'NHL Model'!$A$6:$B$38,2,FALSE)</f>
        <v>-0.17930549805059143</v>
      </c>
      <c r="J1047">
        <f>($B$1+Table4[[#This Row],[Home Differential]])-Table4[[#This Row],[Away Differential]]</f>
        <v>0.36255209666698474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0.57181333505586673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-6.1952588060713437E-2</v>
      </c>
      <c r="H1048" t="s">
        <v>13</v>
      </c>
      <c r="I1048">
        <f>VLOOKUP(Table4[[#This Row],[Visitor]],'NHL Model'!$A$6:$B$38,2,FALSE)</f>
        <v>1.584470710005189E-2</v>
      </c>
      <c r="J1048">
        <f>($B$1+Table4[[#This Row],[Home Differential]])-Table4[[#This Row],[Away Differential]]</f>
        <v>-3.5796412559348026E-3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0.49277641343523931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0.16690670582810133</v>
      </c>
      <c r="H1049" t="s">
        <v>16</v>
      </c>
      <c r="I1049">
        <f>VLOOKUP(Table4[[#This Row],[Visitor]],'NHL Model'!$A$6:$B$38,2,FALSE)</f>
        <v>-0.21926170023436534</v>
      </c>
      <c r="J1049">
        <f>($B$1+Table4[[#This Row],[Home Differential]])-Table4[[#This Row],[Away Differential]]</f>
        <v>0.4603860599672972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0.59215041553831371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9.4361646617848058E-2</v>
      </c>
      <c r="H1050" t="s">
        <v>31</v>
      </c>
      <c r="I1050">
        <f>VLOOKUP(Table4[[#This Row],[Visitor]],'NHL Model'!$A$6:$B$38,2,FALSE)</f>
        <v>-6.6593655044643821E-4</v>
      </c>
      <c r="J1050">
        <f>($B$1+Table4[[#This Row],[Home Differential]])-Table4[[#This Row],[Away Differential]]</f>
        <v>0.16924523707312503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0.55825394424907504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0.17784181108472058</v>
      </c>
      <c r="H1051" t="s">
        <v>28</v>
      </c>
      <c r="I1051">
        <f>VLOOKUP(Table4[[#This Row],[Visitor]],'NHL Model'!$A$6:$B$38,2,FALSE)</f>
        <v>-0.19727709229606127</v>
      </c>
      <c r="J1051">
        <f>($B$1+Table4[[#This Row],[Home Differential]])-Table4[[#This Row],[Away Differential]]</f>
        <v>0.44933655728561239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0.79636680320115127</v>
      </c>
      <c r="H1052" t="s">
        <v>25</v>
      </c>
      <c r="I1052">
        <f>VLOOKUP(Table4[[#This Row],[Visitor]],'NHL Model'!$A$6:$B$38,2,FALSE)</f>
        <v>0.45392063308446812</v>
      </c>
      <c r="J1052">
        <f>($B$1+Table4[[#This Row],[Home Differential]])-Table4[[#This Row],[Away Differential]]</f>
        <v>0.41666382402151364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0.3142836898216293</v>
      </c>
      <c r="H1053" t="s">
        <v>14</v>
      </c>
      <c r="I1053">
        <f>VLOOKUP(Table4[[#This Row],[Visitor]],'NHL Model'!$A$6:$B$38,2,FALSE)</f>
        <v>3.9336367625328564E-2</v>
      </c>
      <c r="J1053">
        <f>($B$1+Table4[[#This Row],[Home Differential]])-Table4[[#This Row],[Away Differential]]</f>
        <v>0.34916497610113129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0.57036946723015569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-0.48278309788469043</v>
      </c>
      <c r="H1054" t="s">
        <v>32</v>
      </c>
      <c r="I1054">
        <f>VLOOKUP(Table4[[#This Row],[Visitor]],'NHL Model'!$A$6:$B$38,2,FALSE)</f>
        <v>-0.2855111111085496</v>
      </c>
      <c r="J1054">
        <f>($B$1+Table4[[#This Row],[Home Differential]])-Table4[[#This Row],[Away Differential]]</f>
        <v>-0.12305433287131029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0.14556378660539449</v>
      </c>
      <c r="H1055" t="s">
        <v>10</v>
      </c>
      <c r="I1055">
        <f>VLOOKUP(Table4[[#This Row],[Visitor]],'NHL Model'!$A$6:$B$38,2,FALSE)</f>
        <v>-0.39984103039900787</v>
      </c>
      <c r="J1055">
        <f>($B$1+Table4[[#This Row],[Home Differential]])-Table4[[#This Row],[Away Differential]]</f>
        <v>0.61962247090923284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-0.10659687498124908</v>
      </c>
      <c r="H1056" t="s">
        <v>12</v>
      </c>
      <c r="I1056">
        <f>VLOOKUP(Table4[[#This Row],[Visitor]],'NHL Model'!$A$6:$B$38,2,FALSE)</f>
        <v>1.8591692540144091</v>
      </c>
      <c r="J1056">
        <f>($B$1+Table4[[#This Row],[Home Differential]])-Table4[[#This Row],[Away Differential]]</f>
        <v>-1.8915484750908278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0.45610704431993199</v>
      </c>
      <c r="H1057" t="s">
        <v>21</v>
      </c>
      <c r="I1057">
        <f>VLOOKUP(Table4[[#This Row],[Visitor]],'NHL Model'!$A$6:$B$38,2,FALSE)</f>
        <v>3.9572996236628868E-2</v>
      </c>
      <c r="J1057">
        <f>($B$1+Table4[[#This Row],[Home Differential]])-Table4[[#This Row],[Away Differential]]</f>
        <v>0.49075170198813362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7.1049614431123245E-2</v>
      </c>
      <c r="H1058" t="s">
        <v>29</v>
      </c>
      <c r="I1058">
        <f>VLOOKUP(Table4[[#This Row],[Visitor]],'NHL Model'!$A$6:$B$38,2,FALSE)</f>
        <v>-0.3202921716073342</v>
      </c>
      <c r="J1058">
        <f>($B$1+Table4[[#This Row],[Home Differential]])-Table4[[#This Row],[Away Differential]]</f>
        <v>0.46555943994328797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0.59379638322319717</v>
      </c>
      <c r="H1059" t="s">
        <v>19</v>
      </c>
      <c r="I1059">
        <f>VLOOKUP(Table4[[#This Row],[Visitor]],'NHL Model'!$A$6:$B$38,2,FALSE)</f>
        <v>-7.3686276472912369E-4</v>
      </c>
      <c r="J1059">
        <f>($B$1+Table4[[#This Row],[Home Differential]])-Table4[[#This Row],[Away Differential]]</f>
        <v>0.66875089989275682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0.63441186218904788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0.10902894471156278</v>
      </c>
      <c r="H1060" t="s">
        <v>31</v>
      </c>
      <c r="I1060">
        <f>VLOOKUP(Table4[[#This Row],[Visitor]],'NHL Model'!$A$6:$B$38,2,FALSE)</f>
        <v>-6.6593655044643821E-4</v>
      </c>
      <c r="J1060">
        <f>($B$1+Table4[[#This Row],[Home Differential]])-Table4[[#This Row],[Away Differential]]</f>
        <v>0.18391253516683975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0.55983588561603681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9.4361646617848058E-2</v>
      </c>
      <c r="H1061" t="s">
        <v>33</v>
      </c>
      <c r="I1061">
        <f>VLOOKUP(Table4[[#This Row],[Visitor]],'NHL Model'!$A$6:$B$38,2,FALSE)</f>
        <v>-0.17930549805059143</v>
      </c>
      <c r="J1061">
        <f>($B$1+Table4[[#This Row],[Home Differential]])-Table4[[#This Row],[Away Differential]]</f>
        <v>0.34788479857327004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0.57023139368890496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-0.2855111111085496</v>
      </c>
      <c r="H1062" t="s">
        <v>11</v>
      </c>
      <c r="I1062">
        <f>VLOOKUP(Table4[[#This Row],[Visitor]],'NHL Model'!$A$6:$B$38,2,FALSE)</f>
        <v>0.19285186127150866</v>
      </c>
      <c r="J1062">
        <f>($B$1+Table4[[#This Row],[Home Differential]])-Table4[[#This Row],[Away Differential]]</f>
        <v>-0.40414531847522772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0.54048350136256451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-0.10659687498124908</v>
      </c>
      <c r="H1063" t="s">
        <v>35</v>
      </c>
      <c r="I1063">
        <f>VLOOKUP(Table4[[#This Row],[Visitor]],'NHL Model'!$A$6:$B$38,2,FALSE)</f>
        <v>-0.96065798985911643</v>
      </c>
      <c r="J1063">
        <f>($B$1+Table4[[#This Row],[Home Differential]])-Table4[[#This Row],[Away Differential]]</f>
        <v>0.92827876878269788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1.8591692540144091</v>
      </c>
      <c r="H1064" t="s">
        <v>14</v>
      </c>
      <c r="I1064">
        <f>VLOOKUP(Table4[[#This Row],[Visitor]],'NHL Model'!$A$6:$B$38,2,FALSE)</f>
        <v>3.9336367625328564E-2</v>
      </c>
      <c r="J1064">
        <f>($B$1+Table4[[#This Row],[Home Differential]])-Table4[[#This Row],[Away Differential]]</f>
        <v>1.894050540293911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0.85812896596757959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0.76796514781800074</v>
      </c>
      <c r="H1065" t="s">
        <v>55</v>
      </c>
      <c r="I1065">
        <f>VLOOKUP(Table4[[#This Row],[Visitor]],'NHL Model'!$A$6:$B$38,2,FALSE)</f>
        <v>0.3142836898216293</v>
      </c>
      <c r="J1065">
        <f>($B$1+Table4[[#This Row],[Home Differential]])-Table4[[#This Row],[Away Differential]]</f>
        <v>0.52789911190120198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-8.5361594338821137E-2</v>
      </c>
      <c r="H1066" t="s">
        <v>16</v>
      </c>
      <c r="I1066">
        <f>VLOOKUP(Table4[[#This Row],[Visitor]],'NHL Model'!$A$6:$B$38,2,FALSE)</f>
        <v>-0.21926170023436534</v>
      </c>
      <c r="J1066">
        <f>($B$1+Table4[[#This Row],[Home Differential]])-Table4[[#This Row],[Away Differential]]</f>
        <v>0.20811775980037472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0.60287771745122565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-6.1952588060713437E-2</v>
      </c>
      <c r="H1067" t="s">
        <v>21</v>
      </c>
      <c r="I1067">
        <f>VLOOKUP(Table4[[#This Row],[Visitor]],'NHL Model'!$A$6:$B$38,2,FALSE)</f>
        <v>3.9572996236628868E-2</v>
      </c>
      <c r="J1067">
        <f>($B$1+Table4[[#This Row],[Home Differential]])-Table4[[#This Row],[Away Differential]]</f>
        <v>-2.7307930392511781E-2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0.46294529670413803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-6.2506340836952119E-3</v>
      </c>
      <c r="H1068" t="s">
        <v>13</v>
      </c>
      <c r="I1068">
        <f>VLOOKUP(Table4[[#This Row],[Visitor]],'NHL Model'!$A$6:$B$38,2,FALSE)</f>
        <v>1.584470710005189E-2</v>
      </c>
      <c r="J1068">
        <f>($B$1+Table4[[#This Row],[Home Differential]])-Table4[[#This Row],[Away Differential]]</f>
        <v>5.2122312721083426E-2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0.51323132054915477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-0.19727709229606127</v>
      </c>
      <c r="H1069" t="s">
        <v>25</v>
      </c>
      <c r="I1069">
        <f>VLOOKUP(Table4[[#This Row],[Visitor]],'NHL Model'!$A$6:$B$38,2,FALSE)</f>
        <v>0.45392063308446812</v>
      </c>
      <c r="J1069">
        <f>($B$1+Table4[[#This Row],[Home Differential]])-Table4[[#This Row],[Away Differential]]</f>
        <v>-0.57698007147569885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-0.39984103039900787</v>
      </c>
      <c r="H1070" t="s">
        <v>34</v>
      </c>
      <c r="I1070">
        <f>VLOOKUP(Table4[[#This Row],[Visitor]],'NHL Model'!$A$6:$B$38,2,FALSE)</f>
        <v>0.59379638322319717</v>
      </c>
      <c r="J1070">
        <f>($B$1+Table4[[#This Row],[Home Differential]])-Table4[[#This Row],[Away Differential]]</f>
        <v>-0.91941975971737455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7.1049614431123245E-2</v>
      </c>
      <c r="H1071" t="s">
        <v>33</v>
      </c>
      <c r="I1071">
        <f>VLOOKUP(Table4[[#This Row],[Visitor]],'NHL Model'!$A$6:$B$38,2,FALSE)</f>
        <v>-0.17930549805059143</v>
      </c>
      <c r="J1071">
        <f>($B$1+Table4[[#This Row],[Home Differential]])-Table4[[#This Row],[Away Differential]]</f>
        <v>0.3245727663865452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0.10902894471156278</v>
      </c>
      <c r="H1072" t="s">
        <v>21</v>
      </c>
      <c r="I1072">
        <f>VLOOKUP(Table4[[#This Row],[Visitor]],'NHL Model'!$A$6:$B$38,2,FALSE)</f>
        <v>3.9572996236628868E-2</v>
      </c>
      <c r="J1072">
        <f>($B$1+Table4[[#This Row],[Home Differential]])-Table4[[#This Row],[Away Differential]]</f>
        <v>0.14367360237976445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-0.2855111111085496</v>
      </c>
      <c r="H1073" t="s">
        <v>37</v>
      </c>
      <c r="I1073">
        <f>VLOOKUP(Table4[[#This Row],[Visitor]],'NHL Model'!$A$6:$B$38,2,FALSE)</f>
        <v>0.79636680320115127</v>
      </c>
      <c r="J1073">
        <f>($B$1+Table4[[#This Row],[Home Differential]])-Table4[[#This Row],[Away Differential]]</f>
        <v>-1.0076602604048703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0.65489968004495591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-7.3686276472912369E-4</v>
      </c>
      <c r="H1074" t="s">
        <v>30</v>
      </c>
      <c r="I1074">
        <f>VLOOKUP(Table4[[#This Row],[Visitor]],'NHL Model'!$A$6:$B$38,2,FALSE)</f>
        <v>0.16690670582810133</v>
      </c>
      <c r="J1074">
        <f>($B$1+Table4[[#This Row],[Home Differential]])-Table4[[#This Row],[Away Differential]]</f>
        <v>-9.342591468799992E-2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0.48438475198483244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-0.48278309788469043</v>
      </c>
      <c r="H1075" t="s">
        <v>11</v>
      </c>
      <c r="I1075">
        <f>VLOOKUP(Table4[[#This Row],[Visitor]],'NHL Model'!$A$6:$B$38,2,FALSE)</f>
        <v>0.19285186127150866</v>
      </c>
      <c r="J1075">
        <f>($B$1+Table4[[#This Row],[Home Differential]])-Table4[[#This Row],[Away Differential]]</f>
        <v>-0.60141730525136849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0.56176027056913347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0.14556378660539449</v>
      </c>
      <c r="H1076" t="s">
        <v>23</v>
      </c>
      <c r="I1076">
        <f>VLOOKUP(Table4[[#This Row],[Visitor]],'NHL Model'!$A$6:$B$38,2,FALSE)</f>
        <v>0.18511137883580026</v>
      </c>
      <c r="J1076">
        <f>($B$1+Table4[[#This Row],[Home Differential]])-Table4[[#This Row],[Away Differential]]</f>
        <v>3.4670061674424768E-2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0.54373933933894703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-0.10659687498124908</v>
      </c>
      <c r="H1077" t="s">
        <v>29</v>
      </c>
      <c r="I1077">
        <f>VLOOKUP(Table4[[#This Row],[Visitor]],'NHL Model'!$A$6:$B$38,2,FALSE)</f>
        <v>-0.3202921716073342</v>
      </c>
      <c r="J1077">
        <f>($B$1+Table4[[#This Row],[Home Differential]])-Table4[[#This Row],[Away Differential]]</f>
        <v>0.28791295053091565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-6.6593655044643821E-4</v>
      </c>
      <c r="H1078" t="s">
        <v>27</v>
      </c>
      <c r="I1078">
        <f>VLOOKUP(Table4[[#This Row],[Visitor]],'NHL Model'!$A$6:$B$38,2,FALSE)</f>
        <v>0.17784181108472058</v>
      </c>
      <c r="J1078">
        <f>($B$1+Table4[[#This Row],[Home Differential]])-Table4[[#This Row],[Away Differential]]</f>
        <v>-0.1042900937303365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0.45242467815736076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0.45392063308446812</v>
      </c>
      <c r="H1079" t="s">
        <v>14</v>
      </c>
      <c r="I1079">
        <f>VLOOKUP(Table4[[#This Row],[Visitor]],'NHL Model'!$A$6:$B$38,2,FALSE)</f>
        <v>3.9336367625328564E-2</v>
      </c>
      <c r="J1079">
        <f>($B$1+Table4[[#This Row],[Home Differential]])-Table4[[#This Row],[Away Differential]]</f>
        <v>0.48880191936397011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-0.21926170023436534</v>
      </c>
      <c r="H1080" t="s">
        <v>35</v>
      </c>
      <c r="I1080">
        <f>VLOOKUP(Table4[[#This Row],[Visitor]],'NHL Model'!$A$6:$B$38,2,FALSE)</f>
        <v>-0.96065798985911643</v>
      </c>
      <c r="J1080">
        <f>($B$1+Table4[[#This Row],[Home Differential]])-Table4[[#This Row],[Away Differential]]</f>
        <v>0.81561394352958161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1.8591692540144091</v>
      </c>
      <c r="H1081" t="s">
        <v>39</v>
      </c>
      <c r="I1081">
        <f>VLOOKUP(Table4[[#This Row],[Visitor]],'NHL Model'!$A$6:$B$38,2,FALSE)</f>
        <v>0.76796514781800074</v>
      </c>
      <c r="J1081">
        <f>($B$1+Table4[[#This Row],[Home Differential]])-Table4[[#This Row],[Away Differential]]</f>
        <v>1.1654217601012389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-6.2506340836952119E-3</v>
      </c>
      <c r="H1082" t="s">
        <v>24</v>
      </c>
      <c r="I1082">
        <f>VLOOKUP(Table4[[#This Row],[Visitor]],'NHL Model'!$A$6:$B$38,2,FALSE)</f>
        <v>-6.1952588060713437E-2</v>
      </c>
      <c r="J1082">
        <f>($B$1+Table4[[#This Row],[Home Differential]])-Table4[[#This Row],[Away Differential]]</f>
        <v>0.12991960788184875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0.45610704431993199</v>
      </c>
      <c r="H1083" t="s">
        <v>36</v>
      </c>
      <c r="I1083">
        <f>VLOOKUP(Table4[[#This Row],[Visitor]],'NHL Model'!$A$6:$B$38,2,FALSE)</f>
        <v>9.4361646617848058E-2</v>
      </c>
      <c r="J1083">
        <f>($B$1+Table4[[#This Row],[Home Differential]])-Table4[[#This Row],[Away Differential]]</f>
        <v>0.4359630516069144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3.9572996236628868E-2</v>
      </c>
      <c r="H1084" t="s">
        <v>40</v>
      </c>
      <c r="I1084">
        <f>VLOOKUP(Table4[[#This Row],[Visitor]],'NHL Model'!$A$6:$B$38,2,FALSE)</f>
        <v>-0.10659687498124908</v>
      </c>
      <c r="J1084">
        <f>($B$1+Table4[[#This Row],[Home Differential]])-Table4[[#This Row],[Away Differential]]</f>
        <v>0.22038752512270848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0.57778651598491071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-0.19727709229606127</v>
      </c>
      <c r="H1085" t="s">
        <v>15</v>
      </c>
      <c r="I1085">
        <f>VLOOKUP(Table4[[#This Row],[Visitor]],'NHL Model'!$A$6:$B$38,2,FALSE)</f>
        <v>-6.2506340836952119E-3</v>
      </c>
      <c r="J1085">
        <f>($B$1+Table4[[#This Row],[Home Differential]])-Table4[[#This Row],[Away Differential]]</f>
        <v>-0.11680880430753554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-8.5361594338821137E-2</v>
      </c>
      <c r="H1086" t="s">
        <v>18</v>
      </c>
      <c r="I1086">
        <f>VLOOKUP(Table4[[#This Row],[Visitor]],'NHL Model'!$A$6:$B$38,2,FALSE)</f>
        <v>0.10902894471156278</v>
      </c>
      <c r="J1086">
        <f>($B$1+Table4[[#This Row],[Home Differential]])-Table4[[#This Row],[Away Differential]]</f>
        <v>-0.1201728851455534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7.1049614431123245E-2</v>
      </c>
      <c r="H1087" t="s">
        <v>11</v>
      </c>
      <c r="I1087">
        <f>VLOOKUP(Table4[[#This Row],[Visitor]],'NHL Model'!$A$6:$B$38,2,FALSE)</f>
        <v>0.19285186127150866</v>
      </c>
      <c r="J1087">
        <f>($B$1+Table4[[#This Row],[Home Differential]])-Table4[[#This Row],[Away Differential]]</f>
        <v>-4.7584592935554892E-2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0.48065671157189382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1.584470710005189E-2</v>
      </c>
      <c r="H1088" t="s">
        <v>27</v>
      </c>
      <c r="I1088">
        <f>VLOOKUP(Table4[[#This Row],[Visitor]],'NHL Model'!$A$6:$B$38,2,FALSE)</f>
        <v>0.17784181108472058</v>
      </c>
      <c r="J1088">
        <f>($B$1+Table4[[#This Row],[Home Differential]])-Table4[[#This Row],[Away Differential]]</f>
        <v>-8.7779450079838173E-2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0.47675717180196869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0.59379638322319717</v>
      </c>
      <c r="H1089" t="s">
        <v>10</v>
      </c>
      <c r="I1089">
        <f>VLOOKUP(Table4[[#This Row],[Visitor]],'NHL Model'!$A$6:$B$38,2,FALSE)</f>
        <v>-0.39984103039900787</v>
      </c>
      <c r="J1089">
        <f>($B$1+Table4[[#This Row],[Home Differential]])-Table4[[#This Row],[Away Differential]]</f>
        <v>1.0678550675270355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-0.3202921716073342</v>
      </c>
      <c r="H1090" t="s">
        <v>32</v>
      </c>
      <c r="I1090">
        <f>VLOOKUP(Table4[[#This Row],[Visitor]],'NHL Model'!$A$6:$B$38,2,FALSE)</f>
        <v>-0.2855111111085496</v>
      </c>
      <c r="J1090">
        <f>($B$1+Table4[[#This Row],[Home Differential]])-Table4[[#This Row],[Away Differential]]</f>
        <v>3.9436593406045939E-2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0.5442534335964585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9.4361646617848058E-2</v>
      </c>
      <c r="H1091" t="s">
        <v>30</v>
      </c>
      <c r="I1091">
        <f>VLOOKUP(Table4[[#This Row],[Visitor]],'NHL Model'!$A$6:$B$38,2,FALSE)</f>
        <v>0.16690670582810133</v>
      </c>
      <c r="J1091">
        <f>($B$1+Table4[[#This Row],[Home Differential]])-Table4[[#This Row],[Away Differential]]</f>
        <v>1.6725946945772563E-3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-0.17930549805059143</v>
      </c>
      <c r="H1092" t="s">
        <v>23</v>
      </c>
      <c r="I1092">
        <f>VLOOKUP(Table4[[#This Row],[Visitor]],'NHL Model'!$A$6:$B$38,2,FALSE)</f>
        <v>0.18511137883580026</v>
      </c>
      <c r="J1092">
        <f>($B$1+Table4[[#This Row],[Home Differential]])-Table4[[#This Row],[Away Differential]]</f>
        <v>-0.29019922298156114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0.4912994358307497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-0.48278309788469043</v>
      </c>
      <c r="H1093" t="s">
        <v>37</v>
      </c>
      <c r="I1093">
        <f>VLOOKUP(Table4[[#This Row],[Visitor]],'NHL Model'!$A$6:$B$38,2,FALSE)</f>
        <v>0.79636680320115127</v>
      </c>
      <c r="J1093">
        <f>($B$1+Table4[[#This Row],[Home Differential]])-Table4[[#This Row],[Away Differential]]</f>
        <v>-1.2049322471810111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0.67617644925152476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0.14556378660539449</v>
      </c>
      <c r="H1094" t="s">
        <v>55</v>
      </c>
      <c r="I1094">
        <f>VLOOKUP(Table4[[#This Row],[Visitor]],'NHL Model'!$A$6:$B$38,2,FALSE)</f>
        <v>0.3142836898216293</v>
      </c>
      <c r="J1094">
        <f>($B$1+Table4[[#This Row],[Home Differential]])-Table4[[#This Row],[Away Differential]]</f>
        <v>-9.4502249311404274E-2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0.47019253965532415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-0.21926170023436534</v>
      </c>
      <c r="H1095" t="s">
        <v>11</v>
      </c>
      <c r="I1095">
        <f>VLOOKUP(Table4[[#This Row],[Visitor]],'NHL Model'!$A$6:$B$38,2,FALSE)</f>
        <v>0.19285186127150866</v>
      </c>
      <c r="J1095">
        <f>($B$1+Table4[[#This Row],[Home Differential]])-Table4[[#This Row],[Away Differential]]</f>
        <v>-0.33789590760104349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0.49427508682741589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-0.39984103039900787</v>
      </c>
      <c r="H1096" t="s">
        <v>12</v>
      </c>
      <c r="I1096">
        <f>VLOOKUP(Table4[[#This Row],[Visitor]],'NHL Model'!$A$6:$B$38,2,FALSE)</f>
        <v>1.8591692540144091</v>
      </c>
      <c r="J1096">
        <f>($B$1+Table4[[#This Row],[Home Differential]])-Table4[[#This Row],[Away Differential]]</f>
        <v>-2.1847926305085865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-7.3686276472912369E-4</v>
      </c>
      <c r="H1097" t="s">
        <v>25</v>
      </c>
      <c r="I1097">
        <f>VLOOKUP(Table4[[#This Row],[Visitor]],'NHL Model'!$A$6:$B$38,2,FALSE)</f>
        <v>0.45392063308446812</v>
      </c>
      <c r="J1097">
        <f>($B$1+Table4[[#This Row],[Home Differential]])-Table4[[#This Row],[Away Differential]]</f>
        <v>-0.3804398419443667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0.3142836898216293</v>
      </c>
      <c r="H1098" t="s">
        <v>31</v>
      </c>
      <c r="I1098">
        <f>VLOOKUP(Table4[[#This Row],[Visitor]],'NHL Model'!$A$6:$B$38,2,FALSE)</f>
        <v>-6.6593655044643821E-4</v>
      </c>
      <c r="J1098">
        <f>($B$1+Table4[[#This Row],[Home Differential]])-Table4[[#This Row],[Away Differential]]</f>
        <v>0.38916728027690628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0.58197363518519263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0.45610704431993199</v>
      </c>
      <c r="H1099" t="s">
        <v>24</v>
      </c>
      <c r="I1099">
        <f>VLOOKUP(Table4[[#This Row],[Visitor]],'NHL Model'!$A$6:$B$38,2,FALSE)</f>
        <v>-6.1952588060713437E-2</v>
      </c>
      <c r="J1099">
        <f>($B$1+Table4[[#This Row],[Home Differential]])-Table4[[#This Row],[Away Differential]]</f>
        <v>0.59227728628547593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-0.19727709229606127</v>
      </c>
      <c r="H1100" t="s">
        <v>32</v>
      </c>
      <c r="I1100">
        <f>VLOOKUP(Table4[[#This Row],[Visitor]],'NHL Model'!$A$6:$B$38,2,FALSE)</f>
        <v>-0.2855111111085496</v>
      </c>
      <c r="J1100">
        <f>($B$1+Table4[[#This Row],[Home Differential]])-Table4[[#This Row],[Away Differential]]</f>
        <v>0.16245167271731886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0.55752122439740903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-8.5361594338821137E-2</v>
      </c>
      <c r="H1101" t="s">
        <v>21</v>
      </c>
      <c r="I1101">
        <f>VLOOKUP(Table4[[#This Row],[Visitor]],'NHL Model'!$A$6:$B$38,2,FALSE)</f>
        <v>3.9572996236628868E-2</v>
      </c>
      <c r="J1101">
        <f>($B$1+Table4[[#This Row],[Home Differential]])-Table4[[#This Row],[Away Differential]]</f>
        <v>-5.0716936670619481E-2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7.1049614431123245E-2</v>
      </c>
      <c r="H1102" t="s">
        <v>37</v>
      </c>
      <c r="I1102">
        <f>VLOOKUP(Table4[[#This Row],[Visitor]],'NHL Model'!$A$6:$B$38,2,FALSE)</f>
        <v>0.79636680320115127</v>
      </c>
      <c r="J1102">
        <f>($B$1+Table4[[#This Row],[Home Differential]])-Table4[[#This Row],[Away Differential]]</f>
        <v>-0.65109953486519756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0.59516495484993703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1.584470710005189E-2</v>
      </c>
      <c r="H1103" t="s">
        <v>23</v>
      </c>
      <c r="I1103">
        <f>VLOOKUP(Table4[[#This Row],[Visitor]],'NHL Model'!$A$6:$B$38,2,FALSE)</f>
        <v>0.18511137883580026</v>
      </c>
      <c r="J1103">
        <f>($B$1+Table4[[#This Row],[Home Differential]])-Table4[[#This Row],[Away Differential]]</f>
        <v>-9.5049017830917848E-2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0.47025151137142646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0.59379638322319717</v>
      </c>
      <c r="H1104" t="s">
        <v>39</v>
      </c>
      <c r="I1104">
        <f>VLOOKUP(Table4[[#This Row],[Visitor]],'NHL Model'!$A$6:$B$38,2,FALSE)</f>
        <v>0.76796514781800074</v>
      </c>
      <c r="J1104">
        <f>($B$1+Table4[[#This Row],[Home Differential]])-Table4[[#This Row],[Away Differential]]</f>
        <v>-9.9951110689973088E-2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0.10902894471156278</v>
      </c>
      <c r="H1105" t="s">
        <v>30</v>
      </c>
      <c r="I1105">
        <f>VLOOKUP(Table4[[#This Row],[Visitor]],'NHL Model'!$A$6:$B$38,2,FALSE)</f>
        <v>0.16690670582810133</v>
      </c>
      <c r="J1105">
        <f>($B$1+Table4[[#This Row],[Home Differential]])-Table4[[#This Row],[Away Differential]]</f>
        <v>1.6339892788291982E-2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-0.3202921716073342</v>
      </c>
      <c r="H1106" t="s">
        <v>20</v>
      </c>
      <c r="I1106">
        <f>VLOOKUP(Table4[[#This Row],[Visitor]],'NHL Model'!$A$6:$B$38,2,FALSE)</f>
        <v>0.14556378660539449</v>
      </c>
      <c r="J1106">
        <f>($B$1+Table4[[#This Row],[Home Differential]])-Table4[[#This Row],[Away Differential]]</f>
        <v>-0.39163830430789814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0.5230093782396722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9.4361646617848058E-2</v>
      </c>
      <c r="H1107" t="s">
        <v>19</v>
      </c>
      <c r="I1107">
        <f>VLOOKUP(Table4[[#This Row],[Visitor]],'NHL Model'!$A$6:$B$38,2,FALSE)</f>
        <v>-7.3686276472912369E-4</v>
      </c>
      <c r="J1107">
        <f>($B$1+Table4[[#This Row],[Home Differential]])-Table4[[#This Row],[Away Differential]]</f>
        <v>0.1693161632874077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3.9336367625328564E-2</v>
      </c>
      <c r="H1108" t="s">
        <v>40</v>
      </c>
      <c r="I1108">
        <f>VLOOKUP(Table4[[#This Row],[Visitor]],'NHL Model'!$A$6:$B$38,2,FALSE)</f>
        <v>-0.10659687498124908</v>
      </c>
      <c r="J1108">
        <f>($B$1+Table4[[#This Row],[Home Differential]])-Table4[[#This Row],[Away Differential]]</f>
        <v>0.22015089651140818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0.56374437390853616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-0.17930549805059143</v>
      </c>
      <c r="H1109" t="s">
        <v>27</v>
      </c>
      <c r="I1109">
        <f>VLOOKUP(Table4[[#This Row],[Visitor]],'NHL Model'!$A$6:$B$38,2,FALSE)</f>
        <v>0.17784181108472058</v>
      </c>
      <c r="J1109">
        <f>($B$1+Table4[[#This Row],[Home Differential]])-Table4[[#This Row],[Away Differential]]</f>
        <v>-0.28292965523048147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0.49780509626129188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-0.48278309788469043</v>
      </c>
      <c r="H1110" t="s">
        <v>35</v>
      </c>
      <c r="I1110">
        <f>VLOOKUP(Table4[[#This Row],[Visitor]],'NHL Model'!$A$6:$B$38,2,FALSE)</f>
        <v>-0.96065798985911643</v>
      </c>
      <c r="J1110">
        <f>($B$1+Table4[[#This Row],[Home Differential]])-Table4[[#This Row],[Away Differential]]</f>
        <v>0.55209254587925649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-6.6593655044643821E-4</v>
      </c>
      <c r="H1111" t="s">
        <v>23</v>
      </c>
      <c r="I1111">
        <f>VLOOKUP(Table4[[#This Row],[Visitor]],'NHL Model'!$A$6:$B$38,2,FALSE)</f>
        <v>0.18511137883580026</v>
      </c>
      <c r="J1111">
        <f>($B$1+Table4[[#This Row],[Home Differential]])-Table4[[#This Row],[Away Differential]]</f>
        <v>-0.11155966148141618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0.44599453091569491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-0.21926170023436534</v>
      </c>
      <c r="H1112" t="s">
        <v>37</v>
      </c>
      <c r="I1112">
        <f>VLOOKUP(Table4[[#This Row],[Visitor]],'NHL Model'!$A$6:$B$38,2,FALSE)</f>
        <v>0.79636680320115127</v>
      </c>
      <c r="J1112">
        <f>($B$1+Table4[[#This Row],[Home Differential]])-Table4[[#This Row],[Away Differential]]</f>
        <v>-0.9414108495306861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0.60872272106775449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-0.39984103039900787</v>
      </c>
      <c r="H1113" t="s">
        <v>29</v>
      </c>
      <c r="I1113">
        <f>VLOOKUP(Table4[[#This Row],[Visitor]],'NHL Model'!$A$6:$B$38,2,FALSE)</f>
        <v>-0.3202921716073342</v>
      </c>
      <c r="J1113">
        <f>($B$1+Table4[[#This Row],[Home Differential]])-Table4[[#This Row],[Away Differential]]</f>
        <v>-5.3312048868431328E-3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0.76796514781800074</v>
      </c>
      <c r="H1114" t="s">
        <v>20</v>
      </c>
      <c r="I1114">
        <f>VLOOKUP(Table4[[#This Row],[Visitor]],'NHL Model'!$A$6:$B$38,2,FALSE)</f>
        <v>0.14556378660539449</v>
      </c>
      <c r="J1114">
        <f>($B$1+Table4[[#This Row],[Home Differential]])-Table4[[#This Row],[Away Differential]]</f>
        <v>0.69661901511743674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0.16690670582810133</v>
      </c>
      <c r="H1115" t="s">
        <v>28</v>
      </c>
      <c r="I1115">
        <f>VLOOKUP(Table4[[#This Row],[Visitor]],'NHL Model'!$A$6:$B$38,2,FALSE)</f>
        <v>-0.19727709229606127</v>
      </c>
      <c r="J1115">
        <f>($B$1+Table4[[#This Row],[Home Differential]])-Table4[[#This Row],[Away Differential]]</f>
        <v>0.43840145202899311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-6.2506340836952119E-3</v>
      </c>
      <c r="H1116" t="s">
        <v>40</v>
      </c>
      <c r="I1116">
        <f>VLOOKUP(Table4[[#This Row],[Visitor]],'NHL Model'!$A$6:$B$38,2,FALSE)</f>
        <v>-0.10659687498124908</v>
      </c>
      <c r="J1116">
        <f>($B$1+Table4[[#This Row],[Home Differential]])-Table4[[#This Row],[Away Differential]]</f>
        <v>0.17456389480238438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0.55882758805346677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3.9336367625328564E-2</v>
      </c>
      <c r="H1117" t="s">
        <v>25</v>
      </c>
      <c r="I1117">
        <f>VLOOKUP(Table4[[#This Row],[Visitor]],'NHL Model'!$A$6:$B$38,2,FALSE)</f>
        <v>0.45392063308446812</v>
      </c>
      <c r="J1117">
        <f>($B$1+Table4[[#This Row],[Home Differential]])-Table4[[#This Row],[Away Differential]]</f>
        <v>-0.34036661155430903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0.3142836898216293</v>
      </c>
      <c r="H1118" t="s">
        <v>13</v>
      </c>
      <c r="I1118">
        <f>VLOOKUP(Table4[[#This Row],[Visitor]],'NHL Model'!$A$6:$B$38,2,FALSE)</f>
        <v>1.584470710005189E-2</v>
      </c>
      <c r="J1118">
        <f>($B$1+Table4[[#This Row],[Home Differential]])-Table4[[#This Row],[Away Differential]]</f>
        <v>0.37265663662640797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0.45610704431993199</v>
      </c>
      <c r="H1119" t="s">
        <v>12</v>
      </c>
      <c r="I1119">
        <f>VLOOKUP(Table4[[#This Row],[Visitor]],'NHL Model'!$A$6:$B$38,2,FALSE)</f>
        <v>1.8591692540144091</v>
      </c>
      <c r="J1119">
        <f>($B$1+Table4[[#This Row],[Home Differential]])-Table4[[#This Row],[Away Differential]]</f>
        <v>-1.3288445557896467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0.67548626600922601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-6.2506340836952119E-3</v>
      </c>
      <c r="H1120" t="s">
        <v>36</v>
      </c>
      <c r="I1120">
        <f>VLOOKUP(Table4[[#This Row],[Visitor]],'NHL Model'!$A$6:$B$38,2,FALSE)</f>
        <v>9.4361646617848058E-2</v>
      </c>
      <c r="J1120">
        <f>($B$1+Table4[[#This Row],[Home Differential]])-Table4[[#This Row],[Away Differential]]</f>
        <v>-2.6394626796712742E-2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3.9572996236628868E-2</v>
      </c>
      <c r="H1121" t="s">
        <v>19</v>
      </c>
      <c r="I1121">
        <f>VLOOKUP(Table4[[#This Row],[Visitor]],'NHL Model'!$A$6:$B$38,2,FALSE)</f>
        <v>-7.3686276472912369E-4</v>
      </c>
      <c r="J1121">
        <f>($B$1+Table4[[#This Row],[Home Differential]])-Table4[[#This Row],[Away Differential]]</f>
        <v>0.11452751290618851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-0.21926170023436534</v>
      </c>
      <c r="H1122" t="s">
        <v>13</v>
      </c>
      <c r="I1122">
        <f>VLOOKUP(Table4[[#This Row],[Visitor]],'NHL Model'!$A$6:$B$38,2,FALSE)</f>
        <v>1.584470710005189E-2</v>
      </c>
      <c r="J1122">
        <f>($B$1+Table4[[#This Row],[Home Differential]])-Table4[[#This Row],[Away Differential]]</f>
        <v>-0.16088875342958672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0.76796514781800074</v>
      </c>
      <c r="H1123" t="s">
        <v>24</v>
      </c>
      <c r="I1123">
        <f>VLOOKUP(Table4[[#This Row],[Visitor]],'NHL Model'!$A$6:$B$38,2,FALSE)</f>
        <v>-6.1952588060713437E-2</v>
      </c>
      <c r="J1123">
        <f>($B$1+Table4[[#This Row],[Home Differential]])-Table4[[#This Row],[Away Differential]]</f>
        <v>0.90413538978354469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0.63141382330044393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-8.5361594338821137E-2</v>
      </c>
      <c r="H1124" t="s">
        <v>36</v>
      </c>
      <c r="I1124">
        <f>VLOOKUP(Table4[[#This Row],[Visitor]],'NHL Model'!$A$6:$B$38,2,FALSE)</f>
        <v>9.4361646617848058E-2</v>
      </c>
      <c r="J1124">
        <f>($B$1+Table4[[#This Row],[Home Differential]])-Table4[[#This Row],[Away Differential]]</f>
        <v>-0.10550558705183867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0.19285186127150866</v>
      </c>
      <c r="H1125" t="s">
        <v>32</v>
      </c>
      <c r="I1125">
        <f>VLOOKUP(Table4[[#This Row],[Visitor]],'NHL Model'!$A$6:$B$38,2,FALSE)</f>
        <v>-0.2855111111085496</v>
      </c>
      <c r="J1125">
        <f>($B$1+Table4[[#This Row],[Home Differential]])-Table4[[#This Row],[Away Differential]]</f>
        <v>0.5525806262848888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0.60036397186582124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0.10902894471156278</v>
      </c>
      <c r="H1126" t="s">
        <v>25</v>
      </c>
      <c r="I1126">
        <f>VLOOKUP(Table4[[#This Row],[Visitor]],'NHL Model'!$A$6:$B$38,2,FALSE)</f>
        <v>0.45392063308446812</v>
      </c>
      <c r="J1126">
        <f>($B$1+Table4[[#This Row],[Home Differential]])-Table4[[#This Row],[Away Differential]]</f>
        <v>-0.27067403446807481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0.54659712150373019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-0.3202921716073342</v>
      </c>
      <c r="H1127" t="s">
        <v>33</v>
      </c>
      <c r="I1127">
        <f>VLOOKUP(Table4[[#This Row],[Visitor]],'NHL Model'!$A$6:$B$38,2,FALSE)</f>
        <v>-0.17930549805059143</v>
      </c>
      <c r="J1127">
        <f>($B$1+Table4[[#This Row],[Home Differential]])-Table4[[#This Row],[Away Differential]]</f>
        <v>-6.6769019651912231E-2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0.16690670582810133</v>
      </c>
      <c r="H1128" t="s">
        <v>10</v>
      </c>
      <c r="I1128">
        <f>VLOOKUP(Table4[[#This Row],[Visitor]],'NHL Model'!$A$6:$B$38,2,FALSE)</f>
        <v>-0.39984103039900787</v>
      </c>
      <c r="J1128">
        <f>($B$1+Table4[[#This Row],[Home Differential]])-Table4[[#This Row],[Away Differential]]</f>
        <v>0.64096539013193965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0.6116267983445044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0.17784181108472058</v>
      </c>
      <c r="H1129" t="s">
        <v>28</v>
      </c>
      <c r="I1129">
        <f>VLOOKUP(Table4[[#This Row],[Visitor]],'NHL Model'!$A$6:$B$38,2,FALSE)</f>
        <v>-0.19727709229606127</v>
      </c>
      <c r="J1129">
        <f>($B$1+Table4[[#This Row],[Home Differential]])-Table4[[#This Row],[Away Differential]]</f>
        <v>0.44933655728561239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3.9336367625328564E-2</v>
      </c>
      <c r="H1130" t="s">
        <v>12</v>
      </c>
      <c r="I1130">
        <f>VLOOKUP(Table4[[#This Row],[Visitor]],'NHL Model'!$A$6:$B$38,2,FALSE)</f>
        <v>1.8591692540144091</v>
      </c>
      <c r="J1130">
        <f>($B$1+Table4[[#This Row],[Home Differential]])-Table4[[#This Row],[Away Differential]]</f>
        <v>-1.74561523248425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0.7344918100902138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-0.96065798985911643</v>
      </c>
      <c r="H1131" t="s">
        <v>22</v>
      </c>
      <c r="I1131">
        <f>VLOOKUP(Table4[[#This Row],[Visitor]],'NHL Model'!$A$6:$B$38,2,FALSE)</f>
        <v>0.45610704431993199</v>
      </c>
      <c r="J1131">
        <f>($B$1+Table4[[#This Row],[Home Differential]])-Table4[[#This Row],[Away Differential]]</f>
        <v>-1.342547380274218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0.60480044138954814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0.79636680320115127</v>
      </c>
      <c r="H1132" t="s">
        <v>34</v>
      </c>
      <c r="I1132">
        <f>VLOOKUP(Table4[[#This Row],[Visitor]],'NHL Model'!$A$6:$B$38,2,FALSE)</f>
        <v>0.59379638322319717</v>
      </c>
      <c r="J1132">
        <f>($B$1+Table4[[#This Row],[Home Differential]])-Table4[[#This Row],[Away Differential]]</f>
        <v>0.27678807388278459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0.51703246358722021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0.3142836898216293</v>
      </c>
      <c r="H1133" t="s">
        <v>17</v>
      </c>
      <c r="I1133">
        <f>VLOOKUP(Table4[[#This Row],[Visitor]],'NHL Model'!$A$6:$B$38,2,FALSE)</f>
        <v>7.1049614431123245E-2</v>
      </c>
      <c r="J1133">
        <f>($B$1+Table4[[#This Row],[Home Differential]])-Table4[[#This Row],[Away Differential]]</f>
        <v>0.3174517292953366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-0.48278309788469043</v>
      </c>
      <c r="H1134" t="s">
        <v>31</v>
      </c>
      <c r="I1134">
        <f>VLOOKUP(Table4[[#This Row],[Visitor]],'NHL Model'!$A$6:$B$38,2,FALSE)</f>
        <v>-6.6593655044643821E-4</v>
      </c>
      <c r="J1134">
        <f>($B$1+Table4[[#This Row],[Home Differential]])-Table4[[#This Row],[Away Differential]]</f>
        <v>-0.40789950742941344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-0.10659687498124908</v>
      </c>
      <c r="H1135" t="s">
        <v>20</v>
      </c>
      <c r="I1135">
        <f>VLOOKUP(Table4[[#This Row],[Visitor]],'NHL Model'!$A$6:$B$38,2,FALSE)</f>
        <v>0.14556378660539449</v>
      </c>
      <c r="J1135">
        <f>($B$1+Table4[[#This Row],[Home Differential]])-Table4[[#This Row],[Away Differential]]</f>
        <v>-0.17794300768181304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0.18511137883580026</v>
      </c>
      <c r="H1136" t="s">
        <v>21</v>
      </c>
      <c r="I1136">
        <f>VLOOKUP(Table4[[#This Row],[Visitor]],'NHL Model'!$A$6:$B$38,2,FALSE)</f>
        <v>3.9572996236628868E-2</v>
      </c>
      <c r="J1136">
        <f>($B$1+Table4[[#This Row],[Home Differential]])-Table4[[#This Row],[Away Differential]]</f>
        <v>0.21975603650400194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-7.3686276472912369E-4</v>
      </c>
      <c r="H1137" t="s">
        <v>15</v>
      </c>
      <c r="I1137">
        <f>VLOOKUP(Table4[[#This Row],[Visitor]],'NHL Model'!$A$6:$B$38,2,FALSE)</f>
        <v>-6.2506340836952119E-3</v>
      </c>
      <c r="J1137">
        <f>($B$1+Table4[[#This Row],[Home Differential]])-Table4[[#This Row],[Away Differential]]</f>
        <v>7.9731425223796615E-2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-0.21926170023436534</v>
      </c>
      <c r="H1138" t="s">
        <v>31</v>
      </c>
      <c r="I1138">
        <f>VLOOKUP(Table4[[#This Row],[Visitor]],'NHL Model'!$A$6:$B$38,2,FALSE)</f>
        <v>-6.6593655044643821E-4</v>
      </c>
      <c r="J1138">
        <f>($B$1+Table4[[#This Row],[Home Differential]])-Table4[[#This Row],[Away Differential]]</f>
        <v>-0.14437810977908838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0.19285186127150866</v>
      </c>
      <c r="H1139" t="s">
        <v>34</v>
      </c>
      <c r="I1139">
        <f>VLOOKUP(Table4[[#This Row],[Visitor]],'NHL Model'!$A$6:$B$38,2,FALSE)</f>
        <v>0.59379638322319717</v>
      </c>
      <c r="J1139">
        <f>($B$1+Table4[[#This Row],[Home Differential]])-Table4[[#This Row],[Away Differential]]</f>
        <v>-0.32672686804685797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0.55187317569821481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0.10902894471156278</v>
      </c>
      <c r="H1140" t="s">
        <v>28</v>
      </c>
      <c r="I1140">
        <f>VLOOKUP(Table4[[#This Row],[Visitor]],'NHL Model'!$A$6:$B$38,2,FALSE)</f>
        <v>-0.19727709229606127</v>
      </c>
      <c r="J1140">
        <f>($B$1+Table4[[#This Row],[Home Differential]])-Table4[[#This Row],[Away Differential]]</f>
        <v>0.38052369091245458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-0.3202921716073342</v>
      </c>
      <c r="H1141" t="s">
        <v>24</v>
      </c>
      <c r="I1141">
        <f>VLOOKUP(Table4[[#This Row],[Visitor]],'NHL Model'!$A$6:$B$38,2,FALSE)</f>
        <v>-6.1952588060713437E-2</v>
      </c>
      <c r="J1141">
        <f>($B$1+Table4[[#This Row],[Home Differential]])-Table4[[#This Row],[Away Differential]]</f>
        <v>-0.18412192964179022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0.51224880110055304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0.16690670582810133</v>
      </c>
      <c r="H1142" t="s">
        <v>39</v>
      </c>
      <c r="I1142">
        <f>VLOOKUP(Table4[[#This Row],[Visitor]],'NHL Model'!$A$6:$B$38,2,FALSE)</f>
        <v>0.76796514781800074</v>
      </c>
      <c r="J1142">
        <f>($B$1+Table4[[#This Row],[Home Differential]])-Table4[[#This Row],[Away Differential]]</f>
        <v>-0.52684078808506896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0.58842092373393351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9.4361646617848058E-2</v>
      </c>
      <c r="H1143" t="s">
        <v>14</v>
      </c>
      <c r="I1143">
        <f>VLOOKUP(Table4[[#This Row],[Visitor]],'NHL Model'!$A$6:$B$38,2,FALSE)</f>
        <v>3.9336367625328564E-2</v>
      </c>
      <c r="J1143">
        <f>($B$1+Table4[[#This Row],[Home Differential]])-Table4[[#This Row],[Away Differential]]</f>
        <v>0.12924293289735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0.17784181108472058</v>
      </c>
      <c r="H1144" t="s">
        <v>10</v>
      </c>
      <c r="I1144">
        <f>VLOOKUP(Table4[[#This Row],[Visitor]],'NHL Model'!$A$6:$B$38,2,FALSE)</f>
        <v>-0.39984103039900787</v>
      </c>
      <c r="J1144">
        <f>($B$1+Table4[[#This Row],[Home Differential]])-Table4[[#This Row],[Away Differential]]</f>
        <v>0.65190049538855899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0.61486518031176718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-0.96065798985911643</v>
      </c>
      <c r="H1145" t="s">
        <v>33</v>
      </c>
      <c r="I1145">
        <f>VLOOKUP(Table4[[#This Row],[Visitor]],'NHL Model'!$A$6:$B$38,2,FALSE)</f>
        <v>-0.17930549805059143</v>
      </c>
      <c r="J1145">
        <f>($B$1+Table4[[#This Row],[Home Differential]])-Table4[[#This Row],[Away Differential]]</f>
        <v>-0.70713483790369458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0.54355774424476122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0.79636680320115127</v>
      </c>
      <c r="H1146" t="s">
        <v>32</v>
      </c>
      <c r="I1146">
        <f>VLOOKUP(Table4[[#This Row],[Visitor]],'NHL Model'!$A$6:$B$38,2,FALSE)</f>
        <v>-0.2855111111085496</v>
      </c>
      <c r="J1146">
        <f>($B$1+Table4[[#This Row],[Home Differential]])-Table4[[#This Row],[Away Differential]]</f>
        <v>1.1560955682145313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0.66924513752171244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0.3142836898216293</v>
      </c>
      <c r="H1147" t="s">
        <v>22</v>
      </c>
      <c r="I1147">
        <f>VLOOKUP(Table4[[#This Row],[Visitor]],'NHL Model'!$A$6:$B$38,2,FALSE)</f>
        <v>0.45610704431993199</v>
      </c>
      <c r="J1147">
        <f>($B$1+Table4[[#This Row],[Home Differential]])-Table4[[#This Row],[Away Differential]]</f>
        <v>-6.7605700593472151E-2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0.46729161251976442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-0.48278309788469043</v>
      </c>
      <c r="H1148" t="s">
        <v>13</v>
      </c>
      <c r="I1148">
        <f>VLOOKUP(Table4[[#This Row],[Visitor]],'NHL Model'!$A$6:$B$38,2,FALSE)</f>
        <v>1.584470710005189E-2</v>
      </c>
      <c r="J1148">
        <f>($B$1+Table4[[#This Row],[Home Differential]])-Table4[[#This Row],[Away Differential]]</f>
        <v>-0.42441015107991176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0.14556378660539449</v>
      </c>
      <c r="H1149" t="s">
        <v>17</v>
      </c>
      <c r="I1149">
        <f>VLOOKUP(Table4[[#This Row],[Visitor]],'NHL Model'!$A$6:$B$38,2,FALSE)</f>
        <v>7.1049614431123245E-2</v>
      </c>
      <c r="J1149">
        <f>($B$1+Table4[[#This Row],[Home Differential]])-Table4[[#This Row],[Away Differential]]</f>
        <v>0.14873182607910179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-0.10659687498124908</v>
      </c>
      <c r="H1150" t="s">
        <v>12</v>
      </c>
      <c r="I1150">
        <f>VLOOKUP(Table4[[#This Row],[Visitor]],'NHL Model'!$A$6:$B$38,2,FALSE)</f>
        <v>1.8591692540144091</v>
      </c>
      <c r="J1150">
        <f>($B$1+Table4[[#This Row],[Home Differential]])-Table4[[#This Row],[Away Differential]]</f>
        <v>-1.8915484750908278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0.18511137883580026</v>
      </c>
      <c r="H1151" t="s">
        <v>26</v>
      </c>
      <c r="I1151">
        <f>VLOOKUP(Table4[[#This Row],[Visitor]],'NHL Model'!$A$6:$B$38,2,FALSE)</f>
        <v>-8.5361594338821137E-2</v>
      </c>
      <c r="J1151">
        <f>($B$1+Table4[[#This Row],[Home Differential]])-Table4[[#This Row],[Away Differential]]</f>
        <v>0.34469062707945192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-6.2506340836952119E-3</v>
      </c>
      <c r="H1152" t="s">
        <v>10</v>
      </c>
      <c r="I1152">
        <f>VLOOKUP(Table4[[#This Row],[Visitor]],'NHL Model'!$A$6:$B$38,2,FALSE)</f>
        <v>-0.39984103039900787</v>
      </c>
      <c r="J1152">
        <f>($B$1+Table4[[#This Row],[Home Differential]])-Table4[[#This Row],[Away Differential]]</f>
        <v>0.46780805022014316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0.5904554350578114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3.9572996236628868E-2</v>
      </c>
      <c r="H1153" t="s">
        <v>34</v>
      </c>
      <c r="I1153">
        <f>VLOOKUP(Table4[[#This Row],[Visitor]],'NHL Model'!$A$6:$B$38,2,FALSE)</f>
        <v>0.59379638322319717</v>
      </c>
      <c r="J1153">
        <f>($B$1+Table4[[#This Row],[Home Differential]])-Table4[[#This Row],[Away Differential]]</f>
        <v>-0.48000573308173777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0.55503898994172907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0.18511137883580026</v>
      </c>
      <c r="H1154" t="s">
        <v>32</v>
      </c>
      <c r="I1154">
        <f>VLOOKUP(Table4[[#This Row],[Visitor]],'NHL Model'!$A$6:$B$38,2,FALSE)</f>
        <v>-0.2855111111085496</v>
      </c>
      <c r="J1154">
        <f>($B$1+Table4[[#This Row],[Home Differential]])-Table4[[#This Row],[Away Differential]]</f>
        <v>0.54484014384918034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0.63735582372885768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0.45392063308446812</v>
      </c>
      <c r="H1155" t="s">
        <v>24</v>
      </c>
      <c r="I1155">
        <f>VLOOKUP(Table4[[#This Row],[Visitor]],'NHL Model'!$A$6:$B$38,2,FALSE)</f>
        <v>-6.1952588060713437E-2</v>
      </c>
      <c r="J1155">
        <f>($B$1+Table4[[#This Row],[Home Differential]])-Table4[[#This Row],[Away Differential]]</f>
        <v>0.59009087505001212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-0.19727709229606127</v>
      </c>
      <c r="H1156" t="s">
        <v>33</v>
      </c>
      <c r="I1156">
        <f>VLOOKUP(Table4[[#This Row],[Visitor]],'NHL Model'!$A$6:$B$38,2,FALSE)</f>
        <v>-0.17930549805059143</v>
      </c>
      <c r="J1156">
        <f>($B$1+Table4[[#This Row],[Home Differential]])-Table4[[#This Row],[Away Differential]]</f>
        <v>5.6246059659360678E-2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0.53877669887403756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-0.21926170023436534</v>
      </c>
      <c r="H1157" t="s">
        <v>38</v>
      </c>
      <c r="I1157">
        <f>VLOOKUP(Table4[[#This Row],[Visitor]],'NHL Model'!$A$6:$B$38,2,FALSE)</f>
        <v>-0.48278309788469043</v>
      </c>
      <c r="J1157">
        <f>($B$1+Table4[[#This Row],[Home Differential]])-Table4[[#This Row],[Away Differential]]</f>
        <v>0.3377390515551556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0.57301220967177768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1.8591692540144091</v>
      </c>
      <c r="H1158" t="s">
        <v>40</v>
      </c>
      <c r="I1158">
        <f>VLOOKUP(Table4[[#This Row],[Visitor]],'NHL Model'!$A$6:$B$38,2,FALSE)</f>
        <v>-0.10659687498124908</v>
      </c>
      <c r="J1158">
        <f>($B$1+Table4[[#This Row],[Home Differential]])-Table4[[#This Row],[Away Differential]]</f>
        <v>2.0399837829004888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-8.5361594338821137E-2</v>
      </c>
      <c r="H1159" t="s">
        <v>27</v>
      </c>
      <c r="I1159">
        <f>VLOOKUP(Table4[[#This Row],[Visitor]],'NHL Model'!$A$6:$B$38,2,FALSE)</f>
        <v>0.17784181108472058</v>
      </c>
      <c r="J1159">
        <f>($B$1+Table4[[#This Row],[Home Differential]])-Table4[[#This Row],[Away Differential]]</f>
        <v>-0.18898575151871119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7.1049614431123245E-2</v>
      </c>
      <c r="H1160" t="s">
        <v>31</v>
      </c>
      <c r="I1160">
        <f>VLOOKUP(Table4[[#This Row],[Visitor]],'NHL Model'!$A$6:$B$38,2,FALSE)</f>
        <v>-6.6593655044643821E-4</v>
      </c>
      <c r="J1160">
        <f>($B$1+Table4[[#This Row],[Home Differential]])-Table4[[#This Row],[Away Differential]]</f>
        <v>0.14593320488640021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1.584470710005189E-2</v>
      </c>
      <c r="H1161" t="s">
        <v>55</v>
      </c>
      <c r="I1161">
        <f>VLOOKUP(Table4[[#This Row],[Visitor]],'NHL Model'!$A$6:$B$38,2,FALSE)</f>
        <v>0.3142836898216293</v>
      </c>
      <c r="J1161">
        <f>($B$1+Table4[[#This Row],[Home Differential]])-Table4[[#This Row],[Away Differential]]</f>
        <v>-0.22422132881674689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0.48418339036569752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-0.3202921716073342</v>
      </c>
      <c r="H1162" t="s">
        <v>18</v>
      </c>
      <c r="I1162">
        <f>VLOOKUP(Table4[[#This Row],[Visitor]],'NHL Model'!$A$6:$B$38,2,FALSE)</f>
        <v>0.10902894471156278</v>
      </c>
      <c r="J1162">
        <f>($B$1+Table4[[#This Row],[Home Differential]])-Table4[[#This Row],[Away Differential]]</f>
        <v>-0.35510346241406643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0.56461547174337889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0.16690670582810133</v>
      </c>
      <c r="H1163" t="s">
        <v>11</v>
      </c>
      <c r="I1163">
        <f>VLOOKUP(Table4[[#This Row],[Visitor]],'NHL Model'!$A$6:$B$38,2,FALSE)</f>
        <v>0.19285186127150866</v>
      </c>
      <c r="J1163">
        <f>($B$1+Table4[[#This Row],[Home Differential]])-Table4[[#This Row],[Away Differential]]</f>
        <v>4.8272498461423174E-2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3.9336367625328564E-2</v>
      </c>
      <c r="H1164" t="s">
        <v>39</v>
      </c>
      <c r="I1164">
        <f>VLOOKUP(Table4[[#This Row],[Visitor]],'NHL Model'!$A$6:$B$38,2,FALSE)</f>
        <v>0.76796514781800074</v>
      </c>
      <c r="J1164">
        <f>($B$1+Table4[[#This Row],[Home Differential]])-Table4[[#This Row],[Away Differential]]</f>
        <v>-0.65441112628784159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0.60468175545787084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-0.96065798985911643</v>
      </c>
      <c r="H1165" t="s">
        <v>19</v>
      </c>
      <c r="I1165">
        <f>VLOOKUP(Table4[[#This Row],[Visitor]],'NHL Model'!$A$6:$B$38,2,FALSE)</f>
        <v>-7.3686276472912369E-4</v>
      </c>
      <c r="J1165">
        <f>($B$1+Table4[[#This Row],[Home Differential]])-Table4[[#This Row],[Away Differential]]</f>
        <v>-0.88570347318955678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0.55552754393808301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0.79636680320115127</v>
      </c>
      <c r="H1166" t="s">
        <v>36</v>
      </c>
      <c r="I1166">
        <f>VLOOKUP(Table4[[#This Row],[Visitor]],'NHL Model'!$A$6:$B$38,2,FALSE)</f>
        <v>9.4361646617848058E-2</v>
      </c>
      <c r="J1166">
        <f>($B$1+Table4[[#This Row],[Home Differential]])-Table4[[#This Row],[Away Differential]]</f>
        <v>0.77622281048813369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0.14556378660539449</v>
      </c>
      <c r="H1167" t="s">
        <v>22</v>
      </c>
      <c r="I1167">
        <f>VLOOKUP(Table4[[#This Row],[Visitor]],'NHL Model'!$A$6:$B$38,2,FALSE)</f>
        <v>0.45610704431993199</v>
      </c>
      <c r="J1167">
        <f>($B$1+Table4[[#This Row],[Home Differential]])-Table4[[#This Row],[Away Differential]]</f>
        <v>-0.23632560380970696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0.48548889688817354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0.45392063308446812</v>
      </c>
      <c r="H1168" t="s">
        <v>18</v>
      </c>
      <c r="I1168">
        <f>VLOOKUP(Table4[[#This Row],[Visitor]],'NHL Model'!$A$6:$B$38,2,FALSE)</f>
        <v>0.10902894471156278</v>
      </c>
      <c r="J1168">
        <f>($B$1+Table4[[#This Row],[Home Differential]])-Table4[[#This Row],[Away Differential]]</f>
        <v>0.41910934227773589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-0.19727709229606127</v>
      </c>
      <c r="H1169" t="s">
        <v>21</v>
      </c>
      <c r="I1169">
        <f>VLOOKUP(Table4[[#This Row],[Visitor]],'NHL Model'!$A$6:$B$38,2,FALSE)</f>
        <v>3.9572996236628868E-2</v>
      </c>
      <c r="J1169">
        <f>($B$1+Table4[[#This Row],[Home Differential]])-Table4[[#This Row],[Away Differential]]</f>
        <v>-0.16263243462785962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-6.1952588060713437E-2</v>
      </c>
      <c r="H1170" t="s">
        <v>10</v>
      </c>
      <c r="I1170">
        <f>VLOOKUP(Table4[[#This Row],[Visitor]],'NHL Model'!$A$6:$B$38,2,FALSE)</f>
        <v>-0.39984103039900787</v>
      </c>
      <c r="J1170">
        <f>($B$1+Table4[[#This Row],[Home Differential]])-Table4[[#This Row],[Away Differential]]</f>
        <v>0.41210609624312494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0.58444770107341748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-6.2506340836952119E-3</v>
      </c>
      <c r="H1171" t="s">
        <v>11</v>
      </c>
      <c r="I1171">
        <f>VLOOKUP(Table4[[#This Row],[Visitor]],'NHL Model'!$A$6:$B$38,2,FALSE)</f>
        <v>0.19285186127150866</v>
      </c>
      <c r="J1171">
        <f>($B$1+Table4[[#This Row],[Home Differential]])-Table4[[#This Row],[Away Differential]]</f>
        <v>-0.12488484145037335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0.51036386392556365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0.17784181108472058</v>
      </c>
      <c r="H1172" t="s">
        <v>39</v>
      </c>
      <c r="I1172">
        <f>VLOOKUP(Table4[[#This Row],[Visitor]],'NHL Model'!$A$6:$B$38,2,FALSE)</f>
        <v>0.76796514781800074</v>
      </c>
      <c r="J1172">
        <f>($B$1+Table4[[#This Row],[Home Differential]])-Table4[[#This Row],[Away Differential]]</f>
        <v>-0.51590568282844962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0.58517457322482891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0.79636680320115127</v>
      </c>
      <c r="H1173" t="s">
        <v>29</v>
      </c>
      <c r="I1173">
        <f>VLOOKUP(Table4[[#This Row],[Visitor]],'NHL Model'!$A$6:$B$38,2,FALSE)</f>
        <v>-0.3202921716073342</v>
      </c>
      <c r="J1173">
        <f>($B$1+Table4[[#This Row],[Home Differential]])-Table4[[#This Row],[Away Differential]]</f>
        <v>1.1908766287133159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0.67299644863833907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-6.6593655044643821E-4</v>
      </c>
      <c r="H1174" t="s">
        <v>19</v>
      </c>
      <c r="I1174">
        <f>VLOOKUP(Table4[[#This Row],[Visitor]],'NHL Model'!$A$6:$B$38,2,FALSE)</f>
        <v>-7.3686276472912369E-4</v>
      </c>
      <c r="J1174">
        <f>($B$1+Table4[[#This Row],[Home Differential]])-Table4[[#This Row],[Away Differential]]</f>
        <v>7.4288580119113198E-2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0.57405013030864971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1.8591692540144091</v>
      </c>
      <c r="H1175" t="s">
        <v>16</v>
      </c>
      <c r="I1175">
        <f>VLOOKUP(Table4[[#This Row],[Visitor]],'NHL Model'!$A$6:$B$38,2,FALSE)</f>
        <v>-0.21926170023436534</v>
      </c>
      <c r="J1175">
        <f>($B$1+Table4[[#This Row],[Home Differential]])-Table4[[#This Row],[Away Differential]]</f>
        <v>2.1526486081536049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0.16690670582810133</v>
      </c>
      <c r="H1176" t="s">
        <v>14</v>
      </c>
      <c r="I1176">
        <f>VLOOKUP(Table4[[#This Row],[Visitor]],'NHL Model'!$A$6:$B$38,2,FALSE)</f>
        <v>3.9336367625328564E-2</v>
      </c>
      <c r="J1176">
        <f>($B$1+Table4[[#This Row],[Home Differential]])-Table4[[#This Row],[Away Differential]]</f>
        <v>0.20178799210760329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-0.17930549805059143</v>
      </c>
      <c r="H1177" t="s">
        <v>35</v>
      </c>
      <c r="I1177">
        <f>VLOOKUP(Table4[[#This Row],[Visitor]],'NHL Model'!$A$6:$B$38,2,FALSE)</f>
        <v>-0.96065798985911643</v>
      </c>
      <c r="J1177">
        <f>($B$1+Table4[[#This Row],[Home Differential]])-Table4[[#This Row],[Away Differential]]</f>
        <v>0.85557014571335555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0.14556378660539449</v>
      </c>
      <c r="H1178" t="s">
        <v>38</v>
      </c>
      <c r="I1178">
        <f>VLOOKUP(Table4[[#This Row],[Visitor]],'NHL Model'!$A$6:$B$38,2,FALSE)</f>
        <v>-0.48278309788469043</v>
      </c>
      <c r="J1178">
        <f>($B$1+Table4[[#This Row],[Home Differential]])-Table4[[#This Row],[Away Differential]]</f>
        <v>0.70256453839491551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3.9572996236628868E-2</v>
      </c>
      <c r="H1179" t="s">
        <v>39</v>
      </c>
      <c r="I1179">
        <f>VLOOKUP(Table4[[#This Row],[Visitor]],'NHL Model'!$A$6:$B$38,2,FALSE)</f>
        <v>0.76796514781800074</v>
      </c>
      <c r="J1179">
        <f>($B$1+Table4[[#This Row],[Home Differential]])-Table4[[#This Row],[Away Differential]]</f>
        <v>-0.65417449767654134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0.59055598737230519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0.18511137883580026</v>
      </c>
      <c r="H1180" t="s">
        <v>30</v>
      </c>
      <c r="I1180">
        <f>VLOOKUP(Table4[[#This Row],[Visitor]],'NHL Model'!$A$6:$B$38,2,FALSE)</f>
        <v>0.16690670582810133</v>
      </c>
      <c r="J1180">
        <f>($B$1+Table4[[#This Row],[Home Differential]])-Table4[[#This Row],[Away Differential]]</f>
        <v>9.2422326912529468E-2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-0.19727709229606127</v>
      </c>
      <c r="H1181" t="s">
        <v>25</v>
      </c>
      <c r="I1181">
        <f>VLOOKUP(Table4[[#This Row],[Visitor]],'NHL Model'!$A$6:$B$38,2,FALSE)</f>
        <v>0.45392063308446812</v>
      </c>
      <c r="J1181">
        <f>($B$1+Table4[[#This Row],[Home Differential]])-Table4[[#This Row],[Away Differential]]</f>
        <v>-0.57698007147569885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-0.39984103039900787</v>
      </c>
      <c r="H1182" t="s">
        <v>40</v>
      </c>
      <c r="I1182">
        <f>VLOOKUP(Table4[[#This Row],[Visitor]],'NHL Model'!$A$6:$B$38,2,FALSE)</f>
        <v>-0.10659687498124908</v>
      </c>
      <c r="J1182">
        <f>($B$1+Table4[[#This Row],[Home Differential]])-Table4[[#This Row],[Away Differential]]</f>
        <v>-0.21902650151292824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7.1049614431123245E-2</v>
      </c>
      <c r="H1183" t="s">
        <v>32</v>
      </c>
      <c r="I1183">
        <f>VLOOKUP(Table4[[#This Row],[Visitor]],'NHL Model'!$A$6:$B$38,2,FALSE)</f>
        <v>-0.2855111111085496</v>
      </c>
      <c r="J1183">
        <f>($B$1+Table4[[#This Row],[Home Differential]])-Table4[[#This Row],[Away Differential]]</f>
        <v>0.43077837944450337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0.19285186127150866</v>
      </c>
      <c r="H1184" t="s">
        <v>36</v>
      </c>
      <c r="I1184">
        <f>VLOOKUP(Table4[[#This Row],[Visitor]],'NHL Model'!$A$6:$B$38,2,FALSE)</f>
        <v>9.4361646617848058E-2</v>
      </c>
      <c r="J1184">
        <f>($B$1+Table4[[#This Row],[Home Differential]])-Table4[[#This Row],[Away Differential]]</f>
        <v>0.17270786855849113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-6.2506340836952119E-3</v>
      </c>
      <c r="H1185" t="s">
        <v>24</v>
      </c>
      <c r="I1185">
        <f>VLOOKUP(Table4[[#This Row],[Visitor]],'NHL Model'!$A$6:$B$38,2,FALSE)</f>
        <v>-6.1952588060713437E-2</v>
      </c>
      <c r="J1185">
        <f>($B$1+Table4[[#This Row],[Home Differential]])-Table4[[#This Row],[Away Differential]]</f>
        <v>0.12991960788184875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3.9336367625328564E-2</v>
      </c>
      <c r="H1186" t="s">
        <v>26</v>
      </c>
      <c r="I1186">
        <f>VLOOKUP(Table4[[#This Row],[Visitor]],'NHL Model'!$A$6:$B$38,2,FALSE)</f>
        <v>-8.5361594338821137E-2</v>
      </c>
      <c r="J1186">
        <f>($B$1+Table4[[#This Row],[Home Differential]])-Table4[[#This Row],[Away Differential]]</f>
        <v>0.19891561586898021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0.79636680320115127</v>
      </c>
      <c r="H1187" t="s">
        <v>18</v>
      </c>
      <c r="I1187">
        <f>VLOOKUP(Table4[[#This Row],[Visitor]],'NHL Model'!$A$6:$B$38,2,FALSE)</f>
        <v>0.10902894471156278</v>
      </c>
      <c r="J1187">
        <f>($B$1+Table4[[#This Row],[Home Differential]])-Table4[[#This Row],[Away Differential]]</f>
        <v>0.76155551239441899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0.45610704431993199</v>
      </c>
      <c r="H1188" t="s">
        <v>27</v>
      </c>
      <c r="I1188">
        <f>VLOOKUP(Table4[[#This Row],[Visitor]],'NHL Model'!$A$6:$B$38,2,FALSE)</f>
        <v>0.17784181108472058</v>
      </c>
      <c r="J1188">
        <f>($B$1+Table4[[#This Row],[Home Differential]])-Table4[[#This Row],[Away Differential]]</f>
        <v>0.35248288714004189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1.8591692540144091</v>
      </c>
      <c r="H1189" t="s">
        <v>38</v>
      </c>
      <c r="I1189">
        <f>VLOOKUP(Table4[[#This Row],[Visitor]],'NHL Model'!$A$6:$B$38,2,FALSE)</f>
        <v>-0.48278309788469043</v>
      </c>
      <c r="J1189">
        <f>($B$1+Table4[[#This Row],[Home Differential]])-Table4[[#This Row],[Away Differential]]</f>
        <v>2.4161700058039299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1.584470710005189E-2</v>
      </c>
      <c r="H1190" t="s">
        <v>35</v>
      </c>
      <c r="I1190">
        <f>VLOOKUP(Table4[[#This Row],[Visitor]],'NHL Model'!$A$6:$B$38,2,FALSE)</f>
        <v>-0.96065798985911643</v>
      </c>
      <c r="J1190">
        <f>($B$1+Table4[[#This Row],[Home Differential]])-Table4[[#This Row],[Away Differential]]</f>
        <v>1.0507203508639988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0.6533254385040862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-0.17930549805059143</v>
      </c>
      <c r="H1191" t="s">
        <v>31</v>
      </c>
      <c r="I1191">
        <f>VLOOKUP(Table4[[#This Row],[Visitor]],'NHL Model'!$A$6:$B$38,2,FALSE)</f>
        <v>-6.6593655044643821E-4</v>
      </c>
      <c r="J1191">
        <f>($B$1+Table4[[#This Row],[Home Differential]])-Table4[[#This Row],[Away Differential]]</f>
        <v>-0.10442190759531446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0.45392063308446812</v>
      </c>
      <c r="H1192" t="s">
        <v>28</v>
      </c>
      <c r="I1192">
        <f>VLOOKUP(Table4[[#This Row],[Visitor]],'NHL Model'!$A$6:$B$38,2,FALSE)</f>
        <v>-0.19727709229606127</v>
      </c>
      <c r="J1192">
        <f>($B$1+Table4[[#This Row],[Home Differential]])-Table4[[#This Row],[Away Differential]]</f>
        <v>0.72541537928535993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0.76796514781800074</v>
      </c>
      <c r="H1193" t="s">
        <v>40</v>
      </c>
      <c r="I1193">
        <f>VLOOKUP(Table4[[#This Row],[Visitor]],'NHL Model'!$A$6:$B$38,2,FALSE)</f>
        <v>-0.10659687498124908</v>
      </c>
      <c r="J1193">
        <f>($B$1+Table4[[#This Row],[Home Differential]])-Table4[[#This Row],[Away Differential]]</f>
        <v>0.94877967670408025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7.1049614431123245E-2</v>
      </c>
      <c r="H1194" t="s">
        <v>10</v>
      </c>
      <c r="I1194">
        <f>VLOOKUP(Table4[[#This Row],[Visitor]],'NHL Model'!$A$6:$B$38,2,FALSE)</f>
        <v>-0.39984103039900787</v>
      </c>
      <c r="J1194">
        <f>($B$1+Table4[[#This Row],[Home Differential]])-Table4[[#This Row],[Away Differential]]</f>
        <v>0.54510829873496158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0.19285186127150866</v>
      </c>
      <c r="H1195" t="s">
        <v>21</v>
      </c>
      <c r="I1195">
        <f>VLOOKUP(Table4[[#This Row],[Visitor]],'NHL Model'!$A$6:$B$38,2,FALSE)</f>
        <v>3.9572996236628868E-2</v>
      </c>
      <c r="J1195">
        <f>($B$1+Table4[[#This Row],[Home Differential]])-Table4[[#This Row],[Away Differential]]</f>
        <v>0.22749651893971035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1.584470710005189E-2</v>
      </c>
      <c r="H1196" t="s">
        <v>29</v>
      </c>
      <c r="I1196">
        <f>VLOOKUP(Table4[[#This Row],[Visitor]],'NHL Model'!$A$6:$B$38,2,FALSE)</f>
        <v>-0.3202921716073342</v>
      </c>
      <c r="J1196">
        <f>($B$1+Table4[[#This Row],[Home Differential]])-Table4[[#This Row],[Away Differential]]</f>
        <v>0.4103545326122166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0.59379638322319717</v>
      </c>
      <c r="H1197" t="s">
        <v>38</v>
      </c>
      <c r="I1197">
        <f>VLOOKUP(Table4[[#This Row],[Visitor]],'NHL Model'!$A$6:$B$38,2,FALSE)</f>
        <v>-0.48278309788469043</v>
      </c>
      <c r="J1197">
        <f>($B$1+Table4[[#This Row],[Home Differential]])-Table4[[#This Row],[Away Differential]]</f>
        <v>1.1507971350127182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-6.1952588060713437E-2</v>
      </c>
      <c r="H1198" t="s">
        <v>22</v>
      </c>
      <c r="I1198">
        <f>VLOOKUP(Table4[[#This Row],[Visitor]],'NHL Model'!$A$6:$B$38,2,FALSE)</f>
        <v>0.45610704431993199</v>
      </c>
      <c r="J1198">
        <f>($B$1+Table4[[#This Row],[Home Differential]])-Table4[[#This Row],[Away Differential]]</f>
        <v>-0.44384197847581491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-6.2506340836952119E-3</v>
      </c>
      <c r="H1199" t="s">
        <v>18</v>
      </c>
      <c r="I1199">
        <f>VLOOKUP(Table4[[#This Row],[Visitor]],'NHL Model'!$A$6:$B$38,2,FALSE)</f>
        <v>0.10902894471156278</v>
      </c>
      <c r="J1199">
        <f>($B$1+Table4[[#This Row],[Home Differential]])-Table4[[#This Row],[Away Differential]]</f>
        <v>-4.1061924890427468E-2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9.4361646617848058E-2</v>
      </c>
      <c r="H1200" t="s">
        <v>23</v>
      </c>
      <c r="I1200">
        <f>VLOOKUP(Table4[[#This Row],[Visitor]],'NHL Model'!$A$6:$B$38,2,FALSE)</f>
        <v>0.18511137883580026</v>
      </c>
      <c r="J1200">
        <f>($B$1+Table4[[#This Row],[Home Differential]])-Table4[[#This Row],[Away Differential]]</f>
        <v>-1.6532078313121673E-2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0.17784181108472058</v>
      </c>
      <c r="H1201" t="s">
        <v>26</v>
      </c>
      <c r="I1201">
        <f>VLOOKUP(Table4[[#This Row],[Visitor]],'NHL Model'!$A$6:$B$38,2,FALSE)</f>
        <v>-8.5361594338821137E-2</v>
      </c>
      <c r="J1201">
        <f>($B$1+Table4[[#This Row],[Home Differential]])-Table4[[#This Row],[Away Differential]]</f>
        <v>0.33742105932837224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0.56020207057751781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-0.2855111111085496</v>
      </c>
      <c r="H1202" t="s">
        <v>55</v>
      </c>
      <c r="I1202">
        <f>VLOOKUP(Table4[[#This Row],[Visitor]],'NHL Model'!$A$6:$B$38,2,FALSE)</f>
        <v>0.3142836898216293</v>
      </c>
      <c r="J1202">
        <f>($B$1+Table4[[#This Row],[Home Differential]])-Table4[[#This Row],[Away Differential]]</f>
        <v>-0.5255771470253483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0.51668612072222397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-0.17930549805059143</v>
      </c>
      <c r="H1203" t="s">
        <v>19</v>
      </c>
      <c r="I1203">
        <f>VLOOKUP(Table4[[#This Row],[Visitor]],'NHL Model'!$A$6:$B$38,2,FALSE)</f>
        <v>-7.3686276472912369E-4</v>
      </c>
      <c r="J1203">
        <f>($B$1+Table4[[#This Row],[Home Differential]])-Table4[[#This Row],[Away Differential]]</f>
        <v>-0.10435098138103178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0.47125477460640508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0.79636680320115127</v>
      </c>
      <c r="H1204" t="s">
        <v>14</v>
      </c>
      <c r="I1204">
        <f>VLOOKUP(Table4[[#This Row],[Visitor]],'NHL Model'!$A$6:$B$38,2,FALSE)</f>
        <v>3.9336367625328564E-2</v>
      </c>
      <c r="J1204">
        <f>($B$1+Table4[[#This Row],[Home Differential]])-Table4[[#This Row],[Away Differential]]</f>
        <v>0.83124808948065321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0.14556378660539449</v>
      </c>
      <c r="H1205" t="s">
        <v>16</v>
      </c>
      <c r="I1205">
        <f>VLOOKUP(Table4[[#This Row],[Visitor]],'NHL Model'!$A$6:$B$38,2,FALSE)</f>
        <v>-0.21926170023436534</v>
      </c>
      <c r="J1205">
        <f>($B$1+Table4[[#This Row],[Home Differential]])-Table4[[#This Row],[Away Differential]]</f>
        <v>0.43904314074459039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-6.6593655044643821E-4</v>
      </c>
      <c r="H1206" t="s">
        <v>35</v>
      </c>
      <c r="I1206">
        <f>VLOOKUP(Table4[[#This Row],[Visitor]],'NHL Model'!$A$6:$B$38,2,FALSE)</f>
        <v>-0.96065798985911643</v>
      </c>
      <c r="J1206">
        <f>($B$1+Table4[[#This Row],[Home Differential]])-Table4[[#This Row],[Away Differential]]</f>
        <v>1.0342097072135006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0.16690670582810133</v>
      </c>
      <c r="H1207" t="s">
        <v>27</v>
      </c>
      <c r="I1207">
        <f>VLOOKUP(Table4[[#This Row],[Visitor]],'NHL Model'!$A$6:$B$38,2,FALSE)</f>
        <v>0.17784181108472058</v>
      </c>
      <c r="J1207">
        <f>($B$1+Table4[[#This Row],[Home Differential]])-Table4[[#This Row],[Away Differential]]</f>
        <v>6.3282548648211256E-2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-6.6593655044643821E-4</v>
      </c>
      <c r="H1208" t="s">
        <v>16</v>
      </c>
      <c r="I1208">
        <f>VLOOKUP(Table4[[#This Row],[Visitor]],'NHL Model'!$A$6:$B$38,2,FALSE)</f>
        <v>-0.21926170023436534</v>
      </c>
      <c r="J1208">
        <f>($B$1+Table4[[#This Row],[Home Differential]])-Table4[[#This Row],[Away Differential]]</f>
        <v>0.2928134175887494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0.45392063308446812</v>
      </c>
      <c r="H1209" t="s">
        <v>30</v>
      </c>
      <c r="I1209">
        <f>VLOOKUP(Table4[[#This Row],[Visitor]],'NHL Model'!$A$6:$B$38,2,FALSE)</f>
        <v>0.16690670582810133</v>
      </c>
      <c r="J1209">
        <f>($B$1+Table4[[#This Row],[Home Differential]])-Table4[[#This Row],[Away Differential]]</f>
        <v>0.36123158116119736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-0.19727709229606127</v>
      </c>
      <c r="H1210" t="s">
        <v>40</v>
      </c>
      <c r="I1210">
        <f>VLOOKUP(Table4[[#This Row],[Visitor]],'NHL Model'!$A$6:$B$38,2,FALSE)</f>
        <v>-0.10659687498124908</v>
      </c>
      <c r="J1210">
        <f>($B$1+Table4[[#This Row],[Home Differential]])-Table4[[#This Row],[Away Differential]]</f>
        <v>-1.6462563409981673E-2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0.46177556969921008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0.76796514781800074</v>
      </c>
      <c r="H1211" t="s">
        <v>12</v>
      </c>
      <c r="I1211">
        <f>VLOOKUP(Table4[[#This Row],[Visitor]],'NHL Model'!$A$6:$B$38,2,FALSE)</f>
        <v>1.8591692540144091</v>
      </c>
      <c r="J1211">
        <f>($B$1+Table4[[#This Row],[Home Differential]])-Table4[[#This Row],[Away Differential]]</f>
        <v>-1.0169864522915779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7.1049614431123245E-2</v>
      </c>
      <c r="H1212" t="s">
        <v>20</v>
      </c>
      <c r="I1212">
        <f>VLOOKUP(Table4[[#This Row],[Visitor]],'NHL Model'!$A$6:$B$38,2,FALSE)</f>
        <v>0.14556378660539449</v>
      </c>
      <c r="J1212">
        <f>($B$1+Table4[[#This Row],[Home Differential]])-Table4[[#This Row],[Away Differential]]</f>
        <v>-2.9651826944071535E-4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1.584470710005189E-2</v>
      </c>
      <c r="H1213" t="s">
        <v>19</v>
      </c>
      <c r="I1213">
        <f>VLOOKUP(Table4[[#This Row],[Visitor]],'NHL Model'!$A$6:$B$38,2,FALSE)</f>
        <v>-7.3686276472912369E-4</v>
      </c>
      <c r="J1213">
        <f>($B$1+Table4[[#This Row],[Home Differential]])-Table4[[#This Row],[Away Differential]]</f>
        <v>9.0799223769611526E-2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0.54979314985291816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-6.1952588060713437E-2</v>
      </c>
      <c r="H1214" t="s">
        <v>18</v>
      </c>
      <c r="I1214">
        <f>VLOOKUP(Table4[[#This Row],[Visitor]],'NHL Model'!$A$6:$B$38,2,FALSE)</f>
        <v>0.10902894471156278</v>
      </c>
      <c r="J1214">
        <f>($B$1+Table4[[#This Row],[Home Differential]])-Table4[[#This Row],[Away Differential]]</f>
        <v>-9.6763878867445696E-2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-6.2506340836952119E-3</v>
      </c>
      <c r="H1215" t="s">
        <v>26</v>
      </c>
      <c r="I1215">
        <f>VLOOKUP(Table4[[#This Row],[Visitor]],'NHL Model'!$A$6:$B$38,2,FALSE)</f>
        <v>-8.5361594338821137E-2</v>
      </c>
      <c r="J1215">
        <f>($B$1+Table4[[#This Row],[Home Differential]])-Table4[[#This Row],[Away Differential]]</f>
        <v>0.15332861415995647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9.4361646617848058E-2</v>
      </c>
      <c r="H1216" t="s">
        <v>34</v>
      </c>
      <c r="I1216">
        <f>VLOOKUP(Table4[[#This Row],[Visitor]],'NHL Model'!$A$6:$B$38,2,FALSE)</f>
        <v>0.59379638322319717</v>
      </c>
      <c r="J1216">
        <f>($B$1+Table4[[#This Row],[Home Differential]])-Table4[[#This Row],[Away Differential]]</f>
        <v>-0.42521708270051861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0.56326536124449322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3.9336367625328564E-2</v>
      </c>
      <c r="H1217" t="s">
        <v>11</v>
      </c>
      <c r="I1217">
        <f>VLOOKUP(Table4[[#This Row],[Visitor]],'NHL Model'!$A$6:$B$38,2,FALSE)</f>
        <v>0.19285186127150866</v>
      </c>
      <c r="J1217">
        <f>($B$1+Table4[[#This Row],[Home Differential]])-Table4[[#This Row],[Away Differential]]</f>
        <v>-7.9297839741349574E-2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-0.2855111111085496</v>
      </c>
      <c r="H1218" t="s">
        <v>10</v>
      </c>
      <c r="I1218">
        <f>VLOOKUP(Table4[[#This Row],[Visitor]],'NHL Model'!$A$6:$B$38,2,FALSE)</f>
        <v>-0.39984103039900787</v>
      </c>
      <c r="J1218">
        <f>($B$1+Table4[[#This Row],[Home Differential]])-Table4[[#This Row],[Away Differential]]</f>
        <v>0.18854757319528881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-0.17930549805059143</v>
      </c>
      <c r="H1219" t="s">
        <v>29</v>
      </c>
      <c r="I1219">
        <f>VLOOKUP(Table4[[#This Row],[Visitor]],'NHL Model'!$A$6:$B$38,2,FALSE)</f>
        <v>-0.3202921716073342</v>
      </c>
      <c r="J1219">
        <f>($B$1+Table4[[#This Row],[Home Differential]])-Table4[[#This Row],[Away Differential]]</f>
        <v>0.21520432746157331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0.56321086172691492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0.79636680320115127</v>
      </c>
      <c r="H1220" t="s">
        <v>21</v>
      </c>
      <c r="I1220">
        <f>VLOOKUP(Table4[[#This Row],[Visitor]],'NHL Model'!$A$6:$B$38,2,FALSE)</f>
        <v>3.9572996236628868E-2</v>
      </c>
      <c r="J1220">
        <f>($B$1+Table4[[#This Row],[Home Differential]])-Table4[[#This Row],[Away Differential]]</f>
        <v>0.83101146086935285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-0.48278309788469043</v>
      </c>
      <c r="H1221" t="s">
        <v>55</v>
      </c>
      <c r="I1221">
        <f>VLOOKUP(Table4[[#This Row],[Visitor]],'NHL Model'!$A$6:$B$38,2,FALSE)</f>
        <v>0.3142836898216293</v>
      </c>
      <c r="J1221">
        <f>($B$1+Table4[[#This Row],[Home Differential]])-Table4[[#This Row],[Away Differential]]</f>
        <v>-0.72284913380148919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0.45610704431993199</v>
      </c>
      <c r="H1222" t="s">
        <v>23</v>
      </c>
      <c r="I1222">
        <f>VLOOKUP(Table4[[#This Row],[Visitor]],'NHL Model'!$A$6:$B$38,2,FALSE)</f>
        <v>0.18511137883580026</v>
      </c>
      <c r="J1222">
        <f>($B$1+Table4[[#This Row],[Home Differential]])-Table4[[#This Row],[Away Differential]]</f>
        <v>0.34521331938896221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0.59124960143882044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1.8591692540144091</v>
      </c>
      <c r="H1223" t="s">
        <v>35</v>
      </c>
      <c r="I1223">
        <f>VLOOKUP(Table4[[#This Row],[Visitor]],'NHL Model'!$A$6:$B$38,2,FALSE)</f>
        <v>-0.96065798985911643</v>
      </c>
      <c r="J1223">
        <f>($B$1+Table4[[#This Row],[Home Differential]])-Table4[[#This Row],[Away Differential]]</f>
        <v>2.8940448977783562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-8.5361594338821137E-2</v>
      </c>
      <c r="H1224" t="s">
        <v>34</v>
      </c>
      <c r="I1224">
        <f>VLOOKUP(Table4[[#This Row],[Visitor]],'NHL Model'!$A$6:$B$38,2,FALSE)</f>
        <v>0.59379638322319717</v>
      </c>
      <c r="J1224">
        <f>($B$1+Table4[[#This Row],[Home Differential]])-Table4[[#This Row],[Away Differential]]</f>
        <v>-0.60494032365718775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0.54162378852075233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0.10902894471156278</v>
      </c>
      <c r="H1225" t="s">
        <v>24</v>
      </c>
      <c r="I1225">
        <f>VLOOKUP(Table4[[#This Row],[Visitor]],'NHL Model'!$A$6:$B$38,2,FALSE)</f>
        <v>-6.1952588060713437E-2</v>
      </c>
      <c r="J1225">
        <f>($B$1+Table4[[#This Row],[Home Differential]])-Table4[[#This Row],[Away Differential]]</f>
        <v>0.24519918667710675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0.53405562588222677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-6.2506340836952119E-3</v>
      </c>
      <c r="H1226" t="s">
        <v>22</v>
      </c>
      <c r="I1226">
        <f>VLOOKUP(Table4[[#This Row],[Visitor]],'NHL Model'!$A$6:$B$38,2,FALSE)</f>
        <v>0.45610704431993199</v>
      </c>
      <c r="J1226">
        <f>($B$1+Table4[[#This Row],[Home Differential]])-Table4[[#This Row],[Away Differential]]</f>
        <v>-0.3881400244987967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9.4361646617848058E-2</v>
      </c>
      <c r="H1227" t="s">
        <v>25</v>
      </c>
      <c r="I1227">
        <f>VLOOKUP(Table4[[#This Row],[Visitor]],'NHL Model'!$A$6:$B$38,2,FALSE)</f>
        <v>0.45392063308446812</v>
      </c>
      <c r="J1227">
        <f>($B$1+Table4[[#This Row],[Home Differential]])-Table4[[#This Row],[Away Differential]]</f>
        <v>-0.28534133256178951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0.17784181108472058</v>
      </c>
      <c r="H1228" t="s">
        <v>21</v>
      </c>
      <c r="I1228">
        <f>VLOOKUP(Table4[[#This Row],[Visitor]],'NHL Model'!$A$6:$B$38,2,FALSE)</f>
        <v>3.9572996236628868E-2</v>
      </c>
      <c r="J1228">
        <f>($B$1+Table4[[#This Row],[Home Differential]])-Table4[[#This Row],[Away Differential]]</f>
        <v>0.21248646875292226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3.9336367625328564E-2</v>
      </c>
      <c r="H1229" t="s">
        <v>11</v>
      </c>
      <c r="I1229">
        <f>VLOOKUP(Table4[[#This Row],[Visitor]],'NHL Model'!$A$6:$B$38,2,FALSE)</f>
        <v>0.19285186127150866</v>
      </c>
      <c r="J1229">
        <f>($B$1+Table4[[#This Row],[Home Differential]])-Table4[[#This Row],[Away Differential]]</f>
        <v>-7.9297839741349574E-2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0.18511137883580026</v>
      </c>
      <c r="H1230" t="s">
        <v>37</v>
      </c>
      <c r="I1230">
        <f>VLOOKUP(Table4[[#This Row],[Visitor]],'NHL Model'!$A$6:$B$38,2,FALSE)</f>
        <v>0.79636680320115127</v>
      </c>
      <c r="J1230">
        <f>($B$1+Table4[[#This Row],[Home Differential]])-Table4[[#This Row],[Away Differential]]</f>
        <v>-0.53703777046052048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1.584470710005189E-2</v>
      </c>
      <c r="H1231" t="s">
        <v>29</v>
      </c>
      <c r="I1231">
        <f>VLOOKUP(Table4[[#This Row],[Visitor]],'NHL Model'!$A$6:$B$38,2,FALSE)</f>
        <v>-0.3202921716073342</v>
      </c>
      <c r="J1231">
        <f>($B$1+Table4[[#This Row],[Home Differential]])-Table4[[#This Row],[Away Differential]]</f>
        <v>0.4103545326122166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-0.17930549805059143</v>
      </c>
      <c r="H1232" t="s">
        <v>10</v>
      </c>
      <c r="I1232">
        <f>VLOOKUP(Table4[[#This Row],[Visitor]],'NHL Model'!$A$6:$B$38,2,FALSE)</f>
        <v>-0.39984103039900787</v>
      </c>
      <c r="J1232">
        <f>($B$1+Table4[[#This Row],[Home Differential]])-Table4[[#This Row],[Away Differential]]</f>
        <v>0.29475318625324698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0.57179060351801392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-0.10659687498124908</v>
      </c>
      <c r="H1233" t="s">
        <v>32</v>
      </c>
      <c r="I1233">
        <f>VLOOKUP(Table4[[#This Row],[Visitor]],'NHL Model'!$A$6:$B$38,2,FALSE)</f>
        <v>-0.2855111111085496</v>
      </c>
      <c r="J1233">
        <f>($B$1+Table4[[#This Row],[Home Differential]])-Table4[[#This Row],[Away Differential]]</f>
        <v>0.25313189003213105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-6.6593655044643821E-4</v>
      </c>
      <c r="H1234" t="s">
        <v>29</v>
      </c>
      <c r="I1234">
        <f>VLOOKUP(Table4[[#This Row],[Visitor]],'NHL Model'!$A$6:$B$38,2,FALSE)</f>
        <v>-0.3202921716073342</v>
      </c>
      <c r="J1234">
        <f>($B$1+Table4[[#This Row],[Home Differential]])-Table4[[#This Row],[Away Differential]]</f>
        <v>0.39384388896171829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0.6085157666419696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0.45392063308446812</v>
      </c>
      <c r="H1235" t="s">
        <v>21</v>
      </c>
      <c r="I1235">
        <f>VLOOKUP(Table4[[#This Row],[Visitor]],'NHL Model'!$A$6:$B$38,2,FALSE)</f>
        <v>3.9572996236628868E-2</v>
      </c>
      <c r="J1235">
        <f>($B$1+Table4[[#This Row],[Home Differential]])-Table4[[#This Row],[Away Differential]]</f>
        <v>0.4885652907526698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0.62639235365156931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0.76796514781800074</v>
      </c>
      <c r="H1236" t="s">
        <v>16</v>
      </c>
      <c r="I1236">
        <f>VLOOKUP(Table4[[#This Row],[Visitor]],'NHL Model'!$A$6:$B$38,2,FALSE)</f>
        <v>-0.21926170023436534</v>
      </c>
      <c r="J1236">
        <f>($B$1+Table4[[#This Row],[Home Differential]])-Table4[[#This Row],[Away Differential]]</f>
        <v>1.0614445019571965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0.6805198276188964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-8.5361594338821137E-2</v>
      </c>
      <c r="H1237" t="s">
        <v>28</v>
      </c>
      <c r="I1237">
        <f>VLOOKUP(Table4[[#This Row],[Visitor]],'NHL Model'!$A$6:$B$38,2,FALSE)</f>
        <v>-0.19727709229606127</v>
      </c>
      <c r="J1237">
        <f>($B$1+Table4[[#This Row],[Home Differential]])-Table4[[#This Row],[Away Differential]]</f>
        <v>0.18613315186207066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0.59379638322319717</v>
      </c>
      <c r="H1238" t="s">
        <v>32</v>
      </c>
      <c r="I1238">
        <f>VLOOKUP(Table4[[#This Row],[Visitor]],'NHL Model'!$A$6:$B$38,2,FALSE)</f>
        <v>-0.2855111111085496</v>
      </c>
      <c r="J1238">
        <f>($B$1+Table4[[#This Row],[Home Differential]])-Table4[[#This Row],[Away Differential]]</f>
        <v>0.95352514823657719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0.66512618740574125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0.10902894471156278</v>
      </c>
      <c r="H1239" t="s">
        <v>11</v>
      </c>
      <c r="I1239">
        <f>VLOOKUP(Table4[[#This Row],[Visitor]],'NHL Model'!$A$6:$B$38,2,FALSE)</f>
        <v>0.19285186127150866</v>
      </c>
      <c r="J1239">
        <f>($B$1+Table4[[#This Row],[Home Differential]])-Table4[[#This Row],[Away Differential]]</f>
        <v>-9.6052626551153542E-3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-6.1952588060713437E-2</v>
      </c>
      <c r="H1240" t="s">
        <v>27</v>
      </c>
      <c r="I1240">
        <f>VLOOKUP(Table4[[#This Row],[Visitor]],'NHL Model'!$A$6:$B$38,2,FALSE)</f>
        <v>0.17784181108472058</v>
      </c>
      <c r="J1240">
        <f>($B$1+Table4[[#This Row],[Home Differential]])-Table4[[#This Row],[Away Differential]]</f>
        <v>-0.16557674524060351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9.4361646617848058E-2</v>
      </c>
      <c r="H1241" t="s">
        <v>37</v>
      </c>
      <c r="I1241">
        <f>VLOOKUP(Table4[[#This Row],[Visitor]],'NHL Model'!$A$6:$B$38,2,FALSE)</f>
        <v>0.79636680320115127</v>
      </c>
      <c r="J1241">
        <f>($B$1+Table4[[#This Row],[Home Differential]])-Table4[[#This Row],[Away Differential]]</f>
        <v>-0.62778750267847272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0.6139285055457645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-0.96065798985911643</v>
      </c>
      <c r="H1242" t="s">
        <v>12</v>
      </c>
      <c r="I1242">
        <f>VLOOKUP(Table4[[#This Row],[Visitor]],'NHL Model'!$A$6:$B$38,2,FALSE)</f>
        <v>1.8591692540144091</v>
      </c>
      <c r="J1242">
        <f>($B$1+Table4[[#This Row],[Home Differential]])-Table4[[#This Row],[Away Differential]]</f>
        <v>-2.7456095899686952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0.8423461968167586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0.3142836898216293</v>
      </c>
      <c r="H1243" t="s">
        <v>17</v>
      </c>
      <c r="I1243">
        <f>VLOOKUP(Table4[[#This Row],[Visitor]],'NHL Model'!$A$6:$B$38,2,FALSE)</f>
        <v>7.1049614431123245E-2</v>
      </c>
      <c r="J1243">
        <f>($B$1+Table4[[#This Row],[Home Differential]])-Table4[[#This Row],[Away Differential]]</f>
        <v>0.3174517292953366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-0.48278309788469043</v>
      </c>
      <c r="H1244" t="s">
        <v>20</v>
      </c>
      <c r="I1244">
        <f>VLOOKUP(Table4[[#This Row],[Visitor]],'NHL Model'!$A$6:$B$38,2,FALSE)</f>
        <v>0.14556378660539449</v>
      </c>
      <c r="J1244">
        <f>($B$1+Table4[[#This Row],[Home Differential]])-Table4[[#This Row],[Away Differential]]</f>
        <v>-0.55412923058525432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0.54053483632961452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-6.2506340836952119E-3</v>
      </c>
      <c r="H1245" t="s">
        <v>23</v>
      </c>
      <c r="I1245">
        <f>VLOOKUP(Table4[[#This Row],[Visitor]],'NHL Model'!$A$6:$B$38,2,FALSE)</f>
        <v>0.18511137883580026</v>
      </c>
      <c r="J1245">
        <f>($B$1+Table4[[#This Row],[Home Differential]])-Table4[[#This Row],[Away Differential]]</f>
        <v>-0.11714435901466494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-0.17930549805059143</v>
      </c>
      <c r="H1246" t="s">
        <v>17</v>
      </c>
      <c r="I1246">
        <f>VLOOKUP(Table4[[#This Row],[Visitor]],'NHL Model'!$A$6:$B$38,2,FALSE)</f>
        <v>7.1049614431123245E-2</v>
      </c>
      <c r="J1246">
        <f>($B$1+Table4[[#This Row],[Home Differential]])-Table4[[#This Row],[Away Differential]]</f>
        <v>-0.17613745857688415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-7.3686276472912369E-4</v>
      </c>
      <c r="H1247" t="s">
        <v>22</v>
      </c>
      <c r="I1247">
        <f>VLOOKUP(Table4[[#This Row],[Visitor]],'NHL Model'!$A$6:$B$38,2,FALSE)</f>
        <v>0.45610704431993199</v>
      </c>
      <c r="J1247">
        <f>($B$1+Table4[[#This Row],[Home Differential]])-Table4[[#This Row],[Away Differential]]</f>
        <v>-0.38262625317983057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0.48216272142847588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-6.6593655044643821E-4</v>
      </c>
      <c r="H1248" t="s">
        <v>33</v>
      </c>
      <c r="I1248">
        <f>VLOOKUP(Table4[[#This Row],[Visitor]],'NHL Model'!$A$6:$B$38,2,FALSE)</f>
        <v>-0.17930549805059143</v>
      </c>
      <c r="J1248">
        <f>($B$1+Table4[[#This Row],[Home Differential]])-Table4[[#This Row],[Away Differential]]</f>
        <v>0.25285721540497552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0.18511137883580026</v>
      </c>
      <c r="H1249" t="s">
        <v>28</v>
      </c>
      <c r="I1249">
        <f>VLOOKUP(Table4[[#This Row],[Visitor]],'NHL Model'!$A$6:$B$38,2,FALSE)</f>
        <v>-0.19727709229606127</v>
      </c>
      <c r="J1249">
        <f>($B$1+Table4[[#This Row],[Home Differential]])-Table4[[#This Row],[Away Differential]]</f>
        <v>0.45660612503669207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-0.39984103039900787</v>
      </c>
      <c r="H1250" t="s">
        <v>25</v>
      </c>
      <c r="I1250">
        <f>VLOOKUP(Table4[[#This Row],[Visitor]],'NHL Model'!$A$6:$B$38,2,FALSE)</f>
        <v>0.45392063308446812</v>
      </c>
      <c r="J1250">
        <f>($B$1+Table4[[#This Row],[Home Differential]])-Table4[[#This Row],[Away Differential]]</f>
        <v>-0.77954400957864545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0.60148129027760899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1.8591692540144091</v>
      </c>
      <c r="H1251" t="s">
        <v>16</v>
      </c>
      <c r="I1251">
        <f>VLOOKUP(Table4[[#This Row],[Visitor]],'NHL Model'!$A$6:$B$38,2,FALSE)</f>
        <v>-0.21926170023436534</v>
      </c>
      <c r="J1251">
        <f>($B$1+Table4[[#This Row],[Home Differential]])-Table4[[#This Row],[Away Differential]]</f>
        <v>2.1526486081536049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0.76796514781800074</v>
      </c>
      <c r="H1252" t="s">
        <v>34</v>
      </c>
      <c r="I1252">
        <f>VLOOKUP(Table4[[#This Row],[Visitor]],'NHL Model'!$A$6:$B$38,2,FALSE)</f>
        <v>0.59379638322319717</v>
      </c>
      <c r="J1252">
        <f>($B$1+Table4[[#This Row],[Home Differential]])-Table4[[#This Row],[Away Differential]]</f>
        <v>0.24838641849963405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-8.5361594338821137E-2</v>
      </c>
      <c r="H1253" t="s">
        <v>27</v>
      </c>
      <c r="I1253">
        <f>VLOOKUP(Table4[[#This Row],[Visitor]],'NHL Model'!$A$6:$B$38,2,FALSE)</f>
        <v>0.17784181108472058</v>
      </c>
      <c r="J1253">
        <f>($B$1+Table4[[#This Row],[Home Differential]])-Table4[[#This Row],[Away Differential]]</f>
        <v>-0.18898575151871119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1.584470710005189E-2</v>
      </c>
      <c r="H1254" t="s">
        <v>38</v>
      </c>
      <c r="I1254">
        <f>VLOOKUP(Table4[[#This Row],[Visitor]],'NHL Model'!$A$6:$B$38,2,FALSE)</f>
        <v>-0.48278309788469043</v>
      </c>
      <c r="J1254">
        <f>($B$1+Table4[[#This Row],[Home Differential]])-Table4[[#This Row],[Away Differential]]</f>
        <v>0.57284545888957283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0.10902894471156278</v>
      </c>
      <c r="H1255" t="s">
        <v>37</v>
      </c>
      <c r="I1255">
        <f>VLOOKUP(Table4[[#This Row],[Visitor]],'NHL Model'!$A$6:$B$38,2,FALSE)</f>
        <v>0.79636680320115127</v>
      </c>
      <c r="J1255">
        <f>($B$1+Table4[[#This Row],[Home Differential]])-Table4[[#This Row],[Away Differential]]</f>
        <v>-0.61312020458475791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-6.1952588060713437E-2</v>
      </c>
      <c r="H1256" t="s">
        <v>14</v>
      </c>
      <c r="I1256">
        <f>VLOOKUP(Table4[[#This Row],[Visitor]],'NHL Model'!$A$6:$B$38,2,FALSE)</f>
        <v>3.9336367625328564E-2</v>
      </c>
      <c r="J1256">
        <f>($B$1+Table4[[#This Row],[Home Differential]])-Table4[[#This Row],[Away Differential]]</f>
        <v>-2.7071301781211476E-2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0.16690670582810133</v>
      </c>
      <c r="H1257" t="s">
        <v>19</v>
      </c>
      <c r="I1257">
        <f>VLOOKUP(Table4[[#This Row],[Visitor]],'NHL Model'!$A$6:$B$38,2,FALSE)</f>
        <v>-7.3686276472912369E-4</v>
      </c>
      <c r="J1257">
        <f>($B$1+Table4[[#This Row],[Home Differential]])-Table4[[#This Row],[Away Differential]]</f>
        <v>0.24186122249766095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9.4361646617848058E-2</v>
      </c>
      <c r="H1258" t="s">
        <v>11</v>
      </c>
      <c r="I1258">
        <f>VLOOKUP(Table4[[#This Row],[Visitor]],'NHL Model'!$A$6:$B$38,2,FALSE)</f>
        <v>0.19285186127150866</v>
      </c>
      <c r="J1258">
        <f>($B$1+Table4[[#This Row],[Home Differential]])-Table4[[#This Row],[Away Differential]]</f>
        <v>-2.427256074883008E-2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-0.2855111111085496</v>
      </c>
      <c r="H1259" t="s">
        <v>20</v>
      </c>
      <c r="I1259">
        <f>VLOOKUP(Table4[[#This Row],[Visitor]],'NHL Model'!$A$6:$B$38,2,FALSE)</f>
        <v>0.14556378660539449</v>
      </c>
      <c r="J1259">
        <f>($B$1+Table4[[#This Row],[Home Differential]])-Table4[[#This Row],[Away Differential]]</f>
        <v>-0.35685724380911354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-0.96065798985911643</v>
      </c>
      <c r="H1260" t="s">
        <v>40</v>
      </c>
      <c r="I1260">
        <f>VLOOKUP(Table4[[#This Row],[Visitor]],'NHL Model'!$A$6:$B$38,2,FALSE)</f>
        <v>-0.10659687498124908</v>
      </c>
      <c r="J1260">
        <f>($B$1+Table4[[#This Row],[Home Differential]])-Table4[[#This Row],[Away Differential]]</f>
        <v>-0.77984346097303692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0.3142836898216293</v>
      </c>
      <c r="H1261" t="s">
        <v>29</v>
      </c>
      <c r="I1261">
        <f>VLOOKUP(Table4[[#This Row],[Visitor]],'NHL Model'!$A$6:$B$38,2,FALSE)</f>
        <v>-0.3202921716073342</v>
      </c>
      <c r="J1261">
        <f>($B$1+Table4[[#This Row],[Home Differential]])-Table4[[#This Row],[Away Differential]]</f>
        <v>0.70879351533379409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3.9572996236628868E-2</v>
      </c>
      <c r="H1262" t="s">
        <v>37</v>
      </c>
      <c r="I1262">
        <f>VLOOKUP(Table4[[#This Row],[Visitor]],'NHL Model'!$A$6:$B$38,2,FALSE)</f>
        <v>0.79636680320115127</v>
      </c>
      <c r="J1262">
        <f>($B$1+Table4[[#This Row],[Home Differential]])-Table4[[#This Row],[Away Differential]]</f>
        <v>-0.68257615305969188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-0.39984103039900787</v>
      </c>
      <c r="H1263" t="s">
        <v>35</v>
      </c>
      <c r="I1263">
        <f>VLOOKUP(Table4[[#This Row],[Visitor]],'NHL Model'!$A$6:$B$38,2,FALSE)</f>
        <v>-0.96065798985911643</v>
      </c>
      <c r="J1263">
        <f>($B$1+Table4[[#This Row],[Home Differential]])-Table4[[#This Row],[Away Differential]]</f>
        <v>0.63503461336493916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1.8591692540144091</v>
      </c>
      <c r="H1264" t="s">
        <v>20</v>
      </c>
      <c r="I1264">
        <f>VLOOKUP(Table4[[#This Row],[Visitor]],'NHL Model'!$A$6:$B$38,2,FALSE)</f>
        <v>0.14556378660539449</v>
      </c>
      <c r="J1264">
        <f>($B$1+Table4[[#This Row],[Home Differential]])-Table4[[#This Row],[Away Differential]]</f>
        <v>1.7878231213138451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0.83433508830886016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0.76796514781800074</v>
      </c>
      <c r="H1265" t="s">
        <v>15</v>
      </c>
      <c r="I1265">
        <f>VLOOKUP(Table4[[#This Row],[Visitor]],'NHL Model'!$A$6:$B$38,2,FALSE)</f>
        <v>-6.2506340836952119E-3</v>
      </c>
      <c r="J1265">
        <f>($B$1+Table4[[#This Row],[Home Differential]])-Table4[[#This Row],[Away Differential]]</f>
        <v>0.84843343580652641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0.59855003775243099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-8.5361594338821137E-2</v>
      </c>
      <c r="H1266" t="s">
        <v>24</v>
      </c>
      <c r="I1266">
        <f>VLOOKUP(Table4[[#This Row],[Visitor]],'NHL Model'!$A$6:$B$38,2,FALSE)</f>
        <v>-6.1952588060713437E-2</v>
      </c>
      <c r="J1266">
        <f>($B$1+Table4[[#This Row],[Home Differential]])-Table4[[#This Row],[Away Differential]]</f>
        <v>5.0808647626722825E-2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0.55398742913754839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1.584470710005189E-2</v>
      </c>
      <c r="H1267" t="s">
        <v>17</v>
      </c>
      <c r="I1267">
        <f>VLOOKUP(Table4[[#This Row],[Visitor]],'NHL Model'!$A$6:$B$38,2,FALSE)</f>
        <v>7.1049614431123245E-2</v>
      </c>
      <c r="J1267">
        <f>($B$1+Table4[[#This Row],[Home Differential]])-Table4[[#This Row],[Away Differential]]</f>
        <v>1.9012746573759162E-2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0.10902894471156278</v>
      </c>
      <c r="H1268" t="s">
        <v>28</v>
      </c>
      <c r="I1268">
        <f>VLOOKUP(Table4[[#This Row],[Visitor]],'NHL Model'!$A$6:$B$38,2,FALSE)</f>
        <v>-0.19727709229606127</v>
      </c>
      <c r="J1268">
        <f>($B$1+Table4[[#This Row],[Home Differential]])-Table4[[#This Row],[Away Differential]]</f>
        <v>0.38052369091245458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-0.3202921716073342</v>
      </c>
      <c r="H1269" t="s">
        <v>34</v>
      </c>
      <c r="I1269">
        <f>VLOOKUP(Table4[[#This Row],[Visitor]],'NHL Model'!$A$6:$B$38,2,FALSE)</f>
        <v>0.59379638322319717</v>
      </c>
      <c r="J1269">
        <f>($B$1+Table4[[#This Row],[Home Differential]])-Table4[[#This Row],[Away Differential]]</f>
        <v>-0.83987090092570083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0.16690670582810133</v>
      </c>
      <c r="H1270" t="s">
        <v>36</v>
      </c>
      <c r="I1270">
        <f>VLOOKUP(Table4[[#This Row],[Visitor]],'NHL Model'!$A$6:$B$38,2,FALSE)</f>
        <v>9.4361646617848058E-2</v>
      </c>
      <c r="J1270">
        <f>($B$1+Table4[[#This Row],[Home Differential]])-Table4[[#This Row],[Away Differential]]</f>
        <v>0.14676271311508376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0.53756822216803013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3.9336367625328564E-2</v>
      </c>
      <c r="H1271" t="s">
        <v>22</v>
      </c>
      <c r="I1271">
        <f>VLOOKUP(Table4[[#This Row],[Visitor]],'NHL Model'!$A$6:$B$38,2,FALSE)</f>
        <v>0.45610704431993199</v>
      </c>
      <c r="J1271">
        <f>($B$1+Table4[[#This Row],[Home Differential]])-Table4[[#This Row],[Away Differential]]</f>
        <v>-0.3425530227897729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-0.2855111111085496</v>
      </c>
      <c r="H1272" t="s">
        <v>16</v>
      </c>
      <c r="I1272">
        <f>VLOOKUP(Table4[[#This Row],[Visitor]],'NHL Model'!$A$6:$B$38,2,FALSE)</f>
        <v>-0.21926170023436534</v>
      </c>
      <c r="J1272">
        <f>($B$1+Table4[[#This Row],[Home Differential]])-Table4[[#This Row],[Away Differential]]</f>
        <v>7.968243030646277E-3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0.54085941481461997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-0.17930549805059143</v>
      </c>
      <c r="H1273" t="s">
        <v>38</v>
      </c>
      <c r="I1273">
        <f>VLOOKUP(Table4[[#This Row],[Visitor]],'NHL Model'!$A$6:$B$38,2,FALSE)</f>
        <v>-0.48278309788469043</v>
      </c>
      <c r="J1273">
        <f>($B$1+Table4[[#This Row],[Home Differential]])-Table4[[#This Row],[Away Differential]]</f>
        <v>0.37769525373892954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-7.3686276472912369E-4</v>
      </c>
      <c r="H1274" t="s">
        <v>11</v>
      </c>
      <c r="I1274">
        <f>VLOOKUP(Table4[[#This Row],[Visitor]],'NHL Model'!$A$6:$B$38,2,FALSE)</f>
        <v>0.19285186127150866</v>
      </c>
      <c r="J1274">
        <f>($B$1+Table4[[#This Row],[Home Differential]])-Table4[[#This Row],[Away Differential]]</f>
        <v>-0.11937107013140726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0.3142836898216293</v>
      </c>
      <c r="H1275" t="s">
        <v>25</v>
      </c>
      <c r="I1275">
        <f>VLOOKUP(Table4[[#This Row],[Visitor]],'NHL Model'!$A$6:$B$38,2,FALSE)</f>
        <v>0.45392063308446812</v>
      </c>
      <c r="J1275">
        <f>($B$1+Table4[[#This Row],[Home Differential]])-Table4[[#This Row],[Away Differential]]</f>
        <v>-6.5419289358008281E-2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0.52445937193457437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-0.10659687498124908</v>
      </c>
      <c r="H1276" t="s">
        <v>27</v>
      </c>
      <c r="I1276">
        <f>VLOOKUP(Table4[[#This Row],[Visitor]],'NHL Model'!$A$6:$B$38,2,FALSE)</f>
        <v>0.17784181108472058</v>
      </c>
      <c r="J1276">
        <f>($B$1+Table4[[#This Row],[Home Differential]])-Table4[[#This Row],[Away Differential]]</f>
        <v>-0.21022103216113913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0.4899631080618761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-6.6593655044643821E-4</v>
      </c>
      <c r="H1277" t="s">
        <v>38</v>
      </c>
      <c r="I1277">
        <f>VLOOKUP(Table4[[#This Row],[Visitor]],'NHL Model'!$A$6:$B$38,2,FALSE)</f>
        <v>-0.48278309788469043</v>
      </c>
      <c r="J1277">
        <f>($B$1+Table4[[#This Row],[Home Differential]])-Table4[[#This Row],[Away Differential]]</f>
        <v>0.55633481523907446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-0.19727709229606127</v>
      </c>
      <c r="H1278" t="s">
        <v>21</v>
      </c>
      <c r="I1278">
        <f>VLOOKUP(Table4[[#This Row],[Visitor]],'NHL Model'!$A$6:$B$38,2,FALSE)</f>
        <v>3.9572996236628868E-2</v>
      </c>
      <c r="J1278">
        <f>($B$1+Table4[[#This Row],[Home Differential]])-Table4[[#This Row],[Away Differential]]</f>
        <v>-0.16263243462785962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-0.21926170023436534</v>
      </c>
      <c r="H1279" t="s">
        <v>55</v>
      </c>
      <c r="I1279">
        <f>VLOOKUP(Table4[[#This Row],[Visitor]],'NHL Model'!$A$6:$B$38,2,FALSE)</f>
        <v>0.3142836898216293</v>
      </c>
      <c r="J1279">
        <f>($B$1+Table4[[#This Row],[Home Differential]])-Table4[[#This Row],[Away Differential]]</f>
        <v>-0.45932773615116412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-6.1952588060713437E-2</v>
      </c>
      <c r="H1280" t="s">
        <v>36</v>
      </c>
      <c r="I1280">
        <f>VLOOKUP(Table4[[#This Row],[Visitor]],'NHL Model'!$A$6:$B$38,2,FALSE)</f>
        <v>9.4361646617848058E-2</v>
      </c>
      <c r="J1280">
        <f>($B$1+Table4[[#This Row],[Home Differential]])-Table4[[#This Row],[Away Differential]]</f>
        <v>-8.2096580773730971E-2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0.48962375710273032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0.16690670582810133</v>
      </c>
      <c r="H1281" t="s">
        <v>18</v>
      </c>
      <c r="I1281">
        <f>VLOOKUP(Table4[[#This Row],[Visitor]],'NHL Model'!$A$6:$B$38,2,FALSE)</f>
        <v>0.10902894471156278</v>
      </c>
      <c r="J1281">
        <f>($B$1+Table4[[#This Row],[Home Differential]])-Table4[[#This Row],[Away Differential]]</f>
        <v>0.13209541502136907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0.49043762655676182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0.45610704431993199</v>
      </c>
      <c r="H1282" t="s">
        <v>14</v>
      </c>
      <c r="I1282">
        <f>VLOOKUP(Table4[[#This Row],[Visitor]],'NHL Model'!$A$6:$B$38,2,FALSE)</f>
        <v>3.9336367625328564E-2</v>
      </c>
      <c r="J1282">
        <f>($B$1+Table4[[#This Row],[Home Differential]])-Table4[[#This Row],[Away Differential]]</f>
        <v>0.49098833059943392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0.59971813401723084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-0.39984103039900787</v>
      </c>
      <c r="H1283" t="s">
        <v>23</v>
      </c>
      <c r="I1283">
        <f>VLOOKUP(Table4[[#This Row],[Visitor]],'NHL Model'!$A$6:$B$38,2,FALSE)</f>
        <v>0.18511137883580026</v>
      </c>
      <c r="J1283">
        <f>($B$1+Table4[[#This Row],[Home Differential]])-Table4[[#This Row],[Away Differential]]</f>
        <v>-0.51073475532997759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0.51508529463567854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7.1049614431123245E-2</v>
      </c>
      <c r="H1284" t="s">
        <v>12</v>
      </c>
      <c r="I1284">
        <f>VLOOKUP(Table4[[#This Row],[Visitor]],'NHL Model'!$A$6:$B$38,2,FALSE)</f>
        <v>1.8591692540144091</v>
      </c>
      <c r="J1284">
        <f>($B$1+Table4[[#This Row],[Home Differential]])-Table4[[#This Row],[Away Differential]]</f>
        <v>-1.7139019856784554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0.19285186127150866</v>
      </c>
      <c r="H1285" t="s">
        <v>15</v>
      </c>
      <c r="I1285">
        <f>VLOOKUP(Table4[[#This Row],[Visitor]],'NHL Model'!$A$6:$B$38,2,FALSE)</f>
        <v>-6.2506340836952119E-3</v>
      </c>
      <c r="J1285">
        <f>($B$1+Table4[[#This Row],[Home Differential]])-Table4[[#This Row],[Away Differential]]</f>
        <v>0.2733201492600344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-0.3202921716073342</v>
      </c>
      <c r="H1286" t="s">
        <v>33</v>
      </c>
      <c r="I1286">
        <f>VLOOKUP(Table4[[#This Row],[Visitor]],'NHL Model'!$A$6:$B$38,2,FALSE)</f>
        <v>-0.17930549805059143</v>
      </c>
      <c r="J1286">
        <f>($B$1+Table4[[#This Row],[Home Differential]])-Table4[[#This Row],[Away Differential]]</f>
        <v>-6.6769019651912231E-2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0.17784181108472058</v>
      </c>
      <c r="H1287" t="s">
        <v>25</v>
      </c>
      <c r="I1287">
        <f>VLOOKUP(Table4[[#This Row],[Visitor]],'NHL Model'!$A$6:$B$38,2,FALSE)</f>
        <v>0.45392063308446812</v>
      </c>
      <c r="J1287">
        <f>($B$1+Table4[[#This Row],[Home Differential]])-Table4[[#This Row],[Away Differential]]</f>
        <v>-0.201861168094917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-0.2855111111085496</v>
      </c>
      <c r="H1288" t="s">
        <v>13</v>
      </c>
      <c r="I1288">
        <f>VLOOKUP(Table4[[#This Row],[Visitor]],'NHL Model'!$A$6:$B$38,2,FALSE)</f>
        <v>1.584470710005189E-2</v>
      </c>
      <c r="J1288">
        <f>($B$1+Table4[[#This Row],[Home Differential]])-Table4[[#This Row],[Away Differential]]</f>
        <v>-0.22713816430377096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-0.96065798985911643</v>
      </c>
      <c r="H1289" t="s">
        <v>34</v>
      </c>
      <c r="I1289">
        <f>VLOOKUP(Table4[[#This Row],[Visitor]],'NHL Model'!$A$6:$B$38,2,FALSE)</f>
        <v>0.59379638322319717</v>
      </c>
      <c r="J1289">
        <f>($B$1+Table4[[#This Row],[Home Differential]])-Table4[[#This Row],[Away Differential]]</f>
        <v>-1.480236719177483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0.79636680320115127</v>
      </c>
      <c r="H1290" t="s">
        <v>26</v>
      </c>
      <c r="I1290">
        <f>VLOOKUP(Table4[[#This Row],[Visitor]],'NHL Model'!$A$6:$B$38,2,FALSE)</f>
        <v>-8.5361594338821137E-2</v>
      </c>
      <c r="J1290">
        <f>($B$1+Table4[[#This Row],[Home Differential]])-Table4[[#This Row],[Away Differential]]</f>
        <v>0.95594605144480294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-7.3686276472912369E-4</v>
      </c>
      <c r="H1291" t="s">
        <v>39</v>
      </c>
      <c r="I1291">
        <f>VLOOKUP(Table4[[#This Row],[Visitor]],'NHL Model'!$A$6:$B$38,2,FALSE)</f>
        <v>0.76796514781800074</v>
      </c>
      <c r="J1291">
        <f>($B$1+Table4[[#This Row],[Home Differential]])-Table4[[#This Row],[Away Differential]]</f>
        <v>-0.69448435667789932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0.58975509217395639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0.14556378660539449</v>
      </c>
      <c r="H1292" t="s">
        <v>40</v>
      </c>
      <c r="I1292">
        <f>VLOOKUP(Table4[[#This Row],[Visitor]],'NHL Model'!$A$6:$B$38,2,FALSE)</f>
        <v>-0.10659687498124908</v>
      </c>
      <c r="J1292">
        <f>($B$1+Table4[[#This Row],[Home Differential]])-Table4[[#This Row],[Away Differential]]</f>
        <v>0.32637831549147411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0.57520153168336585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3.9572996236628868E-2</v>
      </c>
      <c r="H1293" t="s">
        <v>24</v>
      </c>
      <c r="I1293">
        <f>VLOOKUP(Table4[[#This Row],[Visitor]],'NHL Model'!$A$6:$B$38,2,FALSE)</f>
        <v>-6.1952588060713437E-2</v>
      </c>
      <c r="J1293">
        <f>($B$1+Table4[[#This Row],[Home Differential]])-Table4[[#This Row],[Away Differential]]</f>
        <v>0.17574323820217283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-0.19727709229606127</v>
      </c>
      <c r="H1294" t="s">
        <v>22</v>
      </c>
      <c r="I1294">
        <f>VLOOKUP(Table4[[#This Row],[Visitor]],'NHL Model'!$A$6:$B$38,2,FALSE)</f>
        <v>0.45610704431993199</v>
      </c>
      <c r="J1294">
        <f>($B$1+Table4[[#This Row],[Home Differential]])-Table4[[#This Row],[Away Differential]]</f>
        <v>-0.57916648271116278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-0.21926170023436534</v>
      </c>
      <c r="H1295" t="s">
        <v>12</v>
      </c>
      <c r="I1295">
        <f>VLOOKUP(Table4[[#This Row],[Visitor]],'NHL Model'!$A$6:$B$38,2,FALSE)</f>
        <v>1.8591692540144091</v>
      </c>
      <c r="J1295">
        <f>($B$1+Table4[[#This Row],[Home Differential]])-Table4[[#This Row],[Away Differential]]</f>
        <v>-2.004213300343944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0.72335127440508251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0.59379638322319717</v>
      </c>
      <c r="H1296" t="s">
        <v>31</v>
      </c>
      <c r="I1296">
        <f>VLOOKUP(Table4[[#This Row],[Visitor]],'NHL Model'!$A$6:$B$38,2,FALSE)</f>
        <v>-6.6593655044643821E-4</v>
      </c>
      <c r="J1296">
        <f>($B$1+Table4[[#This Row],[Home Differential]])-Table4[[#This Row],[Away Differential]]</f>
        <v>0.66867997367847409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0.16690670582810133</v>
      </c>
      <c r="H1297" t="s">
        <v>25</v>
      </c>
      <c r="I1297">
        <f>VLOOKUP(Table4[[#This Row],[Visitor]],'NHL Model'!$A$6:$B$38,2,FALSE)</f>
        <v>0.45392063308446812</v>
      </c>
      <c r="J1297">
        <f>($B$1+Table4[[#This Row],[Home Differential]])-Table4[[#This Row],[Away Differential]]</f>
        <v>-0.21279627335153628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0.53784475808347132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0.17784181108472058</v>
      </c>
      <c r="H1298" t="s">
        <v>18</v>
      </c>
      <c r="I1298">
        <f>VLOOKUP(Table4[[#This Row],[Visitor]],'NHL Model'!$A$6:$B$38,2,FALSE)</f>
        <v>0.10902894471156278</v>
      </c>
      <c r="J1298">
        <f>($B$1+Table4[[#This Row],[Home Differential]])-Table4[[#This Row],[Away Differential]]</f>
        <v>0.14303052027798835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0.49368742565756124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-0.96065798985911643</v>
      </c>
      <c r="H1299" t="s">
        <v>14</v>
      </c>
      <c r="I1299">
        <f>VLOOKUP(Table4[[#This Row],[Visitor]],'NHL Model'!$A$6:$B$38,2,FALSE)</f>
        <v>3.9336367625328564E-2</v>
      </c>
      <c r="J1299">
        <f>($B$1+Table4[[#This Row],[Home Differential]])-Table4[[#This Row],[Away Differential]]</f>
        <v>-0.9257767035796145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0.56713936163962808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0.3142836898216293</v>
      </c>
      <c r="H1300" t="s">
        <v>40</v>
      </c>
      <c r="I1300">
        <f>VLOOKUP(Table4[[#This Row],[Visitor]],'NHL Model'!$A$6:$B$38,2,FALSE)</f>
        <v>-0.10659687498124908</v>
      </c>
      <c r="J1300">
        <f>($B$1+Table4[[#This Row],[Home Differential]])-Table4[[#This Row],[Away Differential]]</f>
        <v>0.49509821870770893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-0.48278309788469043</v>
      </c>
      <c r="H1301" t="s">
        <v>13</v>
      </c>
      <c r="I1301">
        <f>VLOOKUP(Table4[[#This Row],[Visitor]],'NHL Model'!$A$6:$B$38,2,FALSE)</f>
        <v>1.584470710005189E-2</v>
      </c>
      <c r="J1301">
        <f>($B$1+Table4[[#This Row],[Home Differential]])-Table4[[#This Row],[Away Differential]]</f>
        <v>-0.42441015107991176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0.18511137883580026</v>
      </c>
      <c r="H1302" t="s">
        <v>39</v>
      </c>
      <c r="I1302">
        <f>VLOOKUP(Table4[[#This Row],[Visitor]],'NHL Model'!$A$6:$B$38,2,FALSE)</f>
        <v>0.76796514781800074</v>
      </c>
      <c r="J1302">
        <f>($B$1+Table4[[#This Row],[Home Differential]])-Table4[[#This Row],[Away Differential]]</f>
        <v>-0.50863611507736994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0.54984892576101685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-0.39984103039900787</v>
      </c>
      <c r="H1303" t="s">
        <v>33</v>
      </c>
      <c r="I1303">
        <f>VLOOKUP(Table4[[#This Row],[Visitor]],'NHL Model'!$A$6:$B$38,2,FALSE)</f>
        <v>-0.17930549805059143</v>
      </c>
      <c r="J1303">
        <f>($B$1+Table4[[#This Row],[Home Differential]])-Table4[[#This Row],[Away Differential]]</f>
        <v>-0.1463178784435859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0.19285186127150866</v>
      </c>
      <c r="H1304" t="s">
        <v>26</v>
      </c>
      <c r="I1304">
        <f>VLOOKUP(Table4[[#This Row],[Visitor]],'NHL Model'!$A$6:$B$38,2,FALSE)</f>
        <v>-8.5361594338821137E-2</v>
      </c>
      <c r="J1304">
        <f>($B$1+Table4[[#This Row],[Home Differential]])-Table4[[#This Row],[Away Differential]]</f>
        <v>0.35243110951516032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9.4361646617848058E-2</v>
      </c>
      <c r="H1305" t="s">
        <v>19</v>
      </c>
      <c r="I1305">
        <f>VLOOKUP(Table4[[#This Row],[Visitor]],'NHL Model'!$A$6:$B$38,2,FALSE)</f>
        <v>-7.3686276472912369E-4</v>
      </c>
      <c r="J1305">
        <f>($B$1+Table4[[#This Row],[Home Differential]])-Table4[[#This Row],[Away Differential]]</f>
        <v>0.1693161632874077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0.79636680320115127</v>
      </c>
      <c r="H1306" t="s">
        <v>15</v>
      </c>
      <c r="I1306">
        <f>VLOOKUP(Table4[[#This Row],[Visitor]],'NHL Model'!$A$6:$B$38,2,FALSE)</f>
        <v>-6.2506340836952119E-3</v>
      </c>
      <c r="J1306">
        <f>($B$1+Table4[[#This Row],[Home Differential]])-Table4[[#This Row],[Away Differential]]</f>
        <v>0.87683509118967695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0.14556378660539449</v>
      </c>
      <c r="H1307" t="s">
        <v>32</v>
      </c>
      <c r="I1307">
        <f>VLOOKUP(Table4[[#This Row],[Visitor]],'NHL Model'!$A$6:$B$38,2,FALSE)</f>
        <v>-0.2855111111085496</v>
      </c>
      <c r="J1307">
        <f>($B$1+Table4[[#This Row],[Home Differential]])-Table4[[#This Row],[Away Differential]]</f>
        <v>0.50529255161877462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-0.21926170023436534</v>
      </c>
      <c r="H1308" t="s">
        <v>13</v>
      </c>
      <c r="I1308">
        <f>VLOOKUP(Table4[[#This Row],[Visitor]],'NHL Model'!$A$6:$B$38,2,FALSE)</f>
        <v>1.584470710005189E-2</v>
      </c>
      <c r="J1308">
        <f>($B$1+Table4[[#This Row],[Home Differential]])-Table4[[#This Row],[Away Differential]]</f>
        <v>-0.16088875342958672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1.8591692540144091</v>
      </c>
      <c r="H1309" t="s">
        <v>32</v>
      </c>
      <c r="I1309">
        <f>VLOOKUP(Table4[[#This Row],[Visitor]],'NHL Model'!$A$6:$B$38,2,FALSE)</f>
        <v>-0.2855111111085496</v>
      </c>
      <c r="J1309">
        <f>($B$1+Table4[[#This Row],[Home Differential]])-Table4[[#This Row],[Away Differential]]</f>
        <v>2.2188980190277894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0.89976989586415623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7.1049614431123245E-2</v>
      </c>
      <c r="H1310" t="s">
        <v>38</v>
      </c>
      <c r="I1310">
        <f>VLOOKUP(Table4[[#This Row],[Visitor]],'NHL Model'!$A$6:$B$38,2,FALSE)</f>
        <v>-0.48278309788469043</v>
      </c>
      <c r="J1310">
        <f>($B$1+Table4[[#This Row],[Home Differential]])-Table4[[#This Row],[Away Differential]]</f>
        <v>0.62805036622064425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-0.3202921716073342</v>
      </c>
      <c r="H1311" t="s">
        <v>31</v>
      </c>
      <c r="I1311">
        <f>VLOOKUP(Table4[[#This Row],[Visitor]],'NHL Model'!$A$6:$B$38,2,FALSE)</f>
        <v>-6.6593655044643821E-4</v>
      </c>
      <c r="J1311">
        <f>($B$1+Table4[[#This Row],[Home Differential]])-Table4[[#This Row],[Away Differential]]</f>
        <v>-0.24540858115205721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0.3142836898216293</v>
      </c>
      <c r="H1312" t="s">
        <v>35</v>
      </c>
      <c r="I1312">
        <f>VLOOKUP(Table4[[#This Row],[Visitor]],'NHL Model'!$A$6:$B$38,2,FALSE)</f>
        <v>-0.96065798985911643</v>
      </c>
      <c r="J1312">
        <f>($B$1+Table4[[#This Row],[Home Differential]])-Table4[[#This Row],[Away Differential]]</f>
        <v>1.3491593335855763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-0.10659687498124908</v>
      </c>
      <c r="H1313" t="s">
        <v>33</v>
      </c>
      <c r="I1313">
        <f>VLOOKUP(Table4[[#This Row],[Visitor]],'NHL Model'!$A$6:$B$38,2,FALSE)</f>
        <v>-0.17930549805059143</v>
      </c>
      <c r="J1313">
        <f>($B$1+Table4[[#This Row],[Home Differential]])-Table4[[#This Row],[Away Differential]]</f>
        <v>0.14692627697417288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0.54855701328633266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40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3.8421052631578947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39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0.54166666666666663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3.4545454545454546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41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0.57894736842105265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3.0526315789473686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3.0666666666666669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42</v>
      </c>
      <c r="C20">
        <f>COUNTIF(NHL2025_26Results[Winning Team],Standings!A20)</f>
        <v>19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0.58333333333333337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3.3636363636363638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2.6818181818181817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38</v>
      </c>
      <c r="C25">
        <f>COUNTIF(NHL2025_26Results[Winning Team],Standings!A25)</f>
        <v>17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41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41</v>
      </c>
      <c r="C26">
        <f>COUNTIF(NHL2025_26Results[Winning Team],Standings!A26)</f>
        <v>15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39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2.9333333333333331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3.9411764705882355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38</v>
      </c>
      <c r="C31">
        <f>COUNTIF(NHL2025_26Results[Winning Team],Standings!A31)</f>
        <v>17</v>
      </c>
      <c r="D31">
        <f>COUNTIFS('NHL2025-26Results'!$H:$H,A31,'NHL2025-26Results'!$F:$F,"")</f>
        <v>10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19"/>
  <sheetViews>
    <sheetView tabSelected="1" topLeftCell="A17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17</v>
      </c>
      <c r="D23" s="19" t="s">
        <v>40</v>
      </c>
      <c r="E23" s="19" t="s">
        <v>17</v>
      </c>
      <c r="F23">
        <v>4</v>
      </c>
      <c r="G23">
        <v>3</v>
      </c>
      <c r="H23">
        <v>0.78990000000000005</v>
      </c>
      <c r="I23" s="19" t="s">
        <v>249</v>
      </c>
      <c r="J23" s="19" t="s">
        <v>40</v>
      </c>
      <c r="K23">
        <v>3</v>
      </c>
      <c r="L23">
        <v>2</v>
      </c>
      <c r="M23">
        <v>-0.33</v>
      </c>
      <c r="N23" s="19" t="s">
        <v>17</v>
      </c>
      <c r="O23" s="19" t="s">
        <v>288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19</v>
      </c>
      <c r="D27" s="19" t="s">
        <v>18</v>
      </c>
      <c r="E27" s="19" t="s">
        <v>19</v>
      </c>
      <c r="F27">
        <v>4</v>
      </c>
      <c r="G27">
        <v>3</v>
      </c>
      <c r="H27">
        <v>0.60129999999999995</v>
      </c>
      <c r="I27" s="19" t="s">
        <v>249</v>
      </c>
      <c r="J27" s="19" t="s">
        <v>19</v>
      </c>
      <c r="K27">
        <v>3</v>
      </c>
      <c r="L27">
        <v>2</v>
      </c>
      <c r="M27">
        <v>0.33</v>
      </c>
      <c r="N27" s="19" t="s">
        <v>18</v>
      </c>
      <c r="O27" s="19" t="s">
        <v>287</v>
      </c>
      <c r="P27" s="19" t="s">
        <v>284</v>
      </c>
      <c r="Q27" s="19" t="s">
        <v>287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1714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22</v>
      </c>
      <c r="D63" s="19" t="s">
        <v>25</v>
      </c>
      <c r="E63" s="19" t="s">
        <v>25</v>
      </c>
      <c r="F63">
        <v>3</v>
      </c>
      <c r="G63">
        <v>4</v>
      </c>
      <c r="H63">
        <v>0.52529999999999999</v>
      </c>
      <c r="I63" s="19" t="s">
        <v>249</v>
      </c>
      <c r="J63" s="19" t="s">
        <v>22</v>
      </c>
      <c r="K63">
        <v>3</v>
      </c>
      <c r="L63">
        <v>2</v>
      </c>
      <c r="M63">
        <v>0.48</v>
      </c>
      <c r="N63" s="19" t="s">
        <v>25</v>
      </c>
      <c r="O63" s="19" t="s">
        <v>284</v>
      </c>
      <c r="P63" s="19" t="s">
        <v>291</v>
      </c>
      <c r="Q63" s="19" t="s">
        <v>287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14</v>
      </c>
      <c r="D65" s="19" t="s">
        <v>18</v>
      </c>
      <c r="E65" s="19" t="s">
        <v>18</v>
      </c>
      <c r="F65">
        <v>3</v>
      </c>
      <c r="G65">
        <v>4</v>
      </c>
      <c r="H65">
        <v>0.73029999999999995</v>
      </c>
      <c r="I65" s="19" t="s">
        <v>249</v>
      </c>
      <c r="J65" s="19" t="s">
        <v>14</v>
      </c>
      <c r="K65">
        <v>3</v>
      </c>
      <c r="L65">
        <v>2</v>
      </c>
      <c r="M65">
        <v>0.77</v>
      </c>
      <c r="N65" s="19" t="s">
        <v>18</v>
      </c>
      <c r="O65" s="19" t="s">
        <v>284</v>
      </c>
      <c r="P65" s="19" t="s">
        <v>289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12</v>
      </c>
      <c r="D66" s="19" t="s">
        <v>11</v>
      </c>
      <c r="E66" s="19" t="s">
        <v>12</v>
      </c>
      <c r="F66">
        <v>4</v>
      </c>
      <c r="G66">
        <v>1</v>
      </c>
      <c r="H66">
        <v>0.94750000000000001</v>
      </c>
      <c r="I66" s="19" t="s">
        <v>249</v>
      </c>
      <c r="J66" s="19" t="s">
        <v>12</v>
      </c>
      <c r="K66">
        <v>3</v>
      </c>
      <c r="L66">
        <v>2</v>
      </c>
      <c r="M66">
        <v>1.69</v>
      </c>
      <c r="N66" s="19" t="s">
        <v>12</v>
      </c>
      <c r="O66" s="19" t="s">
        <v>288</v>
      </c>
      <c r="P66" s="19" t="s">
        <v>284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34</v>
      </c>
      <c r="D67" s="19" t="s">
        <v>39</v>
      </c>
      <c r="E67" s="19" t="s">
        <v>34</v>
      </c>
      <c r="F67">
        <v>3</v>
      </c>
      <c r="G67">
        <v>2</v>
      </c>
      <c r="H67">
        <v>0.73089999999999999</v>
      </c>
      <c r="I67" s="19" t="s">
        <v>248</v>
      </c>
      <c r="J67" s="19" t="s">
        <v>39</v>
      </c>
      <c r="K67">
        <v>3</v>
      </c>
      <c r="L67">
        <v>2</v>
      </c>
      <c r="M67">
        <v>-0.66</v>
      </c>
      <c r="N67" s="19" t="s">
        <v>34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40</v>
      </c>
      <c r="D68" s="19" t="s">
        <v>21</v>
      </c>
      <c r="E68" s="19" t="s">
        <v>40</v>
      </c>
      <c r="F68">
        <v>3</v>
      </c>
      <c r="G68">
        <v>2</v>
      </c>
      <c r="H68">
        <v>0.61360000000000003</v>
      </c>
      <c r="I68" s="19" t="s">
        <v>249</v>
      </c>
      <c r="J68" s="19" t="s">
        <v>21</v>
      </c>
      <c r="K68">
        <v>3</v>
      </c>
      <c r="L68">
        <v>2</v>
      </c>
      <c r="M68">
        <v>-0.28000000000000003</v>
      </c>
      <c r="N68" s="19" t="s">
        <v>21</v>
      </c>
      <c r="O68" s="19" t="s">
        <v>291</v>
      </c>
      <c r="P68" s="19" t="s">
        <v>288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0.52083333333333337</v>
      </c>
      <c r="C74" s="19" t="s">
        <v>24</v>
      </c>
      <c r="D74" s="19" t="s">
        <v>31</v>
      </c>
      <c r="E74" s="19" t="s">
        <v>31</v>
      </c>
      <c r="F74">
        <v>3</v>
      </c>
      <c r="G74">
        <v>4</v>
      </c>
      <c r="H74">
        <v>0.55169999999999997</v>
      </c>
      <c r="I74" s="19" t="s">
        <v>249</v>
      </c>
      <c r="J74" s="19" t="s">
        <v>31</v>
      </c>
      <c r="K74">
        <v>3</v>
      </c>
      <c r="L74">
        <v>2</v>
      </c>
      <c r="M74">
        <v>-0.35</v>
      </c>
      <c r="N74" s="19" t="s">
        <v>24</v>
      </c>
      <c r="O74" s="19" t="s">
        <v>289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0.83333333333333337</v>
      </c>
      <c r="C75" s="19" t="s">
        <v>39</v>
      </c>
      <c r="D75" s="19" t="s">
        <v>11</v>
      </c>
      <c r="E75" s="19" t="s">
        <v>39</v>
      </c>
      <c r="F75">
        <v>4</v>
      </c>
      <c r="G75">
        <v>3</v>
      </c>
      <c r="H75">
        <v>0.54620000000000002</v>
      </c>
      <c r="I75" s="19" t="s">
        <v>249</v>
      </c>
      <c r="J75" s="19" t="s">
        <v>39</v>
      </c>
      <c r="K75">
        <v>3</v>
      </c>
      <c r="L75">
        <v>2</v>
      </c>
      <c r="M75">
        <v>0.95</v>
      </c>
      <c r="N75" s="19" t="s">
        <v>11</v>
      </c>
      <c r="O75" s="19" t="s">
        <v>285</v>
      </c>
      <c r="P75" s="19" t="s">
        <v>289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0.91666666666666663</v>
      </c>
      <c r="C76" s="19" t="s">
        <v>13</v>
      </c>
      <c r="D76" s="19" t="s">
        <v>16</v>
      </c>
      <c r="E76" s="19" t="s">
        <v>13</v>
      </c>
      <c r="F76">
        <v>3</v>
      </c>
      <c r="G76">
        <v>1</v>
      </c>
      <c r="H76">
        <v>0.80530000000000002</v>
      </c>
      <c r="I76" s="19" t="s">
        <v>249</v>
      </c>
      <c r="J76" s="19" t="s">
        <v>13</v>
      </c>
      <c r="K76">
        <v>3</v>
      </c>
      <c r="L76">
        <v>2</v>
      </c>
      <c r="M76">
        <v>0.77</v>
      </c>
      <c r="N76" s="19" t="s">
        <v>16</v>
      </c>
      <c r="O76" s="19" t="s">
        <v>287</v>
      </c>
      <c r="P76" s="19" t="s">
        <v>284</v>
      </c>
      <c r="Q76" s="19" t="s">
        <v>287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0.83333333333333337</v>
      </c>
      <c r="C78" s="19" t="s">
        <v>10</v>
      </c>
      <c r="D78" s="19" t="s">
        <v>26</v>
      </c>
      <c r="E78" s="19" t="s">
        <v>26</v>
      </c>
      <c r="F78">
        <v>3</v>
      </c>
      <c r="G78">
        <v>4</v>
      </c>
      <c r="H78">
        <v>0.53810000000000002</v>
      </c>
      <c r="I78" s="19" t="s">
        <v>248</v>
      </c>
      <c r="J78" s="19" t="s">
        <v>10</v>
      </c>
      <c r="K78">
        <v>3</v>
      </c>
      <c r="L78">
        <v>2</v>
      </c>
      <c r="M78">
        <v>0.28000000000000003</v>
      </c>
      <c r="N78" s="19" t="s">
        <v>26</v>
      </c>
      <c r="O78" s="19" t="s">
        <v>285</v>
      </c>
      <c r="P78" s="19" t="s">
        <v>289</v>
      </c>
      <c r="Q78" s="19" t="s">
        <v>285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0.58333333333333337</v>
      </c>
      <c r="C80" s="19" t="s">
        <v>34</v>
      </c>
      <c r="D80" s="19" t="s">
        <v>36</v>
      </c>
      <c r="E80" s="19" t="s">
        <v>36</v>
      </c>
      <c r="F80">
        <v>3</v>
      </c>
      <c r="G80">
        <v>4</v>
      </c>
      <c r="H80">
        <v>0.67749999999999999</v>
      </c>
      <c r="I80" s="19" t="s">
        <v>248</v>
      </c>
      <c r="J80" s="19" t="s">
        <v>34</v>
      </c>
      <c r="K80">
        <v>3</v>
      </c>
      <c r="L80">
        <v>2</v>
      </c>
      <c r="M80">
        <v>0.41</v>
      </c>
      <c r="N80" s="19" t="s">
        <v>34</v>
      </c>
      <c r="O80" s="19" t="s">
        <v>291</v>
      </c>
      <c r="P80" s="19" t="s">
        <v>284</v>
      </c>
      <c r="Q80" s="19" t="s">
        <v>285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27</v>
      </c>
      <c r="D83" s="19" t="s">
        <v>25</v>
      </c>
      <c r="E83" s="19" t="s">
        <v>25</v>
      </c>
      <c r="F83">
        <v>2</v>
      </c>
      <c r="G83">
        <v>3</v>
      </c>
      <c r="H83">
        <v>0.73609999999999998</v>
      </c>
      <c r="I83" s="19" t="s">
        <v>249</v>
      </c>
      <c r="J83" s="19" t="s">
        <v>25</v>
      </c>
      <c r="K83">
        <v>3</v>
      </c>
      <c r="L83">
        <v>2</v>
      </c>
      <c r="M83">
        <v>-0.39</v>
      </c>
      <c r="N83" s="19" t="s">
        <v>25</v>
      </c>
      <c r="O83" s="19" t="s">
        <v>291</v>
      </c>
      <c r="P83" s="19" t="s">
        <v>289</v>
      </c>
      <c r="Q83" s="19" t="s">
        <v>287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21</v>
      </c>
      <c r="D95" s="19" t="s">
        <v>55</v>
      </c>
      <c r="E95" s="19" t="s">
        <v>21</v>
      </c>
      <c r="F95">
        <v>4</v>
      </c>
      <c r="G95">
        <v>3</v>
      </c>
      <c r="H95">
        <v>0.66569999999999996</v>
      </c>
      <c r="I95" s="19" t="s">
        <v>249</v>
      </c>
      <c r="J95" s="19" t="s">
        <v>21</v>
      </c>
      <c r="K95">
        <v>3</v>
      </c>
      <c r="L95">
        <v>2</v>
      </c>
      <c r="M95">
        <v>0.17</v>
      </c>
      <c r="N95" s="19" t="s">
        <v>21</v>
      </c>
      <c r="O95" s="19" t="s">
        <v>289</v>
      </c>
      <c r="P95" s="19" t="s">
        <v>287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32</v>
      </c>
      <c r="D100" s="19" t="s">
        <v>12</v>
      </c>
      <c r="E100" s="19" t="s">
        <v>12</v>
      </c>
      <c r="F100">
        <v>1</v>
      </c>
      <c r="G100">
        <v>2</v>
      </c>
      <c r="H100">
        <v>0.81510000000000005</v>
      </c>
      <c r="I100" s="19" t="s">
        <v>249</v>
      </c>
      <c r="J100" s="19" t="s">
        <v>12</v>
      </c>
      <c r="K100">
        <v>3</v>
      </c>
      <c r="L100">
        <v>2</v>
      </c>
      <c r="M100">
        <v>-2.2999999999999998</v>
      </c>
      <c r="N100" s="19" t="s">
        <v>12</v>
      </c>
      <c r="O100" s="19" t="s">
        <v>291</v>
      </c>
      <c r="P100" s="19" t="s">
        <v>283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36</v>
      </c>
      <c r="D113" s="19" t="s">
        <v>14</v>
      </c>
      <c r="E113" s="19" t="s">
        <v>14</v>
      </c>
      <c r="F113">
        <v>3</v>
      </c>
      <c r="G113">
        <v>4</v>
      </c>
      <c r="H113">
        <v>0.58830000000000005</v>
      </c>
      <c r="I113" s="19" t="s">
        <v>249</v>
      </c>
      <c r="J113" s="19" t="s">
        <v>14</v>
      </c>
      <c r="K113">
        <v>3</v>
      </c>
      <c r="L113">
        <v>2</v>
      </c>
      <c r="M113">
        <v>-0.03</v>
      </c>
      <c r="N113" s="19" t="s">
        <v>36</v>
      </c>
      <c r="O113" s="19" t="s">
        <v>289</v>
      </c>
      <c r="P113" s="19" t="s">
        <v>285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0.91666666666666663</v>
      </c>
      <c r="C114" s="19" t="s">
        <v>33</v>
      </c>
      <c r="D114" s="19" t="s">
        <v>39</v>
      </c>
      <c r="E114" s="19" t="s">
        <v>39</v>
      </c>
      <c r="F114">
        <v>2</v>
      </c>
      <c r="G114">
        <v>4</v>
      </c>
      <c r="H114">
        <v>0.74929999999999997</v>
      </c>
      <c r="I114" s="19" t="s">
        <v>249</v>
      </c>
      <c r="J114" s="19" t="s">
        <v>39</v>
      </c>
      <c r="K114">
        <v>3</v>
      </c>
      <c r="L114">
        <v>2</v>
      </c>
      <c r="M114">
        <v>-0.81</v>
      </c>
      <c r="N114" s="19" t="s">
        <v>39</v>
      </c>
      <c r="O114" s="19" t="s">
        <v>291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0.70833333333333337</v>
      </c>
      <c r="C126" s="19" t="s">
        <v>23</v>
      </c>
      <c r="D126" s="19" t="s">
        <v>30</v>
      </c>
      <c r="E126" s="19" t="s">
        <v>30</v>
      </c>
      <c r="F126">
        <v>2</v>
      </c>
      <c r="G126">
        <v>3</v>
      </c>
      <c r="H126">
        <v>0.63270000000000004</v>
      </c>
      <c r="I126" s="19" t="s">
        <v>249</v>
      </c>
      <c r="J126" s="19" t="s">
        <v>30</v>
      </c>
      <c r="K126">
        <v>3</v>
      </c>
      <c r="L126">
        <v>2</v>
      </c>
      <c r="M126">
        <v>-0.45</v>
      </c>
      <c r="N126" s="19" t="s">
        <v>23</v>
      </c>
      <c r="O126" s="19" t="s">
        <v>291</v>
      </c>
      <c r="P126" s="19" t="s">
        <v>284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18</v>
      </c>
      <c r="D127" s="19" t="s">
        <v>14</v>
      </c>
      <c r="E127" s="19" t="s">
        <v>14</v>
      </c>
      <c r="F127">
        <v>3</v>
      </c>
      <c r="G127">
        <v>4</v>
      </c>
      <c r="H127">
        <v>0.5988</v>
      </c>
      <c r="I127" s="19" t="s">
        <v>249</v>
      </c>
      <c r="J127" s="19" t="s">
        <v>14</v>
      </c>
      <c r="K127">
        <v>3</v>
      </c>
      <c r="L127">
        <v>2</v>
      </c>
      <c r="M127">
        <v>-0.11</v>
      </c>
      <c r="N127" s="19" t="s">
        <v>18</v>
      </c>
      <c r="O127" s="19" t="s">
        <v>289</v>
      </c>
      <c r="P127" s="19" t="s">
        <v>285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33</v>
      </c>
      <c r="D130" s="19" t="s">
        <v>32</v>
      </c>
      <c r="E130" s="19" t="s">
        <v>33</v>
      </c>
      <c r="F130">
        <v>4</v>
      </c>
      <c r="G130">
        <v>3</v>
      </c>
      <c r="H130">
        <v>0.73929999999999996</v>
      </c>
      <c r="I130" s="19" t="s">
        <v>248</v>
      </c>
      <c r="J130" s="19" t="s">
        <v>33</v>
      </c>
      <c r="K130">
        <v>3</v>
      </c>
      <c r="L130">
        <v>2</v>
      </c>
      <c r="M130">
        <v>0.57999999999999996</v>
      </c>
      <c r="N130" s="19" t="s">
        <v>32</v>
      </c>
      <c r="O130" s="19" t="s">
        <v>284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34</v>
      </c>
      <c r="D131" s="19" t="s">
        <v>17</v>
      </c>
      <c r="E131" s="19" t="s">
        <v>17</v>
      </c>
      <c r="F131">
        <v>4</v>
      </c>
      <c r="G131">
        <v>5</v>
      </c>
      <c r="H131">
        <v>0.55320000000000003</v>
      </c>
      <c r="I131" s="19" t="s">
        <v>248</v>
      </c>
      <c r="J131" s="19" t="s">
        <v>34</v>
      </c>
      <c r="K131">
        <v>3</v>
      </c>
      <c r="L131">
        <v>2</v>
      </c>
      <c r="M131">
        <v>0.67</v>
      </c>
      <c r="N131" s="19" t="s">
        <v>34</v>
      </c>
      <c r="O131" s="19" t="s">
        <v>283</v>
      </c>
      <c r="P131" s="19" t="s">
        <v>284</v>
      </c>
      <c r="Q131" s="19" t="s">
        <v>285</v>
      </c>
      <c r="R131" s="19" t="s">
        <v>249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37</v>
      </c>
      <c r="D134" s="19" t="s">
        <v>25</v>
      </c>
      <c r="E134" s="19" t="s">
        <v>25</v>
      </c>
      <c r="F134">
        <v>2</v>
      </c>
      <c r="G134">
        <v>3</v>
      </c>
      <c r="H134">
        <v>0.55740000000000001</v>
      </c>
      <c r="I134" s="19" t="s">
        <v>249</v>
      </c>
      <c r="J134" s="19" t="s">
        <v>25</v>
      </c>
      <c r="K134">
        <v>3</v>
      </c>
      <c r="L134">
        <v>2</v>
      </c>
      <c r="M134">
        <v>-0.03</v>
      </c>
      <c r="N134" s="19" t="s">
        <v>37</v>
      </c>
      <c r="O134" s="19" t="s">
        <v>288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21</v>
      </c>
      <c r="D136" s="19" t="s">
        <v>38</v>
      </c>
      <c r="E136" s="19" t="s">
        <v>38</v>
      </c>
      <c r="F136">
        <v>3</v>
      </c>
      <c r="G136">
        <v>4</v>
      </c>
      <c r="H136">
        <v>0.5171</v>
      </c>
      <c r="I136" s="19" t="s">
        <v>249</v>
      </c>
      <c r="J136" s="19" t="s">
        <v>21</v>
      </c>
      <c r="K136">
        <v>3</v>
      </c>
      <c r="L136">
        <v>2</v>
      </c>
      <c r="M136">
        <v>0.75</v>
      </c>
      <c r="N136" s="19" t="s">
        <v>38</v>
      </c>
      <c r="O136" s="19" t="s">
        <v>289</v>
      </c>
      <c r="P136" s="19" t="s">
        <v>283</v>
      </c>
      <c r="Q136" s="19" t="s">
        <v>287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29</v>
      </c>
      <c r="D137" s="19" t="s">
        <v>19</v>
      </c>
      <c r="E137" s="19" t="s">
        <v>29</v>
      </c>
      <c r="F137">
        <v>3</v>
      </c>
      <c r="G137">
        <v>2</v>
      </c>
      <c r="H137">
        <v>0.69740000000000002</v>
      </c>
      <c r="I137" s="19" t="s">
        <v>249</v>
      </c>
      <c r="J137" s="19" t="s">
        <v>19</v>
      </c>
      <c r="K137">
        <v>3</v>
      </c>
      <c r="L137">
        <v>2</v>
      </c>
      <c r="M137">
        <v>-0.41</v>
      </c>
      <c r="N137" s="19" t="s">
        <v>29</v>
      </c>
      <c r="O137" s="19" t="s">
        <v>283</v>
      </c>
      <c r="P137" s="19" t="s">
        <v>291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0.54166666666666663</v>
      </c>
      <c r="C146" s="19" t="s">
        <v>26</v>
      </c>
      <c r="D146" s="19" t="s">
        <v>22</v>
      </c>
      <c r="E146" s="19" t="s">
        <v>26</v>
      </c>
      <c r="F146">
        <v>5</v>
      </c>
      <c r="G146">
        <v>4</v>
      </c>
      <c r="H146">
        <v>0.50509999999999999</v>
      </c>
      <c r="I146" s="19" t="s">
        <v>249</v>
      </c>
      <c r="J146" s="19" t="s">
        <v>22</v>
      </c>
      <c r="K146">
        <v>3</v>
      </c>
      <c r="L146">
        <v>2</v>
      </c>
      <c r="M146">
        <v>-0.73</v>
      </c>
      <c r="N146" s="19" t="s">
        <v>26</v>
      </c>
      <c r="O146" s="19" t="s">
        <v>291</v>
      </c>
      <c r="P146" s="19" t="s">
        <v>284</v>
      </c>
      <c r="Q146" s="19" t="s">
        <v>287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30</v>
      </c>
      <c r="D155" s="19" t="s">
        <v>24</v>
      </c>
      <c r="E155" s="19" t="s">
        <v>24</v>
      </c>
      <c r="F155">
        <v>3</v>
      </c>
      <c r="G155">
        <v>4</v>
      </c>
      <c r="H155">
        <v>0.6946</v>
      </c>
      <c r="I155" s="19" t="s">
        <v>249</v>
      </c>
      <c r="J155" s="19" t="s">
        <v>30</v>
      </c>
      <c r="K155">
        <v>3</v>
      </c>
      <c r="L155">
        <v>2</v>
      </c>
      <c r="M155">
        <v>0.33</v>
      </c>
      <c r="N155" s="19" t="s">
        <v>30</v>
      </c>
      <c r="O155" s="19" t="s">
        <v>284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12</v>
      </c>
      <c r="D161" s="19" t="s">
        <v>55</v>
      </c>
      <c r="E161" s="19" t="s">
        <v>12</v>
      </c>
      <c r="F161">
        <v>5</v>
      </c>
      <c r="G161">
        <v>1</v>
      </c>
      <c r="H161">
        <v>0.87890000000000001</v>
      </c>
      <c r="I161" s="19" t="s">
        <v>249</v>
      </c>
      <c r="J161" s="19" t="s">
        <v>12</v>
      </c>
      <c r="K161">
        <v>3</v>
      </c>
      <c r="L161">
        <v>2</v>
      </c>
      <c r="M161">
        <v>1.68</v>
      </c>
      <c r="N161" s="19" t="s">
        <v>12</v>
      </c>
      <c r="O161" s="19" t="s">
        <v>287</v>
      </c>
      <c r="P161" s="19" t="s">
        <v>285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10</v>
      </c>
      <c r="D162" s="19" t="s">
        <v>27</v>
      </c>
      <c r="E162" s="19" t="s">
        <v>27</v>
      </c>
      <c r="F162">
        <v>3</v>
      </c>
      <c r="G162">
        <v>4</v>
      </c>
      <c r="H162">
        <v>0.52180000000000004</v>
      </c>
      <c r="I162" s="19" t="s">
        <v>249</v>
      </c>
      <c r="J162" s="19" t="s">
        <v>27</v>
      </c>
      <c r="K162">
        <v>3</v>
      </c>
      <c r="L162">
        <v>2</v>
      </c>
      <c r="M162">
        <v>-0.59</v>
      </c>
      <c r="N162" s="19" t="s">
        <v>27</v>
      </c>
      <c r="O162" s="19" t="s">
        <v>287</v>
      </c>
      <c r="P162" s="19" t="s">
        <v>291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17</v>
      </c>
      <c r="D163" s="19" t="s">
        <v>16</v>
      </c>
      <c r="E163" s="19" t="s">
        <v>16</v>
      </c>
      <c r="F163">
        <v>3</v>
      </c>
      <c r="G163">
        <v>4</v>
      </c>
      <c r="H163">
        <v>0.622</v>
      </c>
      <c r="I163" s="19" t="s">
        <v>248</v>
      </c>
      <c r="J163" s="19" t="s">
        <v>17</v>
      </c>
      <c r="K163">
        <v>3</v>
      </c>
      <c r="L163">
        <v>2</v>
      </c>
      <c r="M163">
        <v>0.43</v>
      </c>
      <c r="N163" s="19" t="s">
        <v>17</v>
      </c>
      <c r="O163" s="19" t="s">
        <v>283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35</v>
      </c>
      <c r="O166" s="19" t="s">
        <v>291</v>
      </c>
      <c r="P166" s="19" t="s">
        <v>284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40</v>
      </c>
      <c r="D167" s="19" t="s">
        <v>34</v>
      </c>
      <c r="E167" s="19" t="s">
        <v>34</v>
      </c>
      <c r="F167">
        <v>2</v>
      </c>
      <c r="G167">
        <v>3</v>
      </c>
      <c r="H167">
        <v>0.83430000000000004</v>
      </c>
      <c r="I167" s="19" t="s">
        <v>249</v>
      </c>
      <c r="J167" s="19" t="s">
        <v>34</v>
      </c>
      <c r="K167">
        <v>3</v>
      </c>
      <c r="L167">
        <v>2</v>
      </c>
      <c r="M167">
        <v>-0.52</v>
      </c>
      <c r="N167" s="19" t="s">
        <v>34</v>
      </c>
      <c r="O167" s="19" t="s">
        <v>291</v>
      </c>
      <c r="P167" s="19" t="s">
        <v>289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11</v>
      </c>
      <c r="D168" s="19" t="s">
        <v>37</v>
      </c>
      <c r="E168" s="19" t="s">
        <v>37</v>
      </c>
      <c r="F168">
        <v>3</v>
      </c>
      <c r="G168">
        <v>4</v>
      </c>
      <c r="H168">
        <v>0.78510000000000002</v>
      </c>
      <c r="I168" s="19" t="s">
        <v>249</v>
      </c>
      <c r="J168" s="19" t="s">
        <v>37</v>
      </c>
      <c r="K168">
        <v>3</v>
      </c>
      <c r="L168">
        <v>2</v>
      </c>
      <c r="M168">
        <v>-0.45</v>
      </c>
      <c r="N168" s="19" t="s">
        <v>37</v>
      </c>
      <c r="O168" s="19" t="s">
        <v>284</v>
      </c>
      <c r="P168" s="19" t="s">
        <v>289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10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19</v>
      </c>
      <c r="D171" s="19" t="s">
        <v>36</v>
      </c>
      <c r="E171" s="19" t="s">
        <v>36</v>
      </c>
      <c r="F171">
        <v>4</v>
      </c>
      <c r="G171">
        <v>5</v>
      </c>
      <c r="H171">
        <v>0.73709999999999998</v>
      </c>
      <c r="I171" s="19" t="s">
        <v>249</v>
      </c>
      <c r="J171" s="19" t="s">
        <v>36</v>
      </c>
      <c r="K171">
        <v>3</v>
      </c>
      <c r="L171">
        <v>2</v>
      </c>
      <c r="M171">
        <v>-0.33</v>
      </c>
      <c r="N171" s="19" t="s">
        <v>19</v>
      </c>
      <c r="O171" s="19" t="s">
        <v>292</v>
      </c>
      <c r="P171" s="19" t="s">
        <v>283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20</v>
      </c>
      <c r="D173" s="19" t="s">
        <v>12</v>
      </c>
      <c r="E173" s="19" t="s">
        <v>12</v>
      </c>
      <c r="F173">
        <v>2</v>
      </c>
      <c r="G173">
        <v>4</v>
      </c>
      <c r="H173">
        <v>0.76419999999999999</v>
      </c>
      <c r="I173" s="19" t="s">
        <v>249</v>
      </c>
      <c r="J173" s="19" t="s">
        <v>12</v>
      </c>
      <c r="K173">
        <v>3</v>
      </c>
      <c r="L173">
        <v>2</v>
      </c>
      <c r="M173">
        <v>-1.46</v>
      </c>
      <c r="N173" s="19" t="s">
        <v>12</v>
      </c>
      <c r="O173" s="19" t="s">
        <v>283</v>
      </c>
      <c r="P173" s="19" t="s">
        <v>288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16</v>
      </c>
      <c r="D174" s="19" t="s">
        <v>17</v>
      </c>
      <c r="E174" s="19" t="s">
        <v>16</v>
      </c>
      <c r="F174">
        <v>4</v>
      </c>
      <c r="G174">
        <v>3</v>
      </c>
      <c r="H174">
        <v>0.62190000000000001</v>
      </c>
      <c r="I174" s="19" t="s">
        <v>249</v>
      </c>
      <c r="J174" s="19" t="s">
        <v>17</v>
      </c>
      <c r="K174">
        <v>3</v>
      </c>
      <c r="L174">
        <v>2</v>
      </c>
      <c r="M174">
        <v>-0.48</v>
      </c>
      <c r="N174" s="19" t="s">
        <v>16</v>
      </c>
      <c r="O174" s="19" t="s">
        <v>291</v>
      </c>
      <c r="P174" s="19" t="s">
        <v>284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23</v>
      </c>
      <c r="D176" s="19" t="s">
        <v>21</v>
      </c>
      <c r="E176" s="19" t="s">
        <v>23</v>
      </c>
      <c r="F176">
        <v>4</v>
      </c>
      <c r="G176">
        <v>3</v>
      </c>
      <c r="H176">
        <v>0.59740000000000004</v>
      </c>
      <c r="I176" s="19" t="s">
        <v>249</v>
      </c>
      <c r="J176" s="19" t="s">
        <v>21</v>
      </c>
      <c r="K176">
        <v>3</v>
      </c>
      <c r="L176">
        <v>2</v>
      </c>
      <c r="M176">
        <v>-0.01</v>
      </c>
      <c r="N176" s="19" t="s">
        <v>23</v>
      </c>
      <c r="O176" s="19" t="s">
        <v>289</v>
      </c>
      <c r="P176" s="19" t="s">
        <v>287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16</v>
      </c>
      <c r="D183" s="19" t="s">
        <v>21</v>
      </c>
      <c r="E183" s="19" t="s">
        <v>16</v>
      </c>
      <c r="F183">
        <v>4</v>
      </c>
      <c r="G183">
        <v>2</v>
      </c>
      <c r="H183">
        <v>0.67530000000000001</v>
      </c>
      <c r="I183" s="19" t="s">
        <v>249</v>
      </c>
      <c r="J183" s="19" t="s">
        <v>21</v>
      </c>
      <c r="K183">
        <v>3</v>
      </c>
      <c r="L183">
        <v>2</v>
      </c>
      <c r="M183">
        <v>-0.24</v>
      </c>
      <c r="N183" s="19" t="s">
        <v>16</v>
      </c>
      <c r="O183" s="19" t="s">
        <v>284</v>
      </c>
      <c r="P183" s="19" t="s">
        <v>287</v>
      </c>
      <c r="Q183" s="19" t="s">
        <v>287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11</v>
      </c>
      <c r="D184" s="19" t="s">
        <v>22</v>
      </c>
      <c r="E184" s="19" t="s">
        <v>11</v>
      </c>
      <c r="F184">
        <v>4</v>
      </c>
      <c r="G184">
        <v>3</v>
      </c>
      <c r="H184">
        <v>0.65490000000000004</v>
      </c>
      <c r="I184" s="19" t="s">
        <v>249</v>
      </c>
      <c r="J184" s="19" t="s">
        <v>22</v>
      </c>
      <c r="K184">
        <v>3</v>
      </c>
      <c r="L184">
        <v>2</v>
      </c>
      <c r="M184">
        <v>-0.23</v>
      </c>
      <c r="N184" s="19" t="s">
        <v>11</v>
      </c>
      <c r="O184" s="19" t="s">
        <v>283</v>
      </c>
      <c r="P184" s="19" t="s">
        <v>291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55</v>
      </c>
      <c r="D190" s="19" t="s">
        <v>29</v>
      </c>
      <c r="E190" s="19" t="s">
        <v>55</v>
      </c>
      <c r="F190">
        <v>4</v>
      </c>
      <c r="G190">
        <v>2</v>
      </c>
      <c r="H190">
        <v>0.71530000000000005</v>
      </c>
      <c r="I190" s="19" t="s">
        <v>249</v>
      </c>
      <c r="J190" s="19" t="s">
        <v>55</v>
      </c>
      <c r="K190">
        <v>3</v>
      </c>
      <c r="L190">
        <v>2</v>
      </c>
      <c r="M190">
        <v>0.66</v>
      </c>
      <c r="N190" s="19" t="s">
        <v>29</v>
      </c>
      <c r="O190" s="19" t="s">
        <v>291</v>
      </c>
      <c r="P190" s="19" t="s">
        <v>289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32</v>
      </c>
      <c r="D192" s="19" t="s">
        <v>38</v>
      </c>
      <c r="E192" s="19" t="s">
        <v>32</v>
      </c>
      <c r="F192">
        <v>4</v>
      </c>
      <c r="G192">
        <v>3</v>
      </c>
      <c r="H192">
        <v>0.51719999999999999</v>
      </c>
      <c r="I192" s="19" t="s">
        <v>249</v>
      </c>
      <c r="J192" s="19" t="s">
        <v>32</v>
      </c>
      <c r="K192">
        <v>3</v>
      </c>
      <c r="L192">
        <v>2</v>
      </c>
      <c r="M192">
        <v>0.21</v>
      </c>
      <c r="N192" s="19" t="s">
        <v>38</v>
      </c>
      <c r="O192" s="19" t="s">
        <v>284</v>
      </c>
      <c r="P192" s="19" t="s">
        <v>291</v>
      </c>
      <c r="Q192" s="19" t="s">
        <v>287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0.625</v>
      </c>
      <c r="C198" s="19" t="s">
        <v>20</v>
      </c>
      <c r="D198" s="19" t="s">
        <v>29</v>
      </c>
      <c r="E198" s="19" t="s">
        <v>20</v>
      </c>
      <c r="F198">
        <v>4</v>
      </c>
      <c r="G198">
        <v>3</v>
      </c>
      <c r="H198">
        <v>0.66679999999999995</v>
      </c>
      <c r="I198" s="19" t="s">
        <v>248</v>
      </c>
      <c r="J198" s="19" t="s">
        <v>20</v>
      </c>
      <c r="K198">
        <v>3</v>
      </c>
      <c r="L198">
        <v>2</v>
      </c>
      <c r="M198">
        <v>0.59</v>
      </c>
      <c r="N198" s="19" t="s">
        <v>29</v>
      </c>
      <c r="O198" s="19" t="s">
        <v>284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0.79166666666666663</v>
      </c>
      <c r="C199" s="19" t="s">
        <v>28</v>
      </c>
      <c r="D199" s="19" t="s">
        <v>24</v>
      </c>
      <c r="E199" s="19" t="s">
        <v>24</v>
      </c>
      <c r="F199">
        <v>3</v>
      </c>
      <c r="G199">
        <v>4</v>
      </c>
      <c r="H199">
        <v>0.67300000000000004</v>
      </c>
      <c r="I199" s="19" t="s">
        <v>249</v>
      </c>
      <c r="J199" s="19" t="s">
        <v>24</v>
      </c>
      <c r="K199">
        <v>3</v>
      </c>
      <c r="L199">
        <v>2</v>
      </c>
      <c r="M199">
        <v>-0.12</v>
      </c>
      <c r="N199" s="19" t="s">
        <v>24</v>
      </c>
      <c r="O199" s="19" t="s">
        <v>284</v>
      </c>
      <c r="P199" s="19" t="s">
        <v>291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16</v>
      </c>
      <c r="D200" s="19" t="s">
        <v>27</v>
      </c>
      <c r="E200" s="19" t="s">
        <v>16</v>
      </c>
      <c r="F200">
        <v>5</v>
      </c>
      <c r="G200">
        <v>2</v>
      </c>
      <c r="H200">
        <v>0.67779999999999996</v>
      </c>
      <c r="I200" s="19" t="s">
        <v>249</v>
      </c>
      <c r="J200" s="19" t="s">
        <v>27</v>
      </c>
      <c r="K200">
        <v>3</v>
      </c>
      <c r="L200">
        <v>2</v>
      </c>
      <c r="M200">
        <v>-0.49</v>
      </c>
      <c r="N200" s="19" t="s">
        <v>16</v>
      </c>
      <c r="O200" s="19" t="s">
        <v>283</v>
      </c>
      <c r="P200" s="19" t="s">
        <v>287</v>
      </c>
      <c r="Q200" s="19" t="s">
        <v>285</v>
      </c>
      <c r="R200" s="19" t="s">
        <v>248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0.875</v>
      </c>
      <c r="C202" s="19" t="s">
        <v>12</v>
      </c>
      <c r="D202" s="19" t="s">
        <v>35</v>
      </c>
      <c r="E202" s="19" t="s">
        <v>12</v>
      </c>
      <c r="F202">
        <v>3</v>
      </c>
      <c r="G202">
        <v>2</v>
      </c>
      <c r="H202">
        <v>0.87290000000000001</v>
      </c>
      <c r="I202" s="19" t="s">
        <v>249</v>
      </c>
      <c r="J202" s="19" t="s">
        <v>12</v>
      </c>
      <c r="K202">
        <v>3</v>
      </c>
      <c r="L202">
        <v>2</v>
      </c>
      <c r="M202">
        <v>2.8</v>
      </c>
      <c r="N202" s="19" t="s">
        <v>12</v>
      </c>
      <c r="O202" s="19" t="s">
        <v>288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0.77083333333333337</v>
      </c>
      <c r="C203" s="19" t="s">
        <v>26</v>
      </c>
      <c r="D203" s="19" t="s">
        <v>40</v>
      </c>
      <c r="E203" s="19" t="s">
        <v>26</v>
      </c>
      <c r="F203">
        <v>5</v>
      </c>
      <c r="G203">
        <v>4</v>
      </c>
      <c r="H203">
        <v>0.53749999999999998</v>
      </c>
      <c r="I203" s="19" t="s">
        <v>249</v>
      </c>
      <c r="J203" s="19" t="s">
        <v>26</v>
      </c>
      <c r="K203">
        <v>3</v>
      </c>
      <c r="L203">
        <v>2</v>
      </c>
      <c r="M203">
        <v>0.04</v>
      </c>
      <c r="N203" s="19" t="s">
        <v>26</v>
      </c>
      <c r="O203" s="19" t="s">
        <v>284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0.83333333333333337</v>
      </c>
      <c r="C207" s="19" t="s">
        <v>39</v>
      </c>
      <c r="D207" s="19" t="s">
        <v>23</v>
      </c>
      <c r="E207" s="19" t="s">
        <v>39</v>
      </c>
      <c r="F207">
        <v>4</v>
      </c>
      <c r="G207">
        <v>3</v>
      </c>
      <c r="H207">
        <v>0.78620000000000001</v>
      </c>
      <c r="I207" s="19" t="s">
        <v>249</v>
      </c>
      <c r="J207" s="19" t="s">
        <v>39</v>
      </c>
      <c r="K207">
        <v>3</v>
      </c>
      <c r="L207">
        <v>2</v>
      </c>
      <c r="M207">
        <v>0.91</v>
      </c>
      <c r="N207" s="19" t="s">
        <v>23</v>
      </c>
      <c r="O207" s="19" t="s">
        <v>287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60</v>
      </c>
      <c r="O216" s="19" t="s">
        <v>60</v>
      </c>
      <c r="P216" s="19" t="s">
        <v>60</v>
      </c>
      <c r="Q216" s="19" t="s">
        <v>60</v>
      </c>
      <c r="R216" s="19" t="s">
        <v>60</v>
      </c>
      <c r="S216" s="19" t="s">
        <v>60</v>
      </c>
      <c r="T216" s="19" t="s">
        <v>281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60</v>
      </c>
      <c r="O217" s="19" t="s">
        <v>60</v>
      </c>
      <c r="P217" s="19" t="s">
        <v>60</v>
      </c>
      <c r="Q217" s="19" t="s">
        <v>60</v>
      </c>
      <c r="R217" s="19" t="s">
        <v>60</v>
      </c>
      <c r="S217" s="19" t="s">
        <v>60</v>
      </c>
      <c r="T217" s="19" t="s">
        <v>281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60</v>
      </c>
      <c r="O218" s="19" t="s">
        <v>60</v>
      </c>
      <c r="P218" s="19" t="s">
        <v>60</v>
      </c>
      <c r="Q218" s="19" t="s">
        <v>60</v>
      </c>
      <c r="R218" s="19" t="s">
        <v>60</v>
      </c>
      <c r="S218" s="19" t="s">
        <v>60</v>
      </c>
      <c r="T218" s="19" t="s">
        <v>281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60</v>
      </c>
      <c r="O219" s="19" t="s">
        <v>60</v>
      </c>
      <c r="P219" s="19" t="s">
        <v>60</v>
      </c>
      <c r="Q219" s="19" t="s">
        <v>60</v>
      </c>
      <c r="R219" s="19" t="s">
        <v>60</v>
      </c>
      <c r="S219" s="19" t="s">
        <v>60</v>
      </c>
      <c r="T21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t="s">
        <v>2182</v>
      </c>
      <c r="W2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t="s">
        <v>2183</v>
      </c>
      <c r="W3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t="s">
        <v>2184</v>
      </c>
      <c r="W4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t="s">
        <v>60</v>
      </c>
    </row>
    <row r="5" spans="1:31" x14ac:dyDescent="0.2">
      <c r="A5">
        <v>4</v>
      </c>
      <c r="B5" t="s">
        <v>342</v>
      </c>
      <c r="C5">
        <v>30</v>
      </c>
      <c r="D5" t="s">
        <v>328</v>
      </c>
      <c r="E5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t="s">
        <v>2185</v>
      </c>
      <c r="W5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t="s">
        <v>60</v>
      </c>
    </row>
    <row r="6" spans="1:31" x14ac:dyDescent="0.2">
      <c r="A6">
        <v>5</v>
      </c>
      <c r="B6" t="s">
        <v>333</v>
      </c>
      <c r="C6">
        <v>29</v>
      </c>
      <c r="D6" t="s">
        <v>334</v>
      </c>
      <c r="E6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t="s">
        <v>2186</v>
      </c>
      <c r="W6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t="s">
        <v>60</v>
      </c>
    </row>
    <row r="7" spans="1:31" x14ac:dyDescent="0.2">
      <c r="A7">
        <v>6</v>
      </c>
      <c r="B7" t="s">
        <v>352</v>
      </c>
      <c r="C7">
        <v>32</v>
      </c>
      <c r="D7" t="s">
        <v>353</v>
      </c>
      <c r="E7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t="s">
        <v>2641</v>
      </c>
      <c r="W7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t="s">
        <v>2187</v>
      </c>
      <c r="W8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t="s">
        <v>60</v>
      </c>
    </row>
    <row r="9" spans="1:31" x14ac:dyDescent="0.2">
      <c r="A9">
        <v>8</v>
      </c>
      <c r="B9" t="s">
        <v>358</v>
      </c>
      <c r="C9">
        <v>28</v>
      </c>
      <c r="D9" t="s">
        <v>359</v>
      </c>
      <c r="E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t="s">
        <v>2189</v>
      </c>
      <c r="W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t="s">
        <v>60</v>
      </c>
    </row>
    <row r="10" spans="1:31" x14ac:dyDescent="0.2">
      <c r="A10">
        <v>9</v>
      </c>
      <c r="B10" t="s">
        <v>369</v>
      </c>
      <c r="C10">
        <v>24</v>
      </c>
      <c r="D10" t="s">
        <v>359</v>
      </c>
      <c r="E10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t="s">
        <v>2190</v>
      </c>
      <c r="W10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t="s">
        <v>60</v>
      </c>
    </row>
    <row r="11" spans="1:31" x14ac:dyDescent="0.2">
      <c r="A11">
        <v>10</v>
      </c>
      <c r="B11" t="s">
        <v>347</v>
      </c>
      <c r="C11">
        <v>29</v>
      </c>
      <c r="D11" t="s">
        <v>346</v>
      </c>
      <c r="E11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t="s">
        <v>2192</v>
      </c>
      <c r="W11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t="s">
        <v>60</v>
      </c>
    </row>
    <row r="12" spans="1:31" x14ac:dyDescent="0.2">
      <c r="A12">
        <v>11</v>
      </c>
      <c r="B12" t="s">
        <v>350</v>
      </c>
      <c r="C12">
        <v>22</v>
      </c>
      <c r="D12" t="s">
        <v>334</v>
      </c>
      <c r="E12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t="s">
        <v>2193</v>
      </c>
      <c r="W12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t="s">
        <v>60</v>
      </c>
    </row>
    <row r="13" spans="1:31" x14ac:dyDescent="0.2">
      <c r="A13">
        <v>12</v>
      </c>
      <c r="B13" t="s">
        <v>339</v>
      </c>
      <c r="C13">
        <v>26</v>
      </c>
      <c r="D13" t="s">
        <v>334</v>
      </c>
      <c r="E13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t="s">
        <v>2194</v>
      </c>
      <c r="W13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t="s">
        <v>60</v>
      </c>
    </row>
    <row r="14" spans="1:31" x14ac:dyDescent="0.2">
      <c r="A14">
        <v>13</v>
      </c>
      <c r="B14" t="s">
        <v>345</v>
      </c>
      <c r="C14">
        <v>32</v>
      </c>
      <c r="D14" t="s">
        <v>346</v>
      </c>
      <c r="E14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t="s">
        <v>2195</v>
      </c>
      <c r="W14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t="s">
        <v>60</v>
      </c>
    </row>
    <row r="15" spans="1:31" x14ac:dyDescent="0.2">
      <c r="A15">
        <v>14</v>
      </c>
      <c r="B15" t="s">
        <v>329</v>
      </c>
      <c r="C15">
        <v>20</v>
      </c>
      <c r="D15" t="s">
        <v>330</v>
      </c>
      <c r="E15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t="s">
        <v>1759</v>
      </c>
      <c r="W15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t="s">
        <v>60</v>
      </c>
    </row>
    <row r="16" spans="1:31" x14ac:dyDescent="0.2">
      <c r="A16">
        <v>15</v>
      </c>
      <c r="B16" t="s">
        <v>348</v>
      </c>
      <c r="C16">
        <v>27</v>
      </c>
      <c r="D16" t="s">
        <v>321</v>
      </c>
      <c r="E16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t="s">
        <v>2196</v>
      </c>
      <c r="W16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t="s">
        <v>60</v>
      </c>
    </row>
    <row r="17" spans="1:31" x14ac:dyDescent="0.2">
      <c r="A17">
        <v>16</v>
      </c>
      <c r="B17" t="s">
        <v>336</v>
      </c>
      <c r="C17">
        <v>21</v>
      </c>
      <c r="D17" t="s">
        <v>337</v>
      </c>
      <c r="E17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t="s">
        <v>2030</v>
      </c>
      <c r="W17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t="s">
        <v>60</v>
      </c>
    </row>
    <row r="18" spans="1:31" x14ac:dyDescent="0.2">
      <c r="A18">
        <v>17</v>
      </c>
      <c r="B18" t="s">
        <v>374</v>
      </c>
      <c r="C18">
        <v>37</v>
      </c>
      <c r="D18" t="s">
        <v>375</v>
      </c>
      <c r="E18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t="s">
        <v>2198</v>
      </c>
      <c r="W18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t="s">
        <v>60</v>
      </c>
    </row>
    <row r="19" spans="1:31" x14ac:dyDescent="0.2">
      <c r="A19">
        <v>18</v>
      </c>
      <c r="B19" t="s">
        <v>376</v>
      </c>
      <c r="C19">
        <v>23</v>
      </c>
      <c r="D19" t="s">
        <v>373</v>
      </c>
      <c r="E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t="s">
        <v>2642</v>
      </c>
      <c r="W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t="s">
        <v>60</v>
      </c>
    </row>
    <row r="20" spans="1:31" x14ac:dyDescent="0.2">
      <c r="A20">
        <v>19</v>
      </c>
      <c r="B20" t="s">
        <v>364</v>
      </c>
      <c r="C20">
        <v>26</v>
      </c>
      <c r="D20" t="s">
        <v>365</v>
      </c>
      <c r="E20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t="s">
        <v>2643</v>
      </c>
      <c r="W20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t="s">
        <v>60</v>
      </c>
    </row>
    <row r="21" spans="1:31" x14ac:dyDescent="0.2">
      <c r="A21">
        <v>20</v>
      </c>
      <c r="B21" t="s">
        <v>343</v>
      </c>
      <c r="C21">
        <v>29</v>
      </c>
      <c r="D21" t="s">
        <v>344</v>
      </c>
      <c r="E21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t="s">
        <v>1762</v>
      </c>
      <c r="W21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t="s">
        <v>60</v>
      </c>
    </row>
    <row r="22" spans="1:31" x14ac:dyDescent="0.2">
      <c r="A22">
        <v>21</v>
      </c>
      <c r="B22" t="s">
        <v>360</v>
      </c>
      <c r="C22">
        <v>29</v>
      </c>
      <c r="D22" t="s">
        <v>361</v>
      </c>
      <c r="E22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t="s">
        <v>2199</v>
      </c>
      <c r="W22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t="s">
        <v>60</v>
      </c>
    </row>
    <row r="23" spans="1:31" x14ac:dyDescent="0.2">
      <c r="A23">
        <v>22</v>
      </c>
      <c r="B23" t="s">
        <v>392</v>
      </c>
      <c r="C23">
        <v>29</v>
      </c>
      <c r="D23" t="s">
        <v>356</v>
      </c>
      <c r="E23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t="s">
        <v>2200</v>
      </c>
      <c r="W23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t="s">
        <v>60</v>
      </c>
    </row>
    <row r="24" spans="1:31" x14ac:dyDescent="0.2">
      <c r="A24">
        <v>23</v>
      </c>
      <c r="B24" t="s">
        <v>380</v>
      </c>
      <c r="C24">
        <v>28</v>
      </c>
      <c r="D24" t="s">
        <v>373</v>
      </c>
      <c r="E24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t="s">
        <v>2644</v>
      </c>
      <c r="W24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t="s">
        <v>60</v>
      </c>
    </row>
    <row r="25" spans="1:31" x14ac:dyDescent="0.2">
      <c r="A25">
        <v>24</v>
      </c>
      <c r="B25" t="s">
        <v>355</v>
      </c>
      <c r="C25">
        <v>27</v>
      </c>
      <c r="D25" t="s">
        <v>356</v>
      </c>
      <c r="E25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t="s">
        <v>1847</v>
      </c>
      <c r="W25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t="s">
        <v>60</v>
      </c>
    </row>
    <row r="26" spans="1:31" x14ac:dyDescent="0.2">
      <c r="A26">
        <v>25</v>
      </c>
      <c r="B26" t="s">
        <v>436</v>
      </c>
      <c r="C26">
        <v>24</v>
      </c>
      <c r="D26" t="s">
        <v>426</v>
      </c>
      <c r="E26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t="s">
        <v>2202</v>
      </c>
      <c r="W26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t="s">
        <v>60</v>
      </c>
    </row>
    <row r="27" spans="1:31" x14ac:dyDescent="0.2">
      <c r="A27">
        <v>26</v>
      </c>
      <c r="B27" t="s">
        <v>383</v>
      </c>
      <c r="C27">
        <v>28</v>
      </c>
      <c r="D27" t="s">
        <v>384</v>
      </c>
      <c r="E27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t="s">
        <v>1891</v>
      </c>
      <c r="W27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t="s">
        <v>60</v>
      </c>
    </row>
    <row r="28" spans="1:31" x14ac:dyDescent="0.2">
      <c r="A28">
        <v>27</v>
      </c>
      <c r="B28" t="s">
        <v>377</v>
      </c>
      <c r="C28">
        <v>38</v>
      </c>
      <c r="D28" t="s">
        <v>378</v>
      </c>
      <c r="E28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t="s">
        <v>2645</v>
      </c>
      <c r="W28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t="s">
        <v>60</v>
      </c>
    </row>
    <row r="29" spans="1:31" x14ac:dyDescent="0.2">
      <c r="A29">
        <v>28</v>
      </c>
      <c r="B29" t="s">
        <v>395</v>
      </c>
      <c r="C29">
        <v>31</v>
      </c>
      <c r="D29" t="s">
        <v>353</v>
      </c>
      <c r="E2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t="s">
        <v>2646</v>
      </c>
      <c r="W2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t="s">
        <v>60</v>
      </c>
    </row>
    <row r="30" spans="1:31" x14ac:dyDescent="0.2">
      <c r="A30">
        <v>29</v>
      </c>
      <c r="B30" t="s">
        <v>399</v>
      </c>
      <c r="C30">
        <v>28</v>
      </c>
      <c r="D30" t="s">
        <v>344</v>
      </c>
      <c r="E30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t="s">
        <v>2203</v>
      </c>
      <c r="W30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t="s">
        <v>60</v>
      </c>
    </row>
    <row r="31" spans="1:31" x14ac:dyDescent="0.2">
      <c r="A31">
        <v>30</v>
      </c>
      <c r="B31" t="s">
        <v>400</v>
      </c>
      <c r="C31">
        <v>30</v>
      </c>
      <c r="D31" t="s">
        <v>375</v>
      </c>
      <c r="E31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t="s">
        <v>2204</v>
      </c>
      <c r="W31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t="s">
        <v>60</v>
      </c>
    </row>
    <row r="32" spans="1:31" x14ac:dyDescent="0.2">
      <c r="A32">
        <v>31</v>
      </c>
      <c r="B32" t="s">
        <v>362</v>
      </c>
      <c r="C32">
        <v>34</v>
      </c>
      <c r="D32" t="s">
        <v>363</v>
      </c>
      <c r="E32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t="s">
        <v>2205</v>
      </c>
      <c r="W32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t="s">
        <v>60</v>
      </c>
    </row>
    <row r="33" spans="1:31" x14ac:dyDescent="0.2">
      <c r="A33">
        <v>32</v>
      </c>
      <c r="B33" t="s">
        <v>425</v>
      </c>
      <c r="C33">
        <v>27</v>
      </c>
      <c r="D33" t="s">
        <v>426</v>
      </c>
      <c r="E33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t="s">
        <v>2207</v>
      </c>
      <c r="W33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t="s">
        <v>60</v>
      </c>
    </row>
    <row r="34" spans="1:31" x14ac:dyDescent="0.2">
      <c r="A34">
        <v>33</v>
      </c>
      <c r="B34" t="s">
        <v>398</v>
      </c>
      <c r="C34">
        <v>26</v>
      </c>
      <c r="D34" t="s">
        <v>328</v>
      </c>
      <c r="E34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t="s">
        <v>2208</v>
      </c>
      <c r="W34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t="s">
        <v>60</v>
      </c>
    </row>
    <row r="35" spans="1:31" x14ac:dyDescent="0.2">
      <c r="A35">
        <v>34</v>
      </c>
      <c r="B35" t="s">
        <v>370</v>
      </c>
      <c r="C35">
        <v>25</v>
      </c>
      <c r="D35" t="s">
        <v>365</v>
      </c>
      <c r="E35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t="s">
        <v>2647</v>
      </c>
      <c r="W35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t="s">
        <v>60</v>
      </c>
    </row>
    <row r="36" spans="1:31" x14ac:dyDescent="0.2">
      <c r="A36">
        <v>35</v>
      </c>
      <c r="B36" t="s">
        <v>414</v>
      </c>
      <c r="C36">
        <v>24</v>
      </c>
      <c r="D36" t="s">
        <v>415</v>
      </c>
      <c r="E36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t="s">
        <v>2648</v>
      </c>
      <c r="W36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t="s">
        <v>60</v>
      </c>
    </row>
    <row r="37" spans="1:31" x14ac:dyDescent="0.2">
      <c r="A37">
        <v>36</v>
      </c>
      <c r="B37" t="s">
        <v>354</v>
      </c>
      <c r="C37">
        <v>22</v>
      </c>
      <c r="D37" t="s">
        <v>337</v>
      </c>
      <c r="E37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t="s">
        <v>2209</v>
      </c>
      <c r="W37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t="s">
        <v>60</v>
      </c>
    </row>
    <row r="38" spans="1:31" x14ac:dyDescent="0.2">
      <c r="A38">
        <v>37</v>
      </c>
      <c r="B38" t="s">
        <v>462</v>
      </c>
      <c r="C38">
        <v>21</v>
      </c>
      <c r="D38" t="s">
        <v>365</v>
      </c>
      <c r="E38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t="s">
        <v>2649</v>
      </c>
      <c r="W38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t="s">
        <v>60</v>
      </c>
    </row>
    <row r="39" spans="1:31" x14ac:dyDescent="0.2">
      <c r="A39">
        <v>38</v>
      </c>
      <c r="B39" t="s">
        <v>372</v>
      </c>
      <c r="C39">
        <v>29</v>
      </c>
      <c r="D39" t="s">
        <v>373</v>
      </c>
      <c r="E3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t="s">
        <v>2651</v>
      </c>
      <c r="W3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t="s">
        <v>60</v>
      </c>
    </row>
    <row r="40" spans="1:31" x14ac:dyDescent="0.2">
      <c r="A40">
        <v>39</v>
      </c>
      <c r="B40" t="s">
        <v>394</v>
      </c>
      <c r="C40">
        <v>35</v>
      </c>
      <c r="D40" t="s">
        <v>361</v>
      </c>
      <c r="E40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t="s">
        <v>2652</v>
      </c>
      <c r="W40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t="s">
        <v>60</v>
      </c>
    </row>
    <row r="41" spans="1:31" x14ac:dyDescent="0.2">
      <c r="A41">
        <v>40</v>
      </c>
      <c r="B41" t="s">
        <v>381</v>
      </c>
      <c r="C41">
        <v>28</v>
      </c>
      <c r="D41" t="s">
        <v>337</v>
      </c>
      <c r="E41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t="s">
        <v>2210</v>
      </c>
      <c r="W41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t="s">
        <v>60</v>
      </c>
    </row>
    <row r="42" spans="1:31" x14ac:dyDescent="0.2">
      <c r="A42">
        <v>41</v>
      </c>
      <c r="B42" t="s">
        <v>409</v>
      </c>
      <c r="C42">
        <v>26</v>
      </c>
      <c r="D42" t="s">
        <v>334</v>
      </c>
      <c r="E42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t="s">
        <v>2211</v>
      </c>
      <c r="W42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t="s">
        <v>60</v>
      </c>
    </row>
    <row r="43" spans="1:31" x14ac:dyDescent="0.2">
      <c r="A43">
        <v>42</v>
      </c>
      <c r="B43" t="s">
        <v>396</v>
      </c>
      <c r="C43">
        <v>23</v>
      </c>
      <c r="D43" t="s">
        <v>361</v>
      </c>
      <c r="E43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t="s">
        <v>2653</v>
      </c>
      <c r="W43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t="s">
        <v>60</v>
      </c>
    </row>
    <row r="44" spans="1:31" x14ac:dyDescent="0.2">
      <c r="A44">
        <v>43</v>
      </c>
      <c r="B44" t="s">
        <v>470</v>
      </c>
      <c r="C44">
        <v>28</v>
      </c>
      <c r="D44" t="s">
        <v>439</v>
      </c>
      <c r="E44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t="s">
        <v>2213</v>
      </c>
      <c r="W44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t="s">
        <v>60</v>
      </c>
    </row>
    <row r="45" spans="1:31" x14ac:dyDescent="0.2">
      <c r="A45">
        <v>44</v>
      </c>
      <c r="B45" t="s">
        <v>367</v>
      </c>
      <c r="C45">
        <v>31</v>
      </c>
      <c r="D45" t="s">
        <v>368</v>
      </c>
      <c r="E45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t="s">
        <v>2214</v>
      </c>
      <c r="W45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t="s">
        <v>60</v>
      </c>
    </row>
    <row r="46" spans="1:31" x14ac:dyDescent="0.2">
      <c r="A46">
        <v>45</v>
      </c>
      <c r="B46" t="s">
        <v>401</v>
      </c>
      <c r="C46">
        <v>28</v>
      </c>
      <c r="D46" t="s">
        <v>402</v>
      </c>
      <c r="E46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t="s">
        <v>2215</v>
      </c>
      <c r="W46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t="s">
        <v>60</v>
      </c>
    </row>
    <row r="47" spans="1:31" x14ac:dyDescent="0.2">
      <c r="A47">
        <v>46</v>
      </c>
      <c r="B47" t="s">
        <v>449</v>
      </c>
      <c r="C47">
        <v>28</v>
      </c>
      <c r="D47" t="s">
        <v>415</v>
      </c>
      <c r="E47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t="s">
        <v>2654</v>
      </c>
      <c r="W47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t="s">
        <v>60</v>
      </c>
    </row>
    <row r="48" spans="1:31" x14ac:dyDescent="0.2">
      <c r="A48">
        <v>47</v>
      </c>
      <c r="B48" t="s">
        <v>391</v>
      </c>
      <c r="C48">
        <v>40</v>
      </c>
      <c r="D48" t="s">
        <v>368</v>
      </c>
      <c r="E48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t="s">
        <v>2217</v>
      </c>
      <c r="W48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t="s">
        <v>60</v>
      </c>
    </row>
    <row r="49" spans="1:31" x14ac:dyDescent="0.2">
      <c r="A49">
        <v>48</v>
      </c>
      <c r="B49" t="s">
        <v>423</v>
      </c>
      <c r="C49">
        <v>26</v>
      </c>
      <c r="D49" t="s">
        <v>346</v>
      </c>
      <c r="E4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t="s">
        <v>2218</v>
      </c>
      <c r="W4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t="s">
        <v>60</v>
      </c>
    </row>
    <row r="50" spans="1:31" x14ac:dyDescent="0.2">
      <c r="A50">
        <v>49</v>
      </c>
      <c r="B50" t="s">
        <v>457</v>
      </c>
      <c r="C50">
        <v>20</v>
      </c>
      <c r="D50" t="s">
        <v>365</v>
      </c>
      <c r="E50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t="s">
        <v>2655</v>
      </c>
      <c r="W50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t="s">
        <v>60</v>
      </c>
    </row>
    <row r="51" spans="1:31" x14ac:dyDescent="0.2">
      <c r="A51">
        <v>50</v>
      </c>
      <c r="B51" t="s">
        <v>386</v>
      </c>
      <c r="C51">
        <v>30</v>
      </c>
      <c r="D51" t="s">
        <v>387</v>
      </c>
      <c r="E51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t="s">
        <v>2656</v>
      </c>
      <c r="W51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t="s">
        <v>60</v>
      </c>
    </row>
    <row r="52" spans="1:31" x14ac:dyDescent="0.2">
      <c r="A52">
        <v>51</v>
      </c>
      <c r="B52" t="s">
        <v>411</v>
      </c>
      <c r="C52">
        <v>27</v>
      </c>
      <c r="D52" t="s">
        <v>412</v>
      </c>
      <c r="E52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t="s">
        <v>2099</v>
      </c>
      <c r="W52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t="s">
        <v>60</v>
      </c>
    </row>
    <row r="53" spans="1:31" x14ac:dyDescent="0.2">
      <c r="A53">
        <v>52</v>
      </c>
      <c r="B53" t="s">
        <v>465</v>
      </c>
      <c r="C53">
        <v>32</v>
      </c>
      <c r="D53" t="s">
        <v>328</v>
      </c>
      <c r="E53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t="s">
        <v>2136</v>
      </c>
      <c r="W53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t="s">
        <v>60</v>
      </c>
    </row>
    <row r="54" spans="1:31" x14ac:dyDescent="0.2">
      <c r="A54">
        <v>53</v>
      </c>
      <c r="B54" t="s">
        <v>475</v>
      </c>
      <c r="C54">
        <v>34</v>
      </c>
      <c r="D54" t="s">
        <v>476</v>
      </c>
      <c r="E54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t="s">
        <v>2219</v>
      </c>
      <c r="W54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t="s">
        <v>60</v>
      </c>
    </row>
    <row r="55" spans="1:31" x14ac:dyDescent="0.2">
      <c r="A55">
        <v>54</v>
      </c>
      <c r="B55" t="s">
        <v>478</v>
      </c>
      <c r="C55">
        <v>33</v>
      </c>
      <c r="D55" t="s">
        <v>378</v>
      </c>
      <c r="E55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t="s">
        <v>2657</v>
      </c>
      <c r="W55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t="s">
        <v>60</v>
      </c>
    </row>
    <row r="56" spans="1:31" x14ac:dyDescent="0.2">
      <c r="A56">
        <v>55</v>
      </c>
      <c r="B56" t="s">
        <v>422</v>
      </c>
      <c r="C56">
        <v>29</v>
      </c>
      <c r="D56" t="s">
        <v>412</v>
      </c>
      <c r="E56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t="s">
        <v>2100</v>
      </c>
      <c r="W56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t="s">
        <v>60</v>
      </c>
    </row>
    <row r="57" spans="1:31" x14ac:dyDescent="0.2">
      <c r="A57">
        <v>56</v>
      </c>
      <c r="B57" t="s">
        <v>403</v>
      </c>
      <c r="C57">
        <v>27</v>
      </c>
      <c r="D57" t="s">
        <v>404</v>
      </c>
      <c r="E57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t="s">
        <v>2220</v>
      </c>
      <c r="W57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t="s">
        <v>60</v>
      </c>
    </row>
    <row r="58" spans="1:31" x14ac:dyDescent="0.2">
      <c r="A58">
        <v>57</v>
      </c>
      <c r="B58" t="s">
        <v>385</v>
      </c>
      <c r="C58">
        <v>27</v>
      </c>
      <c r="D58" t="s">
        <v>353</v>
      </c>
      <c r="E58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t="s">
        <v>1813</v>
      </c>
      <c r="W58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t="s">
        <v>60</v>
      </c>
    </row>
    <row r="59" spans="1:31" x14ac:dyDescent="0.2">
      <c r="A59">
        <v>58</v>
      </c>
      <c r="B59" t="s">
        <v>418</v>
      </c>
      <c r="C59">
        <v>29</v>
      </c>
      <c r="D59" t="s">
        <v>334</v>
      </c>
      <c r="E5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t="s">
        <v>2221</v>
      </c>
      <c r="W5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t="s">
        <v>60</v>
      </c>
    </row>
    <row r="60" spans="1:31" x14ac:dyDescent="0.2">
      <c r="A60">
        <v>59</v>
      </c>
      <c r="B60" t="s">
        <v>447</v>
      </c>
      <c r="C60">
        <v>35</v>
      </c>
      <c r="D60" t="s">
        <v>448</v>
      </c>
      <c r="E60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t="s">
        <v>2222</v>
      </c>
      <c r="W60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t="s">
        <v>60</v>
      </c>
    </row>
    <row r="61" spans="1:31" x14ac:dyDescent="0.2">
      <c r="A61">
        <v>60</v>
      </c>
      <c r="B61" t="s">
        <v>428</v>
      </c>
      <c r="C61">
        <v>29</v>
      </c>
      <c r="D61" t="s">
        <v>429</v>
      </c>
      <c r="E61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t="s">
        <v>2223</v>
      </c>
      <c r="W61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t="s">
        <v>60</v>
      </c>
    </row>
    <row r="62" spans="1:31" x14ac:dyDescent="0.2">
      <c r="A62">
        <v>61</v>
      </c>
      <c r="B62" t="s">
        <v>458</v>
      </c>
      <c r="C62">
        <v>22</v>
      </c>
      <c r="D62" t="s">
        <v>412</v>
      </c>
      <c r="E62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t="s">
        <v>2101</v>
      </c>
      <c r="W62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t="s">
        <v>60</v>
      </c>
    </row>
    <row r="63" spans="1:31" x14ac:dyDescent="0.2">
      <c r="A63">
        <v>62</v>
      </c>
      <c r="B63" t="s">
        <v>410</v>
      </c>
      <c r="C63">
        <v>27</v>
      </c>
      <c r="D63" t="s">
        <v>404</v>
      </c>
      <c r="E63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t="s">
        <v>2225</v>
      </c>
      <c r="W63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t="s">
        <v>60</v>
      </c>
    </row>
    <row r="64" spans="1:31" x14ac:dyDescent="0.2">
      <c r="A64">
        <v>63</v>
      </c>
      <c r="B64" t="s">
        <v>420</v>
      </c>
      <c r="C64">
        <v>30</v>
      </c>
      <c r="D64" t="s">
        <v>321</v>
      </c>
      <c r="E64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t="s">
        <v>2226</v>
      </c>
      <c r="W64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t="s">
        <v>60</v>
      </c>
    </row>
    <row r="65" spans="1:31" x14ac:dyDescent="0.2">
      <c r="A65">
        <v>64</v>
      </c>
      <c r="B65" t="s">
        <v>433</v>
      </c>
      <c r="C65">
        <v>30</v>
      </c>
      <c r="D65" t="s">
        <v>346</v>
      </c>
      <c r="E65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t="s">
        <v>2227</v>
      </c>
      <c r="W65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t="s">
        <v>60</v>
      </c>
    </row>
    <row r="66" spans="1:31" x14ac:dyDescent="0.2">
      <c r="A66">
        <v>65</v>
      </c>
      <c r="B66" t="s">
        <v>469</v>
      </c>
      <c r="C66">
        <v>24</v>
      </c>
      <c r="D66" t="s">
        <v>373</v>
      </c>
      <c r="E66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t="s">
        <v>2658</v>
      </c>
      <c r="W66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t="s">
        <v>60</v>
      </c>
    </row>
    <row r="67" spans="1:31" x14ac:dyDescent="0.2">
      <c r="A67">
        <v>66</v>
      </c>
      <c r="B67" t="s">
        <v>438</v>
      </c>
      <c r="C67">
        <v>29</v>
      </c>
      <c r="D67" t="s">
        <v>439</v>
      </c>
      <c r="E67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t="s">
        <v>2228</v>
      </c>
      <c r="W67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t="s">
        <v>60</v>
      </c>
    </row>
    <row r="68" spans="1:31" x14ac:dyDescent="0.2">
      <c r="A68">
        <v>67</v>
      </c>
      <c r="B68" t="s">
        <v>460</v>
      </c>
      <c r="C68">
        <v>26</v>
      </c>
      <c r="D68" t="s">
        <v>1022</v>
      </c>
      <c r="E68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t="s">
        <v>2229</v>
      </c>
      <c r="W68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t="s">
        <v>60</v>
      </c>
    </row>
    <row r="69" spans="1:31" x14ac:dyDescent="0.2">
      <c r="A69">
        <v>67</v>
      </c>
      <c r="B69" t="s">
        <v>460</v>
      </c>
      <c r="C69">
        <v>26</v>
      </c>
      <c r="D69" t="s">
        <v>461</v>
      </c>
      <c r="E6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t="s">
        <v>1720</v>
      </c>
      <c r="W6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t="s">
        <v>60</v>
      </c>
    </row>
    <row r="70" spans="1:31" x14ac:dyDescent="0.2">
      <c r="A70">
        <v>67</v>
      </c>
      <c r="B70" t="s">
        <v>460</v>
      </c>
      <c r="C70">
        <v>26</v>
      </c>
      <c r="D70" t="s">
        <v>359</v>
      </c>
      <c r="E70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t="s">
        <v>2230</v>
      </c>
      <c r="W70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t="s">
        <v>60</v>
      </c>
    </row>
    <row r="71" spans="1:31" x14ac:dyDescent="0.2">
      <c r="A71">
        <v>68</v>
      </c>
      <c r="B71" t="s">
        <v>456</v>
      </c>
      <c r="C71">
        <v>28</v>
      </c>
      <c r="D71" t="s">
        <v>387</v>
      </c>
      <c r="E71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t="s">
        <v>2659</v>
      </c>
      <c r="W71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t="s">
        <v>60</v>
      </c>
    </row>
    <row r="72" spans="1:31" x14ac:dyDescent="0.2">
      <c r="A72">
        <v>69</v>
      </c>
      <c r="B72" t="s">
        <v>416</v>
      </c>
      <c r="C72">
        <v>30</v>
      </c>
      <c r="D72" t="s">
        <v>330</v>
      </c>
      <c r="E72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t="s">
        <v>2660</v>
      </c>
      <c r="W72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t="s">
        <v>60</v>
      </c>
    </row>
    <row r="73" spans="1:31" x14ac:dyDescent="0.2">
      <c r="A73">
        <v>70</v>
      </c>
      <c r="B73" t="s">
        <v>443</v>
      </c>
      <c r="C73">
        <v>36</v>
      </c>
      <c r="D73" t="s">
        <v>368</v>
      </c>
      <c r="E73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t="s">
        <v>2232</v>
      </c>
      <c r="W73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t="s">
        <v>60</v>
      </c>
    </row>
    <row r="74" spans="1:31" x14ac:dyDescent="0.2">
      <c r="A74">
        <v>71</v>
      </c>
      <c r="B74" t="s">
        <v>417</v>
      </c>
      <c r="C74">
        <v>27</v>
      </c>
      <c r="D74" t="s">
        <v>368</v>
      </c>
      <c r="E74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t="s">
        <v>2234</v>
      </c>
      <c r="W74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t="s">
        <v>60</v>
      </c>
    </row>
    <row r="75" spans="1:31" x14ac:dyDescent="0.2">
      <c r="A75">
        <v>72</v>
      </c>
      <c r="B75" t="s">
        <v>542</v>
      </c>
      <c r="C75">
        <v>24</v>
      </c>
      <c r="D75" t="s">
        <v>426</v>
      </c>
      <c r="E75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t="s">
        <v>2235</v>
      </c>
      <c r="W75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t="s">
        <v>60</v>
      </c>
    </row>
    <row r="76" spans="1:31" x14ac:dyDescent="0.2">
      <c r="A76">
        <v>73</v>
      </c>
      <c r="B76" t="s">
        <v>504</v>
      </c>
      <c r="C76">
        <v>31</v>
      </c>
      <c r="D76" t="s">
        <v>476</v>
      </c>
      <c r="E76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t="s">
        <v>2236</v>
      </c>
      <c r="W76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t="s">
        <v>60</v>
      </c>
    </row>
    <row r="77" spans="1:31" x14ac:dyDescent="0.2">
      <c r="A77">
        <v>74</v>
      </c>
      <c r="B77" t="s">
        <v>472</v>
      </c>
      <c r="C77">
        <v>32</v>
      </c>
      <c r="D77" t="s">
        <v>402</v>
      </c>
      <c r="E77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t="s">
        <v>2237</v>
      </c>
      <c r="W77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t="s">
        <v>60</v>
      </c>
    </row>
    <row r="78" spans="1:31" x14ac:dyDescent="0.2">
      <c r="A78">
        <v>75</v>
      </c>
      <c r="B78" t="s">
        <v>459</v>
      </c>
      <c r="C78">
        <v>32</v>
      </c>
      <c r="D78" t="s">
        <v>344</v>
      </c>
      <c r="E78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t="s">
        <v>2238</v>
      </c>
      <c r="W78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t="s">
        <v>60</v>
      </c>
    </row>
    <row r="79" spans="1:31" x14ac:dyDescent="0.2">
      <c r="A79">
        <v>76</v>
      </c>
      <c r="B79" t="s">
        <v>427</v>
      </c>
      <c r="C79">
        <v>23</v>
      </c>
      <c r="D79" t="s">
        <v>402</v>
      </c>
      <c r="E7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t="s">
        <v>1871</v>
      </c>
      <c r="W7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t="s">
        <v>60</v>
      </c>
    </row>
    <row r="80" spans="1:31" x14ac:dyDescent="0.2">
      <c r="A80">
        <v>77</v>
      </c>
      <c r="B80" t="s">
        <v>388</v>
      </c>
      <c r="C80">
        <v>39</v>
      </c>
      <c r="D80" t="s">
        <v>378</v>
      </c>
      <c r="E80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t="s">
        <v>389</v>
      </c>
      <c r="W80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t="s">
        <v>60</v>
      </c>
    </row>
    <row r="81" spans="1:31" x14ac:dyDescent="0.2">
      <c r="A81">
        <v>78</v>
      </c>
      <c r="B81" t="s">
        <v>431</v>
      </c>
      <c r="C81">
        <v>25</v>
      </c>
      <c r="D81" t="s">
        <v>384</v>
      </c>
      <c r="E81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t="s">
        <v>2661</v>
      </c>
      <c r="W81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t="s">
        <v>60</v>
      </c>
    </row>
    <row r="82" spans="1:31" x14ac:dyDescent="0.2">
      <c r="A82">
        <v>79</v>
      </c>
      <c r="B82" t="s">
        <v>434</v>
      </c>
      <c r="C82">
        <v>20</v>
      </c>
      <c r="D82" t="s">
        <v>337</v>
      </c>
      <c r="E82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t="s">
        <v>2239</v>
      </c>
      <c r="W82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t="s">
        <v>60</v>
      </c>
    </row>
    <row r="83" spans="1:31" x14ac:dyDescent="0.2">
      <c r="A83">
        <v>80</v>
      </c>
      <c r="B83" t="s">
        <v>397</v>
      </c>
      <c r="C83">
        <v>20</v>
      </c>
      <c r="D83" t="s">
        <v>324</v>
      </c>
      <c r="E83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t="s">
        <v>1764</v>
      </c>
      <c r="W83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t="s">
        <v>60</v>
      </c>
    </row>
    <row r="84" spans="1:31" x14ac:dyDescent="0.2">
      <c r="A84">
        <v>81</v>
      </c>
      <c r="B84" t="s">
        <v>493</v>
      </c>
      <c r="C84">
        <v>33</v>
      </c>
      <c r="D84" t="s">
        <v>344</v>
      </c>
      <c r="E84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t="s">
        <v>2240</v>
      </c>
      <c r="W84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t="s">
        <v>60</v>
      </c>
    </row>
    <row r="85" spans="1:31" x14ac:dyDescent="0.2">
      <c r="A85">
        <v>82</v>
      </c>
      <c r="B85" t="s">
        <v>535</v>
      </c>
      <c r="C85">
        <v>26</v>
      </c>
      <c r="D85" t="s">
        <v>536</v>
      </c>
      <c r="E85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t="s">
        <v>2241</v>
      </c>
      <c r="W85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t="s">
        <v>60</v>
      </c>
    </row>
    <row r="86" spans="1:31" x14ac:dyDescent="0.2">
      <c r="A86">
        <v>83</v>
      </c>
      <c r="B86" t="s">
        <v>440</v>
      </c>
      <c r="C86">
        <v>32</v>
      </c>
      <c r="D86" t="s">
        <v>363</v>
      </c>
      <c r="E86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t="s">
        <v>2242</v>
      </c>
      <c r="W86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t="s">
        <v>60</v>
      </c>
    </row>
    <row r="87" spans="1:31" x14ac:dyDescent="0.2">
      <c r="A87">
        <v>84</v>
      </c>
      <c r="B87" t="s">
        <v>441</v>
      </c>
      <c r="C87">
        <v>30</v>
      </c>
      <c r="D87" t="s">
        <v>344</v>
      </c>
      <c r="E87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t="s">
        <v>2243</v>
      </c>
      <c r="W87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t="s">
        <v>60</v>
      </c>
    </row>
    <row r="88" spans="1:31" x14ac:dyDescent="0.2">
      <c r="A88">
        <v>85</v>
      </c>
      <c r="B88" t="s">
        <v>515</v>
      </c>
      <c r="C88">
        <v>25</v>
      </c>
      <c r="D88" t="s">
        <v>439</v>
      </c>
      <c r="E88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t="s">
        <v>2104</v>
      </c>
      <c r="W88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t="s">
        <v>60</v>
      </c>
    </row>
    <row r="89" spans="1:31" x14ac:dyDescent="0.2">
      <c r="A89">
        <v>86</v>
      </c>
      <c r="B89" t="s">
        <v>487</v>
      </c>
      <c r="C89">
        <v>35</v>
      </c>
      <c r="D89" t="s">
        <v>359</v>
      </c>
      <c r="E8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t="s">
        <v>2244</v>
      </c>
      <c r="W8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t="s">
        <v>60</v>
      </c>
    </row>
    <row r="90" spans="1:31" x14ac:dyDescent="0.2">
      <c r="A90">
        <v>87</v>
      </c>
      <c r="B90" t="s">
        <v>463</v>
      </c>
      <c r="C90">
        <v>24</v>
      </c>
      <c r="D90" t="s">
        <v>375</v>
      </c>
      <c r="E90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t="s">
        <v>2245</v>
      </c>
      <c r="W90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t="s">
        <v>60</v>
      </c>
    </row>
    <row r="91" spans="1:31" x14ac:dyDescent="0.2">
      <c r="A91">
        <v>88</v>
      </c>
      <c r="B91" t="s">
        <v>580</v>
      </c>
      <c r="C91">
        <v>21</v>
      </c>
      <c r="D91" t="s">
        <v>365</v>
      </c>
      <c r="E91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t="s">
        <v>2662</v>
      </c>
      <c r="W91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t="s">
        <v>60</v>
      </c>
    </row>
    <row r="92" spans="1:31" x14ac:dyDescent="0.2">
      <c r="A92">
        <v>89</v>
      </c>
      <c r="B92" t="s">
        <v>454</v>
      </c>
      <c r="C92">
        <v>28</v>
      </c>
      <c r="D92" t="s">
        <v>368</v>
      </c>
      <c r="E92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t="s">
        <v>2246</v>
      </c>
      <c r="W92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t="s">
        <v>60</v>
      </c>
    </row>
    <row r="93" spans="1:31" x14ac:dyDescent="0.2">
      <c r="A93">
        <v>90</v>
      </c>
      <c r="B93" t="s">
        <v>480</v>
      </c>
      <c r="C93">
        <v>30</v>
      </c>
      <c r="D93" t="s">
        <v>375</v>
      </c>
      <c r="E93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t="s">
        <v>2247</v>
      </c>
      <c r="W93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t="s">
        <v>60</v>
      </c>
    </row>
    <row r="94" spans="1:31" x14ac:dyDescent="0.2">
      <c r="A94">
        <v>91</v>
      </c>
      <c r="B94" t="s">
        <v>538</v>
      </c>
      <c r="C94">
        <v>29</v>
      </c>
      <c r="D94" t="s">
        <v>375</v>
      </c>
      <c r="E94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t="s">
        <v>2248</v>
      </c>
      <c r="W94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t="s">
        <v>60</v>
      </c>
    </row>
    <row r="95" spans="1:31" x14ac:dyDescent="0.2">
      <c r="A95">
        <v>92</v>
      </c>
      <c r="B95" t="s">
        <v>562</v>
      </c>
      <c r="C95">
        <v>29</v>
      </c>
      <c r="D95" t="s">
        <v>359</v>
      </c>
      <c r="E95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t="s">
        <v>2249</v>
      </c>
      <c r="W95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t="s">
        <v>60</v>
      </c>
    </row>
    <row r="96" spans="1:31" x14ac:dyDescent="0.2">
      <c r="A96">
        <v>93</v>
      </c>
      <c r="B96" t="s">
        <v>544</v>
      </c>
      <c r="C96">
        <v>38</v>
      </c>
      <c r="D96" t="s">
        <v>426</v>
      </c>
      <c r="E96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t="s">
        <v>2250</v>
      </c>
      <c r="W96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t="s">
        <v>60</v>
      </c>
    </row>
    <row r="97" spans="1:31" x14ac:dyDescent="0.2">
      <c r="A97">
        <v>94</v>
      </c>
      <c r="B97" t="s">
        <v>508</v>
      </c>
      <c r="C97">
        <v>28</v>
      </c>
      <c r="D97" t="s">
        <v>361</v>
      </c>
      <c r="E97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t="s">
        <v>2663</v>
      </c>
      <c r="W97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t="s">
        <v>60</v>
      </c>
    </row>
    <row r="98" spans="1:31" x14ac:dyDescent="0.2">
      <c r="A98">
        <v>95</v>
      </c>
      <c r="B98" t="s">
        <v>466</v>
      </c>
      <c r="C98">
        <v>24</v>
      </c>
      <c r="D98" t="s">
        <v>412</v>
      </c>
      <c r="E98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t="s">
        <v>2105</v>
      </c>
      <c r="W98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t="s">
        <v>60</v>
      </c>
    </row>
    <row r="99" spans="1:31" x14ac:dyDescent="0.2">
      <c r="A99">
        <v>96</v>
      </c>
      <c r="B99" t="s">
        <v>492</v>
      </c>
      <c r="C99">
        <v>25</v>
      </c>
      <c r="D99" t="s">
        <v>368</v>
      </c>
      <c r="E9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t="s">
        <v>2251</v>
      </c>
      <c r="W9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t="s">
        <v>60</v>
      </c>
    </row>
    <row r="100" spans="1:31" x14ac:dyDescent="0.2">
      <c r="A100">
        <v>97</v>
      </c>
      <c r="B100" t="s">
        <v>532</v>
      </c>
      <c r="C100">
        <v>29</v>
      </c>
      <c r="D100" t="s">
        <v>353</v>
      </c>
      <c r="E100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t="s">
        <v>2664</v>
      </c>
      <c r="W100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t="s">
        <v>60</v>
      </c>
    </row>
    <row r="101" spans="1:31" x14ac:dyDescent="0.2">
      <c r="A101">
        <v>98</v>
      </c>
      <c r="B101" t="s">
        <v>603</v>
      </c>
      <c r="C101">
        <v>25</v>
      </c>
      <c r="D101" t="s">
        <v>402</v>
      </c>
      <c r="E101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t="s">
        <v>2252</v>
      </c>
      <c r="W101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t="s">
        <v>60</v>
      </c>
    </row>
    <row r="102" spans="1:31" x14ac:dyDescent="0.2">
      <c r="A102">
        <v>99</v>
      </c>
      <c r="B102" t="s">
        <v>406</v>
      </c>
      <c r="C102">
        <v>27</v>
      </c>
      <c r="D102" t="s">
        <v>363</v>
      </c>
      <c r="E102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t="s">
        <v>407</v>
      </c>
      <c r="W102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t="s">
        <v>60</v>
      </c>
    </row>
    <row r="103" spans="1:31" x14ac:dyDescent="0.2">
      <c r="A103">
        <v>100</v>
      </c>
      <c r="B103" t="s">
        <v>520</v>
      </c>
      <c r="C103">
        <v>35</v>
      </c>
      <c r="D103" t="s">
        <v>378</v>
      </c>
      <c r="E103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t="s">
        <v>2666</v>
      </c>
      <c r="W103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t="s">
        <v>60</v>
      </c>
    </row>
    <row r="104" spans="1:31" x14ac:dyDescent="0.2">
      <c r="A104">
        <v>101</v>
      </c>
      <c r="B104" t="s">
        <v>509</v>
      </c>
      <c r="C104">
        <v>34</v>
      </c>
      <c r="D104" t="s">
        <v>321</v>
      </c>
      <c r="E104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t="s">
        <v>2253</v>
      </c>
      <c r="W104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t="s">
        <v>60</v>
      </c>
    </row>
    <row r="105" spans="1:31" x14ac:dyDescent="0.2">
      <c r="A105">
        <v>102</v>
      </c>
      <c r="B105" t="s">
        <v>453</v>
      </c>
      <c r="C105">
        <v>23</v>
      </c>
      <c r="D105" t="s">
        <v>426</v>
      </c>
      <c r="E105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t="s">
        <v>2254</v>
      </c>
      <c r="W105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t="s">
        <v>60</v>
      </c>
    </row>
    <row r="106" spans="1:31" x14ac:dyDescent="0.2">
      <c r="A106">
        <v>103</v>
      </c>
      <c r="B106" t="s">
        <v>481</v>
      </c>
      <c r="C106">
        <v>28</v>
      </c>
      <c r="D106" t="s">
        <v>356</v>
      </c>
      <c r="E106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t="s">
        <v>2256</v>
      </c>
      <c r="W106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t="s">
        <v>60</v>
      </c>
    </row>
    <row r="107" spans="1:31" x14ac:dyDescent="0.2">
      <c r="A107">
        <v>104</v>
      </c>
      <c r="B107" t="s">
        <v>483</v>
      </c>
      <c r="C107">
        <v>29</v>
      </c>
      <c r="D107" t="s">
        <v>448</v>
      </c>
      <c r="E107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t="s">
        <v>2257</v>
      </c>
      <c r="W107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t="s">
        <v>60</v>
      </c>
    </row>
    <row r="108" spans="1:31" x14ac:dyDescent="0.2">
      <c r="A108">
        <v>105</v>
      </c>
      <c r="B108" t="s">
        <v>516</v>
      </c>
      <c r="C108">
        <v>26</v>
      </c>
      <c r="D108" t="s">
        <v>365</v>
      </c>
      <c r="E108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t="s">
        <v>1873</v>
      </c>
      <c r="W108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t="s">
        <v>60</v>
      </c>
    </row>
    <row r="109" spans="1:31" x14ac:dyDescent="0.2">
      <c r="A109">
        <v>106</v>
      </c>
      <c r="B109" t="s">
        <v>517</v>
      </c>
      <c r="C109">
        <v>25</v>
      </c>
      <c r="D109" t="s">
        <v>344</v>
      </c>
      <c r="E10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t="s">
        <v>2259</v>
      </c>
      <c r="W10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t="s">
        <v>60</v>
      </c>
    </row>
    <row r="110" spans="1:31" x14ac:dyDescent="0.2">
      <c r="A110">
        <v>107</v>
      </c>
      <c r="B110" t="s">
        <v>502</v>
      </c>
      <c r="C110">
        <v>23</v>
      </c>
      <c r="D110" t="s">
        <v>476</v>
      </c>
      <c r="E110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t="s">
        <v>2260</v>
      </c>
      <c r="W110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t="s">
        <v>60</v>
      </c>
    </row>
    <row r="111" spans="1:31" x14ac:dyDescent="0.2">
      <c r="A111">
        <v>108</v>
      </c>
      <c r="B111" t="s">
        <v>571</v>
      </c>
      <c r="C111">
        <v>35</v>
      </c>
      <c r="D111" t="s">
        <v>387</v>
      </c>
      <c r="E111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t="s">
        <v>2667</v>
      </c>
      <c r="W111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t="s">
        <v>60</v>
      </c>
    </row>
    <row r="112" spans="1:31" x14ac:dyDescent="0.2">
      <c r="A112">
        <v>109</v>
      </c>
      <c r="B112" t="s">
        <v>572</v>
      </c>
      <c r="C112">
        <v>31</v>
      </c>
      <c r="D112" t="s">
        <v>378</v>
      </c>
      <c r="E112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t="s">
        <v>2668</v>
      </c>
      <c r="W112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t="s">
        <v>60</v>
      </c>
    </row>
    <row r="113" spans="1:31" x14ac:dyDescent="0.2">
      <c r="A113">
        <v>110</v>
      </c>
      <c r="B113" t="s">
        <v>477</v>
      </c>
      <c r="C113">
        <v>31</v>
      </c>
      <c r="D113" t="s">
        <v>361</v>
      </c>
      <c r="E113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t="s">
        <v>2669</v>
      </c>
      <c r="W113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t="s">
        <v>60</v>
      </c>
    </row>
    <row r="114" spans="1:31" x14ac:dyDescent="0.2">
      <c r="A114">
        <v>111</v>
      </c>
      <c r="B114" t="s">
        <v>510</v>
      </c>
      <c r="C114">
        <v>27</v>
      </c>
      <c r="D114" t="s">
        <v>412</v>
      </c>
      <c r="E114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t="s">
        <v>2106</v>
      </c>
      <c r="W114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t="s">
        <v>60</v>
      </c>
    </row>
    <row r="115" spans="1:31" x14ac:dyDescent="0.2">
      <c r="A115">
        <v>112</v>
      </c>
      <c r="B115" t="s">
        <v>537</v>
      </c>
      <c r="C115">
        <v>33</v>
      </c>
      <c r="D115" t="s">
        <v>324</v>
      </c>
      <c r="E115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t="s">
        <v>2261</v>
      </c>
      <c r="W115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t="s">
        <v>60</v>
      </c>
    </row>
    <row r="116" spans="1:31" x14ac:dyDescent="0.2">
      <c r="A116">
        <v>113</v>
      </c>
      <c r="B116" t="s">
        <v>663</v>
      </c>
      <c r="C116">
        <v>26</v>
      </c>
      <c r="D116" t="s">
        <v>555</v>
      </c>
      <c r="E116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t="s">
        <v>2670</v>
      </c>
      <c r="W116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t="s">
        <v>60</v>
      </c>
    </row>
    <row r="117" spans="1:31" x14ac:dyDescent="0.2">
      <c r="A117">
        <v>114</v>
      </c>
      <c r="B117" t="s">
        <v>499</v>
      </c>
      <c r="C117">
        <v>23</v>
      </c>
      <c r="D117" t="s">
        <v>439</v>
      </c>
      <c r="E117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t="s">
        <v>2262</v>
      </c>
      <c r="W117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t="s">
        <v>60</v>
      </c>
    </row>
    <row r="118" spans="1:31" x14ac:dyDescent="0.2">
      <c r="A118">
        <v>115</v>
      </c>
      <c r="B118" t="s">
        <v>543</v>
      </c>
      <c r="C118">
        <v>29</v>
      </c>
      <c r="D118" t="s">
        <v>415</v>
      </c>
      <c r="E118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t="s">
        <v>2671</v>
      </c>
      <c r="W118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t="s">
        <v>60</v>
      </c>
    </row>
    <row r="119" spans="1:31" x14ac:dyDescent="0.2">
      <c r="A119">
        <v>116</v>
      </c>
      <c r="B119" t="s">
        <v>560</v>
      </c>
      <c r="C119">
        <v>35</v>
      </c>
      <c r="D119" t="s">
        <v>555</v>
      </c>
      <c r="E1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t="s">
        <v>2672</v>
      </c>
      <c r="W1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t="s">
        <v>60</v>
      </c>
    </row>
    <row r="120" spans="1:31" x14ac:dyDescent="0.2">
      <c r="A120">
        <v>117</v>
      </c>
      <c r="B120" t="s">
        <v>501</v>
      </c>
      <c r="C120">
        <v>29</v>
      </c>
      <c r="D120" t="s">
        <v>402</v>
      </c>
      <c r="E120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t="s">
        <v>2263</v>
      </c>
      <c r="W120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t="s">
        <v>60</v>
      </c>
    </row>
    <row r="121" spans="1:31" x14ac:dyDescent="0.2">
      <c r="A121">
        <v>118</v>
      </c>
      <c r="B121" t="s">
        <v>518</v>
      </c>
      <c r="C121">
        <v>23</v>
      </c>
      <c r="D121" t="s">
        <v>324</v>
      </c>
      <c r="E121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t="s">
        <v>2264</v>
      </c>
      <c r="W121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t="s">
        <v>60</v>
      </c>
    </row>
    <row r="122" spans="1:31" x14ac:dyDescent="0.2">
      <c r="A122">
        <v>119</v>
      </c>
      <c r="B122" t="s">
        <v>485</v>
      </c>
      <c r="C122">
        <v>21</v>
      </c>
      <c r="D122" t="s">
        <v>384</v>
      </c>
      <c r="E122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t="s">
        <v>2673</v>
      </c>
      <c r="W122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t="s">
        <v>60</v>
      </c>
    </row>
    <row r="123" spans="1:31" x14ac:dyDescent="0.2">
      <c r="A123">
        <v>120</v>
      </c>
      <c r="B123" t="s">
        <v>503</v>
      </c>
      <c r="C123">
        <v>29</v>
      </c>
      <c r="D123" t="s">
        <v>429</v>
      </c>
      <c r="E123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t="s">
        <v>2265</v>
      </c>
      <c r="W123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t="s">
        <v>60</v>
      </c>
    </row>
    <row r="124" spans="1:31" x14ac:dyDescent="0.2">
      <c r="A124">
        <v>121</v>
      </c>
      <c r="B124" t="s">
        <v>474</v>
      </c>
      <c r="C124">
        <v>24</v>
      </c>
      <c r="D124" t="s">
        <v>404</v>
      </c>
      <c r="E124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t="s">
        <v>2210</v>
      </c>
      <c r="W124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t="s">
        <v>60</v>
      </c>
    </row>
    <row r="125" spans="1:31" x14ac:dyDescent="0.2">
      <c r="A125">
        <v>122</v>
      </c>
      <c r="B125" t="s">
        <v>479</v>
      </c>
      <c r="C125">
        <v>18</v>
      </c>
      <c r="D125" t="s">
        <v>387</v>
      </c>
      <c r="E125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t="s">
        <v>2674</v>
      </c>
      <c r="W125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t="s">
        <v>60</v>
      </c>
    </row>
    <row r="126" spans="1:31" x14ac:dyDescent="0.2">
      <c r="A126">
        <v>123</v>
      </c>
      <c r="B126" t="s">
        <v>661</v>
      </c>
      <c r="C126">
        <v>31</v>
      </c>
      <c r="D126" t="s">
        <v>555</v>
      </c>
      <c r="E126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t="s">
        <v>2676</v>
      </c>
      <c r="W126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t="s">
        <v>60</v>
      </c>
    </row>
    <row r="127" spans="1:31" x14ac:dyDescent="0.2">
      <c r="A127">
        <v>124</v>
      </c>
      <c r="B127" t="s">
        <v>494</v>
      </c>
      <c r="C127">
        <v>25</v>
      </c>
      <c r="D127" t="s">
        <v>384</v>
      </c>
      <c r="E127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t="s">
        <v>2677</v>
      </c>
      <c r="W127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t="s">
        <v>60</v>
      </c>
    </row>
    <row r="128" spans="1:31" x14ac:dyDescent="0.2">
      <c r="A128">
        <v>125</v>
      </c>
      <c r="B128" t="s">
        <v>604</v>
      </c>
      <c r="C128">
        <v>31</v>
      </c>
      <c r="D128" t="s">
        <v>324</v>
      </c>
      <c r="E128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t="s">
        <v>2266</v>
      </c>
      <c r="W128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t="s">
        <v>60</v>
      </c>
    </row>
    <row r="129" spans="1:31" x14ac:dyDescent="0.2">
      <c r="A129">
        <v>126</v>
      </c>
      <c r="B129" t="s">
        <v>583</v>
      </c>
      <c r="C129">
        <v>36</v>
      </c>
      <c r="D129" t="s">
        <v>448</v>
      </c>
      <c r="E12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t="s">
        <v>2267</v>
      </c>
      <c r="W12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t="s">
        <v>60</v>
      </c>
    </row>
    <row r="130" spans="1:31" x14ac:dyDescent="0.2">
      <c r="A130">
        <v>127</v>
      </c>
      <c r="B130" t="s">
        <v>512</v>
      </c>
      <c r="C130">
        <v>22</v>
      </c>
      <c r="D130" t="s">
        <v>402</v>
      </c>
      <c r="E130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t="s">
        <v>2268</v>
      </c>
      <c r="W130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t="s">
        <v>60</v>
      </c>
    </row>
    <row r="131" spans="1:31" x14ac:dyDescent="0.2">
      <c r="A131">
        <v>128</v>
      </c>
      <c r="B131" t="s">
        <v>513</v>
      </c>
      <c r="C131">
        <v>30</v>
      </c>
      <c r="D131" t="s">
        <v>330</v>
      </c>
      <c r="E131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t="s">
        <v>2678</v>
      </c>
      <c r="W131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t="s">
        <v>60</v>
      </c>
    </row>
    <row r="132" spans="1:31" x14ac:dyDescent="0.2">
      <c r="A132">
        <v>129</v>
      </c>
      <c r="B132" t="s">
        <v>444</v>
      </c>
      <c r="C132">
        <v>21</v>
      </c>
      <c r="D132" t="s">
        <v>412</v>
      </c>
      <c r="E132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t="s">
        <v>445</v>
      </c>
      <c r="W132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t="s">
        <v>60</v>
      </c>
    </row>
    <row r="133" spans="1:31" x14ac:dyDescent="0.2">
      <c r="A133">
        <v>130</v>
      </c>
      <c r="B133" t="s">
        <v>558</v>
      </c>
      <c r="C133">
        <v>23</v>
      </c>
      <c r="D133" t="s">
        <v>363</v>
      </c>
      <c r="E133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t="s">
        <v>2269</v>
      </c>
      <c r="W133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t="s">
        <v>60</v>
      </c>
    </row>
    <row r="134" spans="1:31" x14ac:dyDescent="0.2">
      <c r="A134">
        <v>131</v>
      </c>
      <c r="B134" t="s">
        <v>484</v>
      </c>
      <c r="C134">
        <v>34</v>
      </c>
      <c r="D134" t="s">
        <v>361</v>
      </c>
      <c r="E134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t="s">
        <v>2679</v>
      </c>
      <c r="W134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t="s">
        <v>60</v>
      </c>
    </row>
    <row r="135" spans="1:31" x14ac:dyDescent="0.2">
      <c r="A135">
        <v>132</v>
      </c>
      <c r="B135" t="s">
        <v>506</v>
      </c>
      <c r="C135">
        <v>37</v>
      </c>
      <c r="D135" t="s">
        <v>373</v>
      </c>
      <c r="E135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t="s">
        <v>2680</v>
      </c>
      <c r="W135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t="s">
        <v>60</v>
      </c>
    </row>
    <row r="136" spans="1:31" x14ac:dyDescent="0.2">
      <c r="A136">
        <v>133</v>
      </c>
      <c r="B136" t="s">
        <v>549</v>
      </c>
      <c r="C136">
        <v>31</v>
      </c>
      <c r="D136" t="s">
        <v>356</v>
      </c>
      <c r="E136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t="s">
        <v>2270</v>
      </c>
      <c r="W136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t="s">
        <v>60</v>
      </c>
    </row>
    <row r="137" spans="1:31" x14ac:dyDescent="0.2">
      <c r="A137">
        <v>134</v>
      </c>
      <c r="B137" t="s">
        <v>489</v>
      </c>
      <c r="C137">
        <v>23</v>
      </c>
      <c r="D137" t="s">
        <v>337</v>
      </c>
      <c r="E137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t="s">
        <v>2271</v>
      </c>
      <c r="W137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t="s">
        <v>60</v>
      </c>
    </row>
    <row r="138" spans="1:31" x14ac:dyDescent="0.2">
      <c r="A138">
        <v>135</v>
      </c>
      <c r="B138" t="s">
        <v>451</v>
      </c>
      <c r="C138">
        <v>29</v>
      </c>
      <c r="D138" t="s">
        <v>404</v>
      </c>
      <c r="E138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t="s">
        <v>2272</v>
      </c>
      <c r="W138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t="s">
        <v>60</v>
      </c>
    </row>
    <row r="139" spans="1:31" x14ac:dyDescent="0.2">
      <c r="A139">
        <v>136</v>
      </c>
      <c r="B139" t="s">
        <v>540</v>
      </c>
      <c r="C139">
        <v>28</v>
      </c>
      <c r="D139" t="s">
        <v>353</v>
      </c>
      <c r="E13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t="s">
        <v>2681</v>
      </c>
      <c r="W13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t="s">
        <v>60</v>
      </c>
    </row>
    <row r="140" spans="1:31" x14ac:dyDescent="0.2">
      <c r="A140">
        <v>137</v>
      </c>
      <c r="B140" t="s">
        <v>497</v>
      </c>
      <c r="C140">
        <v>33</v>
      </c>
      <c r="D140" t="s">
        <v>384</v>
      </c>
      <c r="E140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t="s">
        <v>2682</v>
      </c>
      <c r="W140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t="s">
        <v>60</v>
      </c>
    </row>
    <row r="141" spans="1:31" x14ac:dyDescent="0.2">
      <c r="A141">
        <v>138</v>
      </c>
      <c r="B141" t="s">
        <v>587</v>
      </c>
      <c r="C141">
        <v>29</v>
      </c>
      <c r="D141" t="s">
        <v>461</v>
      </c>
      <c r="E141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t="s">
        <v>2273</v>
      </c>
      <c r="W141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t="s">
        <v>60</v>
      </c>
    </row>
    <row r="142" spans="1:31" x14ac:dyDescent="0.2">
      <c r="A142">
        <v>139</v>
      </c>
      <c r="B142" t="s">
        <v>567</v>
      </c>
      <c r="C142">
        <v>28</v>
      </c>
      <c r="D142" t="s">
        <v>461</v>
      </c>
      <c r="E142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t="s">
        <v>2274</v>
      </c>
      <c r="W142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t="s">
        <v>60</v>
      </c>
    </row>
    <row r="143" spans="1:31" x14ac:dyDescent="0.2">
      <c r="A143">
        <v>140</v>
      </c>
      <c r="B143" t="s">
        <v>473</v>
      </c>
      <c r="C143">
        <v>34</v>
      </c>
      <c r="D143" t="s">
        <v>337</v>
      </c>
      <c r="E143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t="s">
        <v>2275</v>
      </c>
      <c r="W143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t="s">
        <v>60</v>
      </c>
    </row>
    <row r="144" spans="1:31" x14ac:dyDescent="0.2">
      <c r="A144">
        <v>141</v>
      </c>
      <c r="B144" t="s">
        <v>570</v>
      </c>
      <c r="C144">
        <v>25</v>
      </c>
      <c r="D144" t="s">
        <v>337</v>
      </c>
      <c r="E144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t="s">
        <v>2276</v>
      </c>
      <c r="W144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t="s">
        <v>60</v>
      </c>
    </row>
    <row r="145" spans="1:31" x14ac:dyDescent="0.2">
      <c r="A145">
        <v>142</v>
      </c>
      <c r="B145" t="s">
        <v>523</v>
      </c>
      <c r="C145">
        <v>32</v>
      </c>
      <c r="D145" t="s">
        <v>363</v>
      </c>
      <c r="E145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t="s">
        <v>1913</v>
      </c>
      <c r="W145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t="s">
        <v>60</v>
      </c>
    </row>
    <row r="146" spans="1:31" x14ac:dyDescent="0.2">
      <c r="A146">
        <v>143</v>
      </c>
      <c r="B146" t="s">
        <v>628</v>
      </c>
      <c r="C146">
        <v>30</v>
      </c>
      <c r="D146" t="s">
        <v>321</v>
      </c>
      <c r="E146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t="s">
        <v>1773</v>
      </c>
      <c r="W146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t="s">
        <v>60</v>
      </c>
    </row>
    <row r="147" spans="1:31" x14ac:dyDescent="0.2">
      <c r="A147">
        <v>144</v>
      </c>
      <c r="B147" t="s">
        <v>467</v>
      </c>
      <c r="C147">
        <v>27</v>
      </c>
      <c r="D147" t="s">
        <v>461</v>
      </c>
      <c r="E147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t="s">
        <v>2278</v>
      </c>
      <c r="W147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t="s">
        <v>60</v>
      </c>
    </row>
    <row r="148" spans="1:31" x14ac:dyDescent="0.2">
      <c r="A148">
        <v>145</v>
      </c>
      <c r="B148" t="s">
        <v>731</v>
      </c>
      <c r="C148">
        <v>35</v>
      </c>
      <c r="D148" t="s">
        <v>476</v>
      </c>
      <c r="E148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t="s">
        <v>2279</v>
      </c>
      <c r="W148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t="s">
        <v>60</v>
      </c>
    </row>
    <row r="149" spans="1:31" x14ac:dyDescent="0.2">
      <c r="A149">
        <v>146</v>
      </c>
      <c r="B149" t="s">
        <v>511</v>
      </c>
      <c r="C149">
        <v>26</v>
      </c>
      <c r="D149" t="s">
        <v>415</v>
      </c>
      <c r="E14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t="s">
        <v>2683</v>
      </c>
      <c r="W14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t="s">
        <v>60</v>
      </c>
    </row>
    <row r="150" spans="1:31" x14ac:dyDescent="0.2">
      <c r="A150">
        <v>147</v>
      </c>
      <c r="B150" t="s">
        <v>554</v>
      </c>
      <c r="C150">
        <v>23</v>
      </c>
      <c r="D150" t="s">
        <v>555</v>
      </c>
      <c r="E150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t="s">
        <v>2684</v>
      </c>
      <c r="W150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t="s">
        <v>60</v>
      </c>
    </row>
    <row r="151" spans="1:31" x14ac:dyDescent="0.2">
      <c r="A151">
        <v>148</v>
      </c>
      <c r="B151" t="s">
        <v>605</v>
      </c>
      <c r="C151">
        <v>30</v>
      </c>
      <c r="D151" t="s">
        <v>536</v>
      </c>
      <c r="E151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t="s">
        <v>2280</v>
      </c>
      <c r="W151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t="s">
        <v>60</v>
      </c>
    </row>
    <row r="152" spans="1:31" x14ac:dyDescent="0.2">
      <c r="A152">
        <v>149</v>
      </c>
      <c r="B152" t="s">
        <v>496</v>
      </c>
      <c r="C152">
        <v>23</v>
      </c>
      <c r="D152" t="s">
        <v>429</v>
      </c>
      <c r="E152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t="s">
        <v>2281</v>
      </c>
      <c r="W152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t="s">
        <v>60</v>
      </c>
    </row>
    <row r="153" spans="1:31" x14ac:dyDescent="0.2">
      <c r="A153">
        <v>150</v>
      </c>
      <c r="B153" t="s">
        <v>669</v>
      </c>
      <c r="C153">
        <v>31</v>
      </c>
      <c r="D153" t="s">
        <v>373</v>
      </c>
      <c r="E153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t="s">
        <v>2016</v>
      </c>
      <c r="W153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t="s">
        <v>60</v>
      </c>
    </row>
    <row r="154" spans="1:31" x14ac:dyDescent="0.2">
      <c r="A154">
        <v>151</v>
      </c>
      <c r="B154" t="s">
        <v>541</v>
      </c>
      <c r="C154">
        <v>33</v>
      </c>
      <c r="D154" t="s">
        <v>415</v>
      </c>
      <c r="E154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t="s">
        <v>2685</v>
      </c>
      <c r="W154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t="s">
        <v>60</v>
      </c>
    </row>
    <row r="155" spans="1:31" x14ac:dyDescent="0.2">
      <c r="A155">
        <v>152</v>
      </c>
      <c r="B155" t="s">
        <v>674</v>
      </c>
      <c r="C155">
        <v>23</v>
      </c>
      <c r="D155" t="s">
        <v>324</v>
      </c>
      <c r="E155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t="s">
        <v>2282</v>
      </c>
      <c r="W155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t="s">
        <v>60</v>
      </c>
    </row>
    <row r="156" spans="1:31" x14ac:dyDescent="0.2">
      <c r="A156">
        <v>153</v>
      </c>
      <c r="B156" t="s">
        <v>486</v>
      </c>
      <c r="C156">
        <v>24</v>
      </c>
      <c r="D156" t="s">
        <v>404</v>
      </c>
      <c r="E156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t="s">
        <v>2283</v>
      </c>
      <c r="W156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t="s">
        <v>60</v>
      </c>
    </row>
    <row r="157" spans="1:31" x14ac:dyDescent="0.2">
      <c r="A157">
        <v>154</v>
      </c>
      <c r="B157" t="s">
        <v>568</v>
      </c>
      <c r="C157">
        <v>31</v>
      </c>
      <c r="D157" t="s">
        <v>375</v>
      </c>
      <c r="E157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t="s">
        <v>2284</v>
      </c>
      <c r="W157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t="s">
        <v>60</v>
      </c>
    </row>
    <row r="158" spans="1:31" x14ac:dyDescent="0.2">
      <c r="A158">
        <v>155</v>
      </c>
      <c r="B158" t="s">
        <v>592</v>
      </c>
      <c r="C158">
        <v>27</v>
      </c>
      <c r="D158" t="s">
        <v>321</v>
      </c>
      <c r="E158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t="s">
        <v>2286</v>
      </c>
      <c r="W158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t="s">
        <v>60</v>
      </c>
    </row>
    <row r="159" spans="1:31" x14ac:dyDescent="0.2">
      <c r="A159">
        <v>156</v>
      </c>
      <c r="B159" t="s">
        <v>626</v>
      </c>
      <c r="C159">
        <v>26</v>
      </c>
      <c r="D159" t="s">
        <v>439</v>
      </c>
      <c r="E15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t="s">
        <v>2287</v>
      </c>
      <c r="W15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t="s">
        <v>60</v>
      </c>
    </row>
    <row r="160" spans="1:31" x14ac:dyDescent="0.2">
      <c r="A160">
        <v>157</v>
      </c>
      <c r="B160" t="s">
        <v>491</v>
      </c>
      <c r="C160">
        <v>22</v>
      </c>
      <c r="D160" t="s">
        <v>330</v>
      </c>
      <c r="E160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t="s">
        <v>1916</v>
      </c>
      <c r="W160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t="s">
        <v>60</v>
      </c>
    </row>
    <row r="161" spans="1:31" x14ac:dyDescent="0.2">
      <c r="A161">
        <v>158</v>
      </c>
      <c r="B161" t="s">
        <v>723</v>
      </c>
      <c r="C161">
        <v>29</v>
      </c>
      <c r="D161" t="s">
        <v>353</v>
      </c>
      <c r="E161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t="s">
        <v>2686</v>
      </c>
      <c r="W161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t="s">
        <v>60</v>
      </c>
    </row>
    <row r="162" spans="1:31" x14ac:dyDescent="0.2">
      <c r="A162">
        <v>159</v>
      </c>
      <c r="B162" t="s">
        <v>599</v>
      </c>
      <c r="C162">
        <v>24</v>
      </c>
      <c r="D162" t="s">
        <v>439</v>
      </c>
      <c r="E162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t="s">
        <v>2288</v>
      </c>
      <c r="W162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t="s">
        <v>60</v>
      </c>
    </row>
    <row r="163" spans="1:31" x14ac:dyDescent="0.2">
      <c r="A163">
        <v>160</v>
      </c>
      <c r="B163" t="s">
        <v>584</v>
      </c>
      <c r="C163">
        <v>26</v>
      </c>
      <c r="D163" t="s">
        <v>415</v>
      </c>
      <c r="E163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t="s">
        <v>2687</v>
      </c>
      <c r="W163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t="s">
        <v>60</v>
      </c>
    </row>
    <row r="164" spans="1:31" x14ac:dyDescent="0.2">
      <c r="A164">
        <v>161</v>
      </c>
      <c r="B164" t="s">
        <v>557</v>
      </c>
      <c r="C164">
        <v>23</v>
      </c>
      <c r="D164" t="s">
        <v>448</v>
      </c>
      <c r="E164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t="s">
        <v>2289</v>
      </c>
      <c r="W164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t="s">
        <v>60</v>
      </c>
    </row>
    <row r="165" spans="1:31" x14ac:dyDescent="0.2">
      <c r="A165">
        <v>162</v>
      </c>
      <c r="B165" t="s">
        <v>586</v>
      </c>
      <c r="C165">
        <v>23</v>
      </c>
      <c r="D165" t="s">
        <v>359</v>
      </c>
      <c r="E165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t="s">
        <v>2290</v>
      </c>
      <c r="W165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t="s">
        <v>60</v>
      </c>
    </row>
    <row r="166" spans="1:31" x14ac:dyDescent="0.2">
      <c r="A166">
        <v>163</v>
      </c>
      <c r="B166" t="s">
        <v>613</v>
      </c>
      <c r="C166">
        <v>33</v>
      </c>
      <c r="D166" t="s">
        <v>536</v>
      </c>
      <c r="E166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t="s">
        <v>2292</v>
      </c>
      <c r="W166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t="s">
        <v>60</v>
      </c>
    </row>
    <row r="167" spans="1:31" x14ac:dyDescent="0.2">
      <c r="A167">
        <v>164</v>
      </c>
      <c r="B167" t="s">
        <v>564</v>
      </c>
      <c r="C167">
        <v>34</v>
      </c>
      <c r="D167" t="s">
        <v>476</v>
      </c>
      <c r="E167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t="s">
        <v>2293</v>
      </c>
      <c r="W167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t="s">
        <v>60</v>
      </c>
    </row>
    <row r="168" spans="1:31" x14ac:dyDescent="0.2">
      <c r="A168">
        <v>165</v>
      </c>
      <c r="B168" t="s">
        <v>938</v>
      </c>
      <c r="C168">
        <v>33</v>
      </c>
      <c r="D168" t="s">
        <v>328</v>
      </c>
      <c r="E168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t="s">
        <v>2294</v>
      </c>
      <c r="W168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t="s">
        <v>60</v>
      </c>
    </row>
    <row r="169" spans="1:31" x14ac:dyDescent="0.2">
      <c r="A169">
        <v>166</v>
      </c>
      <c r="B169" t="s">
        <v>619</v>
      </c>
      <c r="C169">
        <v>22</v>
      </c>
      <c r="D169" t="s">
        <v>365</v>
      </c>
      <c r="E16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t="s">
        <v>2688</v>
      </c>
      <c r="W16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t="s">
        <v>60</v>
      </c>
    </row>
    <row r="170" spans="1:31" x14ac:dyDescent="0.2">
      <c r="A170">
        <v>167</v>
      </c>
      <c r="B170" t="s">
        <v>620</v>
      </c>
      <c r="C170">
        <v>38</v>
      </c>
      <c r="D170" t="s">
        <v>429</v>
      </c>
      <c r="E170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t="s">
        <v>2295</v>
      </c>
      <c r="W170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t="s">
        <v>60</v>
      </c>
    </row>
    <row r="171" spans="1:31" x14ac:dyDescent="0.2">
      <c r="A171">
        <v>168</v>
      </c>
      <c r="B171" t="s">
        <v>547</v>
      </c>
      <c r="C171">
        <v>24</v>
      </c>
      <c r="D171" t="s">
        <v>363</v>
      </c>
      <c r="E171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t="s">
        <v>2296</v>
      </c>
      <c r="W171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t="s">
        <v>60</v>
      </c>
    </row>
    <row r="172" spans="1:31" x14ac:dyDescent="0.2">
      <c r="A172">
        <v>169</v>
      </c>
      <c r="B172" t="s">
        <v>521</v>
      </c>
      <c r="C172">
        <v>21</v>
      </c>
      <c r="D172" t="s">
        <v>368</v>
      </c>
      <c r="E172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t="s">
        <v>2297</v>
      </c>
      <c r="W172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t="s">
        <v>60</v>
      </c>
    </row>
    <row r="173" spans="1:31" x14ac:dyDescent="0.2">
      <c r="A173">
        <v>170</v>
      </c>
      <c r="B173" t="s">
        <v>575</v>
      </c>
      <c r="C173">
        <v>21</v>
      </c>
      <c r="D173" t="s">
        <v>415</v>
      </c>
      <c r="E173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t="s">
        <v>2689</v>
      </c>
      <c r="W173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t="s">
        <v>60</v>
      </c>
    </row>
    <row r="174" spans="1:31" x14ac:dyDescent="0.2">
      <c r="A174">
        <v>171</v>
      </c>
      <c r="B174" t="s">
        <v>653</v>
      </c>
      <c r="C174">
        <v>37</v>
      </c>
      <c r="D174" t="s">
        <v>426</v>
      </c>
      <c r="E174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t="s">
        <v>2299</v>
      </c>
      <c r="W174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t="s">
        <v>60</v>
      </c>
    </row>
    <row r="175" spans="1:31" x14ac:dyDescent="0.2">
      <c r="A175">
        <v>172</v>
      </c>
      <c r="B175" t="s">
        <v>578</v>
      </c>
      <c r="C175">
        <v>30</v>
      </c>
      <c r="D175" t="s">
        <v>461</v>
      </c>
      <c r="E175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t="s">
        <v>2300</v>
      </c>
      <c r="W175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t="s">
        <v>60</v>
      </c>
    </row>
    <row r="176" spans="1:31" x14ac:dyDescent="0.2">
      <c r="A176">
        <v>173</v>
      </c>
      <c r="B176" t="s">
        <v>534</v>
      </c>
      <c r="C176">
        <v>30</v>
      </c>
      <c r="D176" t="s">
        <v>344</v>
      </c>
      <c r="E176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t="s">
        <v>1767</v>
      </c>
      <c r="W176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t="s">
        <v>60</v>
      </c>
    </row>
    <row r="177" spans="1:31" x14ac:dyDescent="0.2">
      <c r="A177">
        <v>174</v>
      </c>
      <c r="B177" t="s">
        <v>635</v>
      </c>
      <c r="C177">
        <v>32</v>
      </c>
      <c r="D177" t="s">
        <v>363</v>
      </c>
      <c r="E177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t="s">
        <v>2301</v>
      </c>
      <c r="W177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t="s">
        <v>60</v>
      </c>
    </row>
    <row r="178" spans="1:31" x14ac:dyDescent="0.2">
      <c r="A178">
        <v>175</v>
      </c>
      <c r="B178" t="s">
        <v>539</v>
      </c>
      <c r="C178">
        <v>30</v>
      </c>
      <c r="D178" t="s">
        <v>476</v>
      </c>
      <c r="E178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t="s">
        <v>2302</v>
      </c>
      <c r="W178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t="s">
        <v>60</v>
      </c>
    </row>
    <row r="179" spans="1:31" x14ac:dyDescent="0.2">
      <c r="A179">
        <v>176</v>
      </c>
      <c r="B179" t="s">
        <v>606</v>
      </c>
      <c r="C179">
        <v>40</v>
      </c>
      <c r="D179" t="s">
        <v>321</v>
      </c>
      <c r="E17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t="s">
        <v>2303</v>
      </c>
      <c r="W17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t="s">
        <v>60</v>
      </c>
    </row>
    <row r="180" spans="1:31" x14ac:dyDescent="0.2">
      <c r="A180">
        <v>177</v>
      </c>
      <c r="B180" t="s">
        <v>610</v>
      </c>
      <c r="C180">
        <v>29</v>
      </c>
      <c r="D180" t="s">
        <v>555</v>
      </c>
      <c r="E180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t="s">
        <v>2690</v>
      </c>
      <c r="W180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t="s">
        <v>60</v>
      </c>
    </row>
    <row r="181" spans="1:31" x14ac:dyDescent="0.2">
      <c r="A181">
        <v>178</v>
      </c>
      <c r="B181" t="s">
        <v>614</v>
      </c>
      <c r="C181">
        <v>20</v>
      </c>
      <c r="D181" t="s">
        <v>373</v>
      </c>
      <c r="E181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t="s">
        <v>2692</v>
      </c>
      <c r="W181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t="s">
        <v>60</v>
      </c>
    </row>
    <row r="182" spans="1:31" x14ac:dyDescent="0.2">
      <c r="A182">
        <v>179</v>
      </c>
      <c r="B182" t="s">
        <v>563</v>
      </c>
      <c r="C182">
        <v>26</v>
      </c>
      <c r="D182" t="s">
        <v>448</v>
      </c>
      <c r="E182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t="s">
        <v>2304</v>
      </c>
      <c r="W182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t="s">
        <v>60</v>
      </c>
    </row>
    <row r="183" spans="1:31" x14ac:dyDescent="0.2">
      <c r="A183">
        <v>180</v>
      </c>
      <c r="B183" t="s">
        <v>618</v>
      </c>
      <c r="C183">
        <v>32</v>
      </c>
      <c r="D183" t="s">
        <v>448</v>
      </c>
      <c r="E183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t="s">
        <v>2305</v>
      </c>
      <c r="W183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t="s">
        <v>60</v>
      </c>
    </row>
    <row r="184" spans="1:31" x14ac:dyDescent="0.2">
      <c r="A184">
        <v>181</v>
      </c>
      <c r="B184" t="s">
        <v>588</v>
      </c>
      <c r="C184">
        <v>22</v>
      </c>
      <c r="D184" t="s">
        <v>404</v>
      </c>
      <c r="E184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t="s">
        <v>2306</v>
      </c>
      <c r="W184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t="s">
        <v>60</v>
      </c>
    </row>
    <row r="185" spans="1:31" x14ac:dyDescent="0.2">
      <c r="A185">
        <v>182</v>
      </c>
      <c r="B185" t="s">
        <v>621</v>
      </c>
      <c r="C185">
        <v>33</v>
      </c>
      <c r="D185" t="s">
        <v>321</v>
      </c>
      <c r="E185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t="s">
        <v>2308</v>
      </c>
      <c r="W185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t="s">
        <v>60</v>
      </c>
    </row>
    <row r="186" spans="1:31" x14ac:dyDescent="0.2">
      <c r="A186">
        <v>183</v>
      </c>
      <c r="B186" t="s">
        <v>651</v>
      </c>
      <c r="C186">
        <v>38</v>
      </c>
      <c r="D186" t="s">
        <v>378</v>
      </c>
      <c r="E186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t="s">
        <v>2694</v>
      </c>
      <c r="W186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t="s">
        <v>60</v>
      </c>
    </row>
    <row r="187" spans="1:31" x14ac:dyDescent="0.2">
      <c r="A187">
        <v>184</v>
      </c>
      <c r="B187" t="s">
        <v>625</v>
      </c>
      <c r="C187">
        <v>28</v>
      </c>
      <c r="D187" t="s">
        <v>356</v>
      </c>
      <c r="E187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t="s">
        <v>2309</v>
      </c>
      <c r="W187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t="s">
        <v>60</v>
      </c>
    </row>
    <row r="188" spans="1:31" x14ac:dyDescent="0.2">
      <c r="A188">
        <v>185</v>
      </c>
      <c r="B188" t="s">
        <v>593</v>
      </c>
      <c r="C188">
        <v>25</v>
      </c>
      <c r="D188" t="s">
        <v>368</v>
      </c>
      <c r="E188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t="s">
        <v>2310</v>
      </c>
      <c r="W188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t="s">
        <v>60</v>
      </c>
    </row>
    <row r="189" spans="1:31" x14ac:dyDescent="0.2">
      <c r="A189">
        <v>186</v>
      </c>
      <c r="B189" t="s">
        <v>576</v>
      </c>
      <c r="C189">
        <v>31</v>
      </c>
      <c r="D189" t="s">
        <v>384</v>
      </c>
      <c r="E18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t="s">
        <v>2695</v>
      </c>
      <c r="W18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t="s">
        <v>60</v>
      </c>
    </row>
    <row r="190" spans="1:31" x14ac:dyDescent="0.2">
      <c r="A190">
        <v>187</v>
      </c>
      <c r="B190" t="s">
        <v>524</v>
      </c>
      <c r="C190">
        <v>30</v>
      </c>
      <c r="D190" t="s">
        <v>321</v>
      </c>
      <c r="E190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t="s">
        <v>2311</v>
      </c>
      <c r="W190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t="s">
        <v>60</v>
      </c>
    </row>
    <row r="191" spans="1:31" x14ac:dyDescent="0.2">
      <c r="A191">
        <v>188</v>
      </c>
      <c r="B191" t="s">
        <v>577</v>
      </c>
      <c r="C191">
        <v>34</v>
      </c>
      <c r="D191" t="s">
        <v>324</v>
      </c>
      <c r="E191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t="s">
        <v>2312</v>
      </c>
      <c r="W191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t="s">
        <v>60</v>
      </c>
    </row>
    <row r="192" spans="1:31" x14ac:dyDescent="0.2">
      <c r="A192">
        <v>189</v>
      </c>
      <c r="B192" t="s">
        <v>632</v>
      </c>
      <c r="C192">
        <v>32</v>
      </c>
      <c r="D192" t="s">
        <v>375</v>
      </c>
      <c r="E192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t="s">
        <v>2313</v>
      </c>
      <c r="W192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t="s">
        <v>60</v>
      </c>
    </row>
    <row r="193" spans="1:31" x14ac:dyDescent="0.2">
      <c r="A193">
        <v>190</v>
      </c>
      <c r="B193" t="s">
        <v>773</v>
      </c>
      <c r="C193">
        <v>34</v>
      </c>
      <c r="D193" t="s">
        <v>359</v>
      </c>
      <c r="E193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t="s">
        <v>2314</v>
      </c>
      <c r="W193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t="s">
        <v>60</v>
      </c>
    </row>
    <row r="194" spans="1:31" x14ac:dyDescent="0.2">
      <c r="A194">
        <v>191</v>
      </c>
      <c r="B194" t="s">
        <v>783</v>
      </c>
      <c r="C194">
        <v>30</v>
      </c>
      <c r="D194" t="s">
        <v>353</v>
      </c>
      <c r="E194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t="s">
        <v>2696</v>
      </c>
      <c r="W194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t="s">
        <v>60</v>
      </c>
    </row>
    <row r="195" spans="1:31" x14ac:dyDescent="0.2">
      <c r="A195">
        <v>192</v>
      </c>
      <c r="B195" t="s">
        <v>665</v>
      </c>
      <c r="C195">
        <v>27</v>
      </c>
      <c r="D195" t="s">
        <v>378</v>
      </c>
      <c r="E195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t="s">
        <v>2697</v>
      </c>
      <c r="W195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t="s">
        <v>60</v>
      </c>
    </row>
    <row r="196" spans="1:31" x14ac:dyDescent="0.2">
      <c r="A196">
        <v>193</v>
      </c>
      <c r="B196" t="s">
        <v>642</v>
      </c>
      <c r="C196">
        <v>24</v>
      </c>
      <c r="D196" t="s">
        <v>439</v>
      </c>
      <c r="E196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t="s">
        <v>2315</v>
      </c>
      <c r="W196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t="s">
        <v>60</v>
      </c>
    </row>
    <row r="197" spans="1:31" x14ac:dyDescent="0.2">
      <c r="A197">
        <v>194</v>
      </c>
      <c r="B197" t="s">
        <v>607</v>
      </c>
      <c r="C197">
        <v>22</v>
      </c>
      <c r="D197" t="s">
        <v>429</v>
      </c>
      <c r="E197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t="s">
        <v>2316</v>
      </c>
      <c r="W197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t="s">
        <v>60</v>
      </c>
    </row>
    <row r="198" spans="1:31" x14ac:dyDescent="0.2">
      <c r="A198">
        <v>195</v>
      </c>
      <c r="B198" t="s">
        <v>668</v>
      </c>
      <c r="C198">
        <v>34</v>
      </c>
      <c r="D198" t="s">
        <v>448</v>
      </c>
      <c r="E198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t="s">
        <v>2317</v>
      </c>
      <c r="W198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t="s">
        <v>60</v>
      </c>
    </row>
    <row r="199" spans="1:31" x14ac:dyDescent="0.2">
      <c r="A199">
        <v>196</v>
      </c>
      <c r="B199" t="s">
        <v>612</v>
      </c>
      <c r="C199">
        <v>25</v>
      </c>
      <c r="D199" t="s">
        <v>448</v>
      </c>
      <c r="E19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t="s">
        <v>2318</v>
      </c>
      <c r="W19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t="s">
        <v>60</v>
      </c>
    </row>
    <row r="200" spans="1:31" x14ac:dyDescent="0.2">
      <c r="A200">
        <v>197</v>
      </c>
      <c r="B200" t="s">
        <v>565</v>
      </c>
      <c r="C200">
        <v>24</v>
      </c>
      <c r="D200" t="s">
        <v>387</v>
      </c>
      <c r="E200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t="s">
        <v>2017</v>
      </c>
      <c r="W200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t="s">
        <v>60</v>
      </c>
    </row>
    <row r="201" spans="1:31" x14ac:dyDescent="0.2">
      <c r="A201">
        <v>198</v>
      </c>
      <c r="B201" t="s">
        <v>589</v>
      </c>
      <c r="C201">
        <v>34</v>
      </c>
      <c r="D201" t="s">
        <v>461</v>
      </c>
      <c r="E201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t="s">
        <v>2319</v>
      </c>
      <c r="W201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t="s">
        <v>60</v>
      </c>
    </row>
    <row r="202" spans="1:31" x14ac:dyDescent="0.2">
      <c r="A202">
        <v>199</v>
      </c>
      <c r="B202" t="s">
        <v>681</v>
      </c>
      <c r="C202">
        <v>24</v>
      </c>
      <c r="D202" t="s">
        <v>429</v>
      </c>
      <c r="E202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t="s">
        <v>2320</v>
      </c>
      <c r="W202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t="s">
        <v>60</v>
      </c>
    </row>
    <row r="203" spans="1:31" x14ac:dyDescent="0.2">
      <c r="A203">
        <v>200</v>
      </c>
      <c r="B203" t="s">
        <v>574</v>
      </c>
      <c r="C203">
        <v>31</v>
      </c>
      <c r="D203" t="s">
        <v>365</v>
      </c>
      <c r="E203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t="s">
        <v>2698</v>
      </c>
      <c r="W203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t="s">
        <v>60</v>
      </c>
    </row>
    <row r="204" spans="1:31" x14ac:dyDescent="0.2">
      <c r="A204">
        <v>201</v>
      </c>
      <c r="B204" t="s">
        <v>627</v>
      </c>
      <c r="C204">
        <v>29</v>
      </c>
      <c r="D204" t="s">
        <v>361</v>
      </c>
      <c r="E204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t="s">
        <v>2699</v>
      </c>
      <c r="W204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t="s">
        <v>60</v>
      </c>
    </row>
    <row r="205" spans="1:31" x14ac:dyDescent="0.2">
      <c r="A205">
        <v>202</v>
      </c>
      <c r="B205" t="s">
        <v>596</v>
      </c>
      <c r="C205">
        <v>21</v>
      </c>
      <c r="D205" t="s">
        <v>404</v>
      </c>
      <c r="E205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t="s">
        <v>1723</v>
      </c>
      <c r="W205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t="s">
        <v>60</v>
      </c>
    </row>
    <row r="206" spans="1:31" x14ac:dyDescent="0.2">
      <c r="A206">
        <v>203</v>
      </c>
      <c r="B206" t="s">
        <v>652</v>
      </c>
      <c r="C206">
        <v>28</v>
      </c>
      <c r="D206" t="s">
        <v>378</v>
      </c>
      <c r="E206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t="s">
        <v>2700</v>
      </c>
      <c r="W206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t="s">
        <v>60</v>
      </c>
    </row>
    <row r="207" spans="1:31" x14ac:dyDescent="0.2">
      <c r="A207">
        <v>204</v>
      </c>
      <c r="B207" t="s">
        <v>526</v>
      </c>
      <c r="C207">
        <v>34</v>
      </c>
      <c r="D207" t="s">
        <v>387</v>
      </c>
      <c r="E207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t="s">
        <v>527</v>
      </c>
      <c r="W207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t="s">
        <v>60</v>
      </c>
    </row>
    <row r="208" spans="1:31" x14ac:dyDescent="0.2">
      <c r="A208">
        <v>205</v>
      </c>
      <c r="B208" t="s">
        <v>529</v>
      </c>
      <c r="C208">
        <v>25</v>
      </c>
      <c r="D208" t="s">
        <v>426</v>
      </c>
      <c r="E208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t="s">
        <v>530</v>
      </c>
      <c r="W208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t="s">
        <v>60</v>
      </c>
    </row>
    <row r="209" spans="1:31" x14ac:dyDescent="0.2">
      <c r="A209">
        <v>206</v>
      </c>
      <c r="B209" t="s">
        <v>533</v>
      </c>
      <c r="C209">
        <v>29</v>
      </c>
      <c r="D209" t="s">
        <v>328</v>
      </c>
      <c r="E20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t="s">
        <v>2321</v>
      </c>
      <c r="W20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t="s">
        <v>60</v>
      </c>
    </row>
    <row r="210" spans="1:31" x14ac:dyDescent="0.2">
      <c r="A210">
        <v>207</v>
      </c>
      <c r="B210" t="s">
        <v>633</v>
      </c>
      <c r="C210">
        <v>23</v>
      </c>
      <c r="D210" t="s">
        <v>375</v>
      </c>
      <c r="E210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t="s">
        <v>2322</v>
      </c>
      <c r="W210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t="s">
        <v>60</v>
      </c>
    </row>
    <row r="211" spans="1:31" x14ac:dyDescent="0.2">
      <c r="A211">
        <v>208</v>
      </c>
      <c r="B211" t="s">
        <v>699</v>
      </c>
      <c r="C211">
        <v>25</v>
      </c>
      <c r="D211" t="s">
        <v>439</v>
      </c>
      <c r="E211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t="s">
        <v>2323</v>
      </c>
      <c r="W211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t="s">
        <v>60</v>
      </c>
    </row>
    <row r="212" spans="1:31" x14ac:dyDescent="0.2">
      <c r="A212">
        <v>209</v>
      </c>
      <c r="B212" t="s">
        <v>582</v>
      </c>
      <c r="C212">
        <v>34</v>
      </c>
      <c r="D212" t="s">
        <v>439</v>
      </c>
      <c r="E212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t="s">
        <v>1650</v>
      </c>
      <c r="W212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t="s">
        <v>60</v>
      </c>
    </row>
    <row r="213" spans="1:31" x14ac:dyDescent="0.2">
      <c r="A213">
        <v>210</v>
      </c>
      <c r="B213" t="s">
        <v>556</v>
      </c>
      <c r="C213">
        <v>28</v>
      </c>
      <c r="D213" t="s">
        <v>461</v>
      </c>
      <c r="E213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t="s">
        <v>2324</v>
      </c>
      <c r="W213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t="s">
        <v>60</v>
      </c>
    </row>
    <row r="214" spans="1:31" x14ac:dyDescent="0.2">
      <c r="A214">
        <v>211</v>
      </c>
      <c r="B214" t="s">
        <v>639</v>
      </c>
      <c r="C214">
        <v>22</v>
      </c>
      <c r="D214" t="s">
        <v>365</v>
      </c>
      <c r="E214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t="s">
        <v>2701</v>
      </c>
      <c r="W214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t="s">
        <v>60</v>
      </c>
    </row>
    <row r="215" spans="1:31" x14ac:dyDescent="0.2">
      <c r="A215">
        <v>212</v>
      </c>
      <c r="B215" t="s">
        <v>667</v>
      </c>
      <c r="C215">
        <v>24</v>
      </c>
      <c r="D215" t="s">
        <v>415</v>
      </c>
      <c r="E215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t="s">
        <v>1906</v>
      </c>
      <c r="W215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t="s">
        <v>60</v>
      </c>
    </row>
    <row r="216" spans="1:31" x14ac:dyDescent="0.2">
      <c r="A216">
        <v>213</v>
      </c>
      <c r="B216" t="s">
        <v>644</v>
      </c>
      <c r="C216">
        <v>29</v>
      </c>
      <c r="D216" t="s">
        <v>461</v>
      </c>
      <c r="E216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t="s">
        <v>2325</v>
      </c>
      <c r="W216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t="s">
        <v>60</v>
      </c>
    </row>
    <row r="217" spans="1:31" x14ac:dyDescent="0.2">
      <c r="A217">
        <v>214</v>
      </c>
      <c r="B217" t="s">
        <v>716</v>
      </c>
      <c r="C217">
        <v>30</v>
      </c>
      <c r="D217" t="s">
        <v>361</v>
      </c>
      <c r="E217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t="s">
        <v>2702</v>
      </c>
      <c r="W217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t="s">
        <v>60</v>
      </c>
    </row>
    <row r="218" spans="1:31" x14ac:dyDescent="0.2">
      <c r="A218">
        <v>215</v>
      </c>
      <c r="B218" t="s">
        <v>717</v>
      </c>
      <c r="C218">
        <v>23</v>
      </c>
      <c r="D218" t="s">
        <v>415</v>
      </c>
      <c r="E218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t="s">
        <v>2703</v>
      </c>
      <c r="W218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t="s">
        <v>60</v>
      </c>
    </row>
    <row r="219" spans="1:31" x14ac:dyDescent="0.2">
      <c r="A219">
        <v>216</v>
      </c>
      <c r="B219" t="s">
        <v>611</v>
      </c>
      <c r="C219">
        <v>35</v>
      </c>
      <c r="D219" t="s">
        <v>328</v>
      </c>
      <c r="E2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t="s">
        <v>2326</v>
      </c>
      <c r="W2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t="s">
        <v>60</v>
      </c>
    </row>
    <row r="220" spans="1:31" x14ac:dyDescent="0.2">
      <c r="A220">
        <v>217</v>
      </c>
      <c r="B220" t="s">
        <v>617</v>
      </c>
      <c r="C220">
        <v>34</v>
      </c>
      <c r="D220" t="s">
        <v>402</v>
      </c>
      <c r="E220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t="s">
        <v>2327</v>
      </c>
      <c r="W220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t="s">
        <v>60</v>
      </c>
    </row>
    <row r="221" spans="1:31" x14ac:dyDescent="0.2">
      <c r="A221">
        <v>218</v>
      </c>
      <c r="B221" t="s">
        <v>546</v>
      </c>
      <c r="C221">
        <v>24</v>
      </c>
      <c r="D221" t="s">
        <v>536</v>
      </c>
      <c r="E221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t="s">
        <v>1760</v>
      </c>
      <c r="W221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t="s">
        <v>60</v>
      </c>
    </row>
    <row r="222" spans="1:31" x14ac:dyDescent="0.2">
      <c r="A222">
        <v>219</v>
      </c>
      <c r="B222" t="s">
        <v>801</v>
      </c>
      <c r="C222">
        <v>24</v>
      </c>
      <c r="D222" t="s">
        <v>387</v>
      </c>
      <c r="E222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t="s">
        <v>2704</v>
      </c>
      <c r="W222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t="s">
        <v>60</v>
      </c>
    </row>
    <row r="223" spans="1:31" x14ac:dyDescent="0.2">
      <c r="A223">
        <v>220</v>
      </c>
      <c r="B223" t="s">
        <v>622</v>
      </c>
      <c r="C223">
        <v>20</v>
      </c>
      <c r="D223" t="s">
        <v>330</v>
      </c>
      <c r="E223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t="s">
        <v>2705</v>
      </c>
      <c r="W223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t="s">
        <v>60</v>
      </c>
    </row>
    <row r="224" spans="1:31" x14ac:dyDescent="0.2">
      <c r="A224">
        <v>221</v>
      </c>
      <c r="B224" t="s">
        <v>759</v>
      </c>
      <c r="C224">
        <v>31</v>
      </c>
      <c r="D224" t="s">
        <v>334</v>
      </c>
      <c r="E224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t="s">
        <v>2328</v>
      </c>
      <c r="W224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t="s">
        <v>60</v>
      </c>
    </row>
    <row r="225" spans="1:31" x14ac:dyDescent="0.2">
      <c r="A225">
        <v>222</v>
      </c>
      <c r="B225" t="s">
        <v>624</v>
      </c>
      <c r="C225">
        <v>28</v>
      </c>
      <c r="D225" t="s">
        <v>412</v>
      </c>
      <c r="E225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t="s">
        <v>2112</v>
      </c>
      <c r="W225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t="s">
        <v>60</v>
      </c>
    </row>
    <row r="226" spans="1:31" x14ac:dyDescent="0.2">
      <c r="A226">
        <v>223</v>
      </c>
      <c r="B226" t="s">
        <v>688</v>
      </c>
      <c r="C226">
        <v>23</v>
      </c>
      <c r="D226" t="s">
        <v>536</v>
      </c>
      <c r="E226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t="s">
        <v>2329</v>
      </c>
      <c r="W226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t="s">
        <v>60</v>
      </c>
    </row>
    <row r="227" spans="1:31" x14ac:dyDescent="0.2">
      <c r="A227">
        <v>224</v>
      </c>
      <c r="B227" t="s">
        <v>631</v>
      </c>
      <c r="C227">
        <v>31</v>
      </c>
      <c r="D227" t="s">
        <v>387</v>
      </c>
      <c r="E227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t="s">
        <v>2706</v>
      </c>
      <c r="W227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t="s">
        <v>60</v>
      </c>
    </row>
    <row r="228" spans="1:31" x14ac:dyDescent="0.2">
      <c r="A228">
        <v>225</v>
      </c>
      <c r="B228" t="s">
        <v>698</v>
      </c>
      <c r="C228">
        <v>24</v>
      </c>
      <c r="D228" t="s">
        <v>361</v>
      </c>
      <c r="E228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t="s">
        <v>1844</v>
      </c>
      <c r="W228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t="s">
        <v>60</v>
      </c>
    </row>
    <row r="229" spans="1:31" x14ac:dyDescent="0.2">
      <c r="A229">
        <v>226</v>
      </c>
      <c r="B229" t="s">
        <v>550</v>
      </c>
      <c r="C229">
        <v>34</v>
      </c>
      <c r="D229" t="s">
        <v>334</v>
      </c>
      <c r="E22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t="s">
        <v>551</v>
      </c>
      <c r="W22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t="s">
        <v>60</v>
      </c>
    </row>
    <row r="230" spans="1:31" x14ac:dyDescent="0.2">
      <c r="A230">
        <v>227</v>
      </c>
      <c r="B230" t="s">
        <v>553</v>
      </c>
      <c r="C230">
        <v>31</v>
      </c>
      <c r="D230" t="s">
        <v>330</v>
      </c>
      <c r="E230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t="s">
        <v>2707</v>
      </c>
      <c r="W230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t="s">
        <v>60</v>
      </c>
    </row>
    <row r="231" spans="1:31" x14ac:dyDescent="0.2">
      <c r="A231">
        <v>228</v>
      </c>
      <c r="B231" t="s">
        <v>909</v>
      </c>
      <c r="C231">
        <v>26</v>
      </c>
      <c r="D231" t="s">
        <v>426</v>
      </c>
      <c r="E231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t="s">
        <v>2330</v>
      </c>
      <c r="W231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t="s">
        <v>60</v>
      </c>
    </row>
    <row r="232" spans="1:31" x14ac:dyDescent="0.2">
      <c r="A232">
        <v>229</v>
      </c>
      <c r="B232" t="s">
        <v>636</v>
      </c>
      <c r="C232">
        <v>31</v>
      </c>
      <c r="D232" t="s">
        <v>337</v>
      </c>
      <c r="E232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t="s">
        <v>2331</v>
      </c>
      <c r="W232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t="s">
        <v>60</v>
      </c>
    </row>
    <row r="233" spans="1:31" x14ac:dyDescent="0.2">
      <c r="A233">
        <v>230</v>
      </c>
      <c r="B233" t="s">
        <v>779</v>
      </c>
      <c r="C233">
        <v>26</v>
      </c>
      <c r="D233" t="s">
        <v>426</v>
      </c>
      <c r="E233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t="s">
        <v>2332</v>
      </c>
      <c r="W233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t="s">
        <v>60</v>
      </c>
    </row>
    <row r="234" spans="1:31" x14ac:dyDescent="0.2">
      <c r="A234">
        <v>231</v>
      </c>
      <c r="B234" t="s">
        <v>641</v>
      </c>
      <c r="C234">
        <v>20</v>
      </c>
      <c r="D234" t="s">
        <v>1022</v>
      </c>
      <c r="E234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t="s">
        <v>2333</v>
      </c>
      <c r="W234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t="s">
        <v>60</v>
      </c>
    </row>
    <row r="235" spans="1:31" x14ac:dyDescent="0.2">
      <c r="A235">
        <v>231</v>
      </c>
      <c r="B235" t="s">
        <v>641</v>
      </c>
      <c r="C235">
        <v>20</v>
      </c>
      <c r="D235" t="s">
        <v>359</v>
      </c>
      <c r="E235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t="s">
        <v>1727</v>
      </c>
      <c r="W235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t="s">
        <v>60</v>
      </c>
    </row>
    <row r="236" spans="1:31" x14ac:dyDescent="0.2">
      <c r="A236">
        <v>231</v>
      </c>
      <c r="B236" t="s">
        <v>641</v>
      </c>
      <c r="C236">
        <v>20</v>
      </c>
      <c r="D236" t="s">
        <v>461</v>
      </c>
      <c r="E236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t="s">
        <v>2334</v>
      </c>
      <c r="W236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t="s">
        <v>60</v>
      </c>
    </row>
    <row r="237" spans="1:31" x14ac:dyDescent="0.2">
      <c r="A237">
        <v>232</v>
      </c>
      <c r="B237" t="s">
        <v>720</v>
      </c>
      <c r="C237">
        <v>30</v>
      </c>
      <c r="D237" t="s">
        <v>1022</v>
      </c>
      <c r="E237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t="s">
        <v>1842</v>
      </c>
      <c r="W237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t="s">
        <v>60</v>
      </c>
    </row>
    <row r="238" spans="1:31" x14ac:dyDescent="0.2">
      <c r="A238">
        <v>232</v>
      </c>
      <c r="B238" t="s">
        <v>720</v>
      </c>
      <c r="C238">
        <v>30</v>
      </c>
      <c r="D238" t="s">
        <v>555</v>
      </c>
      <c r="E238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t="s">
        <v>1845</v>
      </c>
      <c r="W238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t="s">
        <v>60</v>
      </c>
    </row>
    <row r="239" spans="1:31" x14ac:dyDescent="0.2">
      <c r="A239">
        <v>232</v>
      </c>
      <c r="B239" t="s">
        <v>720</v>
      </c>
      <c r="C239">
        <v>30</v>
      </c>
      <c r="D239" t="s">
        <v>384</v>
      </c>
      <c r="E23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t="s">
        <v>2708</v>
      </c>
      <c r="W23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t="s">
        <v>60</v>
      </c>
    </row>
    <row r="240" spans="1:31" x14ac:dyDescent="0.2">
      <c r="A240">
        <v>233</v>
      </c>
      <c r="B240" t="s">
        <v>713</v>
      </c>
      <c r="C240">
        <v>20</v>
      </c>
      <c r="D240" t="s">
        <v>439</v>
      </c>
      <c r="E240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t="s">
        <v>2335</v>
      </c>
      <c r="W240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t="s">
        <v>60</v>
      </c>
    </row>
    <row r="241" spans="1:31" x14ac:dyDescent="0.2">
      <c r="A241">
        <v>234</v>
      </c>
      <c r="B241" t="s">
        <v>788</v>
      </c>
      <c r="C241">
        <v>32</v>
      </c>
      <c r="D241" t="s">
        <v>404</v>
      </c>
      <c r="E241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t="s">
        <v>2336</v>
      </c>
      <c r="W241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t="s">
        <v>60</v>
      </c>
    </row>
    <row r="242" spans="1:31" x14ac:dyDescent="0.2">
      <c r="A242">
        <v>235</v>
      </c>
      <c r="B242" t="s">
        <v>585</v>
      </c>
      <c r="C242">
        <v>30</v>
      </c>
      <c r="D242" t="s">
        <v>387</v>
      </c>
      <c r="E242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t="s">
        <v>2709</v>
      </c>
      <c r="W242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t="s">
        <v>60</v>
      </c>
    </row>
    <row r="243" spans="1:31" x14ac:dyDescent="0.2">
      <c r="A243">
        <v>236</v>
      </c>
      <c r="B243" t="s">
        <v>650</v>
      </c>
      <c r="C243">
        <v>24</v>
      </c>
      <c r="D243" t="s">
        <v>404</v>
      </c>
      <c r="E243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t="s">
        <v>2338</v>
      </c>
      <c r="W243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t="s">
        <v>60</v>
      </c>
    </row>
    <row r="244" spans="1:31" x14ac:dyDescent="0.2">
      <c r="A244">
        <v>237</v>
      </c>
      <c r="B244" t="s">
        <v>755</v>
      </c>
      <c r="C244">
        <v>35</v>
      </c>
      <c r="D244" t="s">
        <v>476</v>
      </c>
      <c r="E244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t="s">
        <v>2339</v>
      </c>
      <c r="W244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t="s">
        <v>60</v>
      </c>
    </row>
    <row r="245" spans="1:31" x14ac:dyDescent="0.2">
      <c r="A245">
        <v>238</v>
      </c>
      <c r="B245" t="s">
        <v>806</v>
      </c>
      <c r="C245">
        <v>33</v>
      </c>
      <c r="D245" t="s">
        <v>324</v>
      </c>
      <c r="E245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t="s">
        <v>2340</v>
      </c>
      <c r="W245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t="s">
        <v>60</v>
      </c>
    </row>
    <row r="246" spans="1:31" x14ac:dyDescent="0.2">
      <c r="A246">
        <v>239</v>
      </c>
      <c r="B246" t="s">
        <v>569</v>
      </c>
      <c r="C246">
        <v>27</v>
      </c>
      <c r="D246" t="s">
        <v>536</v>
      </c>
      <c r="E246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t="s">
        <v>2341</v>
      </c>
      <c r="W246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t="s">
        <v>60</v>
      </c>
    </row>
    <row r="247" spans="1:31" x14ac:dyDescent="0.2">
      <c r="A247">
        <v>240</v>
      </c>
      <c r="B247" t="s">
        <v>719</v>
      </c>
      <c r="C247">
        <v>27</v>
      </c>
      <c r="D247" t="s">
        <v>375</v>
      </c>
      <c r="E247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t="s">
        <v>2342</v>
      </c>
      <c r="W247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t="s">
        <v>60</v>
      </c>
    </row>
    <row r="248" spans="1:31" x14ac:dyDescent="0.2">
      <c r="A248">
        <v>241</v>
      </c>
      <c r="B248" t="s">
        <v>683</v>
      </c>
      <c r="C248">
        <v>21</v>
      </c>
      <c r="D248" t="s">
        <v>384</v>
      </c>
      <c r="E248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t="s">
        <v>2710</v>
      </c>
      <c r="W248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t="s">
        <v>60</v>
      </c>
    </row>
    <row r="249" spans="1:31" x14ac:dyDescent="0.2">
      <c r="A249">
        <v>242</v>
      </c>
      <c r="B249" t="s">
        <v>722</v>
      </c>
      <c r="C249">
        <v>32</v>
      </c>
      <c r="D249" t="s">
        <v>361</v>
      </c>
      <c r="E24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t="s">
        <v>2711</v>
      </c>
      <c r="W24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t="s">
        <v>60</v>
      </c>
    </row>
    <row r="250" spans="1:31" x14ac:dyDescent="0.2">
      <c r="A250">
        <v>243</v>
      </c>
      <c r="B250" t="s">
        <v>595</v>
      </c>
      <c r="C250">
        <v>31</v>
      </c>
      <c r="D250" t="s">
        <v>555</v>
      </c>
      <c r="E250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t="s">
        <v>1815</v>
      </c>
      <c r="W250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t="s">
        <v>60</v>
      </c>
    </row>
    <row r="251" spans="1:31" x14ac:dyDescent="0.2">
      <c r="A251">
        <v>244</v>
      </c>
      <c r="B251" t="s">
        <v>629</v>
      </c>
      <c r="C251">
        <v>40</v>
      </c>
      <c r="D251" t="s">
        <v>429</v>
      </c>
      <c r="E251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t="s">
        <v>2116</v>
      </c>
      <c r="W251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t="s">
        <v>60</v>
      </c>
    </row>
    <row r="252" spans="1:31" x14ac:dyDescent="0.2">
      <c r="A252">
        <v>245</v>
      </c>
      <c r="B252" t="s">
        <v>696</v>
      </c>
      <c r="C252">
        <v>24</v>
      </c>
      <c r="D252" t="s">
        <v>328</v>
      </c>
      <c r="E252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t="s">
        <v>2343</v>
      </c>
      <c r="W252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t="s">
        <v>60</v>
      </c>
    </row>
    <row r="253" spans="1:31" x14ac:dyDescent="0.2">
      <c r="A253">
        <v>246</v>
      </c>
      <c r="B253" t="s">
        <v>726</v>
      </c>
      <c r="C253">
        <v>29</v>
      </c>
      <c r="D253" t="s">
        <v>415</v>
      </c>
      <c r="E253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t="s">
        <v>2712</v>
      </c>
      <c r="W253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t="s">
        <v>60</v>
      </c>
    </row>
    <row r="254" spans="1:31" x14ac:dyDescent="0.2">
      <c r="A254">
        <v>247</v>
      </c>
      <c r="B254" t="s">
        <v>769</v>
      </c>
      <c r="C254">
        <v>28</v>
      </c>
      <c r="D254" t="s">
        <v>378</v>
      </c>
      <c r="E254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t="s">
        <v>1848</v>
      </c>
      <c r="W254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t="s">
        <v>60</v>
      </c>
    </row>
    <row r="255" spans="1:31" x14ac:dyDescent="0.2">
      <c r="A255">
        <v>248</v>
      </c>
      <c r="B255" t="s">
        <v>659</v>
      </c>
      <c r="C255">
        <v>22</v>
      </c>
      <c r="D255" t="s">
        <v>384</v>
      </c>
      <c r="E255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t="s">
        <v>2714</v>
      </c>
      <c r="W255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t="s">
        <v>60</v>
      </c>
    </row>
    <row r="256" spans="1:31" x14ac:dyDescent="0.2">
      <c r="A256">
        <v>249</v>
      </c>
      <c r="B256" t="s">
        <v>729</v>
      </c>
      <c r="C256">
        <v>37</v>
      </c>
      <c r="D256" t="s">
        <v>402</v>
      </c>
      <c r="E256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t="s">
        <v>1872</v>
      </c>
      <c r="W256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t="s">
        <v>60</v>
      </c>
    </row>
    <row r="257" spans="1:31" x14ac:dyDescent="0.2">
      <c r="A257">
        <v>250</v>
      </c>
      <c r="B257" t="s">
        <v>700</v>
      </c>
      <c r="C257">
        <v>22</v>
      </c>
      <c r="D257" t="s">
        <v>402</v>
      </c>
      <c r="E257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t="s">
        <v>2243</v>
      </c>
      <c r="W257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t="s">
        <v>60</v>
      </c>
    </row>
    <row r="258" spans="1:31" x14ac:dyDescent="0.2">
      <c r="A258">
        <v>251</v>
      </c>
      <c r="B258" t="s">
        <v>707</v>
      </c>
      <c r="C258">
        <v>38</v>
      </c>
      <c r="D258" t="s">
        <v>359</v>
      </c>
      <c r="E258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t="s">
        <v>2345</v>
      </c>
      <c r="W258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t="s">
        <v>60</v>
      </c>
    </row>
    <row r="259" spans="1:31" x14ac:dyDescent="0.2">
      <c r="A259">
        <v>252</v>
      </c>
      <c r="B259" t="s">
        <v>708</v>
      </c>
      <c r="C259">
        <v>29</v>
      </c>
      <c r="D259" t="s">
        <v>426</v>
      </c>
      <c r="E25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t="s">
        <v>2346</v>
      </c>
      <c r="W25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t="s">
        <v>60</v>
      </c>
    </row>
    <row r="260" spans="1:31" x14ac:dyDescent="0.2">
      <c r="A260">
        <v>253</v>
      </c>
      <c r="B260" t="s">
        <v>710</v>
      </c>
      <c r="C260">
        <v>32</v>
      </c>
      <c r="D260" t="s">
        <v>429</v>
      </c>
      <c r="E260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t="s">
        <v>2347</v>
      </c>
      <c r="W260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t="s">
        <v>60</v>
      </c>
    </row>
    <row r="261" spans="1:31" x14ac:dyDescent="0.2">
      <c r="A261">
        <v>254</v>
      </c>
      <c r="B261" t="s">
        <v>637</v>
      </c>
      <c r="C261">
        <v>32</v>
      </c>
      <c r="D261" t="s">
        <v>356</v>
      </c>
      <c r="E261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t="s">
        <v>2348</v>
      </c>
      <c r="W261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t="s">
        <v>60</v>
      </c>
    </row>
    <row r="262" spans="1:31" x14ac:dyDescent="0.2">
      <c r="A262">
        <v>255</v>
      </c>
      <c r="B262" t="s">
        <v>664</v>
      </c>
      <c r="C262">
        <v>27</v>
      </c>
      <c r="D262" t="s">
        <v>476</v>
      </c>
      <c r="E262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t="s">
        <v>2349</v>
      </c>
      <c r="W262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t="s">
        <v>60</v>
      </c>
    </row>
    <row r="263" spans="1:31" x14ac:dyDescent="0.2">
      <c r="A263">
        <v>256</v>
      </c>
      <c r="B263" t="s">
        <v>670</v>
      </c>
      <c r="C263">
        <v>28</v>
      </c>
      <c r="D263" t="s">
        <v>412</v>
      </c>
      <c r="E263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t="s">
        <v>2113</v>
      </c>
      <c r="W263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t="s">
        <v>60</v>
      </c>
    </row>
    <row r="264" spans="1:31" x14ac:dyDescent="0.2">
      <c r="A264">
        <v>257</v>
      </c>
      <c r="B264" t="s">
        <v>645</v>
      </c>
      <c r="C264">
        <v>29</v>
      </c>
      <c r="D264" t="s">
        <v>330</v>
      </c>
      <c r="E264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t="s">
        <v>2715</v>
      </c>
      <c r="W264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t="s">
        <v>60</v>
      </c>
    </row>
    <row r="265" spans="1:31" x14ac:dyDescent="0.2">
      <c r="A265">
        <v>258</v>
      </c>
      <c r="B265" t="s">
        <v>742</v>
      </c>
      <c r="C265">
        <v>32</v>
      </c>
      <c r="D265" t="s">
        <v>334</v>
      </c>
      <c r="E265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t="s">
        <v>2350</v>
      </c>
      <c r="W265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t="s">
        <v>60</v>
      </c>
    </row>
    <row r="266" spans="1:31" x14ac:dyDescent="0.2">
      <c r="A266">
        <v>259</v>
      </c>
      <c r="B266" t="s">
        <v>796</v>
      </c>
      <c r="C266">
        <v>33</v>
      </c>
      <c r="D266" t="s">
        <v>337</v>
      </c>
      <c r="E266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t="s">
        <v>2337</v>
      </c>
      <c r="W266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t="s">
        <v>60</v>
      </c>
    </row>
    <row r="267" spans="1:31" x14ac:dyDescent="0.2">
      <c r="A267">
        <v>260</v>
      </c>
      <c r="B267" t="s">
        <v>675</v>
      </c>
      <c r="C267">
        <v>29</v>
      </c>
      <c r="D267" t="s">
        <v>375</v>
      </c>
      <c r="E267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t="s">
        <v>2351</v>
      </c>
      <c r="W267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t="s">
        <v>60</v>
      </c>
    </row>
    <row r="268" spans="1:31" x14ac:dyDescent="0.2">
      <c r="A268">
        <v>261</v>
      </c>
      <c r="B268" t="s">
        <v>834</v>
      </c>
      <c r="C268">
        <v>31</v>
      </c>
      <c r="D268" t="s">
        <v>359</v>
      </c>
      <c r="E268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t="s">
        <v>2353</v>
      </c>
      <c r="W268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t="s">
        <v>60</v>
      </c>
    </row>
    <row r="269" spans="1:31" x14ac:dyDescent="0.2">
      <c r="A269">
        <v>262</v>
      </c>
      <c r="B269" t="s">
        <v>678</v>
      </c>
      <c r="C269">
        <v>28</v>
      </c>
      <c r="D269" t="s">
        <v>356</v>
      </c>
      <c r="E26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t="s">
        <v>2115</v>
      </c>
      <c r="W26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t="s">
        <v>60</v>
      </c>
    </row>
    <row r="270" spans="1:31" x14ac:dyDescent="0.2">
      <c r="A270">
        <v>263</v>
      </c>
      <c r="B270" t="s">
        <v>754</v>
      </c>
      <c r="C270">
        <v>32</v>
      </c>
      <c r="D270" t="s">
        <v>384</v>
      </c>
      <c r="E270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t="s">
        <v>2716</v>
      </c>
      <c r="W270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t="s">
        <v>60</v>
      </c>
    </row>
    <row r="271" spans="1:31" x14ac:dyDescent="0.2">
      <c r="A271">
        <v>264</v>
      </c>
      <c r="B271" t="s">
        <v>756</v>
      </c>
      <c r="C271">
        <v>26</v>
      </c>
      <c r="D271" t="s">
        <v>461</v>
      </c>
      <c r="E271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t="s">
        <v>2354</v>
      </c>
      <c r="W271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t="s">
        <v>60</v>
      </c>
    </row>
    <row r="272" spans="1:31" x14ac:dyDescent="0.2">
      <c r="A272">
        <v>265</v>
      </c>
      <c r="B272" t="s">
        <v>758</v>
      </c>
      <c r="C272">
        <v>18</v>
      </c>
      <c r="D272" t="s">
        <v>378</v>
      </c>
      <c r="E272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t="s">
        <v>2717</v>
      </c>
      <c r="W272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t="s">
        <v>60</v>
      </c>
    </row>
    <row r="273" spans="1:31" x14ac:dyDescent="0.2">
      <c r="A273">
        <v>266</v>
      </c>
      <c r="B273" t="s">
        <v>590</v>
      </c>
      <c r="C273">
        <v>26</v>
      </c>
      <c r="D273" t="s">
        <v>324</v>
      </c>
      <c r="E273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t="s">
        <v>1770</v>
      </c>
      <c r="W273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t="s">
        <v>60</v>
      </c>
    </row>
    <row r="274" spans="1:31" x14ac:dyDescent="0.2">
      <c r="A274">
        <v>267</v>
      </c>
      <c r="B274" t="s">
        <v>685</v>
      </c>
      <c r="C274">
        <v>27</v>
      </c>
      <c r="D274" t="s">
        <v>356</v>
      </c>
      <c r="E274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t="s">
        <v>2356</v>
      </c>
      <c r="W274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t="s">
        <v>60</v>
      </c>
    </row>
    <row r="275" spans="1:31" x14ac:dyDescent="0.2">
      <c r="A275">
        <v>268</v>
      </c>
      <c r="B275" t="s">
        <v>597</v>
      </c>
      <c r="C275">
        <v>33</v>
      </c>
      <c r="D275" t="s">
        <v>346</v>
      </c>
      <c r="E275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t="s">
        <v>2357</v>
      </c>
      <c r="W275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t="s">
        <v>60</v>
      </c>
    </row>
    <row r="276" spans="1:31" x14ac:dyDescent="0.2">
      <c r="A276">
        <v>269</v>
      </c>
      <c r="B276" t="s">
        <v>694</v>
      </c>
      <c r="C276">
        <v>33</v>
      </c>
      <c r="D276" t="s">
        <v>387</v>
      </c>
      <c r="E276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t="s">
        <v>2718</v>
      </c>
      <c r="W276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t="s">
        <v>60</v>
      </c>
    </row>
    <row r="277" spans="1:31" x14ac:dyDescent="0.2">
      <c r="A277">
        <v>270</v>
      </c>
      <c r="B277" t="s">
        <v>857</v>
      </c>
      <c r="C277">
        <v>20</v>
      </c>
      <c r="D277" t="s">
        <v>373</v>
      </c>
      <c r="E277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t="s">
        <v>2719</v>
      </c>
      <c r="W277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t="s">
        <v>60</v>
      </c>
    </row>
    <row r="278" spans="1:31" x14ac:dyDescent="0.2">
      <c r="A278">
        <v>271</v>
      </c>
      <c r="B278" t="s">
        <v>658</v>
      </c>
      <c r="C278">
        <v>34</v>
      </c>
      <c r="D278" t="s">
        <v>536</v>
      </c>
      <c r="E278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t="s">
        <v>2358</v>
      </c>
      <c r="W278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t="s">
        <v>60</v>
      </c>
    </row>
    <row r="279" spans="1:31" x14ac:dyDescent="0.2">
      <c r="A279">
        <v>272</v>
      </c>
      <c r="B279" t="s">
        <v>600</v>
      </c>
      <c r="C279">
        <v>33</v>
      </c>
      <c r="D279" t="s">
        <v>555</v>
      </c>
      <c r="E27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t="s">
        <v>601</v>
      </c>
      <c r="W27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t="s">
        <v>60</v>
      </c>
    </row>
    <row r="280" spans="1:31" x14ac:dyDescent="0.2">
      <c r="A280">
        <v>273</v>
      </c>
      <c r="B280" t="s">
        <v>705</v>
      </c>
      <c r="C280">
        <v>25</v>
      </c>
      <c r="D280" t="s">
        <v>415</v>
      </c>
      <c r="E280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t="s">
        <v>2253</v>
      </c>
      <c r="W280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t="s">
        <v>60</v>
      </c>
    </row>
    <row r="281" spans="1:31" x14ac:dyDescent="0.2">
      <c r="A281">
        <v>274</v>
      </c>
      <c r="B281" t="s">
        <v>706</v>
      </c>
      <c r="C281">
        <v>22</v>
      </c>
      <c r="D281" t="s">
        <v>337</v>
      </c>
      <c r="E281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t="s">
        <v>2359</v>
      </c>
      <c r="W281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t="s">
        <v>60</v>
      </c>
    </row>
    <row r="282" spans="1:31" x14ac:dyDescent="0.2">
      <c r="A282">
        <v>275</v>
      </c>
      <c r="B282" t="s">
        <v>655</v>
      </c>
      <c r="C282">
        <v>24</v>
      </c>
      <c r="D282" t="s">
        <v>1022</v>
      </c>
      <c r="E282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t="s">
        <v>2360</v>
      </c>
      <c r="W282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t="s">
        <v>60</v>
      </c>
    </row>
    <row r="283" spans="1:31" x14ac:dyDescent="0.2">
      <c r="A283">
        <v>275</v>
      </c>
      <c r="B283" t="s">
        <v>655</v>
      </c>
      <c r="C283">
        <v>24</v>
      </c>
      <c r="D283" t="s">
        <v>359</v>
      </c>
      <c r="E283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t="s">
        <v>656</v>
      </c>
      <c r="W283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t="s">
        <v>60</v>
      </c>
    </row>
    <row r="284" spans="1:31" x14ac:dyDescent="0.2">
      <c r="A284">
        <v>275</v>
      </c>
      <c r="B284" t="s">
        <v>655</v>
      </c>
      <c r="C284">
        <v>24</v>
      </c>
      <c r="D284" t="s">
        <v>461</v>
      </c>
      <c r="E284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t="s">
        <v>2361</v>
      </c>
      <c r="W284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t="s">
        <v>60</v>
      </c>
    </row>
    <row r="285" spans="1:31" x14ac:dyDescent="0.2">
      <c r="A285">
        <v>276</v>
      </c>
      <c r="B285" t="s">
        <v>781</v>
      </c>
      <c r="C285">
        <v>36</v>
      </c>
      <c r="D285" t="s">
        <v>334</v>
      </c>
      <c r="E285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t="s">
        <v>2362</v>
      </c>
      <c r="W285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t="s">
        <v>60</v>
      </c>
    </row>
    <row r="286" spans="1:31" x14ac:dyDescent="0.2">
      <c r="A286">
        <v>277</v>
      </c>
      <c r="B286" t="s">
        <v>608</v>
      </c>
      <c r="C286">
        <v>29</v>
      </c>
      <c r="D286" t="s">
        <v>321</v>
      </c>
      <c r="E286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t="s">
        <v>2363</v>
      </c>
      <c r="W286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t="s">
        <v>60</v>
      </c>
    </row>
    <row r="287" spans="1:31" x14ac:dyDescent="0.2">
      <c r="A287">
        <v>278</v>
      </c>
      <c r="B287" t="s">
        <v>795</v>
      </c>
      <c r="C287">
        <v>22</v>
      </c>
      <c r="D287" t="s">
        <v>373</v>
      </c>
      <c r="E287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t="s">
        <v>2721</v>
      </c>
      <c r="W287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t="s">
        <v>60</v>
      </c>
    </row>
    <row r="288" spans="1:31" x14ac:dyDescent="0.2">
      <c r="A288">
        <v>279</v>
      </c>
      <c r="B288" t="s">
        <v>672</v>
      </c>
      <c r="C288">
        <v>29</v>
      </c>
      <c r="D288" t="s">
        <v>356</v>
      </c>
      <c r="E288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t="s">
        <v>2364</v>
      </c>
      <c r="W288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t="s">
        <v>60</v>
      </c>
    </row>
    <row r="289" spans="1:31" x14ac:dyDescent="0.2">
      <c r="A289">
        <v>280</v>
      </c>
      <c r="B289" t="s">
        <v>616</v>
      </c>
      <c r="C289">
        <v>29</v>
      </c>
      <c r="D289" t="s">
        <v>375</v>
      </c>
      <c r="E28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t="s">
        <v>2365</v>
      </c>
      <c r="W28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t="s">
        <v>60</v>
      </c>
    </row>
    <row r="290" spans="1:31" x14ac:dyDescent="0.2">
      <c r="A290">
        <v>281</v>
      </c>
      <c r="B290" t="s">
        <v>673</v>
      </c>
      <c r="C290">
        <v>34</v>
      </c>
      <c r="D290" t="s">
        <v>536</v>
      </c>
      <c r="E290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t="s">
        <v>2367</v>
      </c>
      <c r="W290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t="s">
        <v>60</v>
      </c>
    </row>
    <row r="291" spans="1:31" x14ac:dyDescent="0.2">
      <c r="A291">
        <v>282</v>
      </c>
      <c r="B291" t="s">
        <v>649</v>
      </c>
      <c r="C291">
        <v>30</v>
      </c>
      <c r="D291" t="s">
        <v>363</v>
      </c>
      <c r="E291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t="s">
        <v>2368</v>
      </c>
      <c r="W291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t="s">
        <v>60</v>
      </c>
    </row>
    <row r="292" spans="1:31" x14ac:dyDescent="0.2">
      <c r="A292">
        <v>283</v>
      </c>
      <c r="B292" t="s">
        <v>753</v>
      </c>
      <c r="C292">
        <v>24</v>
      </c>
      <c r="D292" t="s">
        <v>334</v>
      </c>
      <c r="E292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t="s">
        <v>2369</v>
      </c>
      <c r="W292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t="s">
        <v>60</v>
      </c>
    </row>
    <row r="293" spans="1:31" x14ac:dyDescent="0.2">
      <c r="A293">
        <v>284</v>
      </c>
      <c r="B293" t="s">
        <v>682</v>
      </c>
      <c r="C293">
        <v>25</v>
      </c>
      <c r="D293" t="s">
        <v>356</v>
      </c>
      <c r="E293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t="s">
        <v>2370</v>
      </c>
      <c r="W293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t="s">
        <v>60</v>
      </c>
    </row>
    <row r="294" spans="1:31" x14ac:dyDescent="0.2">
      <c r="A294">
        <v>285</v>
      </c>
      <c r="B294" t="s">
        <v>765</v>
      </c>
      <c r="C294">
        <v>30</v>
      </c>
      <c r="D294" t="s">
        <v>328</v>
      </c>
      <c r="E294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t="s">
        <v>2371</v>
      </c>
      <c r="W294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t="s">
        <v>60</v>
      </c>
    </row>
    <row r="295" spans="1:31" x14ac:dyDescent="0.2">
      <c r="A295">
        <v>286</v>
      </c>
      <c r="B295" t="s">
        <v>692</v>
      </c>
      <c r="C295">
        <v>27</v>
      </c>
      <c r="D295" t="s">
        <v>461</v>
      </c>
      <c r="E295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t="s">
        <v>2372</v>
      </c>
      <c r="W295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t="s">
        <v>60</v>
      </c>
    </row>
    <row r="296" spans="1:31" x14ac:dyDescent="0.2">
      <c r="A296">
        <v>287</v>
      </c>
      <c r="B296" t="s">
        <v>724</v>
      </c>
      <c r="C296">
        <v>29</v>
      </c>
      <c r="D296" t="s">
        <v>384</v>
      </c>
      <c r="E296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t="s">
        <v>2722</v>
      </c>
      <c r="W296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t="s">
        <v>60</v>
      </c>
    </row>
    <row r="297" spans="1:31" x14ac:dyDescent="0.2">
      <c r="A297">
        <v>288</v>
      </c>
      <c r="B297" t="s">
        <v>634</v>
      </c>
      <c r="C297">
        <v>29</v>
      </c>
      <c r="D297" t="s">
        <v>536</v>
      </c>
      <c r="E297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t="s">
        <v>2373</v>
      </c>
      <c r="W297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t="s">
        <v>60</v>
      </c>
    </row>
    <row r="298" spans="1:31" x14ac:dyDescent="0.2">
      <c r="A298">
        <v>289</v>
      </c>
      <c r="B298" t="s">
        <v>701</v>
      </c>
      <c r="C298">
        <v>20</v>
      </c>
      <c r="D298" t="s">
        <v>476</v>
      </c>
      <c r="E298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t="s">
        <v>2374</v>
      </c>
      <c r="W298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t="s">
        <v>60</v>
      </c>
    </row>
    <row r="299" spans="1:31" x14ac:dyDescent="0.2">
      <c r="A299">
        <v>290</v>
      </c>
      <c r="B299" t="s">
        <v>703</v>
      </c>
      <c r="C299">
        <v>22</v>
      </c>
      <c r="D299" t="s">
        <v>555</v>
      </c>
      <c r="E29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t="s">
        <v>2724</v>
      </c>
      <c r="W29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t="s">
        <v>60</v>
      </c>
    </row>
    <row r="300" spans="1:31" x14ac:dyDescent="0.2">
      <c r="A300">
        <v>291</v>
      </c>
      <c r="B300" t="s">
        <v>785</v>
      </c>
      <c r="C300">
        <v>22</v>
      </c>
      <c r="D300" t="s">
        <v>344</v>
      </c>
      <c r="E300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t="s">
        <v>2375</v>
      </c>
      <c r="W300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t="s">
        <v>60</v>
      </c>
    </row>
    <row r="301" spans="1:31" x14ac:dyDescent="0.2">
      <c r="A301">
        <v>292</v>
      </c>
      <c r="B301" t="s">
        <v>733</v>
      </c>
      <c r="C301">
        <v>24</v>
      </c>
      <c r="D301" t="s">
        <v>536</v>
      </c>
      <c r="E301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t="s">
        <v>2376</v>
      </c>
      <c r="W301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t="s">
        <v>60</v>
      </c>
    </row>
    <row r="302" spans="1:31" x14ac:dyDescent="0.2">
      <c r="A302">
        <v>293</v>
      </c>
      <c r="B302" t="s">
        <v>734</v>
      </c>
      <c r="C302">
        <v>29</v>
      </c>
      <c r="D302" t="s">
        <v>412</v>
      </c>
      <c r="E302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t="s">
        <v>2119</v>
      </c>
      <c r="W302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t="s">
        <v>60</v>
      </c>
    </row>
    <row r="303" spans="1:31" x14ac:dyDescent="0.2">
      <c r="A303">
        <v>294</v>
      </c>
      <c r="B303" t="s">
        <v>715</v>
      </c>
      <c r="C303">
        <v>30</v>
      </c>
      <c r="D303" t="s">
        <v>387</v>
      </c>
      <c r="E303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t="s">
        <v>2725</v>
      </c>
      <c r="W303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t="s">
        <v>60</v>
      </c>
    </row>
    <row r="304" spans="1:31" x14ac:dyDescent="0.2">
      <c r="A304">
        <v>295</v>
      </c>
      <c r="B304" t="s">
        <v>671</v>
      </c>
      <c r="C304">
        <v>32</v>
      </c>
      <c r="D304" t="s">
        <v>346</v>
      </c>
      <c r="E304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t="s">
        <v>2135</v>
      </c>
      <c r="W304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t="s">
        <v>60</v>
      </c>
    </row>
    <row r="305" spans="1:31" x14ac:dyDescent="0.2">
      <c r="A305">
        <v>296</v>
      </c>
      <c r="B305" t="s">
        <v>739</v>
      </c>
      <c r="C305">
        <v>36</v>
      </c>
      <c r="D305" t="s">
        <v>429</v>
      </c>
      <c r="E305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t="s">
        <v>2378</v>
      </c>
      <c r="W305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t="s">
        <v>60</v>
      </c>
    </row>
    <row r="306" spans="1:31" x14ac:dyDescent="0.2">
      <c r="A306">
        <v>297</v>
      </c>
      <c r="B306" t="s">
        <v>793</v>
      </c>
      <c r="C306">
        <v>30</v>
      </c>
      <c r="D306" t="s">
        <v>387</v>
      </c>
      <c r="E306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t="s">
        <v>2726</v>
      </c>
      <c r="W306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t="s">
        <v>60</v>
      </c>
    </row>
    <row r="307" spans="1:31" x14ac:dyDescent="0.2">
      <c r="A307">
        <v>298</v>
      </c>
      <c r="B307" t="s">
        <v>718</v>
      </c>
      <c r="C307">
        <v>32</v>
      </c>
      <c r="D307" t="s">
        <v>429</v>
      </c>
      <c r="E307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t="s">
        <v>2379</v>
      </c>
      <c r="W307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t="s">
        <v>60</v>
      </c>
    </row>
    <row r="308" spans="1:31" x14ac:dyDescent="0.2">
      <c r="A308">
        <v>299</v>
      </c>
      <c r="B308" t="s">
        <v>874</v>
      </c>
      <c r="C308">
        <v>29</v>
      </c>
      <c r="D308" t="s">
        <v>375</v>
      </c>
      <c r="E308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t="s">
        <v>2380</v>
      </c>
      <c r="W308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t="s">
        <v>60</v>
      </c>
    </row>
    <row r="309" spans="1:31" x14ac:dyDescent="0.2">
      <c r="A309">
        <v>300</v>
      </c>
      <c r="B309" t="s">
        <v>646</v>
      </c>
      <c r="C309">
        <v>24</v>
      </c>
      <c r="D309" t="s">
        <v>415</v>
      </c>
      <c r="E30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t="s">
        <v>647</v>
      </c>
      <c r="W30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t="s">
        <v>60</v>
      </c>
    </row>
    <row r="310" spans="1:31" x14ac:dyDescent="0.2">
      <c r="A310">
        <v>301</v>
      </c>
      <c r="B310" t="s">
        <v>746</v>
      </c>
      <c r="C310">
        <v>27</v>
      </c>
      <c r="D310" t="s">
        <v>368</v>
      </c>
      <c r="E310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t="s">
        <v>2381</v>
      </c>
      <c r="W310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t="s">
        <v>60</v>
      </c>
    </row>
    <row r="311" spans="1:31" x14ac:dyDescent="0.2">
      <c r="A311">
        <v>302</v>
      </c>
      <c r="B311" t="s">
        <v>750</v>
      </c>
      <c r="C311">
        <v>29</v>
      </c>
      <c r="D311" t="s">
        <v>324</v>
      </c>
      <c r="E311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t="s">
        <v>2382</v>
      </c>
      <c r="W311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t="s">
        <v>60</v>
      </c>
    </row>
    <row r="312" spans="1:31" x14ac:dyDescent="0.2">
      <c r="A312">
        <v>303</v>
      </c>
      <c r="B312" t="s">
        <v>752</v>
      </c>
      <c r="C312">
        <v>34</v>
      </c>
      <c r="D312" t="s">
        <v>353</v>
      </c>
      <c r="E312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t="s">
        <v>2487</v>
      </c>
      <c r="W312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t="s">
        <v>60</v>
      </c>
    </row>
    <row r="313" spans="1:31" x14ac:dyDescent="0.2">
      <c r="A313">
        <v>304</v>
      </c>
      <c r="B313" t="s">
        <v>797</v>
      </c>
      <c r="C313">
        <v>22</v>
      </c>
      <c r="D313" t="s">
        <v>330</v>
      </c>
      <c r="E313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t="s">
        <v>2727</v>
      </c>
      <c r="W313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t="s">
        <v>60</v>
      </c>
    </row>
    <row r="314" spans="1:31" x14ac:dyDescent="0.2">
      <c r="A314">
        <v>305</v>
      </c>
      <c r="B314" t="s">
        <v>832</v>
      </c>
      <c r="C314">
        <v>23</v>
      </c>
      <c r="D314" t="s">
        <v>426</v>
      </c>
      <c r="E314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t="s">
        <v>2383</v>
      </c>
      <c r="W314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t="s">
        <v>60</v>
      </c>
    </row>
    <row r="315" spans="1:31" x14ac:dyDescent="0.2">
      <c r="A315">
        <v>306</v>
      </c>
      <c r="B315" t="s">
        <v>978</v>
      </c>
      <c r="C315">
        <v>29</v>
      </c>
      <c r="D315" t="s">
        <v>344</v>
      </c>
      <c r="E315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t="s">
        <v>2384</v>
      </c>
      <c r="W315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t="s">
        <v>60</v>
      </c>
    </row>
    <row r="316" spans="1:31" x14ac:dyDescent="0.2">
      <c r="A316">
        <v>307</v>
      </c>
      <c r="B316" t="s">
        <v>836</v>
      </c>
      <c r="C316">
        <v>24</v>
      </c>
      <c r="D316" t="s">
        <v>334</v>
      </c>
      <c r="E316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t="s">
        <v>2385</v>
      </c>
      <c r="W316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t="s">
        <v>60</v>
      </c>
    </row>
    <row r="317" spans="1:31" x14ac:dyDescent="0.2">
      <c r="A317">
        <v>308</v>
      </c>
      <c r="B317" t="s">
        <v>803</v>
      </c>
      <c r="C317">
        <v>32</v>
      </c>
      <c r="D317" t="s">
        <v>346</v>
      </c>
      <c r="E317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t="s">
        <v>2386</v>
      </c>
      <c r="W317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t="s">
        <v>60</v>
      </c>
    </row>
    <row r="318" spans="1:31" x14ac:dyDescent="0.2">
      <c r="A318">
        <v>309</v>
      </c>
      <c r="B318" t="s">
        <v>804</v>
      </c>
      <c r="C318">
        <v>26</v>
      </c>
      <c r="D318" t="s">
        <v>356</v>
      </c>
      <c r="E318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t="s">
        <v>2387</v>
      </c>
      <c r="W318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t="s">
        <v>60</v>
      </c>
    </row>
    <row r="319" spans="1:31" x14ac:dyDescent="0.2">
      <c r="A319">
        <v>310</v>
      </c>
      <c r="B319" t="s">
        <v>680</v>
      </c>
      <c r="C319">
        <v>26</v>
      </c>
      <c r="D319" t="s">
        <v>321</v>
      </c>
      <c r="E3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t="s">
        <v>2388</v>
      </c>
      <c r="W3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t="s">
        <v>60</v>
      </c>
    </row>
    <row r="320" spans="1:31" x14ac:dyDescent="0.2">
      <c r="A320">
        <v>311</v>
      </c>
      <c r="B320" t="s">
        <v>886</v>
      </c>
      <c r="C320">
        <v>25</v>
      </c>
      <c r="D320" t="s">
        <v>439</v>
      </c>
      <c r="E320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t="s">
        <v>2389</v>
      </c>
      <c r="W320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t="s">
        <v>60</v>
      </c>
    </row>
    <row r="321" spans="1:31" x14ac:dyDescent="0.2">
      <c r="A321">
        <v>312</v>
      </c>
      <c r="B321" t="s">
        <v>808</v>
      </c>
      <c r="C321">
        <v>25</v>
      </c>
      <c r="D321" t="s">
        <v>361</v>
      </c>
      <c r="E321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t="s">
        <v>2728</v>
      </c>
      <c r="W321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t="s">
        <v>60</v>
      </c>
    </row>
    <row r="322" spans="1:31" x14ac:dyDescent="0.2">
      <c r="A322">
        <v>313</v>
      </c>
      <c r="B322" t="s">
        <v>684</v>
      </c>
      <c r="C322">
        <v>26</v>
      </c>
      <c r="D322" t="s">
        <v>402</v>
      </c>
      <c r="E322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t="s">
        <v>2120</v>
      </c>
      <c r="W322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t="s">
        <v>60</v>
      </c>
    </row>
    <row r="323" spans="1:31" x14ac:dyDescent="0.2">
      <c r="A323">
        <v>314</v>
      </c>
      <c r="B323" t="s">
        <v>809</v>
      </c>
      <c r="C323">
        <v>21</v>
      </c>
      <c r="D323" t="s">
        <v>356</v>
      </c>
      <c r="E323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t="s">
        <v>2390</v>
      </c>
      <c r="W323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t="s">
        <v>60</v>
      </c>
    </row>
    <row r="324" spans="1:31" x14ac:dyDescent="0.2">
      <c r="A324">
        <v>315</v>
      </c>
      <c r="B324" t="s">
        <v>687</v>
      </c>
      <c r="C324">
        <v>30</v>
      </c>
      <c r="D324" t="s">
        <v>429</v>
      </c>
      <c r="E324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t="s">
        <v>2391</v>
      </c>
      <c r="W324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t="s">
        <v>60</v>
      </c>
    </row>
    <row r="325" spans="1:31" x14ac:dyDescent="0.2">
      <c r="A325">
        <v>316</v>
      </c>
      <c r="B325" t="s">
        <v>810</v>
      </c>
      <c r="C325">
        <v>24</v>
      </c>
      <c r="D325" t="s">
        <v>402</v>
      </c>
      <c r="E325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t="s">
        <v>2392</v>
      </c>
      <c r="W325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t="s">
        <v>60</v>
      </c>
    </row>
    <row r="326" spans="1:31" x14ac:dyDescent="0.2">
      <c r="A326">
        <v>317</v>
      </c>
      <c r="B326" t="s">
        <v>959</v>
      </c>
      <c r="C326">
        <v>27</v>
      </c>
      <c r="D326" t="s">
        <v>337</v>
      </c>
      <c r="E326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t="s">
        <v>2393</v>
      </c>
      <c r="W326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t="s">
        <v>60</v>
      </c>
    </row>
    <row r="327" spans="1:31" x14ac:dyDescent="0.2">
      <c r="A327">
        <v>318</v>
      </c>
      <c r="B327" t="s">
        <v>813</v>
      </c>
      <c r="C327">
        <v>31</v>
      </c>
      <c r="D327" t="s">
        <v>384</v>
      </c>
      <c r="E327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t="s">
        <v>2729</v>
      </c>
      <c r="W327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t="s">
        <v>60</v>
      </c>
    </row>
    <row r="328" spans="1:31" x14ac:dyDescent="0.2">
      <c r="A328">
        <v>319</v>
      </c>
      <c r="B328" t="s">
        <v>770</v>
      </c>
      <c r="C328">
        <v>24</v>
      </c>
      <c r="D328" t="s">
        <v>426</v>
      </c>
      <c r="E328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t="s">
        <v>2394</v>
      </c>
      <c r="W328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t="s">
        <v>60</v>
      </c>
    </row>
    <row r="329" spans="1:31" x14ac:dyDescent="0.2">
      <c r="A329">
        <v>320</v>
      </c>
      <c r="B329" t="s">
        <v>771</v>
      </c>
      <c r="C329">
        <v>27</v>
      </c>
      <c r="D329" t="s">
        <v>334</v>
      </c>
      <c r="E32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t="s">
        <v>2395</v>
      </c>
      <c r="W32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t="s">
        <v>60</v>
      </c>
    </row>
    <row r="330" spans="1:31" x14ac:dyDescent="0.2">
      <c r="A330">
        <v>321</v>
      </c>
      <c r="B330" t="s">
        <v>913</v>
      </c>
      <c r="C330">
        <v>22</v>
      </c>
      <c r="D330" t="s">
        <v>359</v>
      </c>
      <c r="E330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t="s">
        <v>2396</v>
      </c>
      <c r="W330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t="s">
        <v>60</v>
      </c>
    </row>
    <row r="331" spans="1:31" x14ac:dyDescent="0.2">
      <c r="A331">
        <v>322</v>
      </c>
      <c r="B331" t="s">
        <v>823</v>
      </c>
      <c r="C331">
        <v>30</v>
      </c>
      <c r="D331" t="s">
        <v>356</v>
      </c>
      <c r="E331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t="s">
        <v>2397</v>
      </c>
      <c r="W331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t="s">
        <v>60</v>
      </c>
    </row>
    <row r="332" spans="1:31" x14ac:dyDescent="0.2">
      <c r="A332">
        <v>323</v>
      </c>
      <c r="B332" t="s">
        <v>825</v>
      </c>
      <c r="C332">
        <v>31</v>
      </c>
      <c r="D332" t="s">
        <v>365</v>
      </c>
      <c r="E332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t="s">
        <v>2730</v>
      </c>
      <c r="W332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t="s">
        <v>60</v>
      </c>
    </row>
    <row r="333" spans="1:31" x14ac:dyDescent="0.2">
      <c r="A333">
        <v>324</v>
      </c>
      <c r="B333" t="s">
        <v>864</v>
      </c>
      <c r="C333">
        <v>27</v>
      </c>
      <c r="D333" t="s">
        <v>346</v>
      </c>
      <c r="E333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t="s">
        <v>2398</v>
      </c>
      <c r="W333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t="s">
        <v>60</v>
      </c>
    </row>
    <row r="334" spans="1:31" x14ac:dyDescent="0.2">
      <c r="A334">
        <v>325</v>
      </c>
      <c r="B334" t="s">
        <v>712</v>
      </c>
      <c r="C334">
        <v>28</v>
      </c>
      <c r="D334" t="s">
        <v>368</v>
      </c>
      <c r="E334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t="s">
        <v>2399</v>
      </c>
      <c r="W334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t="s">
        <v>60</v>
      </c>
    </row>
    <row r="335" spans="1:31" x14ac:dyDescent="0.2">
      <c r="A335">
        <v>326</v>
      </c>
      <c r="B335" t="s">
        <v>784</v>
      </c>
      <c r="C335">
        <v>24</v>
      </c>
      <c r="D335" t="s">
        <v>334</v>
      </c>
      <c r="E335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t="s">
        <v>1843</v>
      </c>
      <c r="W335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t="s">
        <v>60</v>
      </c>
    </row>
    <row r="336" spans="1:31" x14ac:dyDescent="0.2">
      <c r="A336">
        <v>327</v>
      </c>
      <c r="B336" t="s">
        <v>735</v>
      </c>
      <c r="C336">
        <v>29</v>
      </c>
      <c r="D336" t="s">
        <v>426</v>
      </c>
      <c r="E336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t="s">
        <v>2400</v>
      </c>
      <c r="W336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t="s">
        <v>60</v>
      </c>
    </row>
    <row r="337" spans="1:31" x14ac:dyDescent="0.2">
      <c r="A337">
        <v>328</v>
      </c>
      <c r="B337" t="s">
        <v>714</v>
      </c>
      <c r="C337">
        <v>36</v>
      </c>
      <c r="D337" t="s">
        <v>412</v>
      </c>
      <c r="E337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t="s">
        <v>2122</v>
      </c>
      <c r="W337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t="s">
        <v>60</v>
      </c>
    </row>
    <row r="338" spans="1:31" x14ac:dyDescent="0.2">
      <c r="A338">
        <v>329</v>
      </c>
      <c r="B338" t="s">
        <v>736</v>
      </c>
      <c r="C338">
        <v>30</v>
      </c>
      <c r="D338" t="s">
        <v>373</v>
      </c>
      <c r="E338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t="s">
        <v>2731</v>
      </c>
      <c r="W338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t="s">
        <v>60</v>
      </c>
    </row>
    <row r="339" spans="1:31" x14ac:dyDescent="0.2">
      <c r="A339">
        <v>330</v>
      </c>
      <c r="B339" t="s">
        <v>738</v>
      </c>
      <c r="C339">
        <v>24</v>
      </c>
      <c r="D339" t="s">
        <v>330</v>
      </c>
      <c r="E33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t="s">
        <v>2732</v>
      </c>
      <c r="W33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t="s">
        <v>60</v>
      </c>
    </row>
    <row r="340" spans="1:31" x14ac:dyDescent="0.2">
      <c r="A340">
        <v>331</v>
      </c>
      <c r="B340" t="s">
        <v>830</v>
      </c>
      <c r="C340">
        <v>27</v>
      </c>
      <c r="D340" t="s">
        <v>353</v>
      </c>
      <c r="E340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t="s">
        <v>2733</v>
      </c>
      <c r="W340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t="s">
        <v>60</v>
      </c>
    </row>
    <row r="341" spans="1:31" x14ac:dyDescent="0.2">
      <c r="A341">
        <v>332</v>
      </c>
      <c r="B341" t="s">
        <v>791</v>
      </c>
      <c r="C341">
        <v>26</v>
      </c>
      <c r="D341" t="s">
        <v>378</v>
      </c>
      <c r="E341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t="s">
        <v>2734</v>
      </c>
      <c r="W341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t="s">
        <v>60</v>
      </c>
    </row>
    <row r="342" spans="1:31" x14ac:dyDescent="0.2">
      <c r="A342">
        <v>333</v>
      </c>
      <c r="B342" t="s">
        <v>748</v>
      </c>
      <c r="C342">
        <v>33</v>
      </c>
      <c r="D342" t="s">
        <v>365</v>
      </c>
      <c r="E342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t="s">
        <v>2735</v>
      </c>
      <c r="W342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t="s">
        <v>60</v>
      </c>
    </row>
    <row r="343" spans="1:31" x14ac:dyDescent="0.2">
      <c r="A343">
        <v>334</v>
      </c>
      <c r="B343" t="s">
        <v>677</v>
      </c>
      <c r="C343">
        <v>35</v>
      </c>
      <c r="D343" t="s">
        <v>353</v>
      </c>
      <c r="E343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t="s">
        <v>1679</v>
      </c>
      <c r="W343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t="s">
        <v>60</v>
      </c>
    </row>
    <row r="344" spans="1:31" x14ac:dyDescent="0.2">
      <c r="A344">
        <v>335</v>
      </c>
      <c r="B344" t="s">
        <v>936</v>
      </c>
      <c r="C344">
        <v>26</v>
      </c>
      <c r="D344" t="s">
        <v>353</v>
      </c>
      <c r="E344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t="s">
        <v>2736</v>
      </c>
      <c r="W344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t="s">
        <v>60</v>
      </c>
    </row>
    <row r="345" spans="1:31" x14ac:dyDescent="0.2">
      <c r="A345">
        <v>336</v>
      </c>
      <c r="B345" t="s">
        <v>884</v>
      </c>
      <c r="C345">
        <v>23</v>
      </c>
      <c r="D345" t="s">
        <v>356</v>
      </c>
      <c r="E345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t="s">
        <v>2401</v>
      </c>
      <c r="W345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t="s">
        <v>60</v>
      </c>
    </row>
    <row r="346" spans="1:31" x14ac:dyDescent="0.2">
      <c r="A346">
        <v>337</v>
      </c>
      <c r="B346" t="s">
        <v>842</v>
      </c>
      <c r="C346">
        <v>29</v>
      </c>
      <c r="D346" t="s">
        <v>429</v>
      </c>
      <c r="E346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t="s">
        <v>2402</v>
      </c>
      <c r="W346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t="s">
        <v>60</v>
      </c>
    </row>
    <row r="347" spans="1:31" x14ac:dyDescent="0.2">
      <c r="A347">
        <v>338</v>
      </c>
      <c r="B347" t="s">
        <v>843</v>
      </c>
      <c r="C347">
        <v>22</v>
      </c>
      <c r="D347" t="s">
        <v>363</v>
      </c>
      <c r="E347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t="s">
        <v>2403</v>
      </c>
      <c r="W347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t="s">
        <v>60</v>
      </c>
    </row>
    <row r="348" spans="1:31" x14ac:dyDescent="0.2">
      <c r="A348">
        <v>339</v>
      </c>
      <c r="B348" t="s">
        <v>947</v>
      </c>
      <c r="C348">
        <v>34</v>
      </c>
      <c r="D348" t="s">
        <v>321</v>
      </c>
      <c r="E348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t="s">
        <v>2404</v>
      </c>
      <c r="W348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t="s">
        <v>60</v>
      </c>
    </row>
    <row r="349" spans="1:31" x14ac:dyDescent="0.2">
      <c r="A349">
        <v>340</v>
      </c>
      <c r="B349" t="s">
        <v>764</v>
      </c>
      <c r="C349">
        <v>33</v>
      </c>
      <c r="D349" t="s">
        <v>402</v>
      </c>
      <c r="E34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t="s">
        <v>2405</v>
      </c>
      <c r="W34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t="s">
        <v>60</v>
      </c>
    </row>
    <row r="350" spans="1:31" x14ac:dyDescent="0.2">
      <c r="A350">
        <v>341</v>
      </c>
      <c r="B350" t="s">
        <v>892</v>
      </c>
      <c r="C350">
        <v>25</v>
      </c>
      <c r="D350" t="s">
        <v>353</v>
      </c>
      <c r="E350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t="s">
        <v>2737</v>
      </c>
      <c r="W350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t="s">
        <v>60</v>
      </c>
    </row>
    <row r="351" spans="1:31" x14ac:dyDescent="0.2">
      <c r="A351">
        <v>342</v>
      </c>
      <c r="B351" t="s">
        <v>689</v>
      </c>
      <c r="C351">
        <v>25</v>
      </c>
      <c r="D351" t="s">
        <v>365</v>
      </c>
      <c r="E351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t="s">
        <v>690</v>
      </c>
      <c r="W351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t="s">
        <v>60</v>
      </c>
    </row>
    <row r="352" spans="1:31" x14ac:dyDescent="0.2">
      <c r="A352">
        <v>343</v>
      </c>
      <c r="B352" t="s">
        <v>852</v>
      </c>
      <c r="C352">
        <v>32</v>
      </c>
      <c r="D352" t="s">
        <v>378</v>
      </c>
      <c r="E352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t="s">
        <v>2738</v>
      </c>
      <c r="W352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t="s">
        <v>60</v>
      </c>
    </row>
    <row r="353" spans="1:31" x14ac:dyDescent="0.2">
      <c r="A353">
        <v>344</v>
      </c>
      <c r="B353" t="s">
        <v>853</v>
      </c>
      <c r="C353">
        <v>26</v>
      </c>
      <c r="D353" t="s">
        <v>373</v>
      </c>
      <c r="E353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t="s">
        <v>2740</v>
      </c>
      <c r="W353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t="s">
        <v>60</v>
      </c>
    </row>
    <row r="354" spans="1:31" x14ac:dyDescent="0.2">
      <c r="A354">
        <v>345</v>
      </c>
      <c r="B354" t="s">
        <v>897</v>
      </c>
      <c r="C354">
        <v>30</v>
      </c>
      <c r="D354" t="s">
        <v>402</v>
      </c>
      <c r="E354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t="s">
        <v>2406</v>
      </c>
      <c r="W354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t="s">
        <v>60</v>
      </c>
    </row>
    <row r="355" spans="1:31" x14ac:dyDescent="0.2">
      <c r="A355">
        <v>346</v>
      </c>
      <c r="B355" t="s">
        <v>767</v>
      </c>
      <c r="C355">
        <v>28</v>
      </c>
      <c r="D355" t="s">
        <v>361</v>
      </c>
      <c r="E355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t="s">
        <v>2741</v>
      </c>
      <c r="W355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t="s">
        <v>60</v>
      </c>
    </row>
    <row r="356" spans="1:31" x14ac:dyDescent="0.2">
      <c r="A356">
        <v>347</v>
      </c>
      <c r="B356" t="s">
        <v>768</v>
      </c>
      <c r="C356">
        <v>22</v>
      </c>
      <c r="D356" t="s">
        <v>328</v>
      </c>
      <c r="E356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t="s">
        <v>2407</v>
      </c>
      <c r="W356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t="s">
        <v>60</v>
      </c>
    </row>
    <row r="357" spans="1:31" x14ac:dyDescent="0.2">
      <c r="A357">
        <v>348</v>
      </c>
      <c r="B357" t="s">
        <v>727</v>
      </c>
      <c r="C357">
        <v>34</v>
      </c>
      <c r="D357" t="s">
        <v>412</v>
      </c>
      <c r="E357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t="s">
        <v>2124</v>
      </c>
      <c r="W357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t="s">
        <v>60</v>
      </c>
    </row>
    <row r="358" spans="1:31" x14ac:dyDescent="0.2">
      <c r="A358">
        <v>349</v>
      </c>
      <c r="B358" t="s">
        <v>858</v>
      </c>
      <c r="C358">
        <v>27</v>
      </c>
      <c r="D358" t="s">
        <v>448</v>
      </c>
      <c r="E358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t="s">
        <v>2408</v>
      </c>
      <c r="W358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t="s">
        <v>60</v>
      </c>
    </row>
    <row r="359" spans="1:31" x14ac:dyDescent="0.2">
      <c r="A359">
        <v>350</v>
      </c>
      <c r="B359" t="s">
        <v>905</v>
      </c>
      <c r="C359">
        <v>31</v>
      </c>
      <c r="D359" t="s">
        <v>476</v>
      </c>
      <c r="E35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t="s">
        <v>2409</v>
      </c>
      <c r="W35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t="s">
        <v>60</v>
      </c>
    </row>
    <row r="360" spans="1:31" x14ac:dyDescent="0.2">
      <c r="A360">
        <v>351</v>
      </c>
      <c r="B360" t="s">
        <v>815</v>
      </c>
      <c r="C360">
        <v>27</v>
      </c>
      <c r="D360" t="s">
        <v>346</v>
      </c>
      <c r="E360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t="s">
        <v>2410</v>
      </c>
      <c r="W360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t="s">
        <v>60</v>
      </c>
    </row>
    <row r="361" spans="1:31" x14ac:dyDescent="0.2">
      <c r="A361">
        <v>352</v>
      </c>
      <c r="B361" t="s">
        <v>774</v>
      </c>
      <c r="C361">
        <v>31</v>
      </c>
      <c r="D361" t="s">
        <v>321</v>
      </c>
      <c r="E361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t="s">
        <v>2411</v>
      </c>
      <c r="W361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t="s">
        <v>60</v>
      </c>
    </row>
    <row r="362" spans="1:31" x14ac:dyDescent="0.2">
      <c r="A362">
        <v>353</v>
      </c>
      <c r="B362" t="s">
        <v>1020</v>
      </c>
      <c r="C362">
        <v>32</v>
      </c>
      <c r="D362" t="s">
        <v>448</v>
      </c>
      <c r="E362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t="s">
        <v>2413</v>
      </c>
      <c r="W362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t="s">
        <v>60</v>
      </c>
    </row>
    <row r="363" spans="1:31" x14ac:dyDescent="0.2">
      <c r="A363">
        <v>354</v>
      </c>
      <c r="B363" t="s">
        <v>702</v>
      </c>
      <c r="C363">
        <v>30</v>
      </c>
      <c r="D363" t="s">
        <v>384</v>
      </c>
      <c r="E363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t="s">
        <v>2742</v>
      </c>
      <c r="W363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t="s">
        <v>60</v>
      </c>
    </row>
    <row r="364" spans="1:31" x14ac:dyDescent="0.2">
      <c r="A364">
        <v>355</v>
      </c>
      <c r="B364" t="s">
        <v>732</v>
      </c>
      <c r="C364">
        <v>30</v>
      </c>
      <c r="D364" t="s">
        <v>426</v>
      </c>
      <c r="E364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t="s">
        <v>2414</v>
      </c>
      <c r="W364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t="s">
        <v>60</v>
      </c>
    </row>
    <row r="365" spans="1:31" x14ac:dyDescent="0.2">
      <c r="A365">
        <v>356</v>
      </c>
      <c r="B365" t="s">
        <v>829</v>
      </c>
      <c r="C365">
        <v>20</v>
      </c>
      <c r="D365" t="s">
        <v>361</v>
      </c>
      <c r="E365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t="s">
        <v>2743</v>
      </c>
      <c r="W365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t="s">
        <v>60</v>
      </c>
    </row>
    <row r="366" spans="1:31" x14ac:dyDescent="0.2">
      <c r="A366">
        <v>357</v>
      </c>
      <c r="B366" t="s">
        <v>789</v>
      </c>
      <c r="C366">
        <v>25</v>
      </c>
      <c r="D366" t="s">
        <v>324</v>
      </c>
      <c r="E366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t="s">
        <v>2415</v>
      </c>
      <c r="W366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t="s">
        <v>60</v>
      </c>
    </row>
    <row r="367" spans="1:31" x14ac:dyDescent="0.2">
      <c r="A367">
        <v>358</v>
      </c>
      <c r="B367" t="s">
        <v>792</v>
      </c>
      <c r="C367">
        <v>35</v>
      </c>
      <c r="D367" t="s">
        <v>404</v>
      </c>
      <c r="E367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t="s">
        <v>2416</v>
      </c>
      <c r="W367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t="s">
        <v>60</v>
      </c>
    </row>
    <row r="368" spans="1:31" x14ac:dyDescent="0.2">
      <c r="A368">
        <v>359</v>
      </c>
      <c r="B368" t="s">
        <v>740</v>
      </c>
      <c r="C368">
        <v>25</v>
      </c>
      <c r="D368" t="s">
        <v>321</v>
      </c>
      <c r="E368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t="s">
        <v>2417</v>
      </c>
      <c r="W368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t="s">
        <v>60</v>
      </c>
    </row>
    <row r="369" spans="1:31" x14ac:dyDescent="0.2">
      <c r="A369">
        <v>360</v>
      </c>
      <c r="B369" t="s">
        <v>744</v>
      </c>
      <c r="C369">
        <v>26</v>
      </c>
      <c r="D369" t="s">
        <v>368</v>
      </c>
      <c r="E36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t="s">
        <v>2418</v>
      </c>
      <c r="W36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t="s">
        <v>60</v>
      </c>
    </row>
    <row r="370" spans="1:31" x14ac:dyDescent="0.2">
      <c r="A370">
        <v>361</v>
      </c>
      <c r="B370" t="s">
        <v>878</v>
      </c>
      <c r="C370">
        <v>25</v>
      </c>
      <c r="D370" t="s">
        <v>353</v>
      </c>
      <c r="E370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t="s">
        <v>2744</v>
      </c>
      <c r="W370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t="s">
        <v>60</v>
      </c>
    </row>
    <row r="371" spans="1:31" x14ac:dyDescent="0.2">
      <c r="A371">
        <v>362</v>
      </c>
      <c r="B371" t="s">
        <v>802</v>
      </c>
      <c r="C371">
        <v>27</v>
      </c>
      <c r="D371" t="s">
        <v>344</v>
      </c>
      <c r="E371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t="s">
        <v>2419</v>
      </c>
      <c r="W371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t="s">
        <v>60</v>
      </c>
    </row>
    <row r="372" spans="1:31" x14ac:dyDescent="0.2">
      <c r="A372">
        <v>363</v>
      </c>
      <c r="B372" t="s">
        <v>941</v>
      </c>
      <c r="C372">
        <v>23</v>
      </c>
      <c r="D372" t="s">
        <v>384</v>
      </c>
      <c r="E372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t="s">
        <v>2745</v>
      </c>
      <c r="W372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t="s">
        <v>60</v>
      </c>
    </row>
    <row r="373" spans="1:31" x14ac:dyDescent="0.2">
      <c r="A373">
        <v>364</v>
      </c>
      <c r="B373" t="s">
        <v>805</v>
      </c>
      <c r="C373">
        <v>36</v>
      </c>
      <c r="D373" t="s">
        <v>337</v>
      </c>
      <c r="E373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t="s">
        <v>2420</v>
      </c>
      <c r="W373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t="s">
        <v>60</v>
      </c>
    </row>
    <row r="374" spans="1:31" x14ac:dyDescent="0.2">
      <c r="A374">
        <v>365</v>
      </c>
      <c r="B374" t="s">
        <v>760</v>
      </c>
      <c r="C374">
        <v>32</v>
      </c>
      <c r="D374" t="s">
        <v>356</v>
      </c>
      <c r="E374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t="s">
        <v>2421</v>
      </c>
      <c r="W374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t="s">
        <v>60</v>
      </c>
    </row>
    <row r="375" spans="1:31" x14ac:dyDescent="0.2">
      <c r="A375">
        <v>366</v>
      </c>
      <c r="B375" t="s">
        <v>762</v>
      </c>
      <c r="C375">
        <v>29</v>
      </c>
      <c r="D375" t="s">
        <v>328</v>
      </c>
      <c r="E375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t="s">
        <v>2422</v>
      </c>
      <c r="W375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t="s">
        <v>60</v>
      </c>
    </row>
    <row r="376" spans="1:31" x14ac:dyDescent="0.2">
      <c r="A376">
        <v>367</v>
      </c>
      <c r="B376" t="s">
        <v>1004</v>
      </c>
      <c r="C376">
        <v>26</v>
      </c>
      <c r="D376" t="s">
        <v>439</v>
      </c>
      <c r="E376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t="s">
        <v>2423</v>
      </c>
      <c r="W376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t="s">
        <v>60</v>
      </c>
    </row>
    <row r="377" spans="1:31" x14ac:dyDescent="0.2">
      <c r="A377">
        <v>368</v>
      </c>
      <c r="B377" t="s">
        <v>895</v>
      </c>
      <c r="C377">
        <v>27</v>
      </c>
      <c r="D377" t="s">
        <v>363</v>
      </c>
      <c r="E377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t="s">
        <v>2424</v>
      </c>
      <c r="W377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t="s">
        <v>60</v>
      </c>
    </row>
    <row r="378" spans="1:31" x14ac:dyDescent="0.2">
      <c r="A378">
        <v>369</v>
      </c>
      <c r="B378" t="s">
        <v>725</v>
      </c>
      <c r="C378">
        <v>23</v>
      </c>
      <c r="D378" t="s">
        <v>461</v>
      </c>
      <c r="E378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t="s">
        <v>2077</v>
      </c>
      <c r="W378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t="s">
        <v>60</v>
      </c>
    </row>
    <row r="379" spans="1:31" x14ac:dyDescent="0.2">
      <c r="A379">
        <v>370</v>
      </c>
      <c r="B379" t="s">
        <v>900</v>
      </c>
      <c r="C379">
        <v>25</v>
      </c>
      <c r="D379" t="s">
        <v>368</v>
      </c>
      <c r="E37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t="s">
        <v>2425</v>
      </c>
      <c r="W37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t="s">
        <v>60</v>
      </c>
    </row>
    <row r="380" spans="1:31" x14ac:dyDescent="0.2">
      <c r="A380">
        <v>371</v>
      </c>
      <c r="B380" t="s">
        <v>814</v>
      </c>
      <c r="C380">
        <v>25</v>
      </c>
      <c r="D380" t="s">
        <v>387</v>
      </c>
      <c r="E380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t="s">
        <v>2746</v>
      </c>
      <c r="W380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t="s">
        <v>60</v>
      </c>
    </row>
    <row r="381" spans="1:31" x14ac:dyDescent="0.2">
      <c r="A381">
        <v>372</v>
      </c>
      <c r="B381" t="s">
        <v>728</v>
      </c>
      <c r="C381">
        <v>21</v>
      </c>
      <c r="D381" t="s">
        <v>536</v>
      </c>
      <c r="E381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t="s">
        <v>2426</v>
      </c>
      <c r="W381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t="s">
        <v>60</v>
      </c>
    </row>
    <row r="382" spans="1:31" x14ac:dyDescent="0.2">
      <c r="A382">
        <v>373</v>
      </c>
      <c r="B382" t="s">
        <v>860</v>
      </c>
      <c r="C382">
        <v>29</v>
      </c>
      <c r="D382" t="s">
        <v>359</v>
      </c>
      <c r="E382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t="s">
        <v>2427</v>
      </c>
      <c r="W382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t="s">
        <v>60</v>
      </c>
    </row>
    <row r="383" spans="1:31" x14ac:dyDescent="0.2">
      <c r="A383">
        <v>374</v>
      </c>
      <c r="B383" t="s">
        <v>910</v>
      </c>
      <c r="C383">
        <v>36</v>
      </c>
      <c r="D383" t="s">
        <v>373</v>
      </c>
      <c r="E383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t="s">
        <v>2125</v>
      </c>
      <c r="W383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t="s">
        <v>60</v>
      </c>
    </row>
    <row r="384" spans="1:31" x14ac:dyDescent="0.2">
      <c r="A384">
        <v>375</v>
      </c>
      <c r="B384" t="s">
        <v>822</v>
      </c>
      <c r="C384">
        <v>31</v>
      </c>
      <c r="D384" t="s">
        <v>402</v>
      </c>
      <c r="E384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t="s">
        <v>2428</v>
      </c>
      <c r="W384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t="s">
        <v>60</v>
      </c>
    </row>
    <row r="385" spans="1:31" x14ac:dyDescent="0.2">
      <c r="A385">
        <v>376</v>
      </c>
      <c r="B385" t="s">
        <v>778</v>
      </c>
      <c r="C385">
        <v>28</v>
      </c>
      <c r="D385" t="s">
        <v>378</v>
      </c>
      <c r="E385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t="s">
        <v>2748</v>
      </c>
      <c r="W385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t="s">
        <v>60</v>
      </c>
    </row>
    <row r="386" spans="1:31" x14ac:dyDescent="0.2">
      <c r="A386">
        <v>377</v>
      </c>
      <c r="B386" t="s">
        <v>863</v>
      </c>
      <c r="C386">
        <v>23</v>
      </c>
      <c r="D386" t="s">
        <v>415</v>
      </c>
      <c r="E386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t="s">
        <v>2749</v>
      </c>
      <c r="W386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t="s">
        <v>60</v>
      </c>
    </row>
    <row r="387" spans="1:31" x14ac:dyDescent="0.2">
      <c r="A387">
        <v>378</v>
      </c>
      <c r="B387" t="s">
        <v>780</v>
      </c>
      <c r="C387">
        <v>30</v>
      </c>
      <c r="D387" t="s">
        <v>373</v>
      </c>
      <c r="E387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t="s">
        <v>2750</v>
      </c>
      <c r="W387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t="s">
        <v>60</v>
      </c>
    </row>
    <row r="388" spans="1:31" x14ac:dyDescent="0.2">
      <c r="A388">
        <v>379</v>
      </c>
      <c r="B388" t="s">
        <v>787</v>
      </c>
      <c r="C388">
        <v>32</v>
      </c>
      <c r="D388" t="s">
        <v>359</v>
      </c>
      <c r="E388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t="s">
        <v>2429</v>
      </c>
      <c r="W388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t="s">
        <v>60</v>
      </c>
    </row>
    <row r="389" spans="1:31" x14ac:dyDescent="0.2">
      <c r="A389">
        <v>380</v>
      </c>
      <c r="B389" t="s">
        <v>922</v>
      </c>
      <c r="C389">
        <v>26</v>
      </c>
      <c r="D389" t="s">
        <v>404</v>
      </c>
      <c r="E38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t="s">
        <v>2430</v>
      </c>
      <c r="W38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t="s">
        <v>60</v>
      </c>
    </row>
    <row r="390" spans="1:31" x14ac:dyDescent="0.2">
      <c r="A390">
        <v>381</v>
      </c>
      <c r="B390" t="s">
        <v>831</v>
      </c>
      <c r="C390">
        <v>29</v>
      </c>
      <c r="D390" t="s">
        <v>365</v>
      </c>
      <c r="E390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t="s">
        <v>1941</v>
      </c>
      <c r="W390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t="s">
        <v>60</v>
      </c>
    </row>
    <row r="391" spans="1:31" x14ac:dyDescent="0.2">
      <c r="A391">
        <v>382</v>
      </c>
      <c r="B391" t="s">
        <v>1201</v>
      </c>
      <c r="C391">
        <v>27</v>
      </c>
      <c r="D391" t="s">
        <v>321</v>
      </c>
      <c r="E391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t="s">
        <v>2431</v>
      </c>
      <c r="W391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t="s">
        <v>60</v>
      </c>
    </row>
    <row r="392" spans="1:31" x14ac:dyDescent="0.2">
      <c r="A392">
        <v>383</v>
      </c>
      <c r="B392" t="s">
        <v>837</v>
      </c>
      <c r="C392">
        <v>32</v>
      </c>
      <c r="D392" t="s">
        <v>344</v>
      </c>
      <c r="E392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t="s">
        <v>2432</v>
      </c>
      <c r="W392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t="s">
        <v>60</v>
      </c>
    </row>
    <row r="393" spans="1:31" x14ac:dyDescent="0.2">
      <c r="A393">
        <v>384</v>
      </c>
      <c r="B393" t="s">
        <v>880</v>
      </c>
      <c r="C393">
        <v>31</v>
      </c>
      <c r="D393" t="s">
        <v>337</v>
      </c>
      <c r="E393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t="s">
        <v>2433</v>
      </c>
      <c r="W393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t="s">
        <v>60</v>
      </c>
    </row>
    <row r="394" spans="1:31" x14ac:dyDescent="0.2">
      <c r="A394">
        <v>385</v>
      </c>
      <c r="B394" t="s">
        <v>840</v>
      </c>
      <c r="C394">
        <v>29</v>
      </c>
      <c r="D394" t="s">
        <v>361</v>
      </c>
      <c r="E394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t="s">
        <v>2751</v>
      </c>
      <c r="W394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t="s">
        <v>60</v>
      </c>
    </row>
    <row r="395" spans="1:31" x14ac:dyDescent="0.2">
      <c r="A395">
        <v>386</v>
      </c>
      <c r="B395" t="s">
        <v>945</v>
      </c>
      <c r="C395">
        <v>33</v>
      </c>
      <c r="D395" t="s">
        <v>356</v>
      </c>
      <c r="E395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t="s">
        <v>2434</v>
      </c>
      <c r="W395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t="s">
        <v>60</v>
      </c>
    </row>
    <row r="396" spans="1:31" x14ac:dyDescent="0.2">
      <c r="A396">
        <v>387</v>
      </c>
      <c r="B396" t="s">
        <v>889</v>
      </c>
      <c r="C396">
        <v>29</v>
      </c>
      <c r="D396" t="s">
        <v>361</v>
      </c>
      <c r="E396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t="s">
        <v>2752</v>
      </c>
      <c r="W396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t="s">
        <v>60</v>
      </c>
    </row>
    <row r="397" spans="1:31" x14ac:dyDescent="0.2">
      <c r="A397">
        <v>388</v>
      </c>
      <c r="B397" t="s">
        <v>844</v>
      </c>
      <c r="C397">
        <v>35</v>
      </c>
      <c r="D397" t="s">
        <v>476</v>
      </c>
      <c r="E397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t="s">
        <v>1817</v>
      </c>
      <c r="W397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t="s">
        <v>60</v>
      </c>
    </row>
    <row r="398" spans="1:31" x14ac:dyDescent="0.2">
      <c r="A398">
        <v>389</v>
      </c>
      <c r="B398" t="s">
        <v>845</v>
      </c>
      <c r="C398">
        <v>26</v>
      </c>
      <c r="D398" t="s">
        <v>412</v>
      </c>
      <c r="E398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t="s">
        <v>2126</v>
      </c>
      <c r="W398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t="s">
        <v>60</v>
      </c>
    </row>
    <row r="399" spans="1:31" x14ac:dyDescent="0.2">
      <c r="A399">
        <v>390</v>
      </c>
      <c r="B399" t="s">
        <v>890</v>
      </c>
      <c r="C399">
        <v>31</v>
      </c>
      <c r="D399" t="s">
        <v>330</v>
      </c>
      <c r="E39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t="s">
        <v>2127</v>
      </c>
      <c r="W39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t="s">
        <v>60</v>
      </c>
    </row>
    <row r="400" spans="1:31" x14ac:dyDescent="0.2">
      <c r="A400">
        <v>391</v>
      </c>
      <c r="B400" t="s">
        <v>812</v>
      </c>
      <c r="C400">
        <v>32</v>
      </c>
      <c r="D400" t="s">
        <v>536</v>
      </c>
      <c r="E400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t="s">
        <v>2435</v>
      </c>
      <c r="W400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t="s">
        <v>60</v>
      </c>
    </row>
    <row r="401" spans="1:31" x14ac:dyDescent="0.2">
      <c r="A401">
        <v>392</v>
      </c>
      <c r="B401" t="s">
        <v>894</v>
      </c>
      <c r="C401">
        <v>23</v>
      </c>
      <c r="D401" t="s">
        <v>439</v>
      </c>
      <c r="E401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t="s">
        <v>2436</v>
      </c>
      <c r="W401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t="s">
        <v>60</v>
      </c>
    </row>
    <row r="402" spans="1:31" x14ac:dyDescent="0.2">
      <c r="A402">
        <v>393</v>
      </c>
      <c r="B402" t="s">
        <v>766</v>
      </c>
      <c r="C402">
        <v>30</v>
      </c>
      <c r="D402" t="s">
        <v>368</v>
      </c>
      <c r="E402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t="s">
        <v>2437</v>
      </c>
      <c r="W402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t="s">
        <v>60</v>
      </c>
    </row>
    <row r="403" spans="1:31" x14ac:dyDescent="0.2">
      <c r="A403">
        <v>394</v>
      </c>
      <c r="B403" t="s">
        <v>901</v>
      </c>
      <c r="C403">
        <v>25</v>
      </c>
      <c r="D403" t="s">
        <v>461</v>
      </c>
      <c r="E403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t="s">
        <v>2438</v>
      </c>
      <c r="W403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t="s">
        <v>60</v>
      </c>
    </row>
    <row r="404" spans="1:31" x14ac:dyDescent="0.2">
      <c r="A404">
        <v>395</v>
      </c>
      <c r="B404" t="s">
        <v>961</v>
      </c>
      <c r="C404">
        <v>34</v>
      </c>
      <c r="D404" t="s">
        <v>344</v>
      </c>
      <c r="E404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t="s">
        <v>2440</v>
      </c>
      <c r="W404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t="s">
        <v>60</v>
      </c>
    </row>
    <row r="405" spans="1:31" x14ac:dyDescent="0.2">
      <c r="A405">
        <v>396</v>
      </c>
      <c r="B405" t="s">
        <v>859</v>
      </c>
      <c r="C405">
        <v>26</v>
      </c>
      <c r="D405" t="s">
        <v>356</v>
      </c>
      <c r="E405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t="s">
        <v>2441</v>
      </c>
      <c r="W405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t="s">
        <v>60</v>
      </c>
    </row>
    <row r="406" spans="1:31" x14ac:dyDescent="0.2">
      <c r="A406">
        <v>397</v>
      </c>
      <c r="B406" t="s">
        <v>963</v>
      </c>
      <c r="C406">
        <v>29</v>
      </c>
      <c r="D406" t="s">
        <v>412</v>
      </c>
      <c r="E406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t="s">
        <v>2128</v>
      </c>
      <c r="W406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t="s">
        <v>60</v>
      </c>
    </row>
    <row r="407" spans="1:31" x14ac:dyDescent="0.2">
      <c r="A407">
        <v>398</v>
      </c>
      <c r="B407" t="s">
        <v>772</v>
      </c>
      <c r="C407">
        <v>31</v>
      </c>
      <c r="D407" t="s">
        <v>536</v>
      </c>
      <c r="E407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t="s">
        <v>2442</v>
      </c>
      <c r="W407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t="s">
        <v>60</v>
      </c>
    </row>
    <row r="408" spans="1:31" x14ac:dyDescent="0.2">
      <c r="A408">
        <v>399</v>
      </c>
      <c r="B408" t="s">
        <v>817</v>
      </c>
      <c r="C408">
        <v>37</v>
      </c>
      <c r="D408" t="s">
        <v>346</v>
      </c>
      <c r="E408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t="s">
        <v>2443</v>
      </c>
      <c r="W408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t="s">
        <v>60</v>
      </c>
    </row>
    <row r="409" spans="1:31" x14ac:dyDescent="0.2">
      <c r="A409">
        <v>400</v>
      </c>
      <c r="B409" t="s">
        <v>775</v>
      </c>
      <c r="C409">
        <v>29</v>
      </c>
      <c r="D409" t="s">
        <v>328</v>
      </c>
      <c r="E40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t="s">
        <v>776</v>
      </c>
      <c r="W40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t="s">
        <v>60</v>
      </c>
    </row>
    <row r="410" spans="1:31" x14ac:dyDescent="0.2">
      <c r="A410">
        <v>401</v>
      </c>
      <c r="B410" t="s">
        <v>967</v>
      </c>
      <c r="C410">
        <v>24</v>
      </c>
      <c r="D410" t="s">
        <v>448</v>
      </c>
      <c r="E410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t="s">
        <v>2444</v>
      </c>
      <c r="W410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t="s">
        <v>60</v>
      </c>
    </row>
    <row r="411" spans="1:31" x14ac:dyDescent="0.2">
      <c r="A411">
        <v>402</v>
      </c>
      <c r="B411" t="s">
        <v>916</v>
      </c>
      <c r="C411">
        <v>25</v>
      </c>
      <c r="D411" t="s">
        <v>1022</v>
      </c>
      <c r="E411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t="s">
        <v>2446</v>
      </c>
      <c r="W411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t="s">
        <v>60</v>
      </c>
    </row>
    <row r="412" spans="1:31" x14ac:dyDescent="0.2">
      <c r="A412">
        <v>402</v>
      </c>
      <c r="B412" t="s">
        <v>916</v>
      </c>
      <c r="C412">
        <v>25</v>
      </c>
      <c r="D412" t="s">
        <v>373</v>
      </c>
      <c r="E412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t="s">
        <v>1734</v>
      </c>
      <c r="W412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t="s">
        <v>60</v>
      </c>
    </row>
    <row r="413" spans="1:31" x14ac:dyDescent="0.2">
      <c r="A413">
        <v>402</v>
      </c>
      <c r="B413" t="s">
        <v>916</v>
      </c>
      <c r="C413">
        <v>25</v>
      </c>
      <c r="D413" t="s">
        <v>536</v>
      </c>
      <c r="E413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t="s">
        <v>2447</v>
      </c>
      <c r="W413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t="s">
        <v>60</v>
      </c>
    </row>
    <row r="414" spans="1:31" x14ac:dyDescent="0.2">
      <c r="A414">
        <v>403</v>
      </c>
      <c r="B414" t="s">
        <v>866</v>
      </c>
      <c r="C414">
        <v>21</v>
      </c>
      <c r="D414" t="s">
        <v>321</v>
      </c>
      <c r="E414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t="s">
        <v>2448</v>
      </c>
      <c r="W414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t="s">
        <v>60</v>
      </c>
    </row>
    <row r="415" spans="1:31" x14ac:dyDescent="0.2">
      <c r="A415">
        <v>404</v>
      </c>
      <c r="B415" t="s">
        <v>827</v>
      </c>
      <c r="C415">
        <v>29</v>
      </c>
      <c r="D415" t="s">
        <v>365</v>
      </c>
      <c r="E415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t="s">
        <v>2753</v>
      </c>
      <c r="W415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t="s">
        <v>60</v>
      </c>
    </row>
    <row r="416" spans="1:31" x14ac:dyDescent="0.2">
      <c r="A416">
        <v>405</v>
      </c>
      <c r="B416" t="s">
        <v>869</v>
      </c>
      <c r="C416">
        <v>32</v>
      </c>
      <c r="D416" t="s">
        <v>426</v>
      </c>
      <c r="E416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t="s">
        <v>2449</v>
      </c>
      <c r="W416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t="s">
        <v>60</v>
      </c>
    </row>
    <row r="417" spans="1:31" x14ac:dyDescent="0.2">
      <c r="A417">
        <v>406</v>
      </c>
      <c r="B417" t="s">
        <v>1048</v>
      </c>
      <c r="C417">
        <v>26</v>
      </c>
      <c r="D417" t="s">
        <v>404</v>
      </c>
      <c r="E417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t="s">
        <v>2450</v>
      </c>
      <c r="W417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t="s">
        <v>60</v>
      </c>
    </row>
    <row r="418" spans="1:31" x14ac:dyDescent="0.2">
      <c r="A418">
        <v>407</v>
      </c>
      <c r="B418" t="s">
        <v>879</v>
      </c>
      <c r="C418">
        <v>27</v>
      </c>
      <c r="D418" t="s">
        <v>476</v>
      </c>
      <c r="E418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t="s">
        <v>2451</v>
      </c>
      <c r="W418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t="s">
        <v>60</v>
      </c>
    </row>
    <row r="419" spans="1:31" x14ac:dyDescent="0.2">
      <c r="A419">
        <v>408</v>
      </c>
      <c r="B419" t="s">
        <v>798</v>
      </c>
      <c r="C419">
        <v>24</v>
      </c>
      <c r="D419" t="s">
        <v>337</v>
      </c>
      <c r="E4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t="s">
        <v>2452</v>
      </c>
      <c r="W4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t="s">
        <v>60</v>
      </c>
    </row>
    <row r="420" spans="1:31" x14ac:dyDescent="0.2">
      <c r="A420">
        <v>409</v>
      </c>
      <c r="B420" t="s">
        <v>799</v>
      </c>
      <c r="C420">
        <v>35</v>
      </c>
      <c r="D420" t="s">
        <v>328</v>
      </c>
      <c r="E420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t="s">
        <v>2453</v>
      </c>
      <c r="W420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t="s">
        <v>60</v>
      </c>
    </row>
    <row r="421" spans="1:31" x14ac:dyDescent="0.2">
      <c r="A421">
        <v>410</v>
      </c>
      <c r="B421" t="s">
        <v>984</v>
      </c>
      <c r="C421">
        <v>23</v>
      </c>
      <c r="D421" t="s">
        <v>330</v>
      </c>
      <c r="E421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t="s">
        <v>2754</v>
      </c>
      <c r="W421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t="s">
        <v>60</v>
      </c>
    </row>
    <row r="422" spans="1:31" x14ac:dyDescent="0.2">
      <c r="A422">
        <v>411</v>
      </c>
      <c r="B422" t="s">
        <v>1147</v>
      </c>
      <c r="C422">
        <v>25</v>
      </c>
      <c r="D422" t="s">
        <v>344</v>
      </c>
      <c r="E422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t="s">
        <v>2454</v>
      </c>
      <c r="W422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t="s">
        <v>60</v>
      </c>
    </row>
    <row r="423" spans="1:31" x14ac:dyDescent="0.2">
      <c r="A423">
        <v>412</v>
      </c>
      <c r="B423" t="s">
        <v>891</v>
      </c>
      <c r="C423">
        <v>22</v>
      </c>
      <c r="D423" t="s">
        <v>337</v>
      </c>
      <c r="E423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t="s">
        <v>2078</v>
      </c>
      <c r="W423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t="s">
        <v>60</v>
      </c>
    </row>
    <row r="424" spans="1:31" x14ac:dyDescent="0.2">
      <c r="A424">
        <v>413</v>
      </c>
      <c r="B424" t="s">
        <v>846</v>
      </c>
      <c r="C424">
        <v>21</v>
      </c>
      <c r="D424" t="s">
        <v>330</v>
      </c>
      <c r="E424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t="s">
        <v>2755</v>
      </c>
      <c r="W424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t="s">
        <v>60</v>
      </c>
    </row>
    <row r="425" spans="1:31" x14ac:dyDescent="0.2">
      <c r="A425">
        <v>414</v>
      </c>
      <c r="B425" t="s">
        <v>811</v>
      </c>
      <c r="C425">
        <v>28</v>
      </c>
      <c r="D425" t="s">
        <v>384</v>
      </c>
      <c r="E425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t="s">
        <v>2756</v>
      </c>
      <c r="W425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t="s">
        <v>60</v>
      </c>
    </row>
    <row r="426" spans="1:31" x14ac:dyDescent="0.2">
      <c r="A426">
        <v>415</v>
      </c>
      <c r="B426" t="s">
        <v>955</v>
      </c>
      <c r="C426">
        <v>21</v>
      </c>
      <c r="D426" t="s">
        <v>439</v>
      </c>
      <c r="E426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t="s">
        <v>2455</v>
      </c>
      <c r="W426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t="s">
        <v>60</v>
      </c>
    </row>
    <row r="427" spans="1:31" x14ac:dyDescent="0.2">
      <c r="A427">
        <v>416</v>
      </c>
      <c r="B427" t="s">
        <v>957</v>
      </c>
      <c r="C427">
        <v>30</v>
      </c>
      <c r="D427" t="s">
        <v>353</v>
      </c>
      <c r="E427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t="s">
        <v>2757</v>
      </c>
      <c r="W427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t="s">
        <v>60</v>
      </c>
    </row>
    <row r="428" spans="1:31" x14ac:dyDescent="0.2">
      <c r="A428">
        <v>417</v>
      </c>
      <c r="B428" t="s">
        <v>851</v>
      </c>
      <c r="C428">
        <v>33</v>
      </c>
      <c r="D428" t="s">
        <v>334</v>
      </c>
      <c r="E428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t="s">
        <v>2456</v>
      </c>
      <c r="W428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t="s">
        <v>60</v>
      </c>
    </row>
    <row r="429" spans="1:31" x14ac:dyDescent="0.2">
      <c r="A429">
        <v>418</v>
      </c>
      <c r="B429" t="s">
        <v>903</v>
      </c>
      <c r="C429">
        <v>33</v>
      </c>
      <c r="D429" t="s">
        <v>363</v>
      </c>
      <c r="E42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t="s">
        <v>2032</v>
      </c>
      <c r="W42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t="s">
        <v>60</v>
      </c>
    </row>
    <row r="430" spans="1:31" x14ac:dyDescent="0.2">
      <c r="A430">
        <v>419</v>
      </c>
      <c r="B430" t="s">
        <v>907</v>
      </c>
      <c r="C430">
        <v>23</v>
      </c>
      <c r="D430" t="s">
        <v>368</v>
      </c>
      <c r="E430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t="s">
        <v>2457</v>
      </c>
      <c r="W430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t="s">
        <v>60</v>
      </c>
    </row>
    <row r="431" spans="1:31" x14ac:dyDescent="0.2">
      <c r="A431">
        <v>420</v>
      </c>
      <c r="B431" t="s">
        <v>1090</v>
      </c>
      <c r="C431">
        <v>36</v>
      </c>
      <c r="D431" t="s">
        <v>359</v>
      </c>
      <c r="E431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t="s">
        <v>2458</v>
      </c>
      <c r="W431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t="s">
        <v>60</v>
      </c>
    </row>
    <row r="432" spans="1:31" x14ac:dyDescent="0.2">
      <c r="A432">
        <v>421</v>
      </c>
      <c r="B432" t="s">
        <v>816</v>
      </c>
      <c r="C432">
        <v>26</v>
      </c>
      <c r="D432" t="s">
        <v>1022</v>
      </c>
      <c r="E432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t="s">
        <v>2459</v>
      </c>
      <c r="W432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t="s">
        <v>60</v>
      </c>
    </row>
    <row r="433" spans="1:31" x14ac:dyDescent="0.2">
      <c r="A433">
        <v>421</v>
      </c>
      <c r="B433" t="s">
        <v>816</v>
      </c>
      <c r="C433">
        <v>26</v>
      </c>
      <c r="D433" t="s">
        <v>476</v>
      </c>
      <c r="E433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t="s">
        <v>1731</v>
      </c>
      <c r="W433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t="s">
        <v>60</v>
      </c>
    </row>
    <row r="434" spans="1:31" x14ac:dyDescent="0.2">
      <c r="A434">
        <v>421</v>
      </c>
      <c r="B434" t="s">
        <v>816</v>
      </c>
      <c r="C434">
        <v>26</v>
      </c>
      <c r="D434" t="s">
        <v>328</v>
      </c>
      <c r="E434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t="s">
        <v>2460</v>
      </c>
      <c r="W434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t="s">
        <v>60</v>
      </c>
    </row>
    <row r="435" spans="1:31" x14ac:dyDescent="0.2">
      <c r="A435">
        <v>422</v>
      </c>
      <c r="B435" t="s">
        <v>1098</v>
      </c>
      <c r="C435">
        <v>22</v>
      </c>
      <c r="D435" t="s">
        <v>476</v>
      </c>
      <c r="E435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t="s">
        <v>2461</v>
      </c>
      <c r="W435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t="s">
        <v>60</v>
      </c>
    </row>
    <row r="436" spans="1:31" x14ac:dyDescent="0.2">
      <c r="A436">
        <v>423</v>
      </c>
      <c r="B436" t="s">
        <v>819</v>
      </c>
      <c r="C436">
        <v>31</v>
      </c>
      <c r="D436" t="s">
        <v>536</v>
      </c>
      <c r="E436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t="s">
        <v>820</v>
      </c>
      <c r="W436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t="s">
        <v>60</v>
      </c>
    </row>
    <row r="437" spans="1:31" x14ac:dyDescent="0.2">
      <c r="A437">
        <v>424</v>
      </c>
      <c r="B437" t="s">
        <v>861</v>
      </c>
      <c r="C437">
        <v>20</v>
      </c>
      <c r="D437" t="s">
        <v>461</v>
      </c>
      <c r="E437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t="s">
        <v>2463</v>
      </c>
      <c r="W437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t="s">
        <v>60</v>
      </c>
    </row>
    <row r="438" spans="1:31" x14ac:dyDescent="0.2">
      <c r="A438">
        <v>425</v>
      </c>
      <c r="B438" t="s">
        <v>911</v>
      </c>
      <c r="C438">
        <v>27</v>
      </c>
      <c r="D438" t="s">
        <v>412</v>
      </c>
      <c r="E438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t="s">
        <v>1818</v>
      </c>
      <c r="W438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t="s">
        <v>60</v>
      </c>
    </row>
    <row r="439" spans="1:31" x14ac:dyDescent="0.2">
      <c r="A439">
        <v>426</v>
      </c>
      <c r="B439" t="s">
        <v>1029</v>
      </c>
      <c r="C439">
        <v>34</v>
      </c>
      <c r="D439" t="s">
        <v>378</v>
      </c>
      <c r="E43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t="s">
        <v>2758</v>
      </c>
      <c r="W43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t="s">
        <v>60</v>
      </c>
    </row>
    <row r="440" spans="1:31" x14ac:dyDescent="0.2">
      <c r="A440">
        <v>427</v>
      </c>
      <c r="B440" t="s">
        <v>862</v>
      </c>
      <c r="C440">
        <v>26</v>
      </c>
      <c r="D440" t="s">
        <v>429</v>
      </c>
      <c r="E440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t="s">
        <v>2464</v>
      </c>
      <c r="W440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t="s">
        <v>60</v>
      </c>
    </row>
    <row r="441" spans="1:31" x14ac:dyDescent="0.2">
      <c r="A441">
        <v>428</v>
      </c>
      <c r="B441" t="s">
        <v>972</v>
      </c>
      <c r="C441">
        <v>32</v>
      </c>
      <c r="D441" t="s">
        <v>363</v>
      </c>
      <c r="E441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t="s">
        <v>2465</v>
      </c>
      <c r="W441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t="s">
        <v>60</v>
      </c>
    </row>
    <row r="442" spans="1:31" x14ac:dyDescent="0.2">
      <c r="A442">
        <v>429</v>
      </c>
      <c r="B442" t="s">
        <v>920</v>
      </c>
      <c r="C442">
        <v>31</v>
      </c>
      <c r="D442" t="s">
        <v>402</v>
      </c>
      <c r="E442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t="s">
        <v>2466</v>
      </c>
      <c r="W442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t="s">
        <v>60</v>
      </c>
    </row>
    <row r="443" spans="1:31" x14ac:dyDescent="0.2">
      <c r="A443">
        <v>430</v>
      </c>
      <c r="B443" t="s">
        <v>828</v>
      </c>
      <c r="C443">
        <v>34</v>
      </c>
      <c r="D443" t="s">
        <v>373</v>
      </c>
      <c r="E443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t="s">
        <v>2759</v>
      </c>
      <c r="W443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t="s">
        <v>60</v>
      </c>
    </row>
    <row r="444" spans="1:31" x14ac:dyDescent="0.2">
      <c r="A444">
        <v>431</v>
      </c>
      <c r="B444" t="s">
        <v>867</v>
      </c>
      <c r="C444">
        <v>34</v>
      </c>
      <c r="D444" t="s">
        <v>387</v>
      </c>
      <c r="E444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t="s">
        <v>2760</v>
      </c>
      <c r="W444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t="s">
        <v>60</v>
      </c>
    </row>
    <row r="445" spans="1:31" x14ac:dyDescent="0.2">
      <c r="A445">
        <v>432</v>
      </c>
      <c r="B445" t="s">
        <v>1042</v>
      </c>
      <c r="C445">
        <v>30</v>
      </c>
      <c r="D445" t="s">
        <v>330</v>
      </c>
      <c r="E445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t="s">
        <v>2761</v>
      </c>
      <c r="W445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t="s">
        <v>60</v>
      </c>
    </row>
    <row r="446" spans="1:31" x14ac:dyDescent="0.2">
      <c r="A446">
        <v>433</v>
      </c>
      <c r="B446" t="s">
        <v>976</v>
      </c>
      <c r="C446">
        <v>35</v>
      </c>
      <c r="D446" t="s">
        <v>368</v>
      </c>
      <c r="E446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t="s">
        <v>2467</v>
      </c>
      <c r="W446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t="s">
        <v>60</v>
      </c>
    </row>
    <row r="447" spans="1:31" x14ac:dyDescent="0.2">
      <c r="A447">
        <v>434</v>
      </c>
      <c r="B447" t="s">
        <v>926</v>
      </c>
      <c r="C447">
        <v>34</v>
      </c>
      <c r="D447" t="s">
        <v>429</v>
      </c>
      <c r="E447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t="s">
        <v>2468</v>
      </c>
      <c r="W447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t="s">
        <v>60</v>
      </c>
    </row>
    <row r="448" spans="1:31" x14ac:dyDescent="0.2">
      <c r="A448">
        <v>435</v>
      </c>
      <c r="B448" t="s">
        <v>1197</v>
      </c>
      <c r="C448">
        <v>27</v>
      </c>
      <c r="D448" t="s">
        <v>412</v>
      </c>
      <c r="E448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t="s">
        <v>2130</v>
      </c>
      <c r="W448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t="s">
        <v>60</v>
      </c>
    </row>
    <row r="449" spans="1:31" x14ac:dyDescent="0.2">
      <c r="A449">
        <v>436</v>
      </c>
      <c r="B449" t="s">
        <v>1043</v>
      </c>
      <c r="C449">
        <v>20</v>
      </c>
      <c r="D449" t="s">
        <v>536</v>
      </c>
      <c r="E44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t="s">
        <v>2469</v>
      </c>
      <c r="W44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t="s">
        <v>60</v>
      </c>
    </row>
    <row r="450" spans="1:31" x14ac:dyDescent="0.2">
      <c r="A450">
        <v>437</v>
      </c>
      <c r="B450" t="s">
        <v>930</v>
      </c>
      <c r="C450">
        <v>24</v>
      </c>
      <c r="D450" t="s">
        <v>555</v>
      </c>
      <c r="E450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t="s">
        <v>2762</v>
      </c>
      <c r="W450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t="s">
        <v>60</v>
      </c>
    </row>
    <row r="451" spans="1:31" x14ac:dyDescent="0.2">
      <c r="A451">
        <v>438</v>
      </c>
      <c r="B451" t="s">
        <v>876</v>
      </c>
      <c r="C451">
        <v>27</v>
      </c>
      <c r="D451" t="s">
        <v>324</v>
      </c>
      <c r="E451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t="s">
        <v>2470</v>
      </c>
      <c r="W451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t="s">
        <v>60</v>
      </c>
    </row>
    <row r="452" spans="1:31" x14ac:dyDescent="0.2">
      <c r="A452">
        <v>439</v>
      </c>
      <c r="B452" t="s">
        <v>1132</v>
      </c>
      <c r="C452">
        <v>32</v>
      </c>
      <c r="D452" t="s">
        <v>555</v>
      </c>
      <c r="E452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t="s">
        <v>2023</v>
      </c>
      <c r="W452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t="s">
        <v>60</v>
      </c>
    </row>
    <row r="453" spans="1:31" x14ac:dyDescent="0.2">
      <c r="A453">
        <v>440</v>
      </c>
      <c r="B453" t="s">
        <v>935</v>
      </c>
      <c r="C453">
        <v>35</v>
      </c>
      <c r="D453" t="s">
        <v>337</v>
      </c>
      <c r="E453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t="s">
        <v>2471</v>
      </c>
      <c r="W453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t="s">
        <v>60</v>
      </c>
    </row>
    <row r="454" spans="1:31" x14ac:dyDescent="0.2">
      <c r="A454">
        <v>441</v>
      </c>
      <c r="B454" t="s">
        <v>833</v>
      </c>
      <c r="C454">
        <v>32</v>
      </c>
      <c r="D454" t="s">
        <v>404</v>
      </c>
      <c r="E454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t="s">
        <v>2472</v>
      </c>
      <c r="W454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t="s">
        <v>60</v>
      </c>
    </row>
    <row r="455" spans="1:31" x14ac:dyDescent="0.2">
      <c r="A455">
        <v>442</v>
      </c>
      <c r="B455" t="s">
        <v>979</v>
      </c>
      <c r="C455">
        <v>25</v>
      </c>
      <c r="D455" t="s">
        <v>412</v>
      </c>
      <c r="E455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t="s">
        <v>2131</v>
      </c>
      <c r="W455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t="s">
        <v>60</v>
      </c>
    </row>
    <row r="456" spans="1:31" x14ac:dyDescent="0.2">
      <c r="A456">
        <v>443</v>
      </c>
      <c r="B456" t="s">
        <v>940</v>
      </c>
      <c r="C456">
        <v>35</v>
      </c>
      <c r="D456" t="s">
        <v>426</v>
      </c>
      <c r="E456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t="s">
        <v>2473</v>
      </c>
      <c r="W456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t="s">
        <v>60</v>
      </c>
    </row>
    <row r="457" spans="1:31" x14ac:dyDescent="0.2">
      <c r="A457">
        <v>444</v>
      </c>
      <c r="B457" t="s">
        <v>839</v>
      </c>
      <c r="C457">
        <v>28</v>
      </c>
      <c r="D457" t="s">
        <v>536</v>
      </c>
      <c r="E457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t="s">
        <v>2079</v>
      </c>
      <c r="W457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t="s">
        <v>60</v>
      </c>
    </row>
    <row r="458" spans="1:31" x14ac:dyDescent="0.2">
      <c r="A458">
        <v>445</v>
      </c>
      <c r="B458" t="s">
        <v>1143</v>
      </c>
      <c r="C458">
        <v>24</v>
      </c>
      <c r="D458" t="s">
        <v>555</v>
      </c>
      <c r="E458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t="s">
        <v>2763</v>
      </c>
      <c r="W458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t="s">
        <v>60</v>
      </c>
    </row>
    <row r="459" spans="1:31" x14ac:dyDescent="0.2">
      <c r="A459">
        <v>446</v>
      </c>
      <c r="B459" t="s">
        <v>986</v>
      </c>
      <c r="C459">
        <v>25</v>
      </c>
      <c r="D459" t="s">
        <v>448</v>
      </c>
      <c r="E45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t="s">
        <v>2474</v>
      </c>
      <c r="W45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t="s">
        <v>60</v>
      </c>
    </row>
    <row r="460" spans="1:31" x14ac:dyDescent="0.2">
      <c r="A460">
        <v>447</v>
      </c>
      <c r="B460" t="s">
        <v>888</v>
      </c>
      <c r="C460">
        <v>33</v>
      </c>
      <c r="D460" t="s">
        <v>555</v>
      </c>
      <c r="E460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t="s">
        <v>2764</v>
      </c>
      <c r="W460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t="s">
        <v>60</v>
      </c>
    </row>
    <row r="461" spans="1:31" x14ac:dyDescent="0.2">
      <c r="A461">
        <v>448</v>
      </c>
      <c r="B461" t="s">
        <v>950</v>
      </c>
      <c r="C461">
        <v>29</v>
      </c>
      <c r="D461" t="s">
        <v>555</v>
      </c>
      <c r="E461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t="s">
        <v>2765</v>
      </c>
      <c r="W461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t="s">
        <v>60</v>
      </c>
    </row>
    <row r="462" spans="1:31" x14ac:dyDescent="0.2">
      <c r="A462">
        <v>449</v>
      </c>
      <c r="B462" t="s">
        <v>951</v>
      </c>
      <c r="C462">
        <v>36</v>
      </c>
      <c r="D462" t="s">
        <v>353</v>
      </c>
      <c r="E462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t="s">
        <v>2081</v>
      </c>
      <c r="W462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t="s">
        <v>60</v>
      </c>
    </row>
    <row r="463" spans="1:31" x14ac:dyDescent="0.2">
      <c r="A463">
        <v>450</v>
      </c>
      <c r="B463" t="s">
        <v>893</v>
      </c>
      <c r="C463">
        <v>35</v>
      </c>
      <c r="D463" t="s">
        <v>461</v>
      </c>
      <c r="E463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t="s">
        <v>2476</v>
      </c>
      <c r="W463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t="s">
        <v>60</v>
      </c>
    </row>
    <row r="464" spans="1:31" x14ac:dyDescent="0.2">
      <c r="A464">
        <v>451</v>
      </c>
      <c r="B464" t="s">
        <v>847</v>
      </c>
      <c r="C464">
        <v>33</v>
      </c>
      <c r="D464" t="s">
        <v>346</v>
      </c>
      <c r="E464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t="s">
        <v>2477</v>
      </c>
      <c r="W464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t="s">
        <v>60</v>
      </c>
    </row>
    <row r="465" spans="1:31" x14ac:dyDescent="0.2">
      <c r="A465">
        <v>452</v>
      </c>
      <c r="B465" t="s">
        <v>848</v>
      </c>
      <c r="C465">
        <v>24</v>
      </c>
      <c r="D465" t="s">
        <v>337</v>
      </c>
      <c r="E465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t="s">
        <v>849</v>
      </c>
      <c r="W465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t="s">
        <v>60</v>
      </c>
    </row>
    <row r="466" spans="1:31" x14ac:dyDescent="0.2">
      <c r="A466">
        <v>453</v>
      </c>
      <c r="B466" t="s">
        <v>1009</v>
      </c>
      <c r="C466">
        <v>27</v>
      </c>
      <c r="D466" t="s">
        <v>356</v>
      </c>
      <c r="E466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t="s">
        <v>2478</v>
      </c>
      <c r="W466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t="s">
        <v>60</v>
      </c>
    </row>
    <row r="467" spans="1:31" x14ac:dyDescent="0.2">
      <c r="A467">
        <v>454</v>
      </c>
      <c r="B467" t="s">
        <v>855</v>
      </c>
      <c r="C467">
        <v>21</v>
      </c>
      <c r="D467" t="s">
        <v>330</v>
      </c>
      <c r="E467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t="s">
        <v>856</v>
      </c>
      <c r="W467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t="s">
        <v>60</v>
      </c>
    </row>
    <row r="468" spans="1:31" x14ac:dyDescent="0.2">
      <c r="A468">
        <v>455</v>
      </c>
      <c r="B468" t="s">
        <v>1014</v>
      </c>
      <c r="C468">
        <v>21</v>
      </c>
      <c r="D468" t="s">
        <v>387</v>
      </c>
      <c r="E468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t="s">
        <v>2479</v>
      </c>
      <c r="W468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t="s">
        <v>60</v>
      </c>
    </row>
    <row r="469" spans="1:31" x14ac:dyDescent="0.2">
      <c r="A469">
        <v>456</v>
      </c>
      <c r="B469" t="s">
        <v>1019</v>
      </c>
      <c r="C469">
        <v>24</v>
      </c>
      <c r="D469" t="s">
        <v>330</v>
      </c>
      <c r="E46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t="s">
        <v>2766</v>
      </c>
      <c r="W46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t="s">
        <v>60</v>
      </c>
    </row>
    <row r="470" spans="1:31" x14ac:dyDescent="0.2">
      <c r="A470">
        <v>457</v>
      </c>
      <c r="B470" t="s">
        <v>1030</v>
      </c>
      <c r="C470">
        <v>25</v>
      </c>
      <c r="D470" t="s">
        <v>334</v>
      </c>
      <c r="E470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t="s">
        <v>2481</v>
      </c>
      <c r="W470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t="s">
        <v>60</v>
      </c>
    </row>
    <row r="471" spans="1:31" x14ac:dyDescent="0.2">
      <c r="A471">
        <v>458</v>
      </c>
      <c r="B471" t="s">
        <v>914</v>
      </c>
      <c r="C471">
        <v>25</v>
      </c>
      <c r="D471" t="s">
        <v>448</v>
      </c>
      <c r="E471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t="s">
        <v>2482</v>
      </c>
      <c r="W471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t="s">
        <v>60</v>
      </c>
    </row>
    <row r="472" spans="1:31" x14ac:dyDescent="0.2">
      <c r="A472">
        <v>459</v>
      </c>
      <c r="B472" t="s">
        <v>969</v>
      </c>
      <c r="C472">
        <v>29</v>
      </c>
      <c r="D472" t="s">
        <v>375</v>
      </c>
      <c r="E472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t="s">
        <v>2483</v>
      </c>
      <c r="W472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t="s">
        <v>60</v>
      </c>
    </row>
    <row r="473" spans="1:31" x14ac:dyDescent="0.2">
      <c r="A473">
        <v>460</v>
      </c>
      <c r="B473" t="s">
        <v>917</v>
      </c>
      <c r="C473">
        <v>32</v>
      </c>
      <c r="D473" t="s">
        <v>334</v>
      </c>
      <c r="E473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t="s">
        <v>2036</v>
      </c>
      <c r="W473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t="s">
        <v>60</v>
      </c>
    </row>
    <row r="474" spans="1:31" x14ac:dyDescent="0.2">
      <c r="A474">
        <v>461</v>
      </c>
      <c r="B474" t="s">
        <v>918</v>
      </c>
      <c r="C474">
        <v>27</v>
      </c>
      <c r="D474" t="s">
        <v>375</v>
      </c>
      <c r="E474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t="s">
        <v>2484</v>
      </c>
      <c r="W474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t="s">
        <v>60</v>
      </c>
    </row>
    <row r="475" spans="1:31" x14ac:dyDescent="0.2">
      <c r="A475">
        <v>462</v>
      </c>
      <c r="B475" t="s">
        <v>921</v>
      </c>
      <c r="C475">
        <v>32</v>
      </c>
      <c r="D475" t="s">
        <v>429</v>
      </c>
      <c r="E475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t="s">
        <v>2485</v>
      </c>
      <c r="W475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t="s">
        <v>60</v>
      </c>
    </row>
    <row r="476" spans="1:31" x14ac:dyDescent="0.2">
      <c r="A476">
        <v>463</v>
      </c>
      <c r="B476" t="s">
        <v>1120</v>
      </c>
      <c r="C476">
        <v>25</v>
      </c>
      <c r="D476" t="s">
        <v>353</v>
      </c>
      <c r="E476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t="s">
        <v>2767</v>
      </c>
      <c r="W476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t="s">
        <v>60</v>
      </c>
    </row>
    <row r="477" spans="1:31" x14ac:dyDescent="0.2">
      <c r="A477">
        <v>464</v>
      </c>
      <c r="B477" t="s">
        <v>924</v>
      </c>
      <c r="C477">
        <v>23</v>
      </c>
      <c r="D477" t="s">
        <v>330</v>
      </c>
      <c r="E477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t="s">
        <v>2768</v>
      </c>
      <c r="W477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t="s">
        <v>60</v>
      </c>
    </row>
    <row r="478" spans="1:31" x14ac:dyDescent="0.2">
      <c r="A478">
        <v>465</v>
      </c>
      <c r="B478" t="s">
        <v>871</v>
      </c>
      <c r="C478">
        <v>25</v>
      </c>
      <c r="D478" t="s">
        <v>365</v>
      </c>
      <c r="E478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t="s">
        <v>872</v>
      </c>
      <c r="W478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t="s">
        <v>60</v>
      </c>
    </row>
    <row r="479" spans="1:31" x14ac:dyDescent="0.2">
      <c r="A479">
        <v>466</v>
      </c>
      <c r="B479" t="s">
        <v>975</v>
      </c>
      <c r="C479">
        <v>21</v>
      </c>
      <c r="D479" t="s">
        <v>373</v>
      </c>
      <c r="E47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t="s">
        <v>2769</v>
      </c>
      <c r="W47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t="s">
        <v>60</v>
      </c>
    </row>
    <row r="480" spans="1:31" x14ac:dyDescent="0.2">
      <c r="A480">
        <v>467</v>
      </c>
      <c r="B480" t="s">
        <v>929</v>
      </c>
      <c r="C480">
        <v>25</v>
      </c>
      <c r="D480" t="s">
        <v>328</v>
      </c>
      <c r="E480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t="s">
        <v>2486</v>
      </c>
      <c r="W480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t="s">
        <v>60</v>
      </c>
    </row>
    <row r="481" spans="1:31" x14ac:dyDescent="0.2">
      <c r="A481">
        <v>468</v>
      </c>
      <c r="B481" t="s">
        <v>932</v>
      </c>
      <c r="C481">
        <v>38</v>
      </c>
      <c r="D481" t="s">
        <v>330</v>
      </c>
      <c r="E481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t="s">
        <v>2041</v>
      </c>
      <c r="W481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t="s">
        <v>60</v>
      </c>
    </row>
    <row r="482" spans="1:31" x14ac:dyDescent="0.2">
      <c r="A482">
        <v>469</v>
      </c>
      <c r="B482" t="s">
        <v>934</v>
      </c>
      <c r="C482">
        <v>32</v>
      </c>
      <c r="D482" t="s">
        <v>353</v>
      </c>
      <c r="E482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t="s">
        <v>2771</v>
      </c>
      <c r="W482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t="s">
        <v>60</v>
      </c>
    </row>
    <row r="483" spans="1:31" x14ac:dyDescent="0.2">
      <c r="A483">
        <v>470</v>
      </c>
      <c r="B483" t="s">
        <v>1135</v>
      </c>
      <c r="C483">
        <v>32</v>
      </c>
      <c r="D483" t="s">
        <v>324</v>
      </c>
      <c r="E483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t="s">
        <v>2344</v>
      </c>
      <c r="W483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t="s">
        <v>60</v>
      </c>
    </row>
    <row r="484" spans="1:31" x14ac:dyDescent="0.2">
      <c r="A484">
        <v>471</v>
      </c>
      <c r="B484" t="s">
        <v>1050</v>
      </c>
      <c r="C484">
        <v>22</v>
      </c>
      <c r="D484" t="s">
        <v>415</v>
      </c>
      <c r="E484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t="s">
        <v>2772</v>
      </c>
      <c r="W484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t="s">
        <v>60</v>
      </c>
    </row>
    <row r="485" spans="1:31" x14ac:dyDescent="0.2">
      <c r="A485">
        <v>472</v>
      </c>
      <c r="B485" t="s">
        <v>1467</v>
      </c>
      <c r="C485">
        <v>28</v>
      </c>
      <c r="D485" t="s">
        <v>415</v>
      </c>
      <c r="E485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t="s">
        <v>2773</v>
      </c>
      <c r="W485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t="s">
        <v>60</v>
      </c>
    </row>
    <row r="486" spans="1:31" x14ac:dyDescent="0.2">
      <c r="A486">
        <v>473</v>
      </c>
      <c r="B486" t="s">
        <v>1052</v>
      </c>
      <c r="C486">
        <v>32</v>
      </c>
      <c r="D486" t="s">
        <v>330</v>
      </c>
      <c r="E486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t="s">
        <v>2774</v>
      </c>
      <c r="W486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t="s">
        <v>60</v>
      </c>
    </row>
    <row r="487" spans="1:31" x14ac:dyDescent="0.2">
      <c r="A487">
        <v>474</v>
      </c>
      <c r="B487" t="s">
        <v>981</v>
      </c>
      <c r="C487">
        <v>23</v>
      </c>
      <c r="D487" t="s">
        <v>353</v>
      </c>
      <c r="E487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t="s">
        <v>2082</v>
      </c>
      <c r="W487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t="s">
        <v>60</v>
      </c>
    </row>
    <row r="488" spans="1:31" x14ac:dyDescent="0.2">
      <c r="A488">
        <v>475</v>
      </c>
      <c r="B488" t="s">
        <v>882</v>
      </c>
      <c r="C488">
        <v>33</v>
      </c>
      <c r="D488" t="s">
        <v>344</v>
      </c>
      <c r="E488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t="s">
        <v>883</v>
      </c>
      <c r="W488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t="s">
        <v>60</v>
      </c>
    </row>
    <row r="489" spans="1:31" x14ac:dyDescent="0.2">
      <c r="A489">
        <v>476</v>
      </c>
      <c r="B489" t="s">
        <v>994</v>
      </c>
      <c r="C489">
        <v>28</v>
      </c>
      <c r="D489" t="s">
        <v>378</v>
      </c>
      <c r="E48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t="s">
        <v>2775</v>
      </c>
      <c r="W48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t="s">
        <v>60</v>
      </c>
    </row>
    <row r="490" spans="1:31" x14ac:dyDescent="0.2">
      <c r="A490">
        <v>477</v>
      </c>
      <c r="B490" t="s">
        <v>996</v>
      </c>
      <c r="C490">
        <v>31</v>
      </c>
      <c r="D490" t="s">
        <v>334</v>
      </c>
      <c r="E490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t="s">
        <v>551</v>
      </c>
      <c r="W490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t="s">
        <v>60</v>
      </c>
    </row>
    <row r="491" spans="1:31" x14ac:dyDescent="0.2">
      <c r="A491">
        <v>478</v>
      </c>
      <c r="B491" t="s">
        <v>1002</v>
      </c>
      <c r="C491">
        <v>30</v>
      </c>
      <c r="D491" t="s">
        <v>359</v>
      </c>
      <c r="E491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t="s">
        <v>2488</v>
      </c>
      <c r="W491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t="s">
        <v>60</v>
      </c>
    </row>
    <row r="492" spans="1:31" x14ac:dyDescent="0.2">
      <c r="A492">
        <v>479</v>
      </c>
      <c r="B492" t="s">
        <v>952</v>
      </c>
      <c r="C492">
        <v>29</v>
      </c>
      <c r="D492" t="s">
        <v>368</v>
      </c>
      <c r="E492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t="s">
        <v>2133</v>
      </c>
      <c r="W492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t="s">
        <v>60</v>
      </c>
    </row>
    <row r="493" spans="1:31" x14ac:dyDescent="0.2">
      <c r="A493">
        <v>480</v>
      </c>
      <c r="B493" t="s">
        <v>1159</v>
      </c>
      <c r="C493">
        <v>32</v>
      </c>
      <c r="D493" t="s">
        <v>404</v>
      </c>
      <c r="E493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t="s">
        <v>2489</v>
      </c>
      <c r="W493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t="s">
        <v>60</v>
      </c>
    </row>
    <row r="494" spans="1:31" x14ac:dyDescent="0.2">
      <c r="A494">
        <v>481</v>
      </c>
      <c r="B494" t="s">
        <v>953</v>
      </c>
      <c r="C494">
        <v>36</v>
      </c>
      <c r="D494" t="s">
        <v>346</v>
      </c>
      <c r="E494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t="s">
        <v>2490</v>
      </c>
      <c r="W494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t="s">
        <v>60</v>
      </c>
    </row>
    <row r="495" spans="1:31" x14ac:dyDescent="0.2">
      <c r="A495">
        <v>482</v>
      </c>
      <c r="B495" t="s">
        <v>1006</v>
      </c>
      <c r="C495">
        <v>34</v>
      </c>
      <c r="D495" t="s">
        <v>404</v>
      </c>
      <c r="E495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t="s">
        <v>2491</v>
      </c>
      <c r="W495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t="s">
        <v>60</v>
      </c>
    </row>
    <row r="496" spans="1:31" x14ac:dyDescent="0.2">
      <c r="A496">
        <v>483</v>
      </c>
      <c r="B496" t="s">
        <v>1082</v>
      </c>
      <c r="C496">
        <v>24</v>
      </c>
      <c r="D496" t="s">
        <v>346</v>
      </c>
      <c r="E496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t="s">
        <v>2492</v>
      </c>
      <c r="W496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t="s">
        <v>60</v>
      </c>
    </row>
    <row r="497" spans="1:31" x14ac:dyDescent="0.2">
      <c r="A497">
        <v>484</v>
      </c>
      <c r="B497" t="s">
        <v>958</v>
      </c>
      <c r="C497">
        <v>38</v>
      </c>
      <c r="D497" t="s">
        <v>375</v>
      </c>
      <c r="E497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t="s">
        <v>2493</v>
      </c>
      <c r="W497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t="s">
        <v>60</v>
      </c>
    </row>
    <row r="498" spans="1:31" x14ac:dyDescent="0.2">
      <c r="A498">
        <v>485</v>
      </c>
      <c r="B498" t="s">
        <v>1010</v>
      </c>
      <c r="C498">
        <v>29</v>
      </c>
      <c r="D498" t="s">
        <v>461</v>
      </c>
      <c r="E498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t="s">
        <v>2494</v>
      </c>
      <c r="W498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t="s">
        <v>60</v>
      </c>
    </row>
    <row r="499" spans="1:31" x14ac:dyDescent="0.2">
      <c r="A499">
        <v>486</v>
      </c>
      <c r="B499" t="s">
        <v>899</v>
      </c>
      <c r="C499">
        <v>22</v>
      </c>
      <c r="D499" t="s">
        <v>439</v>
      </c>
      <c r="E49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t="s">
        <v>2039</v>
      </c>
      <c r="W49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t="s">
        <v>60</v>
      </c>
    </row>
    <row r="500" spans="1:31" x14ac:dyDescent="0.2">
      <c r="A500">
        <v>487</v>
      </c>
      <c r="B500" t="s">
        <v>960</v>
      </c>
      <c r="C500">
        <v>24</v>
      </c>
      <c r="D500" t="s">
        <v>363</v>
      </c>
      <c r="E500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t="s">
        <v>2495</v>
      </c>
      <c r="W500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t="s">
        <v>60</v>
      </c>
    </row>
    <row r="501" spans="1:31" x14ac:dyDescent="0.2">
      <c r="A501">
        <v>488</v>
      </c>
      <c r="B501" t="s">
        <v>904</v>
      </c>
      <c r="C501">
        <v>33</v>
      </c>
      <c r="D501" t="s">
        <v>324</v>
      </c>
      <c r="E501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t="s">
        <v>2496</v>
      </c>
      <c r="W501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t="s">
        <v>60</v>
      </c>
    </row>
    <row r="502" spans="1:31" x14ac:dyDescent="0.2">
      <c r="A502">
        <v>489</v>
      </c>
      <c r="B502" t="s">
        <v>1180</v>
      </c>
      <c r="C502">
        <v>26</v>
      </c>
      <c r="D502" t="s">
        <v>1022</v>
      </c>
      <c r="E502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t="s">
        <v>2776</v>
      </c>
      <c r="W502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t="s">
        <v>60</v>
      </c>
    </row>
    <row r="503" spans="1:31" x14ac:dyDescent="0.2">
      <c r="A503">
        <v>489</v>
      </c>
      <c r="B503" t="s">
        <v>1180</v>
      </c>
      <c r="C503">
        <v>26</v>
      </c>
      <c r="D503" t="s">
        <v>536</v>
      </c>
      <c r="E503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t="s">
        <v>1181</v>
      </c>
      <c r="W503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t="s">
        <v>60</v>
      </c>
    </row>
    <row r="504" spans="1:31" x14ac:dyDescent="0.2">
      <c r="A504">
        <v>489</v>
      </c>
      <c r="B504" t="s">
        <v>1180</v>
      </c>
      <c r="C504">
        <v>26</v>
      </c>
      <c r="D504" t="s">
        <v>365</v>
      </c>
      <c r="E504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t="s">
        <v>2777</v>
      </c>
      <c r="W504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t="s">
        <v>60</v>
      </c>
    </row>
    <row r="505" spans="1:31" x14ac:dyDescent="0.2">
      <c r="A505">
        <v>490</v>
      </c>
      <c r="B505" t="s">
        <v>1256</v>
      </c>
      <c r="C505">
        <v>30</v>
      </c>
      <c r="D505" t="s">
        <v>415</v>
      </c>
      <c r="E505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t="s">
        <v>2778</v>
      </c>
      <c r="W505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t="s">
        <v>60</v>
      </c>
    </row>
    <row r="506" spans="1:31" x14ac:dyDescent="0.2">
      <c r="A506">
        <v>491</v>
      </c>
      <c r="B506" t="s">
        <v>919</v>
      </c>
      <c r="C506">
        <v>33</v>
      </c>
      <c r="D506" t="s">
        <v>363</v>
      </c>
      <c r="E506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t="s">
        <v>2497</v>
      </c>
      <c r="W506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t="s">
        <v>60</v>
      </c>
    </row>
    <row r="507" spans="1:31" x14ac:dyDescent="0.2">
      <c r="A507">
        <v>492</v>
      </c>
      <c r="B507" t="s">
        <v>1040</v>
      </c>
      <c r="C507">
        <v>29</v>
      </c>
      <c r="D507" t="s">
        <v>402</v>
      </c>
      <c r="E507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t="s">
        <v>2498</v>
      </c>
      <c r="W507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t="s">
        <v>60</v>
      </c>
    </row>
    <row r="508" spans="1:31" x14ac:dyDescent="0.2">
      <c r="A508">
        <v>493</v>
      </c>
      <c r="B508" t="s">
        <v>1041</v>
      </c>
      <c r="C508">
        <v>24</v>
      </c>
      <c r="D508" t="s">
        <v>384</v>
      </c>
      <c r="E508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t="s">
        <v>1955</v>
      </c>
      <c r="W508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t="s">
        <v>60</v>
      </c>
    </row>
    <row r="509" spans="1:31" x14ac:dyDescent="0.2">
      <c r="A509">
        <v>494</v>
      </c>
      <c r="B509" t="s">
        <v>925</v>
      </c>
      <c r="C509">
        <v>28</v>
      </c>
      <c r="D509" t="s">
        <v>368</v>
      </c>
      <c r="E50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t="s">
        <v>2499</v>
      </c>
      <c r="W50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t="s">
        <v>60</v>
      </c>
    </row>
    <row r="510" spans="1:31" x14ac:dyDescent="0.2">
      <c r="A510">
        <v>495</v>
      </c>
      <c r="B510" t="s">
        <v>928</v>
      </c>
      <c r="C510">
        <v>36</v>
      </c>
      <c r="D510" t="s">
        <v>426</v>
      </c>
      <c r="E510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t="s">
        <v>1735</v>
      </c>
      <c r="W510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t="s">
        <v>60</v>
      </c>
    </row>
    <row r="511" spans="1:31" x14ac:dyDescent="0.2">
      <c r="A511">
        <v>496</v>
      </c>
      <c r="B511" t="s">
        <v>1047</v>
      </c>
      <c r="C511">
        <v>27</v>
      </c>
      <c r="D511" t="s">
        <v>384</v>
      </c>
      <c r="E511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t="s">
        <v>2779</v>
      </c>
      <c r="W511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t="s">
        <v>60</v>
      </c>
    </row>
    <row r="512" spans="1:31" x14ac:dyDescent="0.2">
      <c r="A512">
        <v>497</v>
      </c>
      <c r="B512" t="s">
        <v>931</v>
      </c>
      <c r="C512">
        <v>29</v>
      </c>
      <c r="D512" t="s">
        <v>429</v>
      </c>
      <c r="E512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t="s">
        <v>2500</v>
      </c>
      <c r="W512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t="s">
        <v>60</v>
      </c>
    </row>
    <row r="513" spans="1:31" x14ac:dyDescent="0.2">
      <c r="A513">
        <v>498</v>
      </c>
      <c r="B513" t="s">
        <v>983</v>
      </c>
      <c r="C513">
        <v>33</v>
      </c>
      <c r="D513" t="s">
        <v>328</v>
      </c>
      <c r="E513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t="s">
        <v>2501</v>
      </c>
      <c r="W513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t="s">
        <v>60</v>
      </c>
    </row>
    <row r="514" spans="1:31" x14ac:dyDescent="0.2">
      <c r="A514">
        <v>499</v>
      </c>
      <c r="B514" t="s">
        <v>942</v>
      </c>
      <c r="C514">
        <v>26</v>
      </c>
      <c r="D514" t="s">
        <v>356</v>
      </c>
      <c r="E514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t="s">
        <v>943</v>
      </c>
      <c r="W514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t="s">
        <v>60</v>
      </c>
    </row>
    <row r="515" spans="1:31" x14ac:dyDescent="0.2">
      <c r="A515">
        <v>500</v>
      </c>
      <c r="B515" t="s">
        <v>1064</v>
      </c>
      <c r="C515">
        <v>27</v>
      </c>
      <c r="D515" t="s">
        <v>476</v>
      </c>
      <c r="E515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t="s">
        <v>2502</v>
      </c>
      <c r="W515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t="s">
        <v>60</v>
      </c>
    </row>
    <row r="516" spans="1:31" x14ac:dyDescent="0.2">
      <c r="A516">
        <v>501</v>
      </c>
      <c r="B516" t="s">
        <v>985</v>
      </c>
      <c r="C516">
        <v>24</v>
      </c>
      <c r="D516" t="s">
        <v>555</v>
      </c>
      <c r="E516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t="s">
        <v>2780</v>
      </c>
      <c r="W516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t="s">
        <v>60</v>
      </c>
    </row>
    <row r="517" spans="1:31" x14ac:dyDescent="0.2">
      <c r="A517">
        <v>502</v>
      </c>
      <c r="B517" t="s">
        <v>988</v>
      </c>
      <c r="C517">
        <v>27</v>
      </c>
      <c r="D517" t="s">
        <v>346</v>
      </c>
      <c r="E517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t="s">
        <v>1820</v>
      </c>
      <c r="W517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t="s">
        <v>60</v>
      </c>
    </row>
    <row r="518" spans="1:31" x14ac:dyDescent="0.2">
      <c r="A518">
        <v>503</v>
      </c>
      <c r="B518" t="s">
        <v>1066</v>
      </c>
      <c r="C518">
        <v>28</v>
      </c>
      <c r="D518" t="s">
        <v>344</v>
      </c>
      <c r="E518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t="s">
        <v>2503</v>
      </c>
      <c r="W518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t="s">
        <v>60</v>
      </c>
    </row>
    <row r="519" spans="1:31" x14ac:dyDescent="0.2">
      <c r="A519">
        <v>504</v>
      </c>
      <c r="B519" t="s">
        <v>989</v>
      </c>
      <c r="C519">
        <v>25</v>
      </c>
      <c r="D519" t="s">
        <v>402</v>
      </c>
      <c r="E5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t="s">
        <v>2504</v>
      </c>
      <c r="W5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t="s">
        <v>60</v>
      </c>
    </row>
    <row r="520" spans="1:31" x14ac:dyDescent="0.2">
      <c r="A520">
        <v>505</v>
      </c>
      <c r="B520" t="s">
        <v>1148</v>
      </c>
      <c r="C520">
        <v>23</v>
      </c>
      <c r="D520" t="s">
        <v>448</v>
      </c>
      <c r="E520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t="s">
        <v>2505</v>
      </c>
      <c r="W520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t="s">
        <v>60</v>
      </c>
    </row>
    <row r="521" spans="1:31" x14ac:dyDescent="0.2">
      <c r="A521">
        <v>506</v>
      </c>
      <c r="B521" t="s">
        <v>993</v>
      </c>
      <c r="C521">
        <v>23</v>
      </c>
      <c r="D521" t="s">
        <v>368</v>
      </c>
      <c r="E521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t="s">
        <v>2506</v>
      </c>
      <c r="W521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t="s">
        <v>60</v>
      </c>
    </row>
    <row r="522" spans="1:31" x14ac:dyDescent="0.2">
      <c r="A522">
        <v>507</v>
      </c>
      <c r="B522" t="s">
        <v>949</v>
      </c>
      <c r="C522">
        <v>24</v>
      </c>
      <c r="D522" t="s">
        <v>353</v>
      </c>
      <c r="E522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t="s">
        <v>1780</v>
      </c>
      <c r="W522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t="s">
        <v>60</v>
      </c>
    </row>
    <row r="523" spans="1:31" x14ac:dyDescent="0.2">
      <c r="A523">
        <v>508</v>
      </c>
      <c r="B523" t="s">
        <v>1000</v>
      </c>
      <c r="C523">
        <v>30</v>
      </c>
      <c r="D523" t="s">
        <v>476</v>
      </c>
      <c r="E523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t="s">
        <v>2507</v>
      </c>
      <c r="W523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t="s">
        <v>60</v>
      </c>
    </row>
    <row r="524" spans="1:31" x14ac:dyDescent="0.2">
      <c r="A524">
        <v>509</v>
      </c>
      <c r="B524" t="s">
        <v>1078</v>
      </c>
      <c r="C524">
        <v>29</v>
      </c>
      <c r="D524" t="s">
        <v>375</v>
      </c>
      <c r="E524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t="s">
        <v>2508</v>
      </c>
      <c r="W524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t="s">
        <v>60</v>
      </c>
    </row>
    <row r="525" spans="1:31" x14ac:dyDescent="0.2">
      <c r="A525">
        <v>510</v>
      </c>
      <c r="B525" t="s">
        <v>1003</v>
      </c>
      <c r="C525">
        <v>24</v>
      </c>
      <c r="D525" t="s">
        <v>324</v>
      </c>
      <c r="E525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t="s">
        <v>2509</v>
      </c>
      <c r="W525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t="s">
        <v>60</v>
      </c>
    </row>
    <row r="526" spans="1:31" x14ac:dyDescent="0.2">
      <c r="A526">
        <v>511</v>
      </c>
      <c r="B526" t="s">
        <v>1080</v>
      </c>
      <c r="C526">
        <v>21</v>
      </c>
      <c r="D526" t="s">
        <v>555</v>
      </c>
      <c r="E526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t="s">
        <v>2085</v>
      </c>
      <c r="W526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t="s">
        <v>60</v>
      </c>
    </row>
    <row r="527" spans="1:31" x14ac:dyDescent="0.2">
      <c r="A527">
        <v>512</v>
      </c>
      <c r="B527" t="s">
        <v>1160</v>
      </c>
      <c r="C527">
        <v>23</v>
      </c>
      <c r="D527" t="s">
        <v>402</v>
      </c>
      <c r="E527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t="s">
        <v>2510</v>
      </c>
      <c r="W527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t="s">
        <v>60</v>
      </c>
    </row>
    <row r="528" spans="1:31" x14ac:dyDescent="0.2">
      <c r="A528">
        <v>513</v>
      </c>
      <c r="B528" t="s">
        <v>1005</v>
      </c>
      <c r="C528">
        <v>33</v>
      </c>
      <c r="D528" t="s">
        <v>555</v>
      </c>
      <c r="E528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t="s">
        <v>2781</v>
      </c>
      <c r="W528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t="s">
        <v>60</v>
      </c>
    </row>
    <row r="529" spans="1:31" x14ac:dyDescent="0.2">
      <c r="A529">
        <v>514</v>
      </c>
      <c r="B529" t="s">
        <v>1007</v>
      </c>
      <c r="C529">
        <v>33</v>
      </c>
      <c r="D529" t="s">
        <v>346</v>
      </c>
      <c r="E52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t="s">
        <v>1951</v>
      </c>
      <c r="W52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t="s">
        <v>60</v>
      </c>
    </row>
    <row r="530" spans="1:31" x14ac:dyDescent="0.2">
      <c r="A530">
        <v>515</v>
      </c>
      <c r="B530" t="s">
        <v>1081</v>
      </c>
      <c r="C530">
        <v>27</v>
      </c>
      <c r="D530" t="s">
        <v>476</v>
      </c>
      <c r="E530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t="s">
        <v>2511</v>
      </c>
      <c r="W530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t="s">
        <v>60</v>
      </c>
    </row>
    <row r="531" spans="1:31" x14ac:dyDescent="0.2">
      <c r="A531">
        <v>516</v>
      </c>
      <c r="B531" t="s">
        <v>467</v>
      </c>
      <c r="C531">
        <v>21</v>
      </c>
      <c r="D531" t="s">
        <v>461</v>
      </c>
      <c r="E531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t="s">
        <v>2512</v>
      </c>
      <c r="W531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t="s">
        <v>60</v>
      </c>
    </row>
    <row r="532" spans="1:31" x14ac:dyDescent="0.2">
      <c r="A532">
        <v>517</v>
      </c>
      <c r="B532" t="s">
        <v>1011</v>
      </c>
      <c r="C532">
        <v>30</v>
      </c>
      <c r="D532" t="s">
        <v>346</v>
      </c>
      <c r="E532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t="s">
        <v>2513</v>
      </c>
      <c r="W532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t="s">
        <v>60</v>
      </c>
    </row>
    <row r="533" spans="1:31" x14ac:dyDescent="0.2">
      <c r="A533">
        <v>518</v>
      </c>
      <c r="B533" t="s">
        <v>1170</v>
      </c>
      <c r="C533">
        <v>24</v>
      </c>
      <c r="D533" t="s">
        <v>363</v>
      </c>
      <c r="E533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t="s">
        <v>2515</v>
      </c>
      <c r="W533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t="s">
        <v>60</v>
      </c>
    </row>
    <row r="534" spans="1:31" x14ac:dyDescent="0.2">
      <c r="A534">
        <v>519</v>
      </c>
      <c r="B534" t="s">
        <v>962</v>
      </c>
      <c r="C534">
        <v>31</v>
      </c>
      <c r="D534" t="s">
        <v>363</v>
      </c>
      <c r="E534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t="s">
        <v>2516</v>
      </c>
      <c r="W534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t="s">
        <v>60</v>
      </c>
    </row>
    <row r="535" spans="1:31" x14ac:dyDescent="0.2">
      <c r="A535">
        <v>520</v>
      </c>
      <c r="B535" t="s">
        <v>1092</v>
      </c>
      <c r="C535">
        <v>31</v>
      </c>
      <c r="D535" t="s">
        <v>1022</v>
      </c>
      <c r="E535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t="s">
        <v>2782</v>
      </c>
      <c r="W535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t="s">
        <v>60</v>
      </c>
    </row>
    <row r="536" spans="1:31" x14ac:dyDescent="0.2">
      <c r="A536">
        <v>520</v>
      </c>
      <c r="B536" t="s">
        <v>1092</v>
      </c>
      <c r="C536">
        <v>31</v>
      </c>
      <c r="D536" t="s">
        <v>328</v>
      </c>
      <c r="E536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t="s">
        <v>1094</v>
      </c>
      <c r="W536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t="s">
        <v>60</v>
      </c>
    </row>
    <row r="537" spans="1:31" x14ac:dyDescent="0.2">
      <c r="A537">
        <v>520</v>
      </c>
      <c r="B537" t="s">
        <v>1092</v>
      </c>
      <c r="C537">
        <v>31</v>
      </c>
      <c r="D537" t="s">
        <v>361</v>
      </c>
      <c r="E537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t="s">
        <v>2783</v>
      </c>
      <c r="W537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t="s">
        <v>60</v>
      </c>
    </row>
    <row r="538" spans="1:31" x14ac:dyDescent="0.2">
      <c r="A538">
        <v>521</v>
      </c>
      <c r="B538" t="s">
        <v>1015</v>
      </c>
      <c r="C538">
        <v>32</v>
      </c>
      <c r="D538" t="s">
        <v>337</v>
      </c>
      <c r="E538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t="s">
        <v>2517</v>
      </c>
      <c r="W538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t="s">
        <v>60</v>
      </c>
    </row>
    <row r="539" spans="1:31" x14ac:dyDescent="0.2">
      <c r="A539">
        <v>522</v>
      </c>
      <c r="B539" t="s">
        <v>1247</v>
      </c>
      <c r="C539">
        <v>30</v>
      </c>
      <c r="D539" t="s">
        <v>359</v>
      </c>
      <c r="E53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t="s">
        <v>2518</v>
      </c>
      <c r="W53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t="s">
        <v>60</v>
      </c>
    </row>
    <row r="540" spans="1:31" x14ac:dyDescent="0.2">
      <c r="A540">
        <v>523</v>
      </c>
      <c r="B540" t="s">
        <v>964</v>
      </c>
      <c r="C540">
        <v>27</v>
      </c>
      <c r="D540" t="s">
        <v>439</v>
      </c>
      <c r="E540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t="s">
        <v>1849</v>
      </c>
      <c r="W540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t="s">
        <v>60</v>
      </c>
    </row>
    <row r="541" spans="1:31" x14ac:dyDescent="0.2">
      <c r="A541">
        <v>524</v>
      </c>
      <c r="B541" t="s">
        <v>1099</v>
      </c>
      <c r="C541">
        <v>25</v>
      </c>
      <c r="D541" t="s">
        <v>536</v>
      </c>
      <c r="E541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t="s">
        <v>2519</v>
      </c>
      <c r="W541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t="s">
        <v>60</v>
      </c>
    </row>
    <row r="542" spans="1:31" x14ac:dyDescent="0.2">
      <c r="A542">
        <v>525</v>
      </c>
      <c r="B542" t="s">
        <v>966</v>
      </c>
      <c r="C542">
        <v>24</v>
      </c>
      <c r="D542" t="s">
        <v>429</v>
      </c>
      <c r="E542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t="s">
        <v>2520</v>
      </c>
      <c r="W542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t="s">
        <v>60</v>
      </c>
    </row>
    <row r="543" spans="1:31" x14ac:dyDescent="0.2">
      <c r="A543">
        <v>526</v>
      </c>
      <c r="B543" t="s">
        <v>1100</v>
      </c>
      <c r="C543">
        <v>31</v>
      </c>
      <c r="D543" t="s">
        <v>337</v>
      </c>
      <c r="E543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t="s">
        <v>2522</v>
      </c>
      <c r="W543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t="s">
        <v>60</v>
      </c>
    </row>
    <row r="544" spans="1:31" x14ac:dyDescent="0.2">
      <c r="A544">
        <v>527</v>
      </c>
      <c r="B544" t="s">
        <v>1179</v>
      </c>
      <c r="C544">
        <v>25</v>
      </c>
      <c r="D544" t="s">
        <v>476</v>
      </c>
      <c r="E544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t="s">
        <v>2523</v>
      </c>
      <c r="W544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t="s">
        <v>60</v>
      </c>
    </row>
    <row r="545" spans="1:31" x14ac:dyDescent="0.2">
      <c r="A545">
        <v>528</v>
      </c>
      <c r="B545" t="s">
        <v>968</v>
      </c>
      <c r="C545">
        <v>25</v>
      </c>
      <c r="D545" t="s">
        <v>461</v>
      </c>
      <c r="E545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t="s">
        <v>1736</v>
      </c>
      <c r="W545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t="s">
        <v>60</v>
      </c>
    </row>
    <row r="546" spans="1:31" x14ac:dyDescent="0.2">
      <c r="A546">
        <v>529</v>
      </c>
      <c r="B546" t="s">
        <v>970</v>
      </c>
      <c r="C546">
        <v>24</v>
      </c>
      <c r="D546" t="s">
        <v>321</v>
      </c>
      <c r="E546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t="s">
        <v>1684</v>
      </c>
      <c r="W546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t="s">
        <v>60</v>
      </c>
    </row>
    <row r="547" spans="1:31" x14ac:dyDescent="0.2">
      <c r="A547">
        <v>530</v>
      </c>
      <c r="B547" t="s">
        <v>971</v>
      </c>
      <c r="C547">
        <v>33</v>
      </c>
      <c r="D547" t="s">
        <v>536</v>
      </c>
      <c r="E547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t="s">
        <v>1686</v>
      </c>
      <c r="W547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t="s">
        <v>60</v>
      </c>
    </row>
    <row r="548" spans="1:31" x14ac:dyDescent="0.2">
      <c r="A548">
        <v>531</v>
      </c>
      <c r="B548" t="s">
        <v>973</v>
      </c>
      <c r="C548">
        <v>20</v>
      </c>
      <c r="D548" t="s">
        <v>555</v>
      </c>
      <c r="E548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t="s">
        <v>2784</v>
      </c>
      <c r="W548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t="s">
        <v>60</v>
      </c>
    </row>
    <row r="549" spans="1:31" x14ac:dyDescent="0.2">
      <c r="A549">
        <v>532</v>
      </c>
      <c r="B549" t="s">
        <v>1824</v>
      </c>
      <c r="C549">
        <v>20</v>
      </c>
      <c r="D549" t="s">
        <v>324</v>
      </c>
      <c r="E54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t="s">
        <v>2524</v>
      </c>
      <c r="W54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t="s">
        <v>60</v>
      </c>
    </row>
    <row r="550" spans="1:31" x14ac:dyDescent="0.2">
      <c r="A550">
        <v>533</v>
      </c>
      <c r="B550" t="s">
        <v>974</v>
      </c>
      <c r="C550">
        <v>32</v>
      </c>
      <c r="D550" t="s">
        <v>1022</v>
      </c>
      <c r="E550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t="s">
        <v>2786</v>
      </c>
      <c r="W550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t="s">
        <v>60</v>
      </c>
    </row>
    <row r="551" spans="1:31" x14ac:dyDescent="0.2">
      <c r="A551">
        <v>533</v>
      </c>
      <c r="B551" t="s">
        <v>974</v>
      </c>
      <c r="C551">
        <v>32</v>
      </c>
      <c r="D551" t="s">
        <v>429</v>
      </c>
      <c r="E551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t="s">
        <v>1708</v>
      </c>
      <c r="W551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t="s">
        <v>60</v>
      </c>
    </row>
    <row r="552" spans="1:31" x14ac:dyDescent="0.2">
      <c r="A552">
        <v>533</v>
      </c>
      <c r="B552" t="s">
        <v>974</v>
      </c>
      <c r="C552">
        <v>32</v>
      </c>
      <c r="D552" t="s">
        <v>365</v>
      </c>
      <c r="E552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t="s">
        <v>2787</v>
      </c>
      <c r="W552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t="s">
        <v>60</v>
      </c>
    </row>
    <row r="553" spans="1:31" x14ac:dyDescent="0.2">
      <c r="A553">
        <v>534</v>
      </c>
      <c r="B553" t="s">
        <v>1195</v>
      </c>
      <c r="C553">
        <v>35</v>
      </c>
      <c r="D553" t="s">
        <v>334</v>
      </c>
      <c r="E553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t="s">
        <v>2525</v>
      </c>
      <c r="W553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t="s">
        <v>60</v>
      </c>
    </row>
    <row r="554" spans="1:31" x14ac:dyDescent="0.2">
      <c r="A554">
        <v>535</v>
      </c>
      <c r="B554" t="s">
        <v>1205</v>
      </c>
      <c r="C554">
        <v>23</v>
      </c>
      <c r="D554" t="s">
        <v>426</v>
      </c>
      <c r="E554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t="s">
        <v>2526</v>
      </c>
      <c r="W554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t="s">
        <v>60</v>
      </c>
    </row>
    <row r="555" spans="1:31" x14ac:dyDescent="0.2">
      <c r="A555">
        <v>536</v>
      </c>
      <c r="B555" t="s">
        <v>1056</v>
      </c>
      <c r="C555">
        <v>34</v>
      </c>
      <c r="D555" t="s">
        <v>448</v>
      </c>
      <c r="E555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t="s">
        <v>2527</v>
      </c>
      <c r="W555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t="s">
        <v>60</v>
      </c>
    </row>
    <row r="556" spans="1:31" x14ac:dyDescent="0.2">
      <c r="A556">
        <v>537</v>
      </c>
      <c r="B556" t="s">
        <v>1057</v>
      </c>
      <c r="C556">
        <v>33</v>
      </c>
      <c r="D556" t="s">
        <v>378</v>
      </c>
      <c r="E556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t="s">
        <v>2137</v>
      </c>
      <c r="W556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t="s">
        <v>60</v>
      </c>
    </row>
    <row r="557" spans="1:31" x14ac:dyDescent="0.2">
      <c r="A557">
        <v>538</v>
      </c>
      <c r="B557" t="s">
        <v>980</v>
      </c>
      <c r="C557">
        <v>31</v>
      </c>
      <c r="D557" t="s">
        <v>359</v>
      </c>
      <c r="E557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t="s">
        <v>2528</v>
      </c>
      <c r="W557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t="s">
        <v>60</v>
      </c>
    </row>
    <row r="558" spans="1:31" x14ac:dyDescent="0.2">
      <c r="A558">
        <v>539</v>
      </c>
      <c r="B558" t="s">
        <v>1062</v>
      </c>
      <c r="C558">
        <v>31</v>
      </c>
      <c r="D558" t="s">
        <v>402</v>
      </c>
      <c r="E558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t="s">
        <v>2529</v>
      </c>
      <c r="W558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t="s">
        <v>60</v>
      </c>
    </row>
    <row r="559" spans="1:31" x14ac:dyDescent="0.2">
      <c r="A559">
        <v>540</v>
      </c>
      <c r="B559" t="s">
        <v>1141</v>
      </c>
      <c r="C559">
        <v>25</v>
      </c>
      <c r="D559" t="s">
        <v>373</v>
      </c>
      <c r="E55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t="s">
        <v>2788</v>
      </c>
      <c r="W55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t="s">
        <v>60</v>
      </c>
    </row>
    <row r="560" spans="1:31" x14ac:dyDescent="0.2">
      <c r="A560">
        <v>541</v>
      </c>
      <c r="B560" t="s">
        <v>1142</v>
      </c>
      <c r="C560">
        <v>28</v>
      </c>
      <c r="D560" t="s">
        <v>415</v>
      </c>
      <c r="E560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t="s">
        <v>1799</v>
      </c>
      <c r="W560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t="s">
        <v>60</v>
      </c>
    </row>
    <row r="561" spans="1:31" x14ac:dyDescent="0.2">
      <c r="A561">
        <v>542</v>
      </c>
      <c r="B561" t="s">
        <v>1144</v>
      </c>
      <c r="C561">
        <v>21</v>
      </c>
      <c r="D561" t="s">
        <v>373</v>
      </c>
      <c r="E561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t="s">
        <v>2789</v>
      </c>
      <c r="W561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t="s">
        <v>60</v>
      </c>
    </row>
    <row r="562" spans="1:31" x14ac:dyDescent="0.2">
      <c r="A562">
        <v>543</v>
      </c>
      <c r="B562" t="s">
        <v>1065</v>
      </c>
      <c r="C562">
        <v>24</v>
      </c>
      <c r="D562" t="s">
        <v>426</v>
      </c>
      <c r="E562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t="s">
        <v>1959</v>
      </c>
      <c r="W562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t="s">
        <v>60</v>
      </c>
    </row>
    <row r="563" spans="1:31" x14ac:dyDescent="0.2">
      <c r="A563">
        <v>544</v>
      </c>
      <c r="B563" t="s">
        <v>990</v>
      </c>
      <c r="C563">
        <v>21</v>
      </c>
      <c r="D563" t="s">
        <v>439</v>
      </c>
      <c r="E563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t="s">
        <v>991</v>
      </c>
      <c r="W563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t="s">
        <v>60</v>
      </c>
    </row>
    <row r="564" spans="1:31" x14ac:dyDescent="0.2">
      <c r="A564">
        <v>545</v>
      </c>
      <c r="B564" t="s">
        <v>1149</v>
      </c>
      <c r="C564">
        <v>31</v>
      </c>
      <c r="D564" t="s">
        <v>361</v>
      </c>
      <c r="E564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t="s">
        <v>2790</v>
      </c>
      <c r="W564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t="s">
        <v>60</v>
      </c>
    </row>
    <row r="565" spans="1:31" x14ac:dyDescent="0.2">
      <c r="A565">
        <v>546</v>
      </c>
      <c r="B565" t="s">
        <v>1069</v>
      </c>
      <c r="C565">
        <v>28</v>
      </c>
      <c r="D565" t="s">
        <v>344</v>
      </c>
      <c r="E565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t="s">
        <v>2530</v>
      </c>
      <c r="W565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t="s">
        <v>60</v>
      </c>
    </row>
    <row r="566" spans="1:31" x14ac:dyDescent="0.2">
      <c r="A566">
        <v>547</v>
      </c>
      <c r="B566" t="s">
        <v>1151</v>
      </c>
      <c r="C566">
        <v>27</v>
      </c>
      <c r="D566" t="s">
        <v>555</v>
      </c>
      <c r="E566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t="s">
        <v>2791</v>
      </c>
      <c r="W566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t="s">
        <v>60</v>
      </c>
    </row>
    <row r="567" spans="1:31" x14ac:dyDescent="0.2">
      <c r="A567">
        <v>548</v>
      </c>
      <c r="B567" t="s">
        <v>1152</v>
      </c>
      <c r="C567">
        <v>32</v>
      </c>
      <c r="D567" t="s">
        <v>346</v>
      </c>
      <c r="E567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t="s">
        <v>2531</v>
      </c>
      <c r="W567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t="s">
        <v>60</v>
      </c>
    </row>
    <row r="568" spans="1:31" x14ac:dyDescent="0.2">
      <c r="A568">
        <v>549</v>
      </c>
      <c r="B568" t="s">
        <v>995</v>
      </c>
      <c r="C568">
        <v>26</v>
      </c>
      <c r="D568" t="s">
        <v>384</v>
      </c>
      <c r="E568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t="s">
        <v>2086</v>
      </c>
      <c r="W568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t="s">
        <v>60</v>
      </c>
    </row>
    <row r="569" spans="1:31" x14ac:dyDescent="0.2">
      <c r="A569">
        <v>550</v>
      </c>
      <c r="B569" t="s">
        <v>998</v>
      </c>
      <c r="C569">
        <v>27</v>
      </c>
      <c r="D569" t="s">
        <v>439</v>
      </c>
      <c r="E56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t="s">
        <v>2532</v>
      </c>
      <c r="W56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t="s">
        <v>60</v>
      </c>
    </row>
    <row r="570" spans="1:31" x14ac:dyDescent="0.2">
      <c r="A570">
        <v>551</v>
      </c>
      <c r="B570" t="s">
        <v>1154</v>
      </c>
      <c r="C570">
        <v>33</v>
      </c>
      <c r="D570" t="s">
        <v>387</v>
      </c>
      <c r="E570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t="s">
        <v>2248</v>
      </c>
      <c r="W570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t="s">
        <v>60</v>
      </c>
    </row>
    <row r="571" spans="1:31" x14ac:dyDescent="0.2">
      <c r="A571">
        <v>552</v>
      </c>
      <c r="B571" t="s">
        <v>1155</v>
      </c>
      <c r="C571">
        <v>27</v>
      </c>
      <c r="D571" t="s">
        <v>555</v>
      </c>
      <c r="E571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t="s">
        <v>2792</v>
      </c>
      <c r="W571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t="s">
        <v>60</v>
      </c>
    </row>
    <row r="572" spans="1:31" x14ac:dyDescent="0.2">
      <c r="A572">
        <v>553</v>
      </c>
      <c r="B572" t="s">
        <v>1079</v>
      </c>
      <c r="C572">
        <v>24</v>
      </c>
      <c r="D572" t="s">
        <v>337</v>
      </c>
      <c r="E572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t="s">
        <v>2534</v>
      </c>
      <c r="W572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t="s">
        <v>60</v>
      </c>
    </row>
    <row r="573" spans="1:31" x14ac:dyDescent="0.2">
      <c r="A573">
        <v>554</v>
      </c>
      <c r="B573" t="s">
        <v>1158</v>
      </c>
      <c r="C573">
        <v>32</v>
      </c>
      <c r="D573" t="s">
        <v>330</v>
      </c>
      <c r="E573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t="s">
        <v>2793</v>
      </c>
      <c r="W573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t="s">
        <v>60</v>
      </c>
    </row>
    <row r="574" spans="1:31" x14ac:dyDescent="0.2">
      <c r="A574">
        <v>555</v>
      </c>
      <c r="B574" t="s">
        <v>1165</v>
      </c>
      <c r="C574">
        <v>31</v>
      </c>
      <c r="D574" t="s">
        <v>387</v>
      </c>
      <c r="E574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t="s">
        <v>2794</v>
      </c>
      <c r="W574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t="s">
        <v>60</v>
      </c>
    </row>
    <row r="575" spans="1:31" x14ac:dyDescent="0.2">
      <c r="A575">
        <v>556</v>
      </c>
      <c r="B575" t="s">
        <v>1012</v>
      </c>
      <c r="C575">
        <v>32</v>
      </c>
      <c r="D575" t="s">
        <v>402</v>
      </c>
      <c r="E575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t="s">
        <v>2535</v>
      </c>
      <c r="W575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t="s">
        <v>60</v>
      </c>
    </row>
    <row r="576" spans="1:31" x14ac:dyDescent="0.2">
      <c r="A576">
        <v>557</v>
      </c>
      <c r="B576" t="s">
        <v>1085</v>
      </c>
      <c r="C576">
        <v>33</v>
      </c>
      <c r="D576" t="s">
        <v>344</v>
      </c>
      <c r="E576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t="s">
        <v>2536</v>
      </c>
      <c r="W576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t="s">
        <v>60</v>
      </c>
    </row>
    <row r="577" spans="1:31" x14ac:dyDescent="0.2">
      <c r="A577">
        <v>558</v>
      </c>
      <c r="B577" t="s">
        <v>1087</v>
      </c>
      <c r="C577">
        <v>27</v>
      </c>
      <c r="D577" t="s">
        <v>346</v>
      </c>
      <c r="E577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t="s">
        <v>2537</v>
      </c>
      <c r="W577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t="s">
        <v>60</v>
      </c>
    </row>
    <row r="578" spans="1:31" x14ac:dyDescent="0.2">
      <c r="A578">
        <v>559</v>
      </c>
      <c r="B578" t="s">
        <v>1173</v>
      </c>
      <c r="C578">
        <v>32</v>
      </c>
      <c r="D578" t="s">
        <v>344</v>
      </c>
      <c r="E578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t="s">
        <v>2539</v>
      </c>
      <c r="W578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t="s">
        <v>60</v>
      </c>
    </row>
    <row r="579" spans="1:31" x14ac:dyDescent="0.2">
      <c r="A579">
        <v>560</v>
      </c>
      <c r="B579" t="s">
        <v>1175</v>
      </c>
      <c r="C579">
        <v>30</v>
      </c>
      <c r="D579" t="s">
        <v>476</v>
      </c>
      <c r="E57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t="s">
        <v>1875</v>
      </c>
      <c r="W57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t="s">
        <v>60</v>
      </c>
    </row>
    <row r="580" spans="1:31" x14ac:dyDescent="0.2">
      <c r="A580">
        <v>561</v>
      </c>
      <c r="B580" t="s">
        <v>1097</v>
      </c>
      <c r="C580">
        <v>24</v>
      </c>
      <c r="D580" t="s">
        <v>365</v>
      </c>
      <c r="E580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t="s">
        <v>2795</v>
      </c>
      <c r="W580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t="s">
        <v>60</v>
      </c>
    </row>
    <row r="581" spans="1:31" x14ac:dyDescent="0.2">
      <c r="A581">
        <v>562</v>
      </c>
      <c r="B581" t="s">
        <v>1017</v>
      </c>
      <c r="C581">
        <v>29</v>
      </c>
      <c r="D581" t="s">
        <v>328</v>
      </c>
      <c r="E581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t="s">
        <v>1783</v>
      </c>
      <c r="W581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t="s">
        <v>60</v>
      </c>
    </row>
    <row r="582" spans="1:31" x14ac:dyDescent="0.2">
      <c r="A582">
        <v>563</v>
      </c>
      <c r="B582" t="s">
        <v>1018</v>
      </c>
      <c r="C582">
        <v>34</v>
      </c>
      <c r="D582" t="s">
        <v>368</v>
      </c>
      <c r="E582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t="s">
        <v>2540</v>
      </c>
      <c r="W582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t="s">
        <v>60</v>
      </c>
    </row>
    <row r="583" spans="1:31" x14ac:dyDescent="0.2">
      <c r="A583">
        <v>564</v>
      </c>
      <c r="B583" t="s">
        <v>1178</v>
      </c>
      <c r="C583">
        <v>29</v>
      </c>
      <c r="D583" t="s">
        <v>344</v>
      </c>
      <c r="E583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t="s">
        <v>2541</v>
      </c>
      <c r="W583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t="s">
        <v>60</v>
      </c>
    </row>
    <row r="584" spans="1:31" x14ac:dyDescent="0.2">
      <c r="A584">
        <v>565</v>
      </c>
      <c r="B584" t="s">
        <v>1105</v>
      </c>
      <c r="C584">
        <v>22</v>
      </c>
      <c r="D584" t="s">
        <v>555</v>
      </c>
      <c r="E584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t="s">
        <v>2138</v>
      </c>
      <c r="W584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t="s">
        <v>60</v>
      </c>
    </row>
    <row r="585" spans="1:31" x14ac:dyDescent="0.2">
      <c r="A585">
        <v>566</v>
      </c>
      <c r="B585" t="s">
        <v>1021</v>
      </c>
      <c r="C585">
        <v>23</v>
      </c>
      <c r="D585" t="s">
        <v>1022</v>
      </c>
      <c r="E585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t="s">
        <v>1023</v>
      </c>
      <c r="W585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t="s">
        <v>60</v>
      </c>
    </row>
    <row r="586" spans="1:31" x14ac:dyDescent="0.2">
      <c r="A586">
        <v>566</v>
      </c>
      <c r="B586" t="s">
        <v>1021</v>
      </c>
      <c r="C586">
        <v>23</v>
      </c>
      <c r="D586" t="s">
        <v>330</v>
      </c>
      <c r="E586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t="s">
        <v>1025</v>
      </c>
      <c r="W586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t="s">
        <v>60</v>
      </c>
    </row>
    <row r="587" spans="1:31" x14ac:dyDescent="0.2">
      <c r="A587">
        <v>566</v>
      </c>
      <c r="B587" t="s">
        <v>1021</v>
      </c>
      <c r="C587">
        <v>23</v>
      </c>
      <c r="D587" t="s">
        <v>461</v>
      </c>
      <c r="E587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t="s">
        <v>1027</v>
      </c>
      <c r="W587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t="s">
        <v>60</v>
      </c>
    </row>
    <row r="588" spans="1:31" x14ac:dyDescent="0.2">
      <c r="A588">
        <v>567</v>
      </c>
      <c r="B588" t="s">
        <v>1113</v>
      </c>
      <c r="C588">
        <v>29</v>
      </c>
      <c r="D588" t="s">
        <v>1022</v>
      </c>
      <c r="E588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t="s">
        <v>2796</v>
      </c>
      <c r="W588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t="s">
        <v>60</v>
      </c>
    </row>
    <row r="589" spans="1:31" x14ac:dyDescent="0.2">
      <c r="A589">
        <v>567</v>
      </c>
      <c r="B589" t="s">
        <v>1113</v>
      </c>
      <c r="C589">
        <v>29</v>
      </c>
      <c r="D589" t="s">
        <v>361</v>
      </c>
      <c r="E58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t="s">
        <v>1114</v>
      </c>
      <c r="W58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t="s">
        <v>60</v>
      </c>
    </row>
    <row r="590" spans="1:31" x14ac:dyDescent="0.2">
      <c r="A590">
        <v>567</v>
      </c>
      <c r="B590" t="s">
        <v>1113</v>
      </c>
      <c r="C590">
        <v>29</v>
      </c>
      <c r="D590" t="s">
        <v>365</v>
      </c>
      <c r="E590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t="s">
        <v>2797</v>
      </c>
      <c r="W590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t="s">
        <v>60</v>
      </c>
    </row>
    <row r="591" spans="1:31" x14ac:dyDescent="0.2">
      <c r="A591">
        <v>568</v>
      </c>
      <c r="B591" t="s">
        <v>1032</v>
      </c>
      <c r="C591">
        <v>24</v>
      </c>
      <c r="D591" t="s">
        <v>476</v>
      </c>
      <c r="E591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t="s">
        <v>1033</v>
      </c>
      <c r="W591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t="s">
        <v>60</v>
      </c>
    </row>
    <row r="592" spans="1:31" x14ac:dyDescent="0.2">
      <c r="A592">
        <v>569</v>
      </c>
      <c r="B592" t="s">
        <v>1035</v>
      </c>
      <c r="C592">
        <v>29</v>
      </c>
      <c r="D592" t="s">
        <v>363</v>
      </c>
      <c r="E592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t="s">
        <v>2542</v>
      </c>
      <c r="W592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t="s">
        <v>60</v>
      </c>
    </row>
    <row r="593" spans="1:31" x14ac:dyDescent="0.2">
      <c r="A593">
        <v>570</v>
      </c>
      <c r="B593" t="s">
        <v>1116</v>
      </c>
      <c r="C593">
        <v>28</v>
      </c>
      <c r="D593" t="s">
        <v>439</v>
      </c>
      <c r="E593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t="s">
        <v>1785</v>
      </c>
      <c r="W593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t="s">
        <v>60</v>
      </c>
    </row>
    <row r="594" spans="1:31" x14ac:dyDescent="0.2">
      <c r="A594">
        <v>571</v>
      </c>
      <c r="B594" t="s">
        <v>1036</v>
      </c>
      <c r="C594">
        <v>28</v>
      </c>
      <c r="D594" t="s">
        <v>334</v>
      </c>
      <c r="E594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t="s">
        <v>2543</v>
      </c>
      <c r="W594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t="s">
        <v>60</v>
      </c>
    </row>
    <row r="595" spans="1:31" x14ac:dyDescent="0.2">
      <c r="A595">
        <v>572</v>
      </c>
      <c r="B595" t="s">
        <v>1038</v>
      </c>
      <c r="C595">
        <v>28</v>
      </c>
      <c r="D595" t="s">
        <v>353</v>
      </c>
      <c r="E595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t="s">
        <v>1039</v>
      </c>
      <c r="W595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t="s">
        <v>60</v>
      </c>
    </row>
    <row r="596" spans="1:31" x14ac:dyDescent="0.2">
      <c r="A596">
        <v>573</v>
      </c>
      <c r="B596" t="s">
        <v>1125</v>
      </c>
      <c r="C596">
        <v>27</v>
      </c>
      <c r="D596" t="s">
        <v>439</v>
      </c>
      <c r="E596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t="s">
        <v>2544</v>
      </c>
      <c r="W596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t="s">
        <v>60</v>
      </c>
    </row>
    <row r="597" spans="1:31" x14ac:dyDescent="0.2">
      <c r="A597">
        <v>574</v>
      </c>
      <c r="B597" t="s">
        <v>1044</v>
      </c>
      <c r="C597">
        <v>25</v>
      </c>
      <c r="D597" t="s">
        <v>363</v>
      </c>
      <c r="E597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t="s">
        <v>1045</v>
      </c>
      <c r="W597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t="s">
        <v>60</v>
      </c>
    </row>
    <row r="598" spans="1:31" x14ac:dyDescent="0.2">
      <c r="A598">
        <v>575</v>
      </c>
      <c r="B598" t="s">
        <v>1126</v>
      </c>
      <c r="C598">
        <v>30</v>
      </c>
      <c r="D598" t="s">
        <v>334</v>
      </c>
      <c r="E598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t="s">
        <v>2029</v>
      </c>
      <c r="W598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t="s">
        <v>60</v>
      </c>
    </row>
    <row r="599" spans="1:31" x14ac:dyDescent="0.2">
      <c r="A599">
        <v>576</v>
      </c>
      <c r="B599" t="s">
        <v>1133</v>
      </c>
      <c r="C599">
        <v>31</v>
      </c>
      <c r="D599" t="s">
        <v>384</v>
      </c>
      <c r="E59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t="s">
        <v>2798</v>
      </c>
      <c r="W59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t="s">
        <v>60</v>
      </c>
    </row>
    <row r="600" spans="1:31" x14ac:dyDescent="0.2">
      <c r="A600">
        <v>577</v>
      </c>
      <c r="B600" t="s">
        <v>1136</v>
      </c>
      <c r="C600">
        <v>28</v>
      </c>
      <c r="D600" t="s">
        <v>439</v>
      </c>
      <c r="E600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t="s">
        <v>2545</v>
      </c>
      <c r="W600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t="s">
        <v>60</v>
      </c>
    </row>
    <row r="601" spans="1:31" x14ac:dyDescent="0.2">
      <c r="A601">
        <v>578</v>
      </c>
      <c r="B601" t="s">
        <v>1053</v>
      </c>
      <c r="C601">
        <v>25</v>
      </c>
      <c r="D601" t="s">
        <v>378</v>
      </c>
      <c r="E601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t="s">
        <v>1054</v>
      </c>
      <c r="W601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t="s">
        <v>60</v>
      </c>
    </row>
    <row r="602" spans="1:31" x14ac:dyDescent="0.2">
      <c r="A602">
        <v>579</v>
      </c>
      <c r="B602" t="s">
        <v>1059</v>
      </c>
      <c r="C602">
        <v>21</v>
      </c>
      <c r="D602" t="s">
        <v>448</v>
      </c>
      <c r="E602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t="s">
        <v>1060</v>
      </c>
      <c r="W602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t="s">
        <v>60</v>
      </c>
    </row>
    <row r="603" spans="1:31" x14ac:dyDescent="0.2">
      <c r="A603">
        <v>580</v>
      </c>
      <c r="B603" t="s">
        <v>1063</v>
      </c>
      <c r="C603">
        <v>34</v>
      </c>
      <c r="D603" t="s">
        <v>361</v>
      </c>
      <c r="E603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t="s">
        <v>1964</v>
      </c>
      <c r="W603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t="s">
        <v>60</v>
      </c>
    </row>
    <row r="604" spans="1:31" x14ac:dyDescent="0.2">
      <c r="A604">
        <v>581</v>
      </c>
      <c r="B604" t="s">
        <v>1145</v>
      </c>
      <c r="C604">
        <v>22</v>
      </c>
      <c r="D604" t="s">
        <v>378</v>
      </c>
      <c r="E604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t="s">
        <v>2799</v>
      </c>
      <c r="W604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t="s">
        <v>60</v>
      </c>
    </row>
    <row r="605" spans="1:31" x14ac:dyDescent="0.2">
      <c r="A605">
        <v>582</v>
      </c>
      <c r="B605" t="s">
        <v>1068</v>
      </c>
      <c r="C605">
        <v>23</v>
      </c>
      <c r="D605" t="s">
        <v>439</v>
      </c>
      <c r="E605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t="s">
        <v>1850</v>
      </c>
      <c r="W605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t="s">
        <v>60</v>
      </c>
    </row>
    <row r="606" spans="1:31" x14ac:dyDescent="0.2">
      <c r="A606">
        <v>583</v>
      </c>
      <c r="B606" t="s">
        <v>1826</v>
      </c>
      <c r="C606">
        <v>27</v>
      </c>
      <c r="D606" t="s">
        <v>373</v>
      </c>
      <c r="E606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t="s">
        <v>2800</v>
      </c>
      <c r="W606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t="s">
        <v>60</v>
      </c>
    </row>
    <row r="607" spans="1:31" x14ac:dyDescent="0.2">
      <c r="A607">
        <v>584</v>
      </c>
      <c r="B607" t="s">
        <v>1071</v>
      </c>
      <c r="C607">
        <v>26</v>
      </c>
      <c r="D607" t="s">
        <v>324</v>
      </c>
      <c r="E607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t="s">
        <v>1851</v>
      </c>
      <c r="W607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t="s">
        <v>60</v>
      </c>
    </row>
    <row r="608" spans="1:31" x14ac:dyDescent="0.2">
      <c r="A608">
        <v>585</v>
      </c>
      <c r="B608" t="s">
        <v>1334</v>
      </c>
      <c r="C608">
        <v>31</v>
      </c>
      <c r="D608" t="s">
        <v>448</v>
      </c>
      <c r="E608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t="s">
        <v>2546</v>
      </c>
      <c r="W608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t="s">
        <v>60</v>
      </c>
    </row>
    <row r="609" spans="1:31" x14ac:dyDescent="0.2">
      <c r="A609">
        <v>586</v>
      </c>
      <c r="B609" t="s">
        <v>1153</v>
      </c>
      <c r="C609">
        <v>25</v>
      </c>
      <c r="D609" t="s">
        <v>334</v>
      </c>
      <c r="E60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t="s">
        <v>2547</v>
      </c>
      <c r="W60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t="s">
        <v>60</v>
      </c>
    </row>
    <row r="610" spans="1:31" x14ac:dyDescent="0.2">
      <c r="A610">
        <v>587</v>
      </c>
      <c r="B610" t="s">
        <v>1073</v>
      </c>
      <c r="C610">
        <v>31</v>
      </c>
      <c r="D610" t="s">
        <v>461</v>
      </c>
      <c r="E610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t="s">
        <v>1074</v>
      </c>
      <c r="W610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t="s">
        <v>60</v>
      </c>
    </row>
    <row r="611" spans="1:31" x14ac:dyDescent="0.2">
      <c r="A611">
        <v>588</v>
      </c>
      <c r="B611" t="s">
        <v>1076</v>
      </c>
      <c r="C611">
        <v>27</v>
      </c>
      <c r="D611" t="s">
        <v>426</v>
      </c>
      <c r="E611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t="s">
        <v>2548</v>
      </c>
      <c r="W611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t="s">
        <v>60</v>
      </c>
    </row>
    <row r="612" spans="1:31" x14ac:dyDescent="0.2">
      <c r="A612">
        <v>589</v>
      </c>
      <c r="B612" t="s">
        <v>1358</v>
      </c>
      <c r="C612">
        <v>20</v>
      </c>
      <c r="D612" t="s">
        <v>363</v>
      </c>
      <c r="E612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t="s">
        <v>2549</v>
      </c>
      <c r="W612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t="s">
        <v>60</v>
      </c>
    </row>
    <row r="613" spans="1:31" x14ac:dyDescent="0.2">
      <c r="A613">
        <v>590</v>
      </c>
      <c r="B613" t="s">
        <v>1166</v>
      </c>
      <c r="C613">
        <v>31</v>
      </c>
      <c r="D613" t="s">
        <v>404</v>
      </c>
      <c r="E613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t="s">
        <v>2550</v>
      </c>
      <c r="W613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t="s">
        <v>60</v>
      </c>
    </row>
    <row r="614" spans="1:31" x14ac:dyDescent="0.2">
      <c r="A614">
        <v>591</v>
      </c>
      <c r="B614" t="s">
        <v>1084</v>
      </c>
      <c r="C614">
        <v>25</v>
      </c>
      <c r="D614" t="s">
        <v>344</v>
      </c>
      <c r="E614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t="s">
        <v>2043</v>
      </c>
      <c r="W614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t="s">
        <v>60</v>
      </c>
    </row>
    <row r="615" spans="1:31" x14ac:dyDescent="0.2">
      <c r="A615">
        <v>592</v>
      </c>
      <c r="B615" t="s">
        <v>1088</v>
      </c>
      <c r="C615">
        <v>36</v>
      </c>
      <c r="D615" t="s">
        <v>346</v>
      </c>
      <c r="E615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t="s">
        <v>2551</v>
      </c>
      <c r="W615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t="s">
        <v>60</v>
      </c>
    </row>
    <row r="616" spans="1:31" x14ac:dyDescent="0.2">
      <c r="A616">
        <v>593</v>
      </c>
      <c r="B616" t="s">
        <v>1171</v>
      </c>
      <c r="C616">
        <v>32</v>
      </c>
      <c r="D616" t="s">
        <v>415</v>
      </c>
      <c r="E616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t="s">
        <v>2801</v>
      </c>
      <c r="W616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t="s">
        <v>60</v>
      </c>
    </row>
    <row r="617" spans="1:31" x14ac:dyDescent="0.2">
      <c r="A617">
        <v>594</v>
      </c>
      <c r="B617" t="s">
        <v>1637</v>
      </c>
      <c r="C617">
        <v>28</v>
      </c>
      <c r="D617" t="s">
        <v>404</v>
      </c>
      <c r="E617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t="s">
        <v>2552</v>
      </c>
      <c r="W617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t="s">
        <v>60</v>
      </c>
    </row>
    <row r="618" spans="1:31" x14ac:dyDescent="0.2">
      <c r="A618">
        <v>595</v>
      </c>
      <c r="B618" t="s">
        <v>1102</v>
      </c>
      <c r="C618">
        <v>23</v>
      </c>
      <c r="D618" t="s">
        <v>476</v>
      </c>
      <c r="E618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t="s">
        <v>1103</v>
      </c>
      <c r="W618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t="s">
        <v>60</v>
      </c>
    </row>
    <row r="619" spans="1:31" x14ac:dyDescent="0.2">
      <c r="A619">
        <v>596</v>
      </c>
      <c r="B619" t="s">
        <v>1106</v>
      </c>
      <c r="C619">
        <v>31</v>
      </c>
      <c r="D619" t="s">
        <v>384</v>
      </c>
      <c r="E6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t="s">
        <v>1852</v>
      </c>
      <c r="W6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t="s">
        <v>60</v>
      </c>
    </row>
    <row r="620" spans="1:31" x14ac:dyDescent="0.2">
      <c r="A620">
        <v>597</v>
      </c>
      <c r="B620" t="s">
        <v>1107</v>
      </c>
      <c r="C620">
        <v>28</v>
      </c>
      <c r="D620" t="s">
        <v>334</v>
      </c>
      <c r="E620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t="s">
        <v>2553</v>
      </c>
      <c r="W620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t="s">
        <v>60</v>
      </c>
    </row>
    <row r="621" spans="1:31" x14ac:dyDescent="0.2">
      <c r="A621">
        <v>598</v>
      </c>
      <c r="B621" t="s">
        <v>1109</v>
      </c>
      <c r="C621">
        <v>27</v>
      </c>
      <c r="D621" t="s">
        <v>361</v>
      </c>
      <c r="E621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t="s">
        <v>2045</v>
      </c>
      <c r="W621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t="s">
        <v>60</v>
      </c>
    </row>
    <row r="622" spans="1:31" x14ac:dyDescent="0.2">
      <c r="A622">
        <v>599</v>
      </c>
      <c r="B622" t="s">
        <v>1110</v>
      </c>
      <c r="C622">
        <v>21</v>
      </c>
      <c r="D622" t="s">
        <v>334</v>
      </c>
      <c r="E622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t="s">
        <v>1111</v>
      </c>
      <c r="W622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t="s">
        <v>60</v>
      </c>
    </row>
    <row r="623" spans="1:31" x14ac:dyDescent="0.2">
      <c r="A623">
        <v>600</v>
      </c>
      <c r="B623" t="s">
        <v>1411</v>
      </c>
      <c r="C623">
        <v>20</v>
      </c>
      <c r="D623" t="s">
        <v>412</v>
      </c>
      <c r="E623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t="s">
        <v>2141</v>
      </c>
      <c r="W623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t="s">
        <v>60</v>
      </c>
    </row>
    <row r="624" spans="1:31" x14ac:dyDescent="0.2">
      <c r="A624">
        <v>601</v>
      </c>
      <c r="B624" t="s">
        <v>1273</v>
      </c>
      <c r="C624">
        <v>25</v>
      </c>
      <c r="D624" t="s">
        <v>353</v>
      </c>
      <c r="E624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t="s">
        <v>2802</v>
      </c>
      <c r="W624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t="s">
        <v>60</v>
      </c>
    </row>
    <row r="625" spans="1:31" x14ac:dyDescent="0.2">
      <c r="A625">
        <v>602</v>
      </c>
      <c r="B625" t="s">
        <v>1188</v>
      </c>
      <c r="C625">
        <v>26</v>
      </c>
      <c r="D625" t="s">
        <v>368</v>
      </c>
      <c r="E625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t="s">
        <v>2143</v>
      </c>
      <c r="W625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t="s">
        <v>60</v>
      </c>
    </row>
    <row r="626" spans="1:31" x14ac:dyDescent="0.2">
      <c r="A626">
        <v>603</v>
      </c>
      <c r="B626" t="s">
        <v>1117</v>
      </c>
      <c r="C626">
        <v>26</v>
      </c>
      <c r="D626" t="s">
        <v>461</v>
      </c>
      <c r="E626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t="s">
        <v>1118</v>
      </c>
      <c r="W626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t="s">
        <v>60</v>
      </c>
    </row>
    <row r="627" spans="1:31" x14ac:dyDescent="0.2">
      <c r="A627">
        <v>604</v>
      </c>
      <c r="B627" t="s">
        <v>1121</v>
      </c>
      <c r="C627">
        <v>31</v>
      </c>
      <c r="D627" t="s">
        <v>412</v>
      </c>
      <c r="E627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t="s">
        <v>2144</v>
      </c>
      <c r="W627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t="s">
        <v>60</v>
      </c>
    </row>
    <row r="628" spans="1:31" x14ac:dyDescent="0.2">
      <c r="A628">
        <v>605</v>
      </c>
      <c r="B628" t="s">
        <v>1192</v>
      </c>
      <c r="C628">
        <v>19</v>
      </c>
      <c r="D628" t="s">
        <v>324</v>
      </c>
      <c r="E628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t="s">
        <v>2554</v>
      </c>
      <c r="W628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t="s">
        <v>60</v>
      </c>
    </row>
    <row r="629" spans="1:31" x14ac:dyDescent="0.2">
      <c r="A629">
        <v>606</v>
      </c>
      <c r="B629" t="s">
        <v>1122</v>
      </c>
      <c r="C629">
        <v>31</v>
      </c>
      <c r="D629" t="s">
        <v>378</v>
      </c>
      <c r="E62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t="s">
        <v>1123</v>
      </c>
      <c r="W62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t="s">
        <v>60</v>
      </c>
    </row>
    <row r="630" spans="1:31" x14ac:dyDescent="0.2">
      <c r="A630">
        <v>607</v>
      </c>
      <c r="B630" t="s">
        <v>1198</v>
      </c>
      <c r="C630">
        <v>23</v>
      </c>
      <c r="D630" t="s">
        <v>353</v>
      </c>
      <c r="E630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t="s">
        <v>2087</v>
      </c>
      <c r="W630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t="s">
        <v>60</v>
      </c>
    </row>
    <row r="631" spans="1:31" x14ac:dyDescent="0.2">
      <c r="A631">
        <v>608</v>
      </c>
      <c r="B631" t="s">
        <v>1127</v>
      </c>
      <c r="C631">
        <v>27</v>
      </c>
      <c r="D631" t="s">
        <v>328</v>
      </c>
      <c r="E631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t="s">
        <v>2555</v>
      </c>
      <c r="W631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t="s">
        <v>60</v>
      </c>
    </row>
    <row r="632" spans="1:31" x14ac:dyDescent="0.2">
      <c r="A632">
        <v>609</v>
      </c>
      <c r="B632" t="s">
        <v>1129</v>
      </c>
      <c r="C632">
        <v>27</v>
      </c>
      <c r="D632" t="s">
        <v>375</v>
      </c>
      <c r="E632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t="s">
        <v>1130</v>
      </c>
      <c r="W632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t="s">
        <v>60</v>
      </c>
    </row>
    <row r="633" spans="1:31" x14ac:dyDescent="0.2">
      <c r="A633">
        <v>610</v>
      </c>
      <c r="B633" t="s">
        <v>1134</v>
      </c>
      <c r="C633">
        <v>36</v>
      </c>
      <c r="D633" t="s">
        <v>404</v>
      </c>
      <c r="E633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t="s">
        <v>2556</v>
      </c>
      <c r="W633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t="s">
        <v>60</v>
      </c>
    </row>
    <row r="634" spans="1:31" x14ac:dyDescent="0.2">
      <c r="A634">
        <v>611</v>
      </c>
      <c r="B634" t="s">
        <v>1301</v>
      </c>
      <c r="C634">
        <v>27</v>
      </c>
      <c r="D634" t="s">
        <v>375</v>
      </c>
      <c r="E634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t="s">
        <v>2145</v>
      </c>
      <c r="W634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t="s">
        <v>60</v>
      </c>
    </row>
    <row r="635" spans="1:31" x14ac:dyDescent="0.2">
      <c r="A635">
        <v>612</v>
      </c>
      <c r="B635" t="s">
        <v>1138</v>
      </c>
      <c r="C635">
        <v>21</v>
      </c>
      <c r="D635" t="s">
        <v>328</v>
      </c>
      <c r="E635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t="s">
        <v>1139</v>
      </c>
      <c r="W635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t="s">
        <v>60</v>
      </c>
    </row>
    <row r="636" spans="1:31" x14ac:dyDescent="0.2">
      <c r="A636">
        <v>613</v>
      </c>
      <c r="B636" t="s">
        <v>1213</v>
      </c>
      <c r="C636">
        <v>29</v>
      </c>
      <c r="D636" t="s">
        <v>321</v>
      </c>
      <c r="E636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t="s">
        <v>2557</v>
      </c>
      <c r="W636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t="s">
        <v>60</v>
      </c>
    </row>
    <row r="637" spans="1:31" x14ac:dyDescent="0.2">
      <c r="A637">
        <v>614</v>
      </c>
      <c r="B637" t="s">
        <v>1146</v>
      </c>
      <c r="C637">
        <v>24</v>
      </c>
      <c r="D637" t="s">
        <v>1022</v>
      </c>
      <c r="E637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t="s">
        <v>2558</v>
      </c>
      <c r="W637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t="s">
        <v>60</v>
      </c>
    </row>
    <row r="638" spans="1:31" x14ac:dyDescent="0.2">
      <c r="A638">
        <v>614</v>
      </c>
      <c r="B638" t="s">
        <v>1146</v>
      </c>
      <c r="C638">
        <v>24</v>
      </c>
      <c r="D638" t="s">
        <v>334</v>
      </c>
      <c r="E638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t="s">
        <v>1738</v>
      </c>
      <c r="W638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t="s">
        <v>60</v>
      </c>
    </row>
    <row r="639" spans="1:31" x14ac:dyDescent="0.2">
      <c r="A639">
        <v>614</v>
      </c>
      <c r="B639" t="s">
        <v>1146</v>
      </c>
      <c r="C639">
        <v>24</v>
      </c>
      <c r="D639" t="s">
        <v>356</v>
      </c>
      <c r="E63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t="s">
        <v>2012</v>
      </c>
      <c r="W63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t="s">
        <v>60</v>
      </c>
    </row>
    <row r="640" spans="1:31" x14ac:dyDescent="0.2">
      <c r="A640">
        <v>615</v>
      </c>
      <c r="B640" t="s">
        <v>1216</v>
      </c>
      <c r="C640">
        <v>28</v>
      </c>
      <c r="D640" t="s">
        <v>375</v>
      </c>
      <c r="E640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t="s">
        <v>2559</v>
      </c>
      <c r="W640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t="s">
        <v>60</v>
      </c>
    </row>
    <row r="641" spans="1:31" x14ac:dyDescent="0.2">
      <c r="A641">
        <v>616</v>
      </c>
      <c r="B641" t="s">
        <v>1150</v>
      </c>
      <c r="C641">
        <v>34</v>
      </c>
      <c r="D641" t="s">
        <v>324</v>
      </c>
      <c r="E641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t="s">
        <v>2146</v>
      </c>
      <c r="W641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t="s">
        <v>60</v>
      </c>
    </row>
    <row r="642" spans="1:31" x14ac:dyDescent="0.2">
      <c r="A642">
        <v>617</v>
      </c>
      <c r="B642" t="s">
        <v>1225</v>
      </c>
      <c r="C642">
        <v>26</v>
      </c>
      <c r="D642" t="s">
        <v>387</v>
      </c>
      <c r="E642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t="s">
        <v>2803</v>
      </c>
      <c r="W642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t="s">
        <v>60</v>
      </c>
    </row>
    <row r="643" spans="1:31" x14ac:dyDescent="0.2">
      <c r="A643">
        <v>618</v>
      </c>
      <c r="B643" t="s">
        <v>1226</v>
      </c>
      <c r="C643">
        <v>27</v>
      </c>
      <c r="D643" t="s">
        <v>555</v>
      </c>
      <c r="E643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t="s">
        <v>2147</v>
      </c>
      <c r="W643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t="s">
        <v>60</v>
      </c>
    </row>
    <row r="644" spans="1:31" x14ac:dyDescent="0.2">
      <c r="A644">
        <v>619</v>
      </c>
      <c r="B644" t="s">
        <v>1550</v>
      </c>
      <c r="C644">
        <v>21</v>
      </c>
      <c r="D644" t="s">
        <v>378</v>
      </c>
      <c r="E644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t="s">
        <v>2804</v>
      </c>
      <c r="W644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t="s">
        <v>60</v>
      </c>
    </row>
    <row r="645" spans="1:31" x14ac:dyDescent="0.2">
      <c r="A645">
        <v>620</v>
      </c>
      <c r="B645" t="s">
        <v>1156</v>
      </c>
      <c r="C645">
        <v>18</v>
      </c>
      <c r="D645" t="s">
        <v>324</v>
      </c>
      <c r="E645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t="s">
        <v>1157</v>
      </c>
      <c r="W645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t="s">
        <v>60</v>
      </c>
    </row>
    <row r="646" spans="1:31" x14ac:dyDescent="0.2">
      <c r="A646">
        <v>621</v>
      </c>
      <c r="B646" t="s">
        <v>1348</v>
      </c>
      <c r="C646">
        <v>23</v>
      </c>
      <c r="D646" t="s">
        <v>363</v>
      </c>
      <c r="E646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t="s">
        <v>2561</v>
      </c>
      <c r="W646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t="s">
        <v>60</v>
      </c>
    </row>
    <row r="647" spans="1:31" x14ac:dyDescent="0.2">
      <c r="A647">
        <v>622</v>
      </c>
      <c r="B647" t="s">
        <v>1229</v>
      </c>
      <c r="C647">
        <v>31</v>
      </c>
      <c r="D647" t="s">
        <v>412</v>
      </c>
      <c r="E647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t="s">
        <v>2148</v>
      </c>
      <c r="W647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t="s">
        <v>60</v>
      </c>
    </row>
    <row r="648" spans="1:31" x14ac:dyDescent="0.2">
      <c r="A648">
        <v>623</v>
      </c>
      <c r="B648" t="s">
        <v>1579</v>
      </c>
      <c r="C648">
        <v>22</v>
      </c>
      <c r="D648" t="s">
        <v>1022</v>
      </c>
      <c r="E648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t="s">
        <v>2562</v>
      </c>
      <c r="W648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t="s">
        <v>60</v>
      </c>
    </row>
    <row r="649" spans="1:31" x14ac:dyDescent="0.2">
      <c r="A649">
        <v>623</v>
      </c>
      <c r="B649" t="s">
        <v>1579</v>
      </c>
      <c r="C649">
        <v>22</v>
      </c>
      <c r="D649" t="s">
        <v>359</v>
      </c>
      <c r="E64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t="s">
        <v>1755</v>
      </c>
      <c r="W64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t="s">
        <v>60</v>
      </c>
    </row>
    <row r="650" spans="1:31" x14ac:dyDescent="0.2">
      <c r="A650">
        <v>623</v>
      </c>
      <c r="B650" t="s">
        <v>1579</v>
      </c>
      <c r="C650">
        <v>22</v>
      </c>
      <c r="D650" t="s">
        <v>461</v>
      </c>
      <c r="E650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t="s">
        <v>2563</v>
      </c>
      <c r="W650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t="s">
        <v>60</v>
      </c>
    </row>
    <row r="651" spans="1:31" x14ac:dyDescent="0.2">
      <c r="A651">
        <v>624</v>
      </c>
      <c r="B651" t="s">
        <v>1161</v>
      </c>
      <c r="C651">
        <v>26</v>
      </c>
      <c r="D651" t="s">
        <v>448</v>
      </c>
      <c r="E651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t="s">
        <v>1656</v>
      </c>
      <c r="W651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t="s">
        <v>60</v>
      </c>
    </row>
    <row r="652" spans="1:31" x14ac:dyDescent="0.2">
      <c r="A652">
        <v>625</v>
      </c>
      <c r="B652" t="s">
        <v>1162</v>
      </c>
      <c r="C652">
        <v>24</v>
      </c>
      <c r="D652" t="s">
        <v>363</v>
      </c>
      <c r="E652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t="s">
        <v>1163</v>
      </c>
      <c r="W652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t="s">
        <v>60</v>
      </c>
    </row>
    <row r="653" spans="1:31" x14ac:dyDescent="0.2">
      <c r="A653">
        <v>626</v>
      </c>
      <c r="B653" t="s">
        <v>1167</v>
      </c>
      <c r="C653">
        <v>27</v>
      </c>
      <c r="D653" t="s">
        <v>328</v>
      </c>
      <c r="E653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t="s">
        <v>1168</v>
      </c>
      <c r="W653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t="s">
        <v>60</v>
      </c>
    </row>
    <row r="654" spans="1:31" x14ac:dyDescent="0.2">
      <c r="A654">
        <v>627</v>
      </c>
      <c r="B654" t="s">
        <v>1230</v>
      </c>
      <c r="C654">
        <v>39</v>
      </c>
      <c r="D654" t="s">
        <v>324</v>
      </c>
      <c r="E654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t="s">
        <v>2565</v>
      </c>
      <c r="W654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t="s">
        <v>60</v>
      </c>
    </row>
    <row r="655" spans="1:31" x14ac:dyDescent="0.2">
      <c r="A655">
        <v>628</v>
      </c>
      <c r="B655" t="s">
        <v>1604</v>
      </c>
      <c r="C655">
        <v>25</v>
      </c>
      <c r="D655" t="s">
        <v>328</v>
      </c>
      <c r="E655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t="s">
        <v>2566</v>
      </c>
      <c r="W655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t="s">
        <v>60</v>
      </c>
    </row>
    <row r="656" spans="1:31" x14ac:dyDescent="0.2">
      <c r="A656">
        <v>629</v>
      </c>
      <c r="B656" t="s">
        <v>1235</v>
      </c>
      <c r="C656">
        <v>33</v>
      </c>
      <c r="D656" t="s">
        <v>353</v>
      </c>
      <c r="E656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t="s">
        <v>2805</v>
      </c>
      <c r="W656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t="s">
        <v>60</v>
      </c>
    </row>
    <row r="657" spans="1:31" x14ac:dyDescent="0.2">
      <c r="A657">
        <v>630</v>
      </c>
      <c r="B657" t="s">
        <v>1369</v>
      </c>
      <c r="C657">
        <v>22</v>
      </c>
      <c r="D657" t="s">
        <v>476</v>
      </c>
      <c r="E657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t="s">
        <v>2567</v>
      </c>
      <c r="W657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t="s">
        <v>60</v>
      </c>
    </row>
    <row r="658" spans="1:31" x14ac:dyDescent="0.2">
      <c r="A658">
        <v>631</v>
      </c>
      <c r="B658" t="s">
        <v>1374</v>
      </c>
      <c r="C658">
        <v>24</v>
      </c>
      <c r="D658" t="s">
        <v>373</v>
      </c>
      <c r="E658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t="s">
        <v>2569</v>
      </c>
      <c r="W658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t="s">
        <v>60</v>
      </c>
    </row>
    <row r="659" spans="1:31" x14ac:dyDescent="0.2">
      <c r="A659">
        <v>632</v>
      </c>
      <c r="B659" t="s">
        <v>1838</v>
      </c>
      <c r="C659">
        <v>20</v>
      </c>
      <c r="D659" t="s">
        <v>536</v>
      </c>
      <c r="E65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t="s">
        <v>2570</v>
      </c>
      <c r="W65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t="s">
        <v>60</v>
      </c>
    </row>
    <row r="660" spans="1:31" x14ac:dyDescent="0.2">
      <c r="A660">
        <v>633</v>
      </c>
      <c r="B660" t="s">
        <v>1177</v>
      </c>
      <c r="C660">
        <v>27</v>
      </c>
      <c r="D660" t="s">
        <v>363</v>
      </c>
      <c r="E660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t="s">
        <v>2047</v>
      </c>
      <c r="W660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t="s">
        <v>60</v>
      </c>
    </row>
    <row r="661" spans="1:31" x14ac:dyDescent="0.2">
      <c r="A661">
        <v>634</v>
      </c>
      <c r="B661" t="s">
        <v>1387</v>
      </c>
      <c r="C661">
        <v>26</v>
      </c>
      <c r="D661" t="s">
        <v>365</v>
      </c>
      <c r="E661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t="s">
        <v>2806</v>
      </c>
      <c r="W661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t="s">
        <v>60</v>
      </c>
    </row>
    <row r="662" spans="1:31" x14ac:dyDescent="0.2">
      <c r="A662">
        <v>635</v>
      </c>
      <c r="B662" t="s">
        <v>1253</v>
      </c>
      <c r="C662">
        <v>24</v>
      </c>
      <c r="D662" t="s">
        <v>1022</v>
      </c>
      <c r="E662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t="s">
        <v>2150</v>
      </c>
      <c r="W662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t="s">
        <v>60</v>
      </c>
    </row>
    <row r="663" spans="1:31" x14ac:dyDescent="0.2">
      <c r="A663">
        <v>635</v>
      </c>
      <c r="B663" t="s">
        <v>1253</v>
      </c>
      <c r="C663">
        <v>24</v>
      </c>
      <c r="D663" t="s">
        <v>356</v>
      </c>
      <c r="E663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t="s">
        <v>1254</v>
      </c>
      <c r="W663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t="s">
        <v>60</v>
      </c>
    </row>
    <row r="664" spans="1:31" x14ac:dyDescent="0.2">
      <c r="A664">
        <v>635</v>
      </c>
      <c r="B664" t="s">
        <v>1253</v>
      </c>
      <c r="C664">
        <v>24</v>
      </c>
      <c r="D664" t="s">
        <v>448</v>
      </c>
      <c r="E664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t="s">
        <v>2151</v>
      </c>
      <c r="W664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t="s">
        <v>60</v>
      </c>
    </row>
    <row r="665" spans="1:31" x14ac:dyDescent="0.2">
      <c r="A665">
        <v>636</v>
      </c>
      <c r="B665" t="s">
        <v>1972</v>
      </c>
      <c r="C665">
        <v>20</v>
      </c>
      <c r="D665" t="s">
        <v>415</v>
      </c>
      <c r="E665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t="s">
        <v>2807</v>
      </c>
      <c r="W665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t="s">
        <v>60</v>
      </c>
    </row>
    <row r="666" spans="1:31" x14ac:dyDescent="0.2">
      <c r="A666">
        <v>637</v>
      </c>
      <c r="B666" t="s">
        <v>1183</v>
      </c>
      <c r="C666">
        <v>27</v>
      </c>
      <c r="D666" t="s">
        <v>448</v>
      </c>
      <c r="E666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t="s">
        <v>1184</v>
      </c>
      <c r="W666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t="s">
        <v>60</v>
      </c>
    </row>
    <row r="667" spans="1:31" x14ac:dyDescent="0.2">
      <c r="A667">
        <v>638</v>
      </c>
      <c r="B667" t="s">
        <v>1265</v>
      </c>
      <c r="C667">
        <v>35</v>
      </c>
      <c r="D667" t="s">
        <v>359</v>
      </c>
      <c r="E667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t="s">
        <v>2571</v>
      </c>
      <c r="W667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t="s">
        <v>60</v>
      </c>
    </row>
    <row r="668" spans="1:31" x14ac:dyDescent="0.2">
      <c r="A668">
        <v>639</v>
      </c>
      <c r="B668" t="s">
        <v>1186</v>
      </c>
      <c r="C668">
        <v>29</v>
      </c>
      <c r="D668" t="s">
        <v>361</v>
      </c>
      <c r="E668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t="s">
        <v>1187</v>
      </c>
      <c r="W668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t="s">
        <v>60</v>
      </c>
    </row>
    <row r="669" spans="1:31" x14ac:dyDescent="0.2">
      <c r="A669">
        <v>640</v>
      </c>
      <c r="B669" t="s">
        <v>1282</v>
      </c>
      <c r="C669">
        <v>29</v>
      </c>
      <c r="D669" t="s">
        <v>555</v>
      </c>
      <c r="E66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t="s">
        <v>2152</v>
      </c>
      <c r="W66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t="s">
        <v>60</v>
      </c>
    </row>
    <row r="670" spans="1:31" x14ac:dyDescent="0.2">
      <c r="A670">
        <v>641</v>
      </c>
      <c r="B670" t="s">
        <v>1190</v>
      </c>
      <c r="C670">
        <v>29</v>
      </c>
      <c r="D670" t="s">
        <v>324</v>
      </c>
      <c r="E670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t="s">
        <v>1191</v>
      </c>
      <c r="W670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t="s">
        <v>60</v>
      </c>
    </row>
    <row r="671" spans="1:31" x14ac:dyDescent="0.2">
      <c r="A671">
        <v>642</v>
      </c>
      <c r="B671" t="s">
        <v>1194</v>
      </c>
      <c r="C671">
        <v>25</v>
      </c>
      <c r="D671" t="s">
        <v>353</v>
      </c>
      <c r="E671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t="s">
        <v>2572</v>
      </c>
      <c r="W671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t="s">
        <v>60</v>
      </c>
    </row>
    <row r="672" spans="1:31" x14ac:dyDescent="0.2">
      <c r="A672">
        <v>643</v>
      </c>
      <c r="B672" t="s">
        <v>1745</v>
      </c>
      <c r="C672">
        <v>30</v>
      </c>
      <c r="D672" t="s">
        <v>536</v>
      </c>
      <c r="E672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t="s">
        <v>2089</v>
      </c>
      <c r="W672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t="s">
        <v>60</v>
      </c>
    </row>
    <row r="673" spans="1:31" x14ac:dyDescent="0.2">
      <c r="A673">
        <v>644</v>
      </c>
      <c r="B673" t="s">
        <v>1200</v>
      </c>
      <c r="C673">
        <v>34</v>
      </c>
      <c r="D673" t="s">
        <v>359</v>
      </c>
      <c r="E673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t="s">
        <v>2574</v>
      </c>
      <c r="W673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t="s">
        <v>60</v>
      </c>
    </row>
    <row r="674" spans="1:31" x14ac:dyDescent="0.2">
      <c r="A674">
        <v>645</v>
      </c>
      <c r="B674" t="s">
        <v>1292</v>
      </c>
      <c r="C674">
        <v>26</v>
      </c>
      <c r="D674" t="s">
        <v>387</v>
      </c>
      <c r="E674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t="s">
        <v>2808</v>
      </c>
      <c r="W674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t="s">
        <v>60</v>
      </c>
    </row>
    <row r="675" spans="1:31" x14ac:dyDescent="0.2">
      <c r="A675">
        <v>646</v>
      </c>
      <c r="B675" t="s">
        <v>1202</v>
      </c>
      <c r="C675">
        <v>24</v>
      </c>
      <c r="D675" t="s">
        <v>365</v>
      </c>
      <c r="E675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t="s">
        <v>1203</v>
      </c>
      <c r="W675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t="s">
        <v>60</v>
      </c>
    </row>
    <row r="676" spans="1:31" x14ac:dyDescent="0.2">
      <c r="A676">
        <v>647</v>
      </c>
      <c r="B676" t="s">
        <v>1206</v>
      </c>
      <c r="C676">
        <v>28</v>
      </c>
      <c r="D676" t="s">
        <v>337</v>
      </c>
      <c r="E676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t="s">
        <v>2090</v>
      </c>
      <c r="W676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t="s">
        <v>60</v>
      </c>
    </row>
    <row r="677" spans="1:31" x14ac:dyDescent="0.2">
      <c r="A677">
        <v>648</v>
      </c>
      <c r="B677" t="s">
        <v>1207</v>
      </c>
      <c r="C677">
        <v>25</v>
      </c>
      <c r="D677" t="s">
        <v>356</v>
      </c>
      <c r="E677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t="s">
        <v>1208</v>
      </c>
      <c r="W677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t="s">
        <v>60</v>
      </c>
    </row>
    <row r="678" spans="1:31" x14ac:dyDescent="0.2">
      <c r="A678">
        <v>649</v>
      </c>
      <c r="B678" t="s">
        <v>1309</v>
      </c>
      <c r="C678">
        <v>30</v>
      </c>
      <c r="D678" t="s">
        <v>378</v>
      </c>
      <c r="E678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t="s">
        <v>1853</v>
      </c>
      <c r="W678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t="s">
        <v>60</v>
      </c>
    </row>
    <row r="679" spans="1:31" x14ac:dyDescent="0.2">
      <c r="A679">
        <v>650</v>
      </c>
      <c r="B679" t="s">
        <v>1490</v>
      </c>
      <c r="C679">
        <v>24</v>
      </c>
      <c r="D679" t="s">
        <v>344</v>
      </c>
      <c r="E67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t="s">
        <v>2575</v>
      </c>
      <c r="W67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t="s">
        <v>60</v>
      </c>
    </row>
    <row r="680" spans="1:31" x14ac:dyDescent="0.2">
      <c r="A680">
        <v>651</v>
      </c>
      <c r="B680" t="s">
        <v>1310</v>
      </c>
      <c r="C680">
        <v>23</v>
      </c>
      <c r="D680" t="s">
        <v>359</v>
      </c>
      <c r="E680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t="s">
        <v>1821</v>
      </c>
      <c r="W680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t="s">
        <v>60</v>
      </c>
    </row>
    <row r="681" spans="1:31" x14ac:dyDescent="0.2">
      <c r="A681">
        <v>652</v>
      </c>
      <c r="B681" t="s">
        <v>1495</v>
      </c>
      <c r="C681">
        <v>23</v>
      </c>
      <c r="D681" t="s">
        <v>324</v>
      </c>
      <c r="E681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t="s">
        <v>2576</v>
      </c>
      <c r="W681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t="s">
        <v>60</v>
      </c>
    </row>
    <row r="682" spans="1:31" x14ac:dyDescent="0.2">
      <c r="A682">
        <v>653</v>
      </c>
      <c r="B682" t="s">
        <v>1209</v>
      </c>
      <c r="C682">
        <v>29</v>
      </c>
      <c r="D682" t="s">
        <v>328</v>
      </c>
      <c r="E682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t="s">
        <v>1210</v>
      </c>
      <c r="W682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t="s">
        <v>60</v>
      </c>
    </row>
    <row r="683" spans="1:31" x14ac:dyDescent="0.2">
      <c r="A683">
        <v>654</v>
      </c>
      <c r="B683" t="s">
        <v>1212</v>
      </c>
      <c r="C683">
        <v>25</v>
      </c>
      <c r="D683" t="s">
        <v>536</v>
      </c>
      <c r="E683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t="s">
        <v>1822</v>
      </c>
      <c r="W683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t="s">
        <v>60</v>
      </c>
    </row>
    <row r="684" spans="1:31" x14ac:dyDescent="0.2">
      <c r="A684">
        <v>655</v>
      </c>
      <c r="B684" t="s">
        <v>1215</v>
      </c>
      <c r="C684">
        <v>32</v>
      </c>
      <c r="D684" t="s">
        <v>1022</v>
      </c>
      <c r="E684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t="s">
        <v>1729</v>
      </c>
      <c r="W684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t="s">
        <v>60</v>
      </c>
    </row>
    <row r="685" spans="1:31" x14ac:dyDescent="0.2">
      <c r="A685">
        <v>655</v>
      </c>
      <c r="B685" t="s">
        <v>1215</v>
      </c>
      <c r="C685">
        <v>32</v>
      </c>
      <c r="D685" t="s">
        <v>328</v>
      </c>
      <c r="E685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t="s">
        <v>1740</v>
      </c>
      <c r="W685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t="s">
        <v>60</v>
      </c>
    </row>
    <row r="686" spans="1:31" x14ac:dyDescent="0.2">
      <c r="A686">
        <v>655</v>
      </c>
      <c r="B686" t="s">
        <v>1215</v>
      </c>
      <c r="C686">
        <v>32</v>
      </c>
      <c r="D686" t="s">
        <v>378</v>
      </c>
      <c r="E686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t="s">
        <v>2809</v>
      </c>
      <c r="W686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t="s">
        <v>60</v>
      </c>
    </row>
    <row r="687" spans="1:31" x14ac:dyDescent="0.2">
      <c r="A687">
        <v>656</v>
      </c>
      <c r="B687" t="s">
        <v>1326</v>
      </c>
      <c r="C687">
        <v>30</v>
      </c>
      <c r="D687" t="s">
        <v>330</v>
      </c>
      <c r="E687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t="s">
        <v>2810</v>
      </c>
      <c r="W687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t="s">
        <v>60</v>
      </c>
    </row>
    <row r="688" spans="1:31" x14ac:dyDescent="0.2">
      <c r="A688">
        <v>657</v>
      </c>
      <c r="B688" t="s">
        <v>1527</v>
      </c>
      <c r="C688">
        <v>30</v>
      </c>
      <c r="D688" t="s">
        <v>404</v>
      </c>
      <c r="E688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t="s">
        <v>1876</v>
      </c>
      <c r="W688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t="s">
        <v>60</v>
      </c>
    </row>
    <row r="689" spans="1:31" x14ac:dyDescent="0.2">
      <c r="A689">
        <v>658</v>
      </c>
      <c r="B689" t="s">
        <v>1218</v>
      </c>
      <c r="C689">
        <v>30</v>
      </c>
      <c r="D689" t="s">
        <v>328</v>
      </c>
      <c r="E68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t="s">
        <v>2049</v>
      </c>
      <c r="W68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t="s">
        <v>60</v>
      </c>
    </row>
    <row r="690" spans="1:31" x14ac:dyDescent="0.2">
      <c r="A690">
        <v>659</v>
      </c>
      <c r="B690" t="s">
        <v>1220</v>
      </c>
      <c r="C690">
        <v>22</v>
      </c>
      <c r="D690" t="s">
        <v>402</v>
      </c>
      <c r="E690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t="s">
        <v>1221</v>
      </c>
      <c r="W690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t="s">
        <v>60</v>
      </c>
    </row>
    <row r="691" spans="1:31" x14ac:dyDescent="0.2">
      <c r="A691">
        <v>660</v>
      </c>
      <c r="B691" t="s">
        <v>1222</v>
      </c>
      <c r="C691">
        <v>21</v>
      </c>
      <c r="D691" t="s">
        <v>461</v>
      </c>
      <c r="E691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t="s">
        <v>1223</v>
      </c>
      <c r="W691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t="s">
        <v>60</v>
      </c>
    </row>
    <row r="692" spans="1:31" x14ac:dyDescent="0.2">
      <c r="A692">
        <v>661</v>
      </c>
      <c r="B692" t="s">
        <v>1335</v>
      </c>
      <c r="C692">
        <v>26</v>
      </c>
      <c r="D692" t="s">
        <v>426</v>
      </c>
      <c r="E692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t="s">
        <v>1974</v>
      </c>
      <c r="W692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t="s">
        <v>60</v>
      </c>
    </row>
    <row r="693" spans="1:31" x14ac:dyDescent="0.2">
      <c r="A693">
        <v>662</v>
      </c>
      <c r="B693" t="s">
        <v>1337</v>
      </c>
      <c r="C693">
        <v>22</v>
      </c>
      <c r="D693" t="s">
        <v>536</v>
      </c>
      <c r="E693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t="s">
        <v>2577</v>
      </c>
      <c r="W693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t="s">
        <v>60</v>
      </c>
    </row>
    <row r="694" spans="1:31" x14ac:dyDescent="0.2">
      <c r="A694">
        <v>663</v>
      </c>
      <c r="B694" t="s">
        <v>1227</v>
      </c>
      <c r="C694">
        <v>29</v>
      </c>
      <c r="D694" t="s">
        <v>429</v>
      </c>
      <c r="E694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t="s">
        <v>1806</v>
      </c>
      <c r="W694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t="s">
        <v>60</v>
      </c>
    </row>
    <row r="695" spans="1:31" x14ac:dyDescent="0.2">
      <c r="A695">
        <v>664</v>
      </c>
      <c r="B695" t="s">
        <v>1228</v>
      </c>
      <c r="C695">
        <v>36</v>
      </c>
      <c r="D695" t="s">
        <v>404</v>
      </c>
      <c r="E695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t="s">
        <v>2154</v>
      </c>
      <c r="W695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t="s">
        <v>60</v>
      </c>
    </row>
    <row r="696" spans="1:31" x14ac:dyDescent="0.2">
      <c r="A696">
        <v>665</v>
      </c>
      <c r="B696" t="s">
        <v>1746</v>
      </c>
      <c r="C696">
        <v>27</v>
      </c>
      <c r="D696" t="s">
        <v>536</v>
      </c>
      <c r="E696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t="s">
        <v>1808</v>
      </c>
      <c r="W696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t="s">
        <v>60</v>
      </c>
    </row>
    <row r="697" spans="1:31" x14ac:dyDescent="0.2">
      <c r="A697">
        <v>666</v>
      </c>
      <c r="B697" t="s">
        <v>1341</v>
      </c>
      <c r="C697">
        <v>35</v>
      </c>
      <c r="D697" t="s">
        <v>344</v>
      </c>
      <c r="E697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t="s">
        <v>2578</v>
      </c>
      <c r="W697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t="s">
        <v>60</v>
      </c>
    </row>
    <row r="698" spans="1:31" x14ac:dyDescent="0.2">
      <c r="A698">
        <v>667</v>
      </c>
      <c r="B698" t="s">
        <v>1349</v>
      </c>
      <c r="C698">
        <v>29</v>
      </c>
      <c r="D698" t="s">
        <v>361</v>
      </c>
      <c r="E698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t="s">
        <v>2811</v>
      </c>
      <c r="W698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t="s">
        <v>60</v>
      </c>
    </row>
    <row r="699" spans="1:31" x14ac:dyDescent="0.2">
      <c r="A699">
        <v>668</v>
      </c>
      <c r="B699" t="s">
        <v>1350</v>
      </c>
      <c r="C699">
        <v>20</v>
      </c>
      <c r="D699" t="s">
        <v>402</v>
      </c>
      <c r="E69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t="s">
        <v>2156</v>
      </c>
      <c r="W69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t="s">
        <v>60</v>
      </c>
    </row>
    <row r="700" spans="1:31" x14ac:dyDescent="0.2">
      <c r="A700">
        <v>669</v>
      </c>
      <c r="B700" t="s">
        <v>1232</v>
      </c>
      <c r="C700">
        <v>26</v>
      </c>
      <c r="D700" t="s">
        <v>324</v>
      </c>
      <c r="E700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t="s">
        <v>1233</v>
      </c>
      <c r="W700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t="s">
        <v>60</v>
      </c>
    </row>
    <row r="701" spans="1:31" x14ac:dyDescent="0.2">
      <c r="A701">
        <v>670</v>
      </c>
      <c r="B701" t="s">
        <v>1236</v>
      </c>
      <c r="C701">
        <v>24</v>
      </c>
      <c r="D701" t="s">
        <v>375</v>
      </c>
      <c r="E701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t="s">
        <v>1237</v>
      </c>
      <c r="W701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t="s">
        <v>60</v>
      </c>
    </row>
    <row r="702" spans="1:31" x14ac:dyDescent="0.2">
      <c r="A702">
        <v>671</v>
      </c>
      <c r="B702" t="s">
        <v>1239</v>
      </c>
      <c r="C702">
        <v>24</v>
      </c>
      <c r="D702" t="s">
        <v>1022</v>
      </c>
      <c r="E702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t="s">
        <v>1240</v>
      </c>
      <c r="W702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t="s">
        <v>60</v>
      </c>
    </row>
    <row r="703" spans="1:31" x14ac:dyDescent="0.2">
      <c r="A703">
        <v>671</v>
      </c>
      <c r="B703" t="s">
        <v>1239</v>
      </c>
      <c r="C703">
        <v>24</v>
      </c>
      <c r="D703" t="s">
        <v>426</v>
      </c>
      <c r="E703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t="s">
        <v>1241</v>
      </c>
      <c r="W703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t="s">
        <v>60</v>
      </c>
    </row>
    <row r="704" spans="1:31" x14ac:dyDescent="0.2">
      <c r="A704">
        <v>671</v>
      </c>
      <c r="B704" t="s">
        <v>1239</v>
      </c>
      <c r="C704">
        <v>24</v>
      </c>
      <c r="D704" t="s">
        <v>375</v>
      </c>
      <c r="E704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t="s">
        <v>1243</v>
      </c>
      <c r="W704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t="s">
        <v>60</v>
      </c>
    </row>
    <row r="705" spans="1:31" x14ac:dyDescent="0.2">
      <c r="A705">
        <v>672</v>
      </c>
      <c r="B705" t="s">
        <v>1244</v>
      </c>
      <c r="C705">
        <v>28</v>
      </c>
      <c r="D705" t="s">
        <v>404</v>
      </c>
      <c r="E705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t="s">
        <v>2579</v>
      </c>
      <c r="W705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t="s">
        <v>60</v>
      </c>
    </row>
    <row r="706" spans="1:31" x14ac:dyDescent="0.2">
      <c r="A706">
        <v>673</v>
      </c>
      <c r="B706" t="s">
        <v>1370</v>
      </c>
      <c r="C706">
        <v>24</v>
      </c>
      <c r="D706" t="s">
        <v>378</v>
      </c>
      <c r="E706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t="s">
        <v>2812</v>
      </c>
      <c r="W706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t="s">
        <v>60</v>
      </c>
    </row>
    <row r="707" spans="1:31" x14ac:dyDescent="0.2">
      <c r="A707">
        <v>674</v>
      </c>
      <c r="B707" t="s">
        <v>1373</v>
      </c>
      <c r="C707">
        <v>23</v>
      </c>
      <c r="D707" t="s">
        <v>330</v>
      </c>
      <c r="E707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t="s">
        <v>2813</v>
      </c>
      <c r="W707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t="s">
        <v>60</v>
      </c>
    </row>
    <row r="708" spans="1:31" x14ac:dyDescent="0.2">
      <c r="A708">
        <v>675</v>
      </c>
      <c r="B708" t="s">
        <v>1246</v>
      </c>
      <c r="C708">
        <v>36</v>
      </c>
      <c r="D708" t="s">
        <v>384</v>
      </c>
      <c r="E708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t="s">
        <v>2815</v>
      </c>
      <c r="W708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t="s">
        <v>60</v>
      </c>
    </row>
    <row r="709" spans="1:31" x14ac:dyDescent="0.2">
      <c r="A709">
        <v>676</v>
      </c>
      <c r="B709" t="s">
        <v>1837</v>
      </c>
      <c r="C709">
        <v>26</v>
      </c>
      <c r="D709" t="s">
        <v>378</v>
      </c>
      <c r="E70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t="s">
        <v>2816</v>
      </c>
      <c r="W70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t="s">
        <v>60</v>
      </c>
    </row>
    <row r="710" spans="1:31" x14ac:dyDescent="0.2">
      <c r="A710">
        <v>677</v>
      </c>
      <c r="B710" t="s">
        <v>1248</v>
      </c>
      <c r="C710">
        <v>36</v>
      </c>
      <c r="D710" t="s">
        <v>361</v>
      </c>
      <c r="E710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t="s">
        <v>2817</v>
      </c>
      <c r="W710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t="s">
        <v>60</v>
      </c>
    </row>
    <row r="711" spans="1:31" x14ac:dyDescent="0.2">
      <c r="A711">
        <v>678</v>
      </c>
      <c r="B711" t="s">
        <v>1249</v>
      </c>
      <c r="C711">
        <v>26</v>
      </c>
      <c r="D711" t="s">
        <v>536</v>
      </c>
      <c r="E711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t="s">
        <v>2580</v>
      </c>
      <c r="W711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t="s">
        <v>60</v>
      </c>
    </row>
    <row r="712" spans="1:31" x14ac:dyDescent="0.2">
      <c r="A712">
        <v>679</v>
      </c>
      <c r="B712" t="s">
        <v>1251</v>
      </c>
      <c r="C712">
        <v>24</v>
      </c>
      <c r="D712" t="s">
        <v>387</v>
      </c>
      <c r="E712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t="s">
        <v>2818</v>
      </c>
      <c r="W712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t="s">
        <v>60</v>
      </c>
    </row>
    <row r="713" spans="1:31" x14ac:dyDescent="0.2">
      <c r="A713">
        <v>680</v>
      </c>
      <c r="B713" t="s">
        <v>1389</v>
      </c>
      <c r="C713">
        <v>25</v>
      </c>
      <c r="D713" t="s">
        <v>365</v>
      </c>
      <c r="E713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t="s">
        <v>2819</v>
      </c>
      <c r="W713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t="s">
        <v>60</v>
      </c>
    </row>
    <row r="714" spans="1:31" x14ac:dyDescent="0.2">
      <c r="A714">
        <v>681</v>
      </c>
      <c r="B714" t="s">
        <v>1257</v>
      </c>
      <c r="C714">
        <v>28</v>
      </c>
      <c r="D714" t="s">
        <v>321</v>
      </c>
      <c r="E714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t="s">
        <v>1258</v>
      </c>
      <c r="W714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t="s">
        <v>60</v>
      </c>
    </row>
    <row r="715" spans="1:31" x14ac:dyDescent="0.2">
      <c r="A715">
        <v>682</v>
      </c>
      <c r="B715" t="s">
        <v>1259</v>
      </c>
      <c r="C715">
        <v>26</v>
      </c>
      <c r="D715" t="s">
        <v>356</v>
      </c>
      <c r="E715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t="s">
        <v>1515</v>
      </c>
      <c r="W715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t="s">
        <v>60</v>
      </c>
    </row>
    <row r="716" spans="1:31" x14ac:dyDescent="0.2">
      <c r="A716">
        <v>683</v>
      </c>
      <c r="B716" t="s">
        <v>1787</v>
      </c>
      <c r="C716">
        <v>29</v>
      </c>
      <c r="D716" t="s">
        <v>359</v>
      </c>
      <c r="E716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t="s">
        <v>1854</v>
      </c>
      <c r="W716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t="s">
        <v>60</v>
      </c>
    </row>
    <row r="717" spans="1:31" x14ac:dyDescent="0.2">
      <c r="A717">
        <v>684</v>
      </c>
      <c r="B717" t="s">
        <v>1405</v>
      </c>
      <c r="C717">
        <v>21</v>
      </c>
      <c r="D717" t="s">
        <v>365</v>
      </c>
      <c r="E717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t="s">
        <v>2053</v>
      </c>
      <c r="W717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t="s">
        <v>60</v>
      </c>
    </row>
    <row r="718" spans="1:31" x14ac:dyDescent="0.2">
      <c r="A718">
        <v>685</v>
      </c>
      <c r="B718" t="s">
        <v>1260</v>
      </c>
      <c r="C718">
        <v>25</v>
      </c>
      <c r="D718" t="s">
        <v>373</v>
      </c>
      <c r="E718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t="s">
        <v>2820</v>
      </c>
      <c r="W718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t="s">
        <v>60</v>
      </c>
    </row>
    <row r="719" spans="1:31" x14ac:dyDescent="0.2">
      <c r="A719">
        <v>686</v>
      </c>
      <c r="B719" t="s">
        <v>1261</v>
      </c>
      <c r="C719">
        <v>32</v>
      </c>
      <c r="D719" t="s">
        <v>536</v>
      </c>
      <c r="E7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t="s">
        <v>2092</v>
      </c>
      <c r="W7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t="s">
        <v>60</v>
      </c>
    </row>
    <row r="720" spans="1:31" x14ac:dyDescent="0.2">
      <c r="A720">
        <v>687</v>
      </c>
      <c r="B720" t="s">
        <v>1262</v>
      </c>
      <c r="C720">
        <v>31</v>
      </c>
      <c r="D720" t="s">
        <v>461</v>
      </c>
      <c r="E720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t="s">
        <v>1263</v>
      </c>
      <c r="W720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t="s">
        <v>60</v>
      </c>
    </row>
    <row r="721" spans="1:31" x14ac:dyDescent="0.2">
      <c r="A721">
        <v>688</v>
      </c>
      <c r="B721" t="s">
        <v>1264</v>
      </c>
      <c r="C721">
        <v>37</v>
      </c>
      <c r="D721" t="s">
        <v>375</v>
      </c>
      <c r="E721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t="s">
        <v>2581</v>
      </c>
      <c r="W721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t="s">
        <v>60</v>
      </c>
    </row>
    <row r="722" spans="1:31" x14ac:dyDescent="0.2">
      <c r="A722">
        <v>689</v>
      </c>
      <c r="B722" t="s">
        <v>1266</v>
      </c>
      <c r="C722">
        <v>25</v>
      </c>
      <c r="D722" t="s">
        <v>387</v>
      </c>
      <c r="E722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t="s">
        <v>1877</v>
      </c>
      <c r="W722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t="s">
        <v>60</v>
      </c>
    </row>
    <row r="723" spans="1:31" x14ac:dyDescent="0.2">
      <c r="A723">
        <v>690</v>
      </c>
      <c r="B723" t="s">
        <v>1267</v>
      </c>
      <c r="C723">
        <v>20</v>
      </c>
      <c r="D723" t="s">
        <v>373</v>
      </c>
      <c r="E723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t="s">
        <v>1268</v>
      </c>
      <c r="W723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t="s">
        <v>60</v>
      </c>
    </row>
    <row r="724" spans="1:31" x14ac:dyDescent="0.2">
      <c r="A724">
        <v>691</v>
      </c>
      <c r="B724" t="s">
        <v>1269</v>
      </c>
      <c r="C724">
        <v>19</v>
      </c>
      <c r="D724" t="s">
        <v>378</v>
      </c>
      <c r="E724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t="s">
        <v>1016</v>
      </c>
      <c r="W724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t="s">
        <v>60</v>
      </c>
    </row>
    <row r="725" spans="1:31" x14ac:dyDescent="0.2">
      <c r="A725">
        <v>692</v>
      </c>
      <c r="B725" t="s">
        <v>1271</v>
      </c>
      <c r="C725">
        <v>27</v>
      </c>
      <c r="D725" t="s">
        <v>402</v>
      </c>
      <c r="E725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t="s">
        <v>2582</v>
      </c>
      <c r="W725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t="s">
        <v>60</v>
      </c>
    </row>
    <row r="726" spans="1:31" x14ac:dyDescent="0.2">
      <c r="A726">
        <v>693</v>
      </c>
      <c r="B726" t="s">
        <v>1272</v>
      </c>
      <c r="C726">
        <v>23</v>
      </c>
      <c r="D726" t="s">
        <v>324</v>
      </c>
      <c r="E726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t="s">
        <v>2158</v>
      </c>
      <c r="W726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t="s">
        <v>60</v>
      </c>
    </row>
    <row r="727" spans="1:31" x14ac:dyDescent="0.2">
      <c r="A727">
        <v>694</v>
      </c>
      <c r="B727" t="s">
        <v>1275</v>
      </c>
      <c r="C727">
        <v>27</v>
      </c>
      <c r="D727" t="s">
        <v>404</v>
      </c>
      <c r="E727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t="s">
        <v>1800</v>
      </c>
      <c r="W727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t="s">
        <v>60</v>
      </c>
    </row>
    <row r="728" spans="1:31" x14ac:dyDescent="0.2">
      <c r="A728">
        <v>695</v>
      </c>
      <c r="B728" t="s">
        <v>1276</v>
      </c>
      <c r="C728">
        <v>26</v>
      </c>
      <c r="D728" t="s">
        <v>384</v>
      </c>
      <c r="E728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t="s">
        <v>2821</v>
      </c>
      <c r="W728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t="s">
        <v>60</v>
      </c>
    </row>
    <row r="729" spans="1:31" x14ac:dyDescent="0.2">
      <c r="A729">
        <v>696</v>
      </c>
      <c r="B729" t="s">
        <v>1277</v>
      </c>
      <c r="C729">
        <v>20</v>
      </c>
      <c r="D729" t="s">
        <v>328</v>
      </c>
      <c r="E72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t="s">
        <v>1278</v>
      </c>
      <c r="W72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t="s">
        <v>60</v>
      </c>
    </row>
    <row r="730" spans="1:31" x14ac:dyDescent="0.2">
      <c r="A730">
        <v>697</v>
      </c>
      <c r="B730" t="s">
        <v>1280</v>
      </c>
      <c r="C730">
        <v>24</v>
      </c>
      <c r="D730" t="s">
        <v>337</v>
      </c>
      <c r="E730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t="s">
        <v>1281</v>
      </c>
      <c r="W730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t="s">
        <v>60</v>
      </c>
    </row>
    <row r="731" spans="1:31" x14ac:dyDescent="0.2">
      <c r="A731">
        <v>698</v>
      </c>
      <c r="B731" t="s">
        <v>1427</v>
      </c>
      <c r="C731">
        <v>26</v>
      </c>
      <c r="D731" t="s">
        <v>404</v>
      </c>
      <c r="E731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t="s">
        <v>1879</v>
      </c>
      <c r="W731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t="s">
        <v>60</v>
      </c>
    </row>
    <row r="732" spans="1:31" x14ac:dyDescent="0.2">
      <c r="A732">
        <v>699</v>
      </c>
      <c r="B732" t="s">
        <v>1284</v>
      </c>
      <c r="C732">
        <v>23</v>
      </c>
      <c r="D732" t="s">
        <v>365</v>
      </c>
      <c r="E732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t="s">
        <v>1742</v>
      </c>
      <c r="W732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t="s">
        <v>60</v>
      </c>
    </row>
    <row r="733" spans="1:31" x14ac:dyDescent="0.2">
      <c r="A733">
        <v>700</v>
      </c>
      <c r="B733" t="s">
        <v>1286</v>
      </c>
      <c r="C733">
        <v>22</v>
      </c>
      <c r="D733" t="s">
        <v>384</v>
      </c>
      <c r="E733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t="s">
        <v>2094</v>
      </c>
      <c r="W733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t="s">
        <v>60</v>
      </c>
    </row>
    <row r="734" spans="1:31" x14ac:dyDescent="0.2">
      <c r="A734">
        <v>701</v>
      </c>
      <c r="B734" t="s">
        <v>1435</v>
      </c>
      <c r="C734">
        <v>30</v>
      </c>
      <c r="D734" t="s">
        <v>461</v>
      </c>
      <c r="E734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t="s">
        <v>2583</v>
      </c>
      <c r="W734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t="s">
        <v>60</v>
      </c>
    </row>
    <row r="735" spans="1:31" x14ac:dyDescent="0.2">
      <c r="A735">
        <v>702</v>
      </c>
      <c r="B735" t="s">
        <v>1287</v>
      </c>
      <c r="C735">
        <v>25</v>
      </c>
      <c r="D735" t="s">
        <v>439</v>
      </c>
      <c r="E735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t="s">
        <v>1743</v>
      </c>
      <c r="W735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t="s">
        <v>60</v>
      </c>
    </row>
    <row r="736" spans="1:31" x14ac:dyDescent="0.2">
      <c r="A736">
        <v>703</v>
      </c>
      <c r="B736" t="s">
        <v>1288</v>
      </c>
      <c r="C736">
        <v>27</v>
      </c>
      <c r="D736" t="s">
        <v>555</v>
      </c>
      <c r="E736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t="s">
        <v>2822</v>
      </c>
      <c r="W736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t="s">
        <v>60</v>
      </c>
    </row>
    <row r="737" spans="1:31" x14ac:dyDescent="0.2">
      <c r="A737">
        <v>704</v>
      </c>
      <c r="B737" t="s">
        <v>1289</v>
      </c>
      <c r="C737">
        <v>25</v>
      </c>
      <c r="D737" t="s">
        <v>346</v>
      </c>
      <c r="E737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t="s">
        <v>1290</v>
      </c>
      <c r="W737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t="s">
        <v>60</v>
      </c>
    </row>
    <row r="738" spans="1:31" x14ac:dyDescent="0.2">
      <c r="A738">
        <v>705</v>
      </c>
      <c r="B738" t="s">
        <v>1294</v>
      </c>
      <c r="C738">
        <v>21</v>
      </c>
      <c r="D738" t="s">
        <v>353</v>
      </c>
      <c r="E738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t="s">
        <v>1295</v>
      </c>
      <c r="W738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t="s">
        <v>60</v>
      </c>
    </row>
    <row r="739" spans="1:31" x14ac:dyDescent="0.2">
      <c r="A739">
        <v>706</v>
      </c>
      <c r="B739" t="s">
        <v>1296</v>
      </c>
      <c r="C739">
        <v>32</v>
      </c>
      <c r="D739" t="s">
        <v>373</v>
      </c>
      <c r="E73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t="s">
        <v>2585</v>
      </c>
      <c r="W73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t="s">
        <v>60</v>
      </c>
    </row>
    <row r="740" spans="1:31" x14ac:dyDescent="0.2">
      <c r="A740">
        <v>707</v>
      </c>
      <c r="B740" t="s">
        <v>1297</v>
      </c>
      <c r="C740">
        <v>26</v>
      </c>
      <c r="D740" t="s">
        <v>324</v>
      </c>
      <c r="E740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t="s">
        <v>1298</v>
      </c>
      <c r="W740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t="s">
        <v>60</v>
      </c>
    </row>
    <row r="741" spans="1:31" x14ac:dyDescent="0.2">
      <c r="A741">
        <v>708</v>
      </c>
      <c r="B741" t="s">
        <v>1300</v>
      </c>
      <c r="C741">
        <v>30</v>
      </c>
      <c r="D741" t="s">
        <v>378</v>
      </c>
      <c r="E741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t="s">
        <v>1801</v>
      </c>
      <c r="W741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t="s">
        <v>60</v>
      </c>
    </row>
    <row r="742" spans="1:31" x14ac:dyDescent="0.2">
      <c r="A742">
        <v>709</v>
      </c>
      <c r="B742" t="s">
        <v>1302</v>
      </c>
      <c r="C742">
        <v>19</v>
      </c>
      <c r="D742" t="s">
        <v>448</v>
      </c>
      <c r="E742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t="s">
        <v>1303</v>
      </c>
      <c r="W742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t="s">
        <v>60</v>
      </c>
    </row>
    <row r="743" spans="1:31" x14ac:dyDescent="0.2">
      <c r="A743">
        <v>710</v>
      </c>
      <c r="B743" t="s">
        <v>2823</v>
      </c>
      <c r="C743">
        <v>24</v>
      </c>
      <c r="D743" t="s">
        <v>353</v>
      </c>
      <c r="E743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t="s">
        <v>1934</v>
      </c>
      <c r="W743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t="s">
        <v>60</v>
      </c>
    </row>
    <row r="744" spans="1:31" x14ac:dyDescent="0.2">
      <c r="A744">
        <v>711</v>
      </c>
      <c r="B744" t="s">
        <v>1305</v>
      </c>
      <c r="C744">
        <v>27</v>
      </c>
      <c r="D744" t="s">
        <v>404</v>
      </c>
      <c r="E744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t="s">
        <v>1306</v>
      </c>
      <c r="W744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t="s">
        <v>60</v>
      </c>
    </row>
    <row r="745" spans="1:31" x14ac:dyDescent="0.2">
      <c r="A745">
        <v>712</v>
      </c>
      <c r="B745" t="s">
        <v>1308</v>
      </c>
      <c r="C745">
        <v>35</v>
      </c>
      <c r="D745" t="s">
        <v>373</v>
      </c>
      <c r="E745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t="s">
        <v>2054</v>
      </c>
      <c r="W745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t="s">
        <v>60</v>
      </c>
    </row>
    <row r="746" spans="1:31" x14ac:dyDescent="0.2">
      <c r="A746">
        <v>713</v>
      </c>
      <c r="B746" t="s">
        <v>1834</v>
      </c>
      <c r="C746">
        <v>24</v>
      </c>
      <c r="D746" t="s">
        <v>328</v>
      </c>
      <c r="E746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t="s">
        <v>1943</v>
      </c>
      <c r="W746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t="s">
        <v>60</v>
      </c>
    </row>
    <row r="747" spans="1:31" x14ac:dyDescent="0.2">
      <c r="A747">
        <v>714</v>
      </c>
      <c r="B747" t="s">
        <v>1311</v>
      </c>
      <c r="C747">
        <v>23</v>
      </c>
      <c r="D747" t="s">
        <v>321</v>
      </c>
      <c r="E747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t="s">
        <v>1312</v>
      </c>
      <c r="W747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t="s">
        <v>60</v>
      </c>
    </row>
    <row r="748" spans="1:31" x14ac:dyDescent="0.2">
      <c r="A748">
        <v>715</v>
      </c>
      <c r="B748" t="s">
        <v>1314</v>
      </c>
      <c r="C748">
        <v>28</v>
      </c>
      <c r="D748" t="s">
        <v>378</v>
      </c>
      <c r="E748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t="s">
        <v>1315</v>
      </c>
      <c r="W748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t="s">
        <v>60</v>
      </c>
    </row>
    <row r="749" spans="1:31" x14ac:dyDescent="0.2">
      <c r="A749">
        <v>716</v>
      </c>
      <c r="B749" t="s">
        <v>1802</v>
      </c>
      <c r="C749">
        <v>27</v>
      </c>
      <c r="D749" t="s">
        <v>328</v>
      </c>
      <c r="E74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t="s">
        <v>2587</v>
      </c>
      <c r="W74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t="s">
        <v>60</v>
      </c>
    </row>
    <row r="750" spans="1:31" x14ac:dyDescent="0.2">
      <c r="A750">
        <v>717</v>
      </c>
      <c r="B750" t="s">
        <v>1317</v>
      </c>
      <c r="C750">
        <v>26</v>
      </c>
      <c r="D750" t="s">
        <v>461</v>
      </c>
      <c r="E750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t="s">
        <v>1318</v>
      </c>
      <c r="W750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t="s">
        <v>60</v>
      </c>
    </row>
    <row r="751" spans="1:31" x14ac:dyDescent="0.2">
      <c r="A751">
        <v>718</v>
      </c>
      <c r="B751" t="s">
        <v>1320</v>
      </c>
      <c r="C751">
        <v>24</v>
      </c>
      <c r="D751" t="s">
        <v>426</v>
      </c>
      <c r="E751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t="s">
        <v>915</v>
      </c>
      <c r="W751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t="s">
        <v>60</v>
      </c>
    </row>
    <row r="752" spans="1:31" x14ac:dyDescent="0.2">
      <c r="A752">
        <v>719</v>
      </c>
      <c r="B752" t="s">
        <v>1503</v>
      </c>
      <c r="C752">
        <v>31</v>
      </c>
      <c r="D752" t="s">
        <v>461</v>
      </c>
      <c r="E752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t="s">
        <v>2589</v>
      </c>
      <c r="W752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t="s">
        <v>60</v>
      </c>
    </row>
    <row r="753" spans="1:31" x14ac:dyDescent="0.2">
      <c r="A753">
        <v>720</v>
      </c>
      <c r="B753" t="s">
        <v>1883</v>
      </c>
      <c r="C753">
        <v>31</v>
      </c>
      <c r="D753" t="s">
        <v>412</v>
      </c>
      <c r="E753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t="s">
        <v>2160</v>
      </c>
      <c r="W753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t="s">
        <v>60</v>
      </c>
    </row>
    <row r="754" spans="1:31" x14ac:dyDescent="0.2">
      <c r="A754">
        <v>721</v>
      </c>
      <c r="B754" t="s">
        <v>1790</v>
      </c>
      <c r="C754">
        <v>27</v>
      </c>
      <c r="D754" t="s">
        <v>359</v>
      </c>
      <c r="E754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t="s">
        <v>1856</v>
      </c>
      <c r="W754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t="s">
        <v>60</v>
      </c>
    </row>
    <row r="755" spans="1:31" x14ac:dyDescent="0.2">
      <c r="A755">
        <v>722</v>
      </c>
      <c r="B755" t="s">
        <v>1321</v>
      </c>
      <c r="C755">
        <v>29</v>
      </c>
      <c r="D755" t="s">
        <v>448</v>
      </c>
      <c r="E755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t="s">
        <v>1982</v>
      </c>
      <c r="W755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t="s">
        <v>60</v>
      </c>
    </row>
    <row r="756" spans="1:31" x14ac:dyDescent="0.2">
      <c r="A756">
        <v>723</v>
      </c>
      <c r="B756" t="s">
        <v>1322</v>
      </c>
      <c r="C756">
        <v>24</v>
      </c>
      <c r="D756" t="s">
        <v>330</v>
      </c>
      <c r="E756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t="s">
        <v>2824</v>
      </c>
      <c r="W756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t="s">
        <v>60</v>
      </c>
    </row>
    <row r="757" spans="1:31" x14ac:dyDescent="0.2">
      <c r="A757">
        <v>724</v>
      </c>
      <c r="B757" t="s">
        <v>1323</v>
      </c>
      <c r="C757">
        <v>27</v>
      </c>
      <c r="D757" t="s">
        <v>378</v>
      </c>
      <c r="E757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t="s">
        <v>1324</v>
      </c>
      <c r="W757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t="s">
        <v>60</v>
      </c>
    </row>
    <row r="758" spans="1:31" x14ac:dyDescent="0.2">
      <c r="A758">
        <v>725</v>
      </c>
      <c r="B758" t="s">
        <v>1327</v>
      </c>
      <c r="C758">
        <v>27</v>
      </c>
      <c r="D758" t="s">
        <v>365</v>
      </c>
      <c r="E758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t="s">
        <v>1328</v>
      </c>
      <c r="W758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t="s">
        <v>60</v>
      </c>
    </row>
    <row r="759" spans="1:31" x14ac:dyDescent="0.2">
      <c r="A759">
        <v>726</v>
      </c>
      <c r="B759" t="s">
        <v>1329</v>
      </c>
      <c r="C759">
        <v>22</v>
      </c>
      <c r="D759" t="s">
        <v>346</v>
      </c>
      <c r="E75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t="s">
        <v>1330</v>
      </c>
      <c r="W75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t="s">
        <v>60</v>
      </c>
    </row>
    <row r="760" spans="1:31" x14ac:dyDescent="0.2">
      <c r="A760">
        <v>727</v>
      </c>
      <c r="B760" t="s">
        <v>1331</v>
      </c>
      <c r="C760">
        <v>22</v>
      </c>
      <c r="D760" t="s">
        <v>412</v>
      </c>
      <c r="E760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t="s">
        <v>1710</v>
      </c>
      <c r="W760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t="s">
        <v>60</v>
      </c>
    </row>
    <row r="761" spans="1:31" x14ac:dyDescent="0.2">
      <c r="A761">
        <v>728</v>
      </c>
      <c r="B761" t="s">
        <v>1332</v>
      </c>
      <c r="C761">
        <v>30</v>
      </c>
      <c r="D761" t="s">
        <v>461</v>
      </c>
      <c r="E761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t="s">
        <v>1978</v>
      </c>
      <c r="W761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t="s">
        <v>60</v>
      </c>
    </row>
    <row r="762" spans="1:31" x14ac:dyDescent="0.2">
      <c r="A762">
        <v>729</v>
      </c>
      <c r="B762" t="s">
        <v>1791</v>
      </c>
      <c r="C762">
        <v>20</v>
      </c>
      <c r="D762" t="s">
        <v>330</v>
      </c>
      <c r="E762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t="s">
        <v>2826</v>
      </c>
      <c r="W762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t="s">
        <v>60</v>
      </c>
    </row>
    <row r="763" spans="1:31" x14ac:dyDescent="0.2">
      <c r="A763">
        <v>730</v>
      </c>
      <c r="B763" t="s">
        <v>1333</v>
      </c>
      <c r="C763">
        <v>32</v>
      </c>
      <c r="D763" t="s">
        <v>368</v>
      </c>
      <c r="E763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t="s">
        <v>2055</v>
      </c>
      <c r="W763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t="s">
        <v>60</v>
      </c>
    </row>
    <row r="764" spans="1:31" x14ac:dyDescent="0.2">
      <c r="A764">
        <v>731</v>
      </c>
      <c r="B764" t="s">
        <v>1536</v>
      </c>
      <c r="C764">
        <v>28</v>
      </c>
      <c r="D764" t="s">
        <v>536</v>
      </c>
      <c r="E764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t="s">
        <v>1857</v>
      </c>
      <c r="W764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t="s">
        <v>60</v>
      </c>
    </row>
    <row r="765" spans="1:31" x14ac:dyDescent="0.2">
      <c r="A765">
        <v>732</v>
      </c>
      <c r="B765" t="s">
        <v>1538</v>
      </c>
      <c r="C765">
        <v>33</v>
      </c>
      <c r="D765" t="s">
        <v>439</v>
      </c>
      <c r="E765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t="s">
        <v>2161</v>
      </c>
      <c r="W765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t="s">
        <v>60</v>
      </c>
    </row>
    <row r="766" spans="1:31" x14ac:dyDescent="0.2">
      <c r="A766">
        <v>733</v>
      </c>
      <c r="B766" t="s">
        <v>1336</v>
      </c>
      <c r="C766">
        <v>31</v>
      </c>
      <c r="D766" t="s">
        <v>412</v>
      </c>
      <c r="E766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t="s">
        <v>1827</v>
      </c>
      <c r="W766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t="s">
        <v>60</v>
      </c>
    </row>
    <row r="767" spans="1:31" x14ac:dyDescent="0.2">
      <c r="A767">
        <v>734</v>
      </c>
      <c r="B767" t="s">
        <v>1539</v>
      </c>
      <c r="C767">
        <v>31</v>
      </c>
      <c r="D767" t="s">
        <v>426</v>
      </c>
      <c r="E767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t="s">
        <v>2163</v>
      </c>
      <c r="W767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t="s">
        <v>60</v>
      </c>
    </row>
    <row r="768" spans="1:31" x14ac:dyDescent="0.2">
      <c r="A768">
        <v>735</v>
      </c>
      <c r="B768" t="s">
        <v>1338</v>
      </c>
      <c r="C768">
        <v>18</v>
      </c>
      <c r="D768" t="s">
        <v>476</v>
      </c>
      <c r="E768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t="s">
        <v>1339</v>
      </c>
      <c r="W768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t="s">
        <v>60</v>
      </c>
    </row>
    <row r="769" spans="1:31" x14ac:dyDescent="0.2">
      <c r="A769">
        <v>736</v>
      </c>
      <c r="B769" t="s">
        <v>1342</v>
      </c>
      <c r="C769">
        <v>32</v>
      </c>
      <c r="D769" t="s">
        <v>361</v>
      </c>
      <c r="E76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t="s">
        <v>1659</v>
      </c>
      <c r="W76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t="s">
        <v>60</v>
      </c>
    </row>
    <row r="770" spans="1:31" x14ac:dyDescent="0.2">
      <c r="A770">
        <v>737</v>
      </c>
      <c r="B770" t="s">
        <v>1343</v>
      </c>
      <c r="C770">
        <v>31</v>
      </c>
      <c r="D770" t="s">
        <v>384</v>
      </c>
      <c r="E770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t="s">
        <v>1980</v>
      </c>
      <c r="W770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t="s">
        <v>60</v>
      </c>
    </row>
    <row r="771" spans="1:31" x14ac:dyDescent="0.2">
      <c r="A771">
        <v>738</v>
      </c>
      <c r="B771" t="s">
        <v>1566</v>
      </c>
      <c r="C771">
        <v>26</v>
      </c>
      <c r="D771" t="s">
        <v>387</v>
      </c>
      <c r="E771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t="s">
        <v>1828</v>
      </c>
      <c r="W771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t="s">
        <v>60</v>
      </c>
    </row>
    <row r="772" spans="1:31" x14ac:dyDescent="0.2">
      <c r="A772">
        <v>739</v>
      </c>
      <c r="B772" t="s">
        <v>1345</v>
      </c>
      <c r="C772">
        <v>20</v>
      </c>
      <c r="D772" t="s">
        <v>555</v>
      </c>
      <c r="E772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t="s">
        <v>1346</v>
      </c>
      <c r="W772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t="s">
        <v>60</v>
      </c>
    </row>
    <row r="773" spans="1:31" x14ac:dyDescent="0.2">
      <c r="A773">
        <v>740</v>
      </c>
      <c r="B773" t="s">
        <v>1351</v>
      </c>
      <c r="C773">
        <v>30</v>
      </c>
      <c r="D773" t="s">
        <v>324</v>
      </c>
      <c r="E773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t="s">
        <v>2164</v>
      </c>
      <c r="W773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t="s">
        <v>60</v>
      </c>
    </row>
    <row r="774" spans="1:31" x14ac:dyDescent="0.2">
      <c r="A774">
        <v>741</v>
      </c>
      <c r="B774" t="s">
        <v>1352</v>
      </c>
      <c r="C774">
        <v>25</v>
      </c>
      <c r="D774" t="s">
        <v>321</v>
      </c>
      <c r="E774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t="s">
        <v>1353</v>
      </c>
      <c r="W774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t="s">
        <v>60</v>
      </c>
    </row>
    <row r="775" spans="1:31" x14ac:dyDescent="0.2">
      <c r="A775">
        <v>742</v>
      </c>
      <c r="B775" t="s">
        <v>1578</v>
      </c>
      <c r="C775">
        <v>27</v>
      </c>
      <c r="D775" t="s">
        <v>334</v>
      </c>
      <c r="E775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2590</v>
      </c>
      <c r="W775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t="s">
        <v>60</v>
      </c>
    </row>
    <row r="776" spans="1:31" x14ac:dyDescent="0.2">
      <c r="A776">
        <v>743</v>
      </c>
      <c r="B776" t="s">
        <v>1580</v>
      </c>
      <c r="C776">
        <v>22</v>
      </c>
      <c r="D776" t="s">
        <v>324</v>
      </c>
      <c r="E776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t="s">
        <v>2592</v>
      </c>
      <c r="W776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t="s">
        <v>60</v>
      </c>
    </row>
    <row r="777" spans="1:31" x14ac:dyDescent="0.2">
      <c r="A777">
        <v>744</v>
      </c>
      <c r="B777" t="s">
        <v>1355</v>
      </c>
      <c r="C777">
        <v>19</v>
      </c>
      <c r="D777" t="s">
        <v>448</v>
      </c>
      <c r="E777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t="s">
        <v>1356</v>
      </c>
      <c r="W777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t="s">
        <v>60</v>
      </c>
    </row>
    <row r="778" spans="1:31" x14ac:dyDescent="0.2">
      <c r="A778">
        <v>745</v>
      </c>
      <c r="B778" t="s">
        <v>1591</v>
      </c>
      <c r="C778">
        <v>34</v>
      </c>
      <c r="D778" t="s">
        <v>359</v>
      </c>
      <c r="E778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t="s">
        <v>1860</v>
      </c>
      <c r="W778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t="s">
        <v>60</v>
      </c>
    </row>
    <row r="779" spans="1:31" x14ac:dyDescent="0.2">
      <c r="A779">
        <v>746</v>
      </c>
      <c r="B779" t="s">
        <v>1359</v>
      </c>
      <c r="C779">
        <v>23</v>
      </c>
      <c r="D779" t="s">
        <v>363</v>
      </c>
      <c r="E77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t="s">
        <v>2594</v>
      </c>
      <c r="W77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t="s">
        <v>60</v>
      </c>
    </row>
    <row r="780" spans="1:31" x14ac:dyDescent="0.2">
      <c r="A780">
        <v>747</v>
      </c>
      <c r="B780" t="s">
        <v>1835</v>
      </c>
      <c r="C780">
        <v>31</v>
      </c>
      <c r="D780" t="s">
        <v>415</v>
      </c>
      <c r="E780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t="s">
        <v>2827</v>
      </c>
      <c r="W780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t="s">
        <v>60</v>
      </c>
    </row>
    <row r="781" spans="1:31" x14ac:dyDescent="0.2">
      <c r="A781">
        <v>748</v>
      </c>
      <c r="B781" t="s">
        <v>1360</v>
      </c>
      <c r="C781">
        <v>22</v>
      </c>
      <c r="D781" t="s">
        <v>402</v>
      </c>
      <c r="E781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t="s">
        <v>1361</v>
      </c>
      <c r="W781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t="s">
        <v>60</v>
      </c>
    </row>
    <row r="782" spans="1:31" x14ac:dyDescent="0.2">
      <c r="A782">
        <v>749</v>
      </c>
      <c r="B782" t="s">
        <v>1363</v>
      </c>
      <c r="C782">
        <v>26</v>
      </c>
      <c r="D782" t="s">
        <v>387</v>
      </c>
      <c r="E782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t="s">
        <v>1364</v>
      </c>
      <c r="W782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t="s">
        <v>60</v>
      </c>
    </row>
    <row r="783" spans="1:31" x14ac:dyDescent="0.2">
      <c r="A783">
        <v>750</v>
      </c>
      <c r="B783" t="s">
        <v>1366</v>
      </c>
      <c r="C783">
        <v>32</v>
      </c>
      <c r="D783" t="s">
        <v>412</v>
      </c>
      <c r="E783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t="s">
        <v>1367</v>
      </c>
      <c r="W783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t="s">
        <v>60</v>
      </c>
    </row>
    <row r="784" spans="1:31" x14ac:dyDescent="0.2">
      <c r="A784">
        <v>751</v>
      </c>
      <c r="B784" t="s">
        <v>1368</v>
      </c>
      <c r="C784">
        <v>30</v>
      </c>
      <c r="D784" t="s">
        <v>353</v>
      </c>
      <c r="E784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t="s">
        <v>2595</v>
      </c>
      <c r="W784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t="s">
        <v>60</v>
      </c>
    </row>
    <row r="785" spans="1:31" x14ac:dyDescent="0.2">
      <c r="A785">
        <v>752</v>
      </c>
      <c r="B785" t="s">
        <v>1371</v>
      </c>
      <c r="C785">
        <v>20</v>
      </c>
      <c r="D785" t="s">
        <v>412</v>
      </c>
      <c r="E785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t="s">
        <v>1372</v>
      </c>
      <c r="W785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t="s">
        <v>60</v>
      </c>
    </row>
    <row r="786" spans="1:31" x14ac:dyDescent="0.2">
      <c r="A786">
        <v>753</v>
      </c>
      <c r="B786" t="s">
        <v>1619</v>
      </c>
      <c r="C786">
        <v>24</v>
      </c>
      <c r="D786" t="s">
        <v>356</v>
      </c>
      <c r="E786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t="s">
        <v>2056</v>
      </c>
      <c r="W786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t="s">
        <v>60</v>
      </c>
    </row>
    <row r="787" spans="1:31" x14ac:dyDescent="0.2">
      <c r="A787">
        <v>754</v>
      </c>
      <c r="B787" t="s">
        <v>1375</v>
      </c>
      <c r="C787">
        <v>38</v>
      </c>
      <c r="D787" t="s">
        <v>373</v>
      </c>
      <c r="E787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t="s">
        <v>2828</v>
      </c>
      <c r="W787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t="s">
        <v>60</v>
      </c>
    </row>
    <row r="788" spans="1:31" x14ac:dyDescent="0.2">
      <c r="A788">
        <v>755</v>
      </c>
      <c r="B788" t="s">
        <v>1376</v>
      </c>
      <c r="C788">
        <v>34</v>
      </c>
      <c r="D788" t="s">
        <v>412</v>
      </c>
      <c r="E788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t="s">
        <v>1711</v>
      </c>
      <c r="W788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t="s">
        <v>60</v>
      </c>
    </row>
    <row r="789" spans="1:31" x14ac:dyDescent="0.2">
      <c r="A789">
        <v>756</v>
      </c>
      <c r="B789" t="s">
        <v>1377</v>
      </c>
      <c r="C789">
        <v>28</v>
      </c>
      <c r="D789" t="s">
        <v>368</v>
      </c>
      <c r="E78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t="s">
        <v>2596</v>
      </c>
      <c r="W78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t="s">
        <v>60</v>
      </c>
    </row>
    <row r="790" spans="1:31" x14ac:dyDescent="0.2">
      <c r="A790">
        <v>757</v>
      </c>
      <c r="B790" t="s">
        <v>1378</v>
      </c>
      <c r="C790">
        <v>24</v>
      </c>
      <c r="D790" t="s">
        <v>378</v>
      </c>
      <c r="E790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t="s">
        <v>1379</v>
      </c>
      <c r="W790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t="s">
        <v>60</v>
      </c>
    </row>
    <row r="791" spans="1:31" x14ac:dyDescent="0.2">
      <c r="A791">
        <v>758</v>
      </c>
      <c r="B791" t="s">
        <v>1794</v>
      </c>
      <c r="C791">
        <v>31</v>
      </c>
      <c r="D791" t="s">
        <v>330</v>
      </c>
      <c r="E791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t="s">
        <v>2598</v>
      </c>
      <c r="W791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t="s">
        <v>60</v>
      </c>
    </row>
    <row r="792" spans="1:31" x14ac:dyDescent="0.2">
      <c r="A792">
        <v>759</v>
      </c>
      <c r="B792" t="s">
        <v>1380</v>
      </c>
      <c r="C792">
        <v>27</v>
      </c>
      <c r="D792" t="s">
        <v>387</v>
      </c>
      <c r="E792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t="s">
        <v>1983</v>
      </c>
      <c r="W792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t="s">
        <v>60</v>
      </c>
    </row>
    <row r="793" spans="1:31" x14ac:dyDescent="0.2">
      <c r="A793">
        <v>760</v>
      </c>
      <c r="B793" t="s">
        <v>1382</v>
      </c>
      <c r="C793">
        <v>27</v>
      </c>
      <c r="D793" t="s">
        <v>356</v>
      </c>
      <c r="E793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t="s">
        <v>1383</v>
      </c>
      <c r="W793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t="s">
        <v>60</v>
      </c>
    </row>
    <row r="794" spans="1:31" x14ac:dyDescent="0.2">
      <c r="A794">
        <v>761</v>
      </c>
      <c r="B794" t="s">
        <v>1385</v>
      </c>
      <c r="C794">
        <v>30</v>
      </c>
      <c r="D794" t="s">
        <v>412</v>
      </c>
      <c r="E794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t="s">
        <v>2166</v>
      </c>
      <c r="W794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t="s">
        <v>60</v>
      </c>
    </row>
    <row r="795" spans="1:31" x14ac:dyDescent="0.2">
      <c r="A795">
        <v>762</v>
      </c>
      <c r="B795" t="s">
        <v>1386</v>
      </c>
      <c r="C795">
        <v>29</v>
      </c>
      <c r="D795" t="s">
        <v>412</v>
      </c>
      <c r="E795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t="s">
        <v>2059</v>
      </c>
      <c r="W795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t="s">
        <v>60</v>
      </c>
    </row>
    <row r="796" spans="1:31" x14ac:dyDescent="0.2">
      <c r="A796">
        <v>763</v>
      </c>
      <c r="B796" t="s">
        <v>1388</v>
      </c>
      <c r="C796">
        <v>33</v>
      </c>
      <c r="D796" t="s">
        <v>321</v>
      </c>
      <c r="E796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t="s">
        <v>2599</v>
      </c>
      <c r="W796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t="s">
        <v>60</v>
      </c>
    </row>
    <row r="797" spans="1:31" x14ac:dyDescent="0.2">
      <c r="A797">
        <v>764</v>
      </c>
      <c r="B797" t="s">
        <v>1390</v>
      </c>
      <c r="C797">
        <v>21</v>
      </c>
      <c r="D797" t="s">
        <v>365</v>
      </c>
      <c r="E797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t="s">
        <v>1391</v>
      </c>
      <c r="W797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t="s">
        <v>60</v>
      </c>
    </row>
    <row r="798" spans="1:31" x14ac:dyDescent="0.2">
      <c r="A798">
        <v>765</v>
      </c>
      <c r="B798" t="s">
        <v>1393</v>
      </c>
      <c r="C798">
        <v>25</v>
      </c>
      <c r="D798" t="s">
        <v>415</v>
      </c>
      <c r="E798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t="s">
        <v>1394</v>
      </c>
      <c r="W798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t="s">
        <v>60</v>
      </c>
    </row>
    <row r="799" spans="1:31" x14ac:dyDescent="0.2">
      <c r="A799">
        <v>766</v>
      </c>
      <c r="B799" t="s">
        <v>1395</v>
      </c>
      <c r="C799">
        <v>35</v>
      </c>
      <c r="D799" t="s">
        <v>412</v>
      </c>
      <c r="E79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t="s">
        <v>923</v>
      </c>
      <c r="W79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t="s">
        <v>60</v>
      </c>
    </row>
    <row r="800" spans="1:31" x14ac:dyDescent="0.2">
      <c r="A800">
        <v>767</v>
      </c>
      <c r="B800" t="s">
        <v>1786</v>
      </c>
      <c r="C800">
        <v>24</v>
      </c>
      <c r="D800" t="s">
        <v>361</v>
      </c>
      <c r="E800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t="s">
        <v>1547</v>
      </c>
      <c r="W800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t="s">
        <v>60</v>
      </c>
    </row>
    <row r="801" spans="1:31" x14ac:dyDescent="0.2">
      <c r="A801">
        <v>768</v>
      </c>
      <c r="B801" t="s">
        <v>1397</v>
      </c>
      <c r="C801">
        <v>35</v>
      </c>
      <c r="D801" t="s">
        <v>404</v>
      </c>
      <c r="E801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t="s">
        <v>2600</v>
      </c>
      <c r="W801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t="s">
        <v>60</v>
      </c>
    </row>
    <row r="802" spans="1:31" x14ac:dyDescent="0.2">
      <c r="A802">
        <v>769</v>
      </c>
      <c r="B802" t="s">
        <v>1398</v>
      </c>
      <c r="C802">
        <v>25</v>
      </c>
      <c r="D802" t="s">
        <v>461</v>
      </c>
      <c r="E802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t="s">
        <v>1399</v>
      </c>
      <c r="W802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t="s">
        <v>60</v>
      </c>
    </row>
    <row r="803" spans="1:31" x14ac:dyDescent="0.2">
      <c r="A803">
        <v>770</v>
      </c>
      <c r="B803" t="s">
        <v>1401</v>
      </c>
      <c r="C803">
        <v>36</v>
      </c>
      <c r="D803" t="s">
        <v>402</v>
      </c>
      <c r="E803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t="s">
        <v>2169</v>
      </c>
      <c r="W803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t="s">
        <v>60</v>
      </c>
    </row>
    <row r="804" spans="1:31" x14ac:dyDescent="0.2">
      <c r="A804">
        <v>771</v>
      </c>
      <c r="B804" t="s">
        <v>1403</v>
      </c>
      <c r="C804">
        <v>25</v>
      </c>
      <c r="D804" t="s">
        <v>476</v>
      </c>
      <c r="E804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t="s">
        <v>2061</v>
      </c>
      <c r="W804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t="s">
        <v>60</v>
      </c>
    </row>
    <row r="805" spans="1:31" x14ac:dyDescent="0.2">
      <c r="A805">
        <v>772</v>
      </c>
      <c r="B805" t="s">
        <v>1404</v>
      </c>
      <c r="C805">
        <v>23</v>
      </c>
      <c r="D805" t="s">
        <v>324</v>
      </c>
      <c r="E805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t="s">
        <v>2602</v>
      </c>
      <c r="W805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t="s">
        <v>60</v>
      </c>
    </row>
    <row r="806" spans="1:31" x14ac:dyDescent="0.2">
      <c r="A806">
        <v>773</v>
      </c>
      <c r="B806" t="s">
        <v>1406</v>
      </c>
      <c r="C806">
        <v>23</v>
      </c>
      <c r="D806" t="s">
        <v>363</v>
      </c>
      <c r="E806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t="s">
        <v>1810</v>
      </c>
      <c r="W806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t="s">
        <v>60</v>
      </c>
    </row>
    <row r="807" spans="1:31" x14ac:dyDescent="0.2">
      <c r="A807">
        <v>774</v>
      </c>
      <c r="B807" t="s">
        <v>1407</v>
      </c>
      <c r="C807">
        <v>29</v>
      </c>
      <c r="D807" t="s">
        <v>321</v>
      </c>
      <c r="E807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t="s">
        <v>2063</v>
      </c>
      <c r="W807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t="s">
        <v>60</v>
      </c>
    </row>
    <row r="808" spans="1:31" x14ac:dyDescent="0.2">
      <c r="A808">
        <v>775</v>
      </c>
      <c r="B808" t="s">
        <v>1408</v>
      </c>
      <c r="C808">
        <v>25</v>
      </c>
      <c r="D808" t="s">
        <v>356</v>
      </c>
      <c r="E808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t="s">
        <v>1409</v>
      </c>
      <c r="W808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t="s">
        <v>60</v>
      </c>
    </row>
    <row r="809" spans="1:31" x14ac:dyDescent="0.2">
      <c r="A809">
        <v>776</v>
      </c>
      <c r="B809" t="s">
        <v>2604</v>
      </c>
      <c r="C809">
        <v>23</v>
      </c>
      <c r="D809" t="s">
        <v>426</v>
      </c>
      <c r="E80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t="s">
        <v>1855</v>
      </c>
      <c r="W80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t="s">
        <v>60</v>
      </c>
    </row>
    <row r="810" spans="1:31" x14ac:dyDescent="0.2">
      <c r="A810">
        <v>777</v>
      </c>
      <c r="B810" t="s">
        <v>1410</v>
      </c>
      <c r="C810">
        <v>23</v>
      </c>
      <c r="D810" t="s">
        <v>378</v>
      </c>
      <c r="E810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t="s">
        <v>1250</v>
      </c>
      <c r="W810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t="s">
        <v>60</v>
      </c>
    </row>
    <row r="811" spans="1:31" x14ac:dyDescent="0.2">
      <c r="A811">
        <v>778</v>
      </c>
      <c r="B811" t="s">
        <v>1712</v>
      </c>
      <c r="C811">
        <v>21</v>
      </c>
      <c r="D811" t="s">
        <v>448</v>
      </c>
      <c r="E811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t="s">
        <v>2605</v>
      </c>
      <c r="W811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t="s">
        <v>60</v>
      </c>
    </row>
    <row r="812" spans="1:31" x14ac:dyDescent="0.2">
      <c r="A812">
        <v>779</v>
      </c>
      <c r="B812" t="s">
        <v>1694</v>
      </c>
      <c r="C812">
        <v>23</v>
      </c>
      <c r="D812" t="s">
        <v>337</v>
      </c>
      <c r="E812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t="s">
        <v>341</v>
      </c>
      <c r="W812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t="s">
        <v>60</v>
      </c>
    </row>
    <row r="813" spans="1:31" x14ac:dyDescent="0.2">
      <c r="A813">
        <v>780</v>
      </c>
      <c r="B813" t="s">
        <v>1412</v>
      </c>
      <c r="C813">
        <v>26</v>
      </c>
      <c r="D813" t="s">
        <v>356</v>
      </c>
      <c r="E813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t="s">
        <v>1413</v>
      </c>
      <c r="W813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t="s">
        <v>60</v>
      </c>
    </row>
    <row r="814" spans="1:31" x14ac:dyDescent="0.2">
      <c r="A814">
        <v>781</v>
      </c>
      <c r="B814" t="s">
        <v>1414</v>
      </c>
      <c r="C814">
        <v>22</v>
      </c>
      <c r="D814" t="s">
        <v>404</v>
      </c>
      <c r="E814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t="s">
        <v>1415</v>
      </c>
      <c r="W814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t="s">
        <v>60</v>
      </c>
    </row>
    <row r="815" spans="1:31" x14ac:dyDescent="0.2">
      <c r="A815">
        <v>782</v>
      </c>
      <c r="B815" t="s">
        <v>1416</v>
      </c>
      <c r="C815">
        <v>28</v>
      </c>
      <c r="D815" t="s">
        <v>353</v>
      </c>
      <c r="E815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t="s">
        <v>1417</v>
      </c>
      <c r="W815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t="s">
        <v>60</v>
      </c>
    </row>
    <row r="816" spans="1:31" x14ac:dyDescent="0.2">
      <c r="A816">
        <v>783</v>
      </c>
      <c r="B816" t="s">
        <v>1418</v>
      </c>
      <c r="C816">
        <v>22</v>
      </c>
      <c r="D816" t="s">
        <v>346</v>
      </c>
      <c r="E816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t="s">
        <v>1419</v>
      </c>
      <c r="W816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t="s">
        <v>60</v>
      </c>
    </row>
    <row r="817" spans="1:31" x14ac:dyDescent="0.2">
      <c r="A817">
        <v>784</v>
      </c>
      <c r="B817" t="s">
        <v>1421</v>
      </c>
      <c r="C817">
        <v>22</v>
      </c>
      <c r="D817" t="s">
        <v>363</v>
      </c>
      <c r="E817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t="s">
        <v>1829</v>
      </c>
      <c r="W817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t="s">
        <v>60</v>
      </c>
    </row>
    <row r="818" spans="1:31" x14ac:dyDescent="0.2">
      <c r="A818">
        <v>785</v>
      </c>
      <c r="B818" t="s">
        <v>1422</v>
      </c>
      <c r="C818">
        <v>30</v>
      </c>
      <c r="D818" t="s">
        <v>378</v>
      </c>
      <c r="E818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t="s">
        <v>1984</v>
      </c>
      <c r="W818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t="s">
        <v>60</v>
      </c>
    </row>
    <row r="819" spans="1:31" x14ac:dyDescent="0.2">
      <c r="A819">
        <v>786</v>
      </c>
      <c r="B819" t="s">
        <v>1423</v>
      </c>
      <c r="C819">
        <v>30</v>
      </c>
      <c r="D819" t="s">
        <v>346</v>
      </c>
      <c r="E8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t="s">
        <v>1747</v>
      </c>
      <c r="W8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t="s">
        <v>60</v>
      </c>
    </row>
    <row r="820" spans="1:31" x14ac:dyDescent="0.2">
      <c r="A820">
        <v>787</v>
      </c>
      <c r="B820" t="s">
        <v>1424</v>
      </c>
      <c r="C820">
        <v>28</v>
      </c>
      <c r="D820" t="s">
        <v>448</v>
      </c>
      <c r="E820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t="s">
        <v>1986</v>
      </c>
      <c r="W820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t="s">
        <v>60</v>
      </c>
    </row>
    <row r="821" spans="1:31" x14ac:dyDescent="0.2">
      <c r="A821">
        <v>788</v>
      </c>
      <c r="B821" t="s">
        <v>1425</v>
      </c>
      <c r="C821">
        <v>18</v>
      </c>
      <c r="D821" t="s">
        <v>461</v>
      </c>
      <c r="E821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t="s">
        <v>1426</v>
      </c>
      <c r="W821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t="s">
        <v>60</v>
      </c>
    </row>
    <row r="822" spans="1:31" x14ac:dyDescent="0.2">
      <c r="A822">
        <v>789</v>
      </c>
      <c r="B822" t="s">
        <v>2170</v>
      </c>
      <c r="C822">
        <v>34</v>
      </c>
      <c r="D822" t="s">
        <v>429</v>
      </c>
      <c r="E822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t="s">
        <v>2171</v>
      </c>
      <c r="W822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t="s">
        <v>60</v>
      </c>
    </row>
    <row r="823" spans="1:31" x14ac:dyDescent="0.2">
      <c r="A823">
        <v>790</v>
      </c>
      <c r="B823" t="s">
        <v>1428</v>
      </c>
      <c r="C823">
        <v>36</v>
      </c>
      <c r="D823" t="s">
        <v>404</v>
      </c>
      <c r="E823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t="s">
        <v>1429</v>
      </c>
      <c r="W823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t="s">
        <v>60</v>
      </c>
    </row>
    <row r="824" spans="1:31" x14ac:dyDescent="0.2">
      <c r="A824">
        <v>791</v>
      </c>
      <c r="B824" t="s">
        <v>1430</v>
      </c>
      <c r="C824">
        <v>32</v>
      </c>
      <c r="D824" t="s">
        <v>439</v>
      </c>
      <c r="E824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t="s">
        <v>1431</v>
      </c>
      <c r="W824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t="s">
        <v>60</v>
      </c>
    </row>
    <row r="825" spans="1:31" x14ac:dyDescent="0.2">
      <c r="A825">
        <v>792</v>
      </c>
      <c r="B825" t="s">
        <v>1432</v>
      </c>
      <c r="C825">
        <v>25</v>
      </c>
      <c r="D825" t="s">
        <v>404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1433</v>
      </c>
      <c r="W825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t="s">
        <v>60</v>
      </c>
    </row>
    <row r="826" spans="1:31" x14ac:dyDescent="0.2">
      <c r="A826">
        <v>793</v>
      </c>
      <c r="B826" t="s">
        <v>1434</v>
      </c>
      <c r="C826">
        <v>23</v>
      </c>
      <c r="D826" t="s">
        <v>330</v>
      </c>
      <c r="E826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t="s">
        <v>1831</v>
      </c>
      <c r="W826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t="s">
        <v>60</v>
      </c>
    </row>
    <row r="827" spans="1:31" x14ac:dyDescent="0.2">
      <c r="A827">
        <v>794</v>
      </c>
      <c r="B827" t="s">
        <v>1436</v>
      </c>
      <c r="C827">
        <v>34</v>
      </c>
      <c r="D827" t="s">
        <v>415</v>
      </c>
      <c r="E827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t="s">
        <v>1988</v>
      </c>
      <c r="W827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t="s">
        <v>60</v>
      </c>
    </row>
    <row r="828" spans="1:31" x14ac:dyDescent="0.2">
      <c r="A828">
        <v>795</v>
      </c>
      <c r="B828" t="s">
        <v>1437</v>
      </c>
      <c r="C828">
        <v>34</v>
      </c>
      <c r="D828" t="s">
        <v>334</v>
      </c>
      <c r="E828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2172</v>
      </c>
      <c r="W828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t="s">
        <v>60</v>
      </c>
    </row>
    <row r="829" spans="1:31" x14ac:dyDescent="0.2">
      <c r="A829">
        <v>796</v>
      </c>
      <c r="B829" t="s">
        <v>1438</v>
      </c>
      <c r="C829">
        <v>22</v>
      </c>
      <c r="D829" t="s">
        <v>375</v>
      </c>
      <c r="E82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t="s">
        <v>1439</v>
      </c>
      <c r="W82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t="s">
        <v>60</v>
      </c>
    </row>
    <row r="830" spans="1:31" x14ac:dyDescent="0.2">
      <c r="A830">
        <v>797</v>
      </c>
      <c r="B830" t="s">
        <v>1441</v>
      </c>
      <c r="C830">
        <v>24</v>
      </c>
      <c r="D830" t="s">
        <v>365</v>
      </c>
      <c r="E830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2065</v>
      </c>
      <c r="W830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t="s">
        <v>60</v>
      </c>
    </row>
    <row r="831" spans="1:31" x14ac:dyDescent="0.2">
      <c r="A831">
        <v>798</v>
      </c>
      <c r="B831" t="s">
        <v>1442</v>
      </c>
      <c r="C831">
        <v>25</v>
      </c>
      <c r="D831" t="s">
        <v>337</v>
      </c>
      <c r="E831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2606</v>
      </c>
      <c r="W831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t="s">
        <v>60</v>
      </c>
    </row>
    <row r="832" spans="1:31" x14ac:dyDescent="0.2">
      <c r="A832">
        <v>799</v>
      </c>
      <c r="B832" t="s">
        <v>1443</v>
      </c>
      <c r="C832">
        <v>27</v>
      </c>
      <c r="D832" t="s">
        <v>368</v>
      </c>
      <c r="E832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t="s">
        <v>1444</v>
      </c>
      <c r="W832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t="s">
        <v>60</v>
      </c>
    </row>
    <row r="833" spans="1:31" x14ac:dyDescent="0.2">
      <c r="A833">
        <v>800</v>
      </c>
      <c r="B833" t="s">
        <v>1445</v>
      </c>
      <c r="C833">
        <v>22</v>
      </c>
      <c r="D833" t="s">
        <v>365</v>
      </c>
      <c r="E833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t="s">
        <v>1902</v>
      </c>
      <c r="W833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t="s">
        <v>60</v>
      </c>
    </row>
    <row r="834" spans="1:31" x14ac:dyDescent="0.2">
      <c r="A834">
        <v>801</v>
      </c>
      <c r="B834" t="s">
        <v>1447</v>
      </c>
      <c r="C834">
        <v>26</v>
      </c>
      <c r="D834" t="s">
        <v>415</v>
      </c>
      <c r="E834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t="s">
        <v>2174</v>
      </c>
      <c r="W834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t="s">
        <v>60</v>
      </c>
    </row>
    <row r="835" spans="1:31" x14ac:dyDescent="0.2">
      <c r="A835">
        <v>802</v>
      </c>
      <c r="B835" t="s">
        <v>1448</v>
      </c>
      <c r="C835">
        <v>24</v>
      </c>
      <c r="D835" t="s">
        <v>402</v>
      </c>
      <c r="E835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t="s">
        <v>939</v>
      </c>
      <c r="W835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t="s">
        <v>60</v>
      </c>
    </row>
    <row r="836" spans="1:31" x14ac:dyDescent="0.2">
      <c r="A836">
        <v>803</v>
      </c>
      <c r="B836" t="s">
        <v>1449</v>
      </c>
      <c r="C836">
        <v>29</v>
      </c>
      <c r="D836" t="s">
        <v>346</v>
      </c>
      <c r="E836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t="s">
        <v>1881</v>
      </c>
      <c r="W836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t="s">
        <v>60</v>
      </c>
    </row>
    <row r="837" spans="1:31" x14ac:dyDescent="0.2">
      <c r="A837">
        <v>804</v>
      </c>
      <c r="B837" t="s">
        <v>1451</v>
      </c>
      <c r="C837">
        <v>33</v>
      </c>
      <c r="D837" t="s">
        <v>461</v>
      </c>
      <c r="E837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t="s">
        <v>1452</v>
      </c>
      <c r="W837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t="s">
        <v>60</v>
      </c>
    </row>
    <row r="838" spans="1:31" x14ac:dyDescent="0.2">
      <c r="A838">
        <v>805</v>
      </c>
      <c r="B838" t="s">
        <v>1454</v>
      </c>
      <c r="C838">
        <v>33</v>
      </c>
      <c r="D838" t="s">
        <v>429</v>
      </c>
      <c r="E838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2608</v>
      </c>
      <c r="W838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t="s">
        <v>60</v>
      </c>
    </row>
    <row r="839" spans="1:31" x14ac:dyDescent="0.2">
      <c r="A839">
        <v>806</v>
      </c>
      <c r="B839" t="s">
        <v>1749</v>
      </c>
      <c r="C839">
        <v>21</v>
      </c>
      <c r="D839" t="s">
        <v>365</v>
      </c>
      <c r="E83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t="s">
        <v>2829</v>
      </c>
      <c r="W83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t="s">
        <v>60</v>
      </c>
    </row>
    <row r="840" spans="1:31" x14ac:dyDescent="0.2">
      <c r="A840">
        <v>807</v>
      </c>
      <c r="B840" t="s">
        <v>1455</v>
      </c>
      <c r="C840">
        <v>24</v>
      </c>
      <c r="D840" t="s">
        <v>415</v>
      </c>
      <c r="E840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t="s">
        <v>1456</v>
      </c>
      <c r="W840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t="s">
        <v>60</v>
      </c>
    </row>
    <row r="841" spans="1:31" x14ac:dyDescent="0.2">
      <c r="A841">
        <v>808</v>
      </c>
      <c r="B841" t="s">
        <v>1458</v>
      </c>
      <c r="C841">
        <v>30</v>
      </c>
      <c r="D841" t="s">
        <v>439</v>
      </c>
      <c r="E841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t="s">
        <v>366</v>
      </c>
      <c r="W841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t="s">
        <v>60</v>
      </c>
    </row>
    <row r="842" spans="1:31" x14ac:dyDescent="0.2">
      <c r="A842">
        <v>809</v>
      </c>
      <c r="B842" t="s">
        <v>1460</v>
      </c>
      <c r="C842">
        <v>29</v>
      </c>
      <c r="D842" t="s">
        <v>426</v>
      </c>
      <c r="E842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t="s">
        <v>1461</v>
      </c>
      <c r="W842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t="s">
        <v>60</v>
      </c>
    </row>
    <row r="843" spans="1:31" x14ac:dyDescent="0.2">
      <c r="A843">
        <v>810</v>
      </c>
      <c r="B843" t="s">
        <v>1462</v>
      </c>
      <c r="C843">
        <v>26</v>
      </c>
      <c r="D843" t="s">
        <v>415</v>
      </c>
      <c r="E843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t="s">
        <v>1463</v>
      </c>
      <c r="W843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t="s">
        <v>60</v>
      </c>
    </row>
    <row r="844" spans="1:31" x14ac:dyDescent="0.2">
      <c r="A844">
        <v>811</v>
      </c>
      <c r="B844" t="s">
        <v>1465</v>
      </c>
      <c r="C844">
        <v>24</v>
      </c>
      <c r="D844" t="s">
        <v>384</v>
      </c>
      <c r="E844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t="s">
        <v>2830</v>
      </c>
      <c r="W844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t="s">
        <v>60</v>
      </c>
    </row>
    <row r="845" spans="1:31" x14ac:dyDescent="0.2">
      <c r="A845">
        <v>812</v>
      </c>
      <c r="B845" t="s">
        <v>1466</v>
      </c>
      <c r="C845">
        <v>34</v>
      </c>
      <c r="D845" t="s">
        <v>555</v>
      </c>
      <c r="E845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t="s">
        <v>2831</v>
      </c>
      <c r="W845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t="s">
        <v>60</v>
      </c>
    </row>
    <row r="846" spans="1:31" x14ac:dyDescent="0.2">
      <c r="A846">
        <v>813</v>
      </c>
      <c r="B846" t="s">
        <v>1468</v>
      </c>
      <c r="C846">
        <v>34</v>
      </c>
      <c r="D846" t="s">
        <v>384</v>
      </c>
      <c r="E846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t="s">
        <v>1469</v>
      </c>
      <c r="W846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t="s">
        <v>60</v>
      </c>
    </row>
    <row r="847" spans="1:31" x14ac:dyDescent="0.2">
      <c r="A847">
        <v>814</v>
      </c>
      <c r="B847" t="s">
        <v>1470</v>
      </c>
      <c r="C847">
        <v>33</v>
      </c>
      <c r="D847" t="s">
        <v>373</v>
      </c>
      <c r="E847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t="s">
        <v>944</v>
      </c>
      <c r="W847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t="s">
        <v>60</v>
      </c>
    </row>
    <row r="848" spans="1:31" x14ac:dyDescent="0.2">
      <c r="A848">
        <v>815</v>
      </c>
      <c r="B848" t="s">
        <v>1471</v>
      </c>
      <c r="C848">
        <v>27</v>
      </c>
      <c r="D848" t="s">
        <v>359</v>
      </c>
      <c r="E848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2176</v>
      </c>
      <c r="W848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t="s">
        <v>60</v>
      </c>
    </row>
    <row r="849" spans="1:31" x14ac:dyDescent="0.2">
      <c r="A849">
        <v>816</v>
      </c>
      <c r="B849" t="s">
        <v>1472</v>
      </c>
      <c r="C849">
        <v>21</v>
      </c>
      <c r="D849" t="s">
        <v>359</v>
      </c>
      <c r="E84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424</v>
      </c>
      <c r="W84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t="s">
        <v>60</v>
      </c>
    </row>
    <row r="850" spans="1:31" x14ac:dyDescent="0.2">
      <c r="A850">
        <v>817</v>
      </c>
      <c r="B850" t="s">
        <v>1788</v>
      </c>
      <c r="C850">
        <v>29</v>
      </c>
      <c r="D850" t="s">
        <v>353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1789</v>
      </c>
      <c r="W850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818</v>
      </c>
      <c r="B851" t="s">
        <v>1474</v>
      </c>
      <c r="C851">
        <v>27</v>
      </c>
      <c r="D851" t="s">
        <v>344</v>
      </c>
      <c r="E851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t="s">
        <v>1840</v>
      </c>
      <c r="W851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t="s">
        <v>60</v>
      </c>
    </row>
    <row r="852" spans="1:31" x14ac:dyDescent="0.2">
      <c r="A852">
        <v>819</v>
      </c>
      <c r="B852" t="s">
        <v>1475</v>
      </c>
      <c r="C852">
        <v>34</v>
      </c>
      <c r="D852" t="s">
        <v>415</v>
      </c>
      <c r="E852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t="s">
        <v>1862</v>
      </c>
      <c r="W852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t="s">
        <v>60</v>
      </c>
    </row>
    <row r="853" spans="1:31" x14ac:dyDescent="0.2">
      <c r="A853">
        <v>820</v>
      </c>
      <c r="B853" t="s">
        <v>1477</v>
      </c>
      <c r="C853">
        <v>30</v>
      </c>
      <c r="D853" t="s">
        <v>555</v>
      </c>
      <c r="E853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t="s">
        <v>1478</v>
      </c>
      <c r="W853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t="s">
        <v>60</v>
      </c>
    </row>
    <row r="854" spans="1:31" x14ac:dyDescent="0.2">
      <c r="A854">
        <v>821</v>
      </c>
      <c r="B854" t="s">
        <v>1480</v>
      </c>
      <c r="C854">
        <v>23</v>
      </c>
      <c r="D854" t="s">
        <v>429</v>
      </c>
      <c r="E854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t="s">
        <v>2611</v>
      </c>
      <c r="W854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t="s">
        <v>60</v>
      </c>
    </row>
    <row r="855" spans="1:31" x14ac:dyDescent="0.2">
      <c r="A855">
        <v>822</v>
      </c>
      <c r="B855" t="s">
        <v>1481</v>
      </c>
      <c r="C855">
        <v>32</v>
      </c>
      <c r="D855" t="s">
        <v>346</v>
      </c>
      <c r="E855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t="s">
        <v>2613</v>
      </c>
      <c r="W855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t="s">
        <v>60</v>
      </c>
    </row>
    <row r="856" spans="1:31" x14ac:dyDescent="0.2">
      <c r="A856">
        <v>823</v>
      </c>
      <c r="B856" t="s">
        <v>1482</v>
      </c>
      <c r="C856">
        <v>24</v>
      </c>
      <c r="D856" t="s">
        <v>361</v>
      </c>
      <c r="E856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2832</v>
      </c>
      <c r="W856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t="s">
        <v>60</v>
      </c>
    </row>
    <row r="857" spans="1:31" x14ac:dyDescent="0.2">
      <c r="A857">
        <v>824</v>
      </c>
      <c r="B857" t="s">
        <v>1483</v>
      </c>
      <c r="C857">
        <v>29</v>
      </c>
      <c r="D857" t="s">
        <v>344</v>
      </c>
      <c r="E857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t="s">
        <v>1484</v>
      </c>
      <c r="W857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t="s">
        <v>60</v>
      </c>
    </row>
    <row r="858" spans="1:31" x14ac:dyDescent="0.2">
      <c r="A858">
        <v>825</v>
      </c>
      <c r="B858" t="s">
        <v>1486</v>
      </c>
      <c r="C858">
        <v>29</v>
      </c>
      <c r="D858" t="s">
        <v>426</v>
      </c>
      <c r="E858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t="s">
        <v>1487</v>
      </c>
      <c r="W858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t="s">
        <v>60</v>
      </c>
    </row>
    <row r="859" spans="1:31" x14ac:dyDescent="0.2">
      <c r="A859">
        <v>826</v>
      </c>
      <c r="B859" t="s">
        <v>1489</v>
      </c>
      <c r="C859">
        <v>25</v>
      </c>
      <c r="D859" t="s">
        <v>536</v>
      </c>
      <c r="E85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t="s">
        <v>2615</v>
      </c>
      <c r="W85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t="s">
        <v>60</v>
      </c>
    </row>
    <row r="860" spans="1:31" x14ac:dyDescent="0.2">
      <c r="A860">
        <v>827</v>
      </c>
      <c r="B860" t="s">
        <v>1661</v>
      </c>
      <c r="C860">
        <v>25</v>
      </c>
      <c r="D860" t="s">
        <v>461</v>
      </c>
      <c r="E860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t="s">
        <v>1882</v>
      </c>
      <c r="W860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t="s">
        <v>60</v>
      </c>
    </row>
    <row r="861" spans="1:31" x14ac:dyDescent="0.2">
      <c r="A861">
        <v>828</v>
      </c>
      <c r="B861" t="s">
        <v>1491</v>
      </c>
      <c r="C861">
        <v>30</v>
      </c>
      <c r="D861" t="s">
        <v>448</v>
      </c>
      <c r="E861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t="s">
        <v>915</v>
      </c>
      <c r="W861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t="s">
        <v>60</v>
      </c>
    </row>
    <row r="862" spans="1:31" x14ac:dyDescent="0.2">
      <c r="A862">
        <v>829</v>
      </c>
      <c r="B862" t="s">
        <v>1492</v>
      </c>
      <c r="C862">
        <v>30</v>
      </c>
      <c r="D862" t="s">
        <v>337</v>
      </c>
      <c r="E862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t="s">
        <v>1832</v>
      </c>
      <c r="W862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t="s">
        <v>60</v>
      </c>
    </row>
    <row r="863" spans="1:31" x14ac:dyDescent="0.2">
      <c r="A863">
        <v>830</v>
      </c>
      <c r="B863" t="s">
        <v>1493</v>
      </c>
      <c r="C863">
        <v>29</v>
      </c>
      <c r="D863" t="s">
        <v>378</v>
      </c>
      <c r="E863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t="s">
        <v>697</v>
      </c>
      <c r="W863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t="s">
        <v>60</v>
      </c>
    </row>
    <row r="864" spans="1:31" x14ac:dyDescent="0.2">
      <c r="A864">
        <v>831</v>
      </c>
      <c r="B864" t="s">
        <v>2067</v>
      </c>
      <c r="C864">
        <v>28</v>
      </c>
      <c r="D864" t="s">
        <v>328</v>
      </c>
      <c r="E864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t="s">
        <v>2617</v>
      </c>
      <c r="W864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t="s">
        <v>60</v>
      </c>
    </row>
    <row r="865" spans="1:31" x14ac:dyDescent="0.2">
      <c r="A865">
        <v>832</v>
      </c>
      <c r="B865" t="s">
        <v>1496</v>
      </c>
      <c r="C865">
        <v>30</v>
      </c>
      <c r="D865" t="s">
        <v>1022</v>
      </c>
      <c r="E865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t="s">
        <v>1863</v>
      </c>
      <c r="W865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t="s">
        <v>60</v>
      </c>
    </row>
    <row r="866" spans="1:31" x14ac:dyDescent="0.2">
      <c r="A866">
        <v>832</v>
      </c>
      <c r="B866" t="s">
        <v>1496</v>
      </c>
      <c r="C866">
        <v>30</v>
      </c>
      <c r="D866" t="s">
        <v>378</v>
      </c>
      <c r="E866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t="s">
        <v>1750</v>
      </c>
      <c r="W866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t="s">
        <v>60</v>
      </c>
    </row>
    <row r="867" spans="1:31" x14ac:dyDescent="0.2">
      <c r="A867">
        <v>832</v>
      </c>
      <c r="B867" t="s">
        <v>1496</v>
      </c>
      <c r="C867">
        <v>30</v>
      </c>
      <c r="D867" t="s">
        <v>328</v>
      </c>
      <c r="E867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1864</v>
      </c>
      <c r="W867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t="s">
        <v>60</v>
      </c>
    </row>
    <row r="868" spans="1:31" x14ac:dyDescent="0.2">
      <c r="A868">
        <v>833</v>
      </c>
      <c r="B868" t="s">
        <v>1497</v>
      </c>
      <c r="C868">
        <v>22</v>
      </c>
      <c r="D868" t="s">
        <v>359</v>
      </c>
      <c r="E868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t="s">
        <v>2068</v>
      </c>
      <c r="W868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t="s">
        <v>60</v>
      </c>
    </row>
    <row r="869" spans="1:31" x14ac:dyDescent="0.2">
      <c r="A869">
        <v>834</v>
      </c>
      <c r="B869" t="s">
        <v>1498</v>
      </c>
      <c r="C869">
        <v>30</v>
      </c>
      <c r="D869" t="s">
        <v>353</v>
      </c>
      <c r="E86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t="s">
        <v>2834</v>
      </c>
      <c r="W86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t="s">
        <v>60</v>
      </c>
    </row>
    <row r="870" spans="1:31" x14ac:dyDescent="0.2">
      <c r="A870">
        <v>835</v>
      </c>
      <c r="B870" t="s">
        <v>1499</v>
      </c>
      <c r="C870">
        <v>24</v>
      </c>
      <c r="D870" t="s">
        <v>439</v>
      </c>
      <c r="E870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t="s">
        <v>1500</v>
      </c>
      <c r="W870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t="s">
        <v>60</v>
      </c>
    </row>
    <row r="871" spans="1:31" x14ac:dyDescent="0.2">
      <c r="A871">
        <v>836</v>
      </c>
      <c r="B871" t="s">
        <v>1502</v>
      </c>
      <c r="C871">
        <v>26</v>
      </c>
      <c r="D871" t="s">
        <v>359</v>
      </c>
      <c r="E871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t="s">
        <v>1866</v>
      </c>
      <c r="W871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t="s">
        <v>60</v>
      </c>
    </row>
    <row r="872" spans="1:31" x14ac:dyDescent="0.2">
      <c r="A872">
        <v>837</v>
      </c>
      <c r="B872" t="s">
        <v>1505</v>
      </c>
      <c r="C872">
        <v>21</v>
      </c>
      <c r="D872" t="s">
        <v>536</v>
      </c>
      <c r="E872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t="s">
        <v>1752</v>
      </c>
      <c r="W872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t="s">
        <v>60</v>
      </c>
    </row>
    <row r="873" spans="1:31" x14ac:dyDescent="0.2">
      <c r="A873">
        <v>838</v>
      </c>
      <c r="B873" t="s">
        <v>1506</v>
      </c>
      <c r="C873">
        <v>27</v>
      </c>
      <c r="D873" t="s">
        <v>353</v>
      </c>
      <c r="E873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t="s">
        <v>1507</v>
      </c>
      <c r="W873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t="s">
        <v>60</v>
      </c>
    </row>
    <row r="874" spans="1:31" x14ac:dyDescent="0.2">
      <c r="A874">
        <v>839</v>
      </c>
      <c r="B874" t="s">
        <v>1509</v>
      </c>
      <c r="C874">
        <v>21</v>
      </c>
      <c r="D874" t="s">
        <v>476</v>
      </c>
      <c r="E874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t="s">
        <v>761</v>
      </c>
      <c r="W874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t="s">
        <v>60</v>
      </c>
    </row>
    <row r="875" spans="1:31" x14ac:dyDescent="0.2">
      <c r="A875">
        <v>840</v>
      </c>
      <c r="B875" t="s">
        <v>1510</v>
      </c>
      <c r="C875">
        <v>23</v>
      </c>
      <c r="D875" t="s">
        <v>448</v>
      </c>
      <c r="E875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t="s">
        <v>1511</v>
      </c>
      <c r="W875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t="s">
        <v>60</v>
      </c>
    </row>
    <row r="876" spans="1:31" x14ac:dyDescent="0.2">
      <c r="A876">
        <v>841</v>
      </c>
      <c r="B876" t="s">
        <v>1513</v>
      </c>
      <c r="C876">
        <v>26</v>
      </c>
      <c r="D876" t="s">
        <v>439</v>
      </c>
      <c r="E876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t="s">
        <v>2619</v>
      </c>
      <c r="W876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t="s">
        <v>60</v>
      </c>
    </row>
    <row r="877" spans="1:31" x14ac:dyDescent="0.2">
      <c r="A877">
        <v>842</v>
      </c>
      <c r="B877" t="s">
        <v>1514</v>
      </c>
      <c r="C877">
        <v>26</v>
      </c>
      <c r="D877" t="s">
        <v>402</v>
      </c>
      <c r="E877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t="s">
        <v>1991</v>
      </c>
      <c r="W877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t="s">
        <v>60</v>
      </c>
    </row>
    <row r="878" spans="1:31" x14ac:dyDescent="0.2">
      <c r="A878">
        <v>843</v>
      </c>
      <c r="B878" t="s">
        <v>1516</v>
      </c>
      <c r="C878">
        <v>24</v>
      </c>
      <c r="D878" t="s">
        <v>415</v>
      </c>
      <c r="E878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1517</v>
      </c>
      <c r="W878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t="s">
        <v>60</v>
      </c>
    </row>
    <row r="879" spans="1:31" x14ac:dyDescent="0.2">
      <c r="A879">
        <v>844</v>
      </c>
      <c r="B879" t="s">
        <v>1519</v>
      </c>
      <c r="C879">
        <v>31</v>
      </c>
      <c r="D879" t="s">
        <v>356</v>
      </c>
      <c r="E87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2620</v>
      </c>
      <c r="W87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t="s">
        <v>60</v>
      </c>
    </row>
    <row r="880" spans="1:31" x14ac:dyDescent="0.2">
      <c r="A880">
        <v>845</v>
      </c>
      <c r="B880" t="s">
        <v>1520</v>
      </c>
      <c r="C880">
        <v>35</v>
      </c>
      <c r="D880" t="s">
        <v>429</v>
      </c>
      <c r="E880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1811</v>
      </c>
      <c r="W880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t="s">
        <v>60</v>
      </c>
    </row>
    <row r="881" spans="1:31" x14ac:dyDescent="0.2">
      <c r="A881">
        <v>846</v>
      </c>
      <c r="B881" t="s">
        <v>1521</v>
      </c>
      <c r="C881">
        <v>35</v>
      </c>
      <c r="D881" t="s">
        <v>375</v>
      </c>
      <c r="E881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t="s">
        <v>1522</v>
      </c>
      <c r="W881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t="s">
        <v>60</v>
      </c>
    </row>
    <row r="882" spans="1:31" x14ac:dyDescent="0.2">
      <c r="A882">
        <v>847</v>
      </c>
      <c r="B882" t="s">
        <v>1753</v>
      </c>
      <c r="C882">
        <v>24</v>
      </c>
      <c r="D882" t="s">
        <v>439</v>
      </c>
      <c r="E882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t="s">
        <v>1754</v>
      </c>
      <c r="W882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t="s">
        <v>60</v>
      </c>
    </row>
    <row r="883" spans="1:31" x14ac:dyDescent="0.2">
      <c r="A883">
        <v>848</v>
      </c>
      <c r="B883" t="s">
        <v>1523</v>
      </c>
      <c r="C883">
        <v>32</v>
      </c>
      <c r="D883" t="s">
        <v>461</v>
      </c>
      <c r="E883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t="s">
        <v>1524</v>
      </c>
      <c r="W883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t="s">
        <v>60</v>
      </c>
    </row>
    <row r="884" spans="1:31" x14ac:dyDescent="0.2">
      <c r="A884">
        <v>849</v>
      </c>
      <c r="B884" t="s">
        <v>1525</v>
      </c>
      <c r="C884">
        <v>22</v>
      </c>
      <c r="D884" t="s">
        <v>404</v>
      </c>
      <c r="E884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1526</v>
      </c>
      <c r="W884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t="s">
        <v>60</v>
      </c>
    </row>
    <row r="885" spans="1:31" x14ac:dyDescent="0.2">
      <c r="A885">
        <v>850</v>
      </c>
      <c r="B885" t="s">
        <v>1868</v>
      </c>
      <c r="C885">
        <v>23</v>
      </c>
      <c r="D885" t="s">
        <v>359</v>
      </c>
      <c r="E885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t="s">
        <v>1051</v>
      </c>
      <c r="W885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t="s">
        <v>60</v>
      </c>
    </row>
    <row r="886" spans="1:31" x14ac:dyDescent="0.2">
      <c r="A886">
        <v>851</v>
      </c>
      <c r="B886" t="s">
        <v>1529</v>
      </c>
      <c r="C886">
        <v>25</v>
      </c>
      <c r="D886" t="s">
        <v>404</v>
      </c>
      <c r="E886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t="s">
        <v>1108</v>
      </c>
      <c r="W886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t="s">
        <v>60</v>
      </c>
    </row>
    <row r="887" spans="1:31" x14ac:dyDescent="0.2">
      <c r="A887">
        <v>852</v>
      </c>
      <c r="B887" t="s">
        <v>1530</v>
      </c>
      <c r="C887">
        <v>22</v>
      </c>
      <c r="D887" t="s">
        <v>344</v>
      </c>
      <c r="E887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1531</v>
      </c>
      <c r="W887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t="s">
        <v>60</v>
      </c>
    </row>
    <row r="888" spans="1:31" x14ac:dyDescent="0.2">
      <c r="A888">
        <v>853</v>
      </c>
      <c r="B888" t="s">
        <v>1533</v>
      </c>
      <c r="C888">
        <v>19</v>
      </c>
      <c r="D888" t="s">
        <v>415</v>
      </c>
      <c r="E888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t="s">
        <v>1534</v>
      </c>
      <c r="W888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t="s">
        <v>60</v>
      </c>
    </row>
    <row r="889" spans="1:31" x14ac:dyDescent="0.2">
      <c r="A889">
        <v>854</v>
      </c>
      <c r="B889" t="s">
        <v>1537</v>
      </c>
      <c r="C889">
        <v>26</v>
      </c>
      <c r="D889" t="s">
        <v>439</v>
      </c>
      <c r="E88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t="s">
        <v>2621</v>
      </c>
      <c r="W88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t="s">
        <v>60</v>
      </c>
    </row>
    <row r="890" spans="1:31" x14ac:dyDescent="0.2">
      <c r="A890">
        <v>855</v>
      </c>
      <c r="B890" t="s">
        <v>1540</v>
      </c>
      <c r="C890">
        <v>29</v>
      </c>
      <c r="D890" t="s">
        <v>404</v>
      </c>
      <c r="E890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t="s">
        <v>1541</v>
      </c>
      <c r="W890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t="s">
        <v>60</v>
      </c>
    </row>
    <row r="891" spans="1:31" x14ac:dyDescent="0.2">
      <c r="A891">
        <v>856</v>
      </c>
      <c r="B891" t="s">
        <v>1543</v>
      </c>
      <c r="C891">
        <v>24</v>
      </c>
      <c r="D891" t="s">
        <v>321</v>
      </c>
      <c r="E891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t="s">
        <v>623</v>
      </c>
      <c r="W891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t="s">
        <v>60</v>
      </c>
    </row>
    <row r="892" spans="1:31" x14ac:dyDescent="0.2">
      <c r="A892">
        <v>857</v>
      </c>
      <c r="B892" t="s">
        <v>1545</v>
      </c>
      <c r="C892">
        <v>23</v>
      </c>
      <c r="D892" t="s">
        <v>461</v>
      </c>
      <c r="E892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t="s">
        <v>1546</v>
      </c>
      <c r="W892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t="s">
        <v>60</v>
      </c>
    </row>
    <row r="893" spans="1:31" x14ac:dyDescent="0.2">
      <c r="A893">
        <v>858</v>
      </c>
      <c r="B893" t="s">
        <v>1548</v>
      </c>
      <c r="C893">
        <v>29</v>
      </c>
      <c r="D893" t="s">
        <v>384</v>
      </c>
      <c r="E893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t="s">
        <v>1549</v>
      </c>
      <c r="W893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t="s">
        <v>60</v>
      </c>
    </row>
    <row r="894" spans="1:31" x14ac:dyDescent="0.2">
      <c r="A894">
        <v>859</v>
      </c>
      <c r="B894" t="s">
        <v>1551</v>
      </c>
      <c r="C894">
        <v>33</v>
      </c>
      <c r="D894" t="s">
        <v>368</v>
      </c>
      <c r="E894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t="s">
        <v>1552</v>
      </c>
      <c r="W894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t="s">
        <v>60</v>
      </c>
    </row>
    <row r="895" spans="1:31" x14ac:dyDescent="0.2">
      <c r="A895">
        <v>860</v>
      </c>
      <c r="B895" t="s">
        <v>1803</v>
      </c>
      <c r="C895">
        <v>22</v>
      </c>
      <c r="D895" t="s">
        <v>555</v>
      </c>
      <c r="E895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t="s">
        <v>2836</v>
      </c>
      <c r="W895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t="s">
        <v>60</v>
      </c>
    </row>
    <row r="896" spans="1:31" x14ac:dyDescent="0.2">
      <c r="A896">
        <v>861</v>
      </c>
      <c r="B896" t="s">
        <v>1554</v>
      </c>
      <c r="C896">
        <v>23</v>
      </c>
      <c r="D896" t="s">
        <v>426</v>
      </c>
      <c r="E896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2622</v>
      </c>
      <c r="W896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t="s">
        <v>60</v>
      </c>
    </row>
    <row r="897" spans="1:31" x14ac:dyDescent="0.2">
      <c r="A897">
        <v>862</v>
      </c>
      <c r="B897" t="s">
        <v>1555</v>
      </c>
      <c r="C897">
        <v>25</v>
      </c>
      <c r="D897" t="s">
        <v>356</v>
      </c>
      <c r="E897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t="s">
        <v>1556</v>
      </c>
      <c r="W897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t="s">
        <v>60</v>
      </c>
    </row>
    <row r="898" spans="1:31" x14ac:dyDescent="0.2">
      <c r="A898">
        <v>863</v>
      </c>
      <c r="B898" t="s">
        <v>1557</v>
      </c>
      <c r="C898">
        <v>27</v>
      </c>
      <c r="D898" t="s">
        <v>439</v>
      </c>
      <c r="E898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t="s">
        <v>2624</v>
      </c>
      <c r="W898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t="s">
        <v>60</v>
      </c>
    </row>
    <row r="899" spans="1:31" x14ac:dyDescent="0.2">
      <c r="A899">
        <v>864</v>
      </c>
      <c r="B899" t="s">
        <v>1558</v>
      </c>
      <c r="C899">
        <v>22</v>
      </c>
      <c r="D899" t="s">
        <v>346</v>
      </c>
      <c r="E89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t="s">
        <v>1559</v>
      </c>
      <c r="W89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t="s">
        <v>60</v>
      </c>
    </row>
    <row r="900" spans="1:31" x14ac:dyDescent="0.2">
      <c r="A900">
        <v>865</v>
      </c>
      <c r="B900" t="s">
        <v>1561</v>
      </c>
      <c r="C900">
        <v>33</v>
      </c>
      <c r="D900" t="s">
        <v>346</v>
      </c>
      <c r="E900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t="s">
        <v>1240</v>
      </c>
      <c r="W900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t="s">
        <v>60</v>
      </c>
    </row>
    <row r="901" spans="1:31" x14ac:dyDescent="0.2">
      <c r="A901">
        <v>866</v>
      </c>
      <c r="B901" t="s">
        <v>1562</v>
      </c>
      <c r="C901">
        <v>24</v>
      </c>
      <c r="D901" t="s">
        <v>321</v>
      </c>
      <c r="E901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t="s">
        <v>1563</v>
      </c>
      <c r="W901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t="s">
        <v>60</v>
      </c>
    </row>
    <row r="902" spans="1:31" x14ac:dyDescent="0.2">
      <c r="A902">
        <v>867</v>
      </c>
      <c r="B902" t="s">
        <v>1565</v>
      </c>
      <c r="C902">
        <v>28</v>
      </c>
      <c r="D902" t="s">
        <v>448</v>
      </c>
      <c r="E902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t="s">
        <v>446</v>
      </c>
      <c r="W902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t="s">
        <v>60</v>
      </c>
    </row>
    <row r="903" spans="1:31" x14ac:dyDescent="0.2">
      <c r="A903">
        <v>868</v>
      </c>
      <c r="B903" t="s">
        <v>1993</v>
      </c>
      <c r="C903">
        <v>21</v>
      </c>
      <c r="D903" t="s">
        <v>368</v>
      </c>
      <c r="E903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t="s">
        <v>1761</v>
      </c>
      <c r="W903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t="s">
        <v>60</v>
      </c>
    </row>
    <row r="904" spans="1:31" x14ac:dyDescent="0.2">
      <c r="A904">
        <v>869</v>
      </c>
      <c r="B904" t="s">
        <v>1567</v>
      </c>
      <c r="C904">
        <v>29</v>
      </c>
      <c r="D904" t="s">
        <v>365</v>
      </c>
      <c r="E904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1695</v>
      </c>
      <c r="W904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870</v>
      </c>
      <c r="B905" t="s">
        <v>1568</v>
      </c>
      <c r="C905">
        <v>26</v>
      </c>
      <c r="D905" t="s">
        <v>448</v>
      </c>
      <c r="E905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t="s">
        <v>1569</v>
      </c>
      <c r="W905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t="s">
        <v>60</v>
      </c>
    </row>
    <row r="906" spans="1:31" x14ac:dyDescent="0.2">
      <c r="A906">
        <v>871</v>
      </c>
      <c r="B906" t="s">
        <v>1570</v>
      </c>
      <c r="C906">
        <v>27</v>
      </c>
      <c r="D906" t="s">
        <v>429</v>
      </c>
      <c r="E906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t="s">
        <v>1571</v>
      </c>
      <c r="W906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t="s">
        <v>60</v>
      </c>
    </row>
    <row r="907" spans="1:31" x14ac:dyDescent="0.2">
      <c r="A907">
        <v>872</v>
      </c>
      <c r="B907" t="s">
        <v>1573</v>
      </c>
      <c r="C907">
        <v>33</v>
      </c>
      <c r="D907" t="s">
        <v>337</v>
      </c>
      <c r="E907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t="s">
        <v>1884</v>
      </c>
      <c r="W907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t="s">
        <v>60</v>
      </c>
    </row>
    <row r="908" spans="1:31" x14ac:dyDescent="0.2">
      <c r="A908">
        <v>873</v>
      </c>
      <c r="B908" t="s">
        <v>1574</v>
      </c>
      <c r="C908">
        <v>21</v>
      </c>
      <c r="D908" t="s">
        <v>378</v>
      </c>
      <c r="E908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t="s">
        <v>1804</v>
      </c>
      <c r="W908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t="s">
        <v>60</v>
      </c>
    </row>
    <row r="909" spans="1:31" x14ac:dyDescent="0.2">
      <c r="A909">
        <v>874</v>
      </c>
      <c r="B909" t="s">
        <v>1697</v>
      </c>
      <c r="C909">
        <v>22</v>
      </c>
      <c r="D909" t="s">
        <v>415</v>
      </c>
      <c r="E90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t="s">
        <v>1792</v>
      </c>
      <c r="W90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t="s">
        <v>60</v>
      </c>
    </row>
    <row r="910" spans="1:31" x14ac:dyDescent="0.2">
      <c r="A910">
        <v>875</v>
      </c>
      <c r="B910" t="s">
        <v>1575</v>
      </c>
      <c r="C910">
        <v>31</v>
      </c>
      <c r="D910" t="s">
        <v>555</v>
      </c>
      <c r="E910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1576</v>
      </c>
      <c r="W910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t="s">
        <v>60</v>
      </c>
    </row>
    <row r="911" spans="1:31" x14ac:dyDescent="0.2">
      <c r="A911">
        <v>876</v>
      </c>
      <c r="B911" t="s">
        <v>1581</v>
      </c>
      <c r="C911">
        <v>23</v>
      </c>
      <c r="D911" t="s">
        <v>363</v>
      </c>
      <c r="E911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t="s">
        <v>2625</v>
      </c>
      <c r="W911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t="s">
        <v>60</v>
      </c>
    </row>
    <row r="912" spans="1:31" x14ac:dyDescent="0.2">
      <c r="A912">
        <v>877</v>
      </c>
      <c r="B912" t="s">
        <v>1756</v>
      </c>
      <c r="C912">
        <v>24</v>
      </c>
      <c r="D912" t="s">
        <v>404</v>
      </c>
      <c r="E912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t="s">
        <v>1885</v>
      </c>
      <c r="W912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t="s">
        <v>60</v>
      </c>
    </row>
    <row r="913" spans="1:31" x14ac:dyDescent="0.2">
      <c r="A913">
        <v>878</v>
      </c>
      <c r="B913" t="s">
        <v>1582</v>
      </c>
      <c r="C913">
        <v>26</v>
      </c>
      <c r="D913" t="s">
        <v>461</v>
      </c>
      <c r="E913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1583</v>
      </c>
      <c r="W913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t="s">
        <v>60</v>
      </c>
    </row>
    <row r="914" spans="1:31" x14ac:dyDescent="0.2">
      <c r="A914">
        <v>879</v>
      </c>
      <c r="B914" t="s">
        <v>1584</v>
      </c>
      <c r="C914">
        <v>24</v>
      </c>
      <c r="D914" t="s">
        <v>353</v>
      </c>
      <c r="E914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t="s">
        <v>1585</v>
      </c>
      <c r="W914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t="s">
        <v>60</v>
      </c>
    </row>
    <row r="915" spans="1:31" x14ac:dyDescent="0.2">
      <c r="A915">
        <v>880</v>
      </c>
      <c r="B915" t="s">
        <v>1586</v>
      </c>
      <c r="C915">
        <v>33</v>
      </c>
      <c r="D915" t="s">
        <v>328</v>
      </c>
      <c r="E915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t="s">
        <v>1995</v>
      </c>
      <c r="W915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t="s">
        <v>60</v>
      </c>
    </row>
    <row r="916" spans="1:31" x14ac:dyDescent="0.2">
      <c r="A916">
        <v>881</v>
      </c>
      <c r="B916" t="s">
        <v>1587</v>
      </c>
      <c r="C916">
        <v>22</v>
      </c>
      <c r="D916" t="s">
        <v>378</v>
      </c>
      <c r="E916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t="s">
        <v>1588</v>
      </c>
      <c r="W916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t="s">
        <v>60</v>
      </c>
    </row>
    <row r="917" spans="1:31" x14ac:dyDescent="0.2">
      <c r="A917">
        <v>882</v>
      </c>
      <c r="B917" t="s">
        <v>1589</v>
      </c>
      <c r="C917">
        <v>20</v>
      </c>
      <c r="D917" t="s">
        <v>384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t="s">
        <v>1590</v>
      </c>
      <c r="W917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t="s">
        <v>60</v>
      </c>
    </row>
    <row r="918" spans="1:31" x14ac:dyDescent="0.2">
      <c r="A918">
        <v>883</v>
      </c>
      <c r="B918" t="s">
        <v>1592</v>
      </c>
      <c r="C918">
        <v>26</v>
      </c>
      <c r="D918" t="s">
        <v>321</v>
      </c>
      <c r="E918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t="s">
        <v>1593</v>
      </c>
      <c r="W918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884</v>
      </c>
      <c r="B919" t="s">
        <v>1595</v>
      </c>
      <c r="C919">
        <v>24</v>
      </c>
      <c r="D919" t="s">
        <v>378</v>
      </c>
      <c r="E9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t="s">
        <v>1596</v>
      </c>
      <c r="W9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t="s">
        <v>60</v>
      </c>
    </row>
    <row r="920" spans="1:31" x14ac:dyDescent="0.2">
      <c r="A920">
        <v>885</v>
      </c>
      <c r="B920" t="s">
        <v>1598</v>
      </c>
      <c r="C920">
        <v>26</v>
      </c>
      <c r="D920" t="s">
        <v>361</v>
      </c>
      <c r="E920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1599</v>
      </c>
      <c r="W920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t="s">
        <v>60</v>
      </c>
    </row>
    <row r="921" spans="1:31" x14ac:dyDescent="0.2">
      <c r="A921">
        <v>886</v>
      </c>
      <c r="B921" t="s">
        <v>1601</v>
      </c>
      <c r="C921">
        <v>40</v>
      </c>
      <c r="D921" t="s">
        <v>363</v>
      </c>
      <c r="E921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t="s">
        <v>2072</v>
      </c>
      <c r="W921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t="s">
        <v>60</v>
      </c>
    </row>
    <row r="922" spans="1:31" x14ac:dyDescent="0.2">
      <c r="A922">
        <v>887</v>
      </c>
      <c r="B922" t="s">
        <v>1602</v>
      </c>
      <c r="C922">
        <v>23</v>
      </c>
      <c r="D922" t="s">
        <v>361</v>
      </c>
      <c r="E922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1603</v>
      </c>
      <c r="W922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t="s">
        <v>60</v>
      </c>
    </row>
    <row r="923" spans="1:31" x14ac:dyDescent="0.2">
      <c r="A923">
        <v>888</v>
      </c>
      <c r="B923" t="s">
        <v>1605</v>
      </c>
      <c r="C923">
        <v>33</v>
      </c>
      <c r="D923" t="s">
        <v>387</v>
      </c>
      <c r="E923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t="s">
        <v>2837</v>
      </c>
      <c r="W923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t="s">
        <v>60</v>
      </c>
    </row>
    <row r="924" spans="1:31" x14ac:dyDescent="0.2">
      <c r="A924">
        <v>889</v>
      </c>
      <c r="B924" t="s">
        <v>1606</v>
      </c>
      <c r="C924">
        <v>22</v>
      </c>
      <c r="D924" t="s">
        <v>365</v>
      </c>
      <c r="E924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t="s">
        <v>1607</v>
      </c>
      <c r="W924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t="s">
        <v>60</v>
      </c>
    </row>
    <row r="925" spans="1:31" x14ac:dyDescent="0.2">
      <c r="A925">
        <v>890</v>
      </c>
      <c r="B925" t="s">
        <v>1608</v>
      </c>
      <c r="C925">
        <v>21</v>
      </c>
      <c r="D925" t="s">
        <v>346</v>
      </c>
      <c r="E925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t="s">
        <v>1609</v>
      </c>
      <c r="W925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t="s">
        <v>60</v>
      </c>
    </row>
    <row r="926" spans="1:31" x14ac:dyDescent="0.2">
      <c r="A926">
        <v>891</v>
      </c>
      <c r="B926" t="s">
        <v>1610</v>
      </c>
      <c r="C926">
        <v>30</v>
      </c>
      <c r="D926" t="s">
        <v>476</v>
      </c>
      <c r="E926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2626</v>
      </c>
      <c r="W926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t="s">
        <v>60</v>
      </c>
    </row>
    <row r="927" spans="1:31" x14ac:dyDescent="0.2">
      <c r="A927">
        <v>892</v>
      </c>
      <c r="B927" t="s">
        <v>1611</v>
      </c>
      <c r="C927">
        <v>25</v>
      </c>
      <c r="D927" t="s">
        <v>344</v>
      </c>
      <c r="E927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1997</v>
      </c>
      <c r="W927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t="s">
        <v>60</v>
      </c>
    </row>
    <row r="928" spans="1:31" x14ac:dyDescent="0.2">
      <c r="A928">
        <v>893</v>
      </c>
      <c r="B928" t="s">
        <v>1612</v>
      </c>
      <c r="C928">
        <v>30</v>
      </c>
      <c r="D928" t="s">
        <v>363</v>
      </c>
      <c r="E928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t="s">
        <v>2628</v>
      </c>
      <c r="W928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t="s">
        <v>60</v>
      </c>
    </row>
    <row r="929" spans="1:31" x14ac:dyDescent="0.2">
      <c r="A929">
        <v>894</v>
      </c>
      <c r="B929" t="s">
        <v>1614</v>
      </c>
      <c r="C929">
        <v>24</v>
      </c>
      <c r="D929" t="s">
        <v>536</v>
      </c>
      <c r="E92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t="s">
        <v>1067</v>
      </c>
      <c r="W92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895</v>
      </c>
      <c r="B930" t="s">
        <v>1615</v>
      </c>
      <c r="C930">
        <v>27</v>
      </c>
      <c r="D930" t="s">
        <v>1022</v>
      </c>
      <c r="E930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2178</v>
      </c>
      <c r="W930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t="s">
        <v>60</v>
      </c>
    </row>
    <row r="931" spans="1:31" x14ac:dyDescent="0.2">
      <c r="A931">
        <v>895</v>
      </c>
      <c r="B931" t="s">
        <v>1615</v>
      </c>
      <c r="C931">
        <v>27</v>
      </c>
      <c r="D931" t="s">
        <v>328</v>
      </c>
      <c r="E931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t="s">
        <v>1757</v>
      </c>
      <c r="W931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t="s">
        <v>60</v>
      </c>
    </row>
    <row r="932" spans="1:31" x14ac:dyDescent="0.2">
      <c r="A932">
        <v>895</v>
      </c>
      <c r="B932" t="s">
        <v>1615</v>
      </c>
      <c r="C932">
        <v>27</v>
      </c>
      <c r="D932" t="s">
        <v>378</v>
      </c>
      <c r="E932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t="s">
        <v>2179</v>
      </c>
      <c r="W932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t="s">
        <v>60</v>
      </c>
    </row>
    <row r="933" spans="1:31" x14ac:dyDescent="0.2">
      <c r="A933">
        <v>896</v>
      </c>
      <c r="B933" t="s">
        <v>1616</v>
      </c>
      <c r="C933">
        <v>31</v>
      </c>
      <c r="D933" t="s">
        <v>402</v>
      </c>
      <c r="E933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t="s">
        <v>1887</v>
      </c>
      <c r="W933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t="s">
        <v>60</v>
      </c>
    </row>
    <row r="934" spans="1:31" x14ac:dyDescent="0.2">
      <c r="A934">
        <v>897</v>
      </c>
      <c r="B934" t="s">
        <v>1618</v>
      </c>
      <c r="C934">
        <v>26</v>
      </c>
      <c r="D934" t="s">
        <v>330</v>
      </c>
      <c r="E934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2838</v>
      </c>
      <c r="W934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t="s">
        <v>60</v>
      </c>
    </row>
    <row r="935" spans="1:31" x14ac:dyDescent="0.2">
      <c r="A935">
        <v>898</v>
      </c>
      <c r="B935" t="s">
        <v>1620</v>
      </c>
      <c r="C935">
        <v>25</v>
      </c>
      <c r="D935" t="s">
        <v>321</v>
      </c>
      <c r="E935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t="s">
        <v>1621</v>
      </c>
      <c r="W935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t="s">
        <v>60</v>
      </c>
    </row>
    <row r="936" spans="1:31" x14ac:dyDescent="0.2">
      <c r="A936">
        <v>899</v>
      </c>
      <c r="B936" t="s">
        <v>1623</v>
      </c>
      <c r="C936">
        <v>30</v>
      </c>
      <c r="D936" t="s">
        <v>387</v>
      </c>
      <c r="E936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1888</v>
      </c>
      <c r="W936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t="s">
        <v>60</v>
      </c>
    </row>
    <row r="937" spans="1:31" x14ac:dyDescent="0.2">
      <c r="A937">
        <v>900</v>
      </c>
      <c r="B937" t="s">
        <v>1869</v>
      </c>
      <c r="C937">
        <v>27</v>
      </c>
      <c r="D937" t="s">
        <v>328</v>
      </c>
      <c r="E937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t="s">
        <v>1765</v>
      </c>
      <c r="W937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t="s">
        <v>60</v>
      </c>
    </row>
    <row r="938" spans="1:31" x14ac:dyDescent="0.2">
      <c r="A938">
        <v>901</v>
      </c>
      <c r="B938" t="s">
        <v>1624</v>
      </c>
      <c r="C938">
        <v>32</v>
      </c>
      <c r="D938" t="s">
        <v>361</v>
      </c>
      <c r="E938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t="s">
        <v>1625</v>
      </c>
      <c r="W938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t="s">
        <v>60</v>
      </c>
    </row>
    <row r="939" spans="1:31" x14ac:dyDescent="0.2">
      <c r="A939">
        <v>902</v>
      </c>
      <c r="B939" t="s">
        <v>1627</v>
      </c>
      <c r="C939">
        <v>26</v>
      </c>
      <c r="D939" t="s">
        <v>375</v>
      </c>
      <c r="E93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t="s">
        <v>2629</v>
      </c>
      <c r="W93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t="s">
        <v>60</v>
      </c>
    </row>
    <row r="940" spans="1:31" x14ac:dyDescent="0.2">
      <c r="A940">
        <v>903</v>
      </c>
      <c r="B940" t="s">
        <v>1628</v>
      </c>
      <c r="C940">
        <v>27</v>
      </c>
      <c r="D940" t="s">
        <v>356</v>
      </c>
      <c r="E940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t="s">
        <v>2181</v>
      </c>
      <c r="W940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t="s">
        <v>60</v>
      </c>
    </row>
    <row r="941" spans="1:31" x14ac:dyDescent="0.2">
      <c r="A941">
        <v>904</v>
      </c>
      <c r="B941" t="s">
        <v>1629</v>
      </c>
      <c r="C941">
        <v>26</v>
      </c>
      <c r="D941" t="s">
        <v>375</v>
      </c>
      <c r="E941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2000</v>
      </c>
      <c r="W941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t="s">
        <v>60</v>
      </c>
    </row>
    <row r="942" spans="1:31" x14ac:dyDescent="0.2">
      <c r="A942">
        <v>905</v>
      </c>
      <c r="B942" t="s">
        <v>1758</v>
      </c>
      <c r="C942">
        <v>24</v>
      </c>
      <c r="D942" t="s">
        <v>361</v>
      </c>
      <c r="E942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t="s">
        <v>1870</v>
      </c>
      <c r="W942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t="s">
        <v>60</v>
      </c>
    </row>
    <row r="943" spans="1:31" x14ac:dyDescent="0.2">
      <c r="A943">
        <v>906</v>
      </c>
      <c r="B943" t="s">
        <v>1630</v>
      </c>
      <c r="C943">
        <v>25</v>
      </c>
      <c r="D943" t="s">
        <v>461</v>
      </c>
      <c r="E943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t="s">
        <v>1662</v>
      </c>
      <c r="W943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t="s">
        <v>60</v>
      </c>
    </row>
    <row r="944" spans="1:31" x14ac:dyDescent="0.2">
      <c r="A944">
        <v>907</v>
      </c>
      <c r="B944" t="s">
        <v>1795</v>
      </c>
      <c r="C944">
        <v>23</v>
      </c>
      <c r="D944" t="s">
        <v>368</v>
      </c>
      <c r="E944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t="s">
        <v>1682</v>
      </c>
      <c r="W944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t="s">
        <v>60</v>
      </c>
    </row>
    <row r="945" spans="1:31" x14ac:dyDescent="0.2">
      <c r="A945">
        <v>908</v>
      </c>
      <c r="B945" t="s">
        <v>1631</v>
      </c>
      <c r="C945">
        <v>32</v>
      </c>
      <c r="D945" t="s">
        <v>426</v>
      </c>
      <c r="E945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t="s">
        <v>2631</v>
      </c>
      <c r="W945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t="s">
        <v>60</v>
      </c>
    </row>
    <row r="946" spans="1:31" x14ac:dyDescent="0.2">
      <c r="A946">
        <v>909</v>
      </c>
      <c r="B946" t="s">
        <v>1633</v>
      </c>
      <c r="C946">
        <v>31</v>
      </c>
      <c r="D946" t="s">
        <v>353</v>
      </c>
      <c r="E946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2633</v>
      </c>
      <c r="W946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t="s">
        <v>60</v>
      </c>
    </row>
    <row r="947" spans="1:31" x14ac:dyDescent="0.2">
      <c r="A947">
        <v>910</v>
      </c>
      <c r="B947" t="s">
        <v>1634</v>
      </c>
      <c r="C947">
        <v>29</v>
      </c>
      <c r="D947" t="s">
        <v>356</v>
      </c>
      <c r="E947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t="s">
        <v>2003</v>
      </c>
      <c r="W947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t="s">
        <v>60</v>
      </c>
    </row>
    <row r="948" spans="1:31" x14ac:dyDescent="0.2">
      <c r="A948">
        <v>911</v>
      </c>
      <c r="B948" t="s">
        <v>1635</v>
      </c>
      <c r="C948">
        <v>28</v>
      </c>
      <c r="D948" t="s">
        <v>415</v>
      </c>
      <c r="E948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t="s">
        <v>2840</v>
      </c>
      <c r="W948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t="s">
        <v>60</v>
      </c>
    </row>
    <row r="949" spans="1:31" x14ac:dyDescent="0.2">
      <c r="A949">
        <v>912</v>
      </c>
      <c r="B949" t="s">
        <v>1636</v>
      </c>
      <c r="C949">
        <v>23</v>
      </c>
      <c r="D949" t="s">
        <v>359</v>
      </c>
      <c r="E94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t="s">
        <v>2635</v>
      </c>
      <c r="W94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t="s">
        <v>60</v>
      </c>
    </row>
    <row r="950" spans="1:31" x14ac:dyDescent="0.2">
      <c r="A950">
        <v>913</v>
      </c>
      <c r="B950" t="s">
        <v>1638</v>
      </c>
      <c r="C950">
        <v>24</v>
      </c>
      <c r="D950" t="s">
        <v>448</v>
      </c>
      <c r="E950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t="s">
        <v>2637</v>
      </c>
      <c r="W950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t="s">
        <v>60</v>
      </c>
    </row>
    <row r="951" spans="1:31" x14ac:dyDescent="0.2">
      <c r="A951">
        <v>914</v>
      </c>
      <c r="B951" t="s">
        <v>1639</v>
      </c>
      <c r="C951">
        <v>27</v>
      </c>
      <c r="D951" t="s">
        <v>361</v>
      </c>
      <c r="E951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t="s">
        <v>2639</v>
      </c>
      <c r="W951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t="s">
        <v>60</v>
      </c>
    </row>
    <row r="952" spans="1:31" x14ac:dyDescent="0.2">
      <c r="B952" t="s">
        <v>1640</v>
      </c>
      <c r="D952" t="s">
        <v>60</v>
      </c>
      <c r="E952" t="s">
        <v>60</v>
      </c>
      <c r="T952">
        <v>10.8</v>
      </c>
      <c r="V952" t="s">
        <v>60</v>
      </c>
      <c r="W952" t="s">
        <v>405</v>
      </c>
      <c r="Z952">
        <v>50</v>
      </c>
      <c r="AE95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2026-01-02T16:06:12Z</dcterms:modified>
</cp:coreProperties>
</file>