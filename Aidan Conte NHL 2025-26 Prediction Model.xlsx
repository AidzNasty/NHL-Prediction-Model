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209" documentId="14_{BC0C37BD-5950-BD49-823D-87212FE79B51}" xr6:coauthVersionLast="47" xr6:coauthVersionMax="47" xr10:uidLastSave="{55D9D2EE-A794-7240-9359-45DAF467DF71}"/>
  <bookViews>
    <workbookView xWindow="0" yWindow="680" windowWidth="29400" windowHeight="1732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Sheet2" sheetId="9" r:id="rId6"/>
  </sheets>
  <definedNames>
    <definedName name="ExternalData_1" localSheetId="0" hidden="1">'NHL2025-26Results'!$A$1:$J$1313</definedName>
    <definedName name="ExternalData_4" localSheetId="4" hidden="1">'ML Prediction Model'!$A$1:$T$11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5" r:id="rId7"/>
    <pivotCache cacheId="6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27" i="4" l="1"/>
  <c r="G427" i="1"/>
  <c r="H427" i="1"/>
  <c r="I427" i="1"/>
  <c r="J427" i="1" s="1"/>
  <c r="G428" i="1"/>
  <c r="H428" i="1"/>
  <c r="I428" i="1"/>
  <c r="G429" i="1"/>
  <c r="H429" i="1"/>
  <c r="I429" i="1"/>
  <c r="J429" i="1" s="1"/>
  <c r="G430" i="1"/>
  <c r="H430" i="1"/>
  <c r="I430" i="1"/>
  <c r="G431" i="1"/>
  <c r="H431" i="1"/>
  <c r="I431" i="1"/>
  <c r="J431" i="1" s="1"/>
  <c r="E427" i="1"/>
  <c r="E428" i="1"/>
  <c r="E429" i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H419" i="1" s="1"/>
  <c r="I419" i="1"/>
  <c r="G420" i="1"/>
  <c r="H420" i="1" s="1"/>
  <c r="I420" i="1"/>
  <c r="G421" i="1"/>
  <c r="H421" i="1" s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3" i="4"/>
  <c r="V5" i="4" s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J428" i="1" l="1"/>
  <c r="J430" i="1"/>
  <c r="V6" i="4"/>
  <c r="H423" i="1"/>
  <c r="H416" i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J423" i="1"/>
  <c r="H417" i="1"/>
  <c r="J417" i="1" s="1"/>
  <c r="J419" i="1"/>
  <c r="H425" i="1"/>
  <c r="J421" i="1"/>
  <c r="H426" i="1"/>
  <c r="J426" i="1" s="1"/>
  <c r="J420" i="1"/>
  <c r="J425" i="1"/>
  <c r="H412" i="1"/>
  <c r="J412" i="1" s="1"/>
  <c r="H413" i="1"/>
  <c r="J413" i="1" s="1"/>
  <c r="H377" i="1"/>
  <c r="J377" i="1" s="1"/>
  <c r="H409" i="1"/>
  <c r="J409" i="1" s="1"/>
  <c r="H415" i="1"/>
  <c r="J415" i="1" s="1"/>
  <c r="J416" i="1"/>
  <c r="H406" i="1"/>
  <c r="H402" i="1"/>
  <c r="J402" i="1" s="1"/>
  <c r="H398" i="1"/>
  <c r="J398" i="1" s="1"/>
  <c r="H411" i="1"/>
  <c r="J411" i="1" s="1"/>
  <c r="H408" i="1"/>
  <c r="J408" i="1" s="1"/>
  <c r="H401" i="1"/>
  <c r="H405" i="1"/>
  <c r="J405" i="1" s="1"/>
  <c r="H404" i="1"/>
  <c r="J404" i="1" s="1"/>
  <c r="H407" i="1"/>
  <c r="J407" i="1" s="1"/>
  <c r="H370" i="1"/>
  <c r="J370" i="1" s="1"/>
  <c r="J406" i="1"/>
  <c r="H403" i="1"/>
  <c r="J403" i="1" s="1"/>
  <c r="H399" i="1"/>
  <c r="J399" i="1" s="1"/>
  <c r="H400" i="1"/>
  <c r="J400" i="1" s="1"/>
  <c r="J401" i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H307" i="1"/>
  <c r="H314" i="1"/>
  <c r="H334" i="1"/>
  <c r="H340" i="1"/>
  <c r="J340" i="1" s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H253" i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124" i="1"/>
  <c r="H123" i="1"/>
  <c r="H115" i="1"/>
  <c r="H111" i="1"/>
  <c r="H101" i="1"/>
  <c r="H97" i="1"/>
  <c r="H68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116" i="1" l="1"/>
  <c r="H83" i="1"/>
  <c r="F4" i="5"/>
  <c r="H223" i="1"/>
  <c r="J223" i="1" s="1"/>
  <c r="H85" i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J117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85" i="1"/>
  <c r="J123" i="1"/>
  <c r="J125" i="1"/>
  <c r="J126" i="1"/>
  <c r="J109" i="1"/>
  <c r="J166" i="1"/>
  <c r="J87" i="1"/>
  <c r="J96" i="1"/>
  <c r="J111" i="1"/>
  <c r="J95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L341" i="4" l="1"/>
  <c r="J3" i="1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N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L1308" i="4"/>
  <c r="N1308" i="4" s="1"/>
  <c r="K446" i="4"/>
  <c r="M446" i="4" s="1"/>
  <c r="N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N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N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N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N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304" i="4" l="1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<sst xmlns="http://schemas.openxmlformats.org/spreadsheetml/2006/main" count="12529" uniqueCount="283">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</sst>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 applyFill="1"/>
    <xf numFmtId="0" fontId="0" fillId="0" borderId="0" xfId="0" applyNumberFormat="1"/>
  </cellXfs>
  <cellStyles count="2">
    <cellStyle name="Normal" xfId="0" builtinId="0"/>
    <cellStyle name="Percent" xfId="1" builtinId="5"/>
  </cellStyles>
  <dxfs count="6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67"/>
    <tableColumn id="3" xr3:uid="{2C87C5E2-BA51-8A42-89C8-535F9675CB8F}" uniqueName="3" name="Visitor" queryTableFieldId="3" dataDxfId="66"/>
    <tableColumn id="4" xr3:uid="{CE6ABB56-546F-BB46-9A09-2A1A92669C31}" uniqueName="4" name="G" queryTableFieldId="4" dataDxfId="65"/>
    <tableColumn id="5" xr3:uid="{C1234731-C200-EA4C-B756-2CA67776A39C}" uniqueName="5" name="Home" queryTableFieldId="5" dataDxfId="64"/>
    <tableColumn id="6" xr3:uid="{339325E9-BBA1-9A48-8657-C4AC5A969A45}" uniqueName="6" name="G_1" queryTableFieldId="6" dataDxfId="63"/>
    <tableColumn id="11" xr3:uid="{D5C53254-CDEF-7A46-97BA-0F3F94C9C0F8}" uniqueName="11" name="Column1" queryTableFieldId="11" dataDxfId="62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1"/>
    <tableColumn id="10" xr3:uid="{D8B4237A-01AB-6648-9F38-4F24C83C2F02}" uniqueName="10" name="Losing_G" queryTableFieldId="10" dataDxfId="6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59" headerRowBorderDxfId="58" tableBorderDxfId="57">
  <autoFilter ref="D6:J1318" xr:uid="{082AB263-30A0-9143-A4CB-E8E85CF645DA}"/>
  <tableColumns count="7">
    <tableColumn id="1" xr3:uid="{A2DA1977-C625-F248-8922-D45BEAE345E6}" name="Visitor" dataDxfId="56"/>
    <tableColumn id="2" xr3:uid="{7F142366-1AE0-5D45-A506-465FBF578C3A}" name="G" dataDxfId="55"/>
    <tableColumn id="3" xr3:uid="{F73B07A5-94FF-C843-900F-F37684899EAA}" name="Home" dataDxfId="54"/>
    <tableColumn id="4" xr3:uid="{7D6FADB5-28D9-9449-ADC0-599788BF0B16}" name="G_1" dataDxfId="53"/>
    <tableColumn id="5" xr3:uid="{98CF2B62-3F88-D44B-AF59-BE4BB5C0604E}" name="HomeMargin" dataDxfId="52">
      <calculatedColumnFormula>Table3[[#This Row],[G_1]]-Table3[[#This Row],[G]]</calculatedColumnFormula>
    </tableColumn>
    <tableColumn id="6" xr3:uid="{FD0EC919-55F2-CA43-8B92-CA3E6283FCFD}" name="HomeForecast" dataDxfId="51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0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49" dataDxfId="48">
  <autoFilter ref="D1:R1313" xr:uid="{B940C27F-1AFD-1A45-A69A-42FED3D3591C}"/>
  <tableColumns count="15">
    <tableColumn id="1" xr3:uid="{27200A7D-FC6F-7D47-A38B-8116F873A9D8}" name="Date" dataDxfId="47"/>
    <tableColumn id="2" xr3:uid="{E6247AA5-111B-9544-9F6D-FFC524512888}" name="Time" dataDxfId="46"/>
    <tableColumn id="3" xr3:uid="{EDCD8AB3-2C72-284E-B537-7168C3C8687B}" name="Home" dataDxfId="45"/>
    <tableColumn id="4" xr3:uid="{EC6C1412-AAC2-6646-BF48-0D4526947D52}" name="Home Differential" dataDxfId="44">
      <calculatedColumnFormula>VLOOKUP(Table4[[#This Row],[Home]],'NHL Model'!$A$6:$B$38,2,FALSE)</calculatedColumnFormula>
    </tableColumn>
    <tableColumn id="5" xr3:uid="{67F5F1C4-5CC9-B648-BE7C-7E4EF3A85290}" name="Visitor" dataDxfId="43"/>
    <tableColumn id="6" xr3:uid="{84F489BE-33B4-0E4D-959D-E87A85C1D38D}" name="Away Differential" dataDxfId="42">
      <calculatedColumnFormula>VLOOKUP(Table4[[#This Row],[Visitor]],'NHL Model'!$A$6:$B$38,2,FALSE)</calculatedColumnFormula>
    </tableColumn>
    <tableColumn id="7" xr3:uid="{A6F9ABE3-1844-E54D-9016-325B538D2969}" name="HomeIce Differential" dataDxfId="41">
      <calculatedColumnFormula>($B$1+Table4[[#This Row],[Home Differential]])-Table4[[#This Row],[Away Differential]]</calculatedColumnFormula>
    </tableColumn>
    <tableColumn id="8" xr3:uid="{8FFD520F-0CF9-9D4A-93B6-B45373384612}" name="Predicted Winner" dataDxfId="40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39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38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37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36"/>
    <tableColumn id="13" xr3:uid="{F50D85A3-D772-F247-BFBE-86E765FD0BF6}" name="Locked Correct" dataDxfId="35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34">
  <autoFilter ref="A1:R33" xr:uid="{1B34B514-E1CC-0949-A7DD-8D37387465DD}"/>
  <tableColumns count="18">
    <tableColumn id="1" xr3:uid="{C9F77F0F-7B0D-CC44-9D34-395D1E3FA55B}" name="Team" dataDxfId="33"/>
    <tableColumn id="2" xr3:uid="{4080CFDD-7980-DD4D-A4DE-25DB03E50B7C}" name="GP" dataDxfId="32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1">
      <calculatedColumnFormula>COUNTIFS('NHL2025-26Results'!$H:$H,A2,'NHL2025-26Results'!$F:$F,"")</calculatedColumnFormula>
    </tableColumn>
    <tableColumn id="5" xr3:uid="{5EA2DCC3-F71A-5A40-B3F3-8F2F8CB0A7CE}" name="OTL" dataDxfId="30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29">
      <calculatedColumnFormula>(Table1[[#This Row],[W]]*2)+Table1[[#This Row],[OTL]]</calculatedColumnFormula>
    </tableColumn>
    <tableColumn id="7" xr3:uid="{40EA95E8-9958-E040-A5BE-EC17EEDC1CBD}" name="HomeWins" dataDxfId="28">
      <calculatedColumnFormula>COUNTIFS('NHL2025-26Results'!$D:$D,A2,'NHL2025-26Results'!$G:$G,A2)</calculatedColumnFormula>
    </tableColumn>
    <tableColumn id="9" xr3:uid="{F3FA5C24-502A-6446-A4B9-25DB670D2CB7}" name="HomeLoss" dataDxfId="27">
      <calculatedColumnFormula>COUNTIFS('NHL2025-26Results'!$D:$D,A2,'NHL2025-26Results'!$H:$H,A2,'NHL2025-26Results'!$F:$F,"")</calculatedColumnFormula>
    </tableColumn>
    <tableColumn id="8" xr3:uid="{999F1273-113E-7F4B-990E-AC7B23C4A496}" name="HomeOTL" dataDxfId="26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25">
      <calculatedColumnFormula>COUNTIFS('NHL2025-26Results'!$B:$B,A2,'NHL2025-26Results'!$G:$G,A2)</calculatedColumnFormula>
    </tableColumn>
    <tableColumn id="10" xr3:uid="{1A63BDD0-5CF0-0C48-B684-3675FC716427}" name="AwayLoss" dataDxfId="24">
      <calculatedColumnFormula>COUNTIFS('NHL2025-26Results'!$B:$B,A2,'NHL2025-26Results'!$H:$H,A2,'NHL2025-26Results'!$F:$F,"")</calculatedColumnFormula>
    </tableColumn>
    <tableColumn id="12" xr3:uid="{59628040-0BA7-5042-BB5A-1E9D40ABC469}" name="AwayOTL" dataDxfId="23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2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1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0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19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11" tableType="queryTable" totalsRowShown="0">
  <autoFilter ref="A1:T11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405" zoomScale="90" zoomScaleNormal="120" workbookViewId="0">
      <selection activeCell="G427" sqref="G427:H1313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10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10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10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10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10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2.6834478740816486E-2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2365.0899674379166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6.0998961494444972E-3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-0.26759392784589531</v>
      </c>
      <c r="J7">
        <f>(Table3[[#This Row],[HomeMargin]]-Table3[[#This Row],[HomeForecast]])^2</f>
        <v>1.6067943659117851</v>
      </c>
    </row>
    <row r="8" spans="1:10" x14ac:dyDescent="0.2">
      <c r="A8" s="4" t="s">
        <v>21</v>
      </c>
      <c r="B8">
        <v>-0.15717729503670502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-1.9575416299127206</v>
      </c>
      <c r="J8">
        <f>(Table3[[#This Row],[HomeMargin]]-Table3[[#This Row],[HomeForecast]])^2</f>
        <v>1.0867194533650271</v>
      </c>
    </row>
    <row r="9" spans="1:10" x14ac:dyDescent="0.2">
      <c r="A9" s="4" t="s">
        <v>23</v>
      </c>
      <c r="B9">
        <v>-0.43955182119289299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-6.5215448528107636E-2</v>
      </c>
      <c r="J9">
        <f>(Table3[[#This Row],[HomeMargin]]-Table3[[#This Row],[HomeForecast]])^2</f>
        <v>8.6129603635580754</v>
      </c>
    </row>
    <row r="10" spans="1:10" x14ac:dyDescent="0.2">
      <c r="A10" s="4" t="s">
        <v>16</v>
      </c>
      <c r="B10">
        <v>-1.0975205179116387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0.42204366203971067</v>
      </c>
      <c r="J10">
        <f>(Table3[[#This Row],[HomeMargin]]-Table3[[#This Row],[HomeForecast]])^2</f>
        <v>2.0222081767473106</v>
      </c>
    </row>
    <row r="11" spans="1:10" x14ac:dyDescent="0.2">
      <c r="A11" s="4" t="s">
        <v>25</v>
      </c>
      <c r="B11">
        <v>0.52315764934699704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0.14793981477558005</v>
      </c>
      <c r="J11">
        <f>(Table3[[#This Row],[HomeMargin]]-Table3[[#This Row],[HomeForecast]])^2</f>
        <v>8.1342473001423539</v>
      </c>
    </row>
    <row r="12" spans="1:10" x14ac:dyDescent="0.2">
      <c r="A12" s="4" t="s">
        <v>10</v>
      </c>
      <c r="B12">
        <v>-0.1280954603767317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0.17929069714171891</v>
      </c>
      <c r="J12">
        <f>(Table3[[#This Row],[HomeMargin]]-Table3[[#This Row],[HomeForecast]])^2</f>
        <v>1.3907265483650015</v>
      </c>
    </row>
    <row r="13" spans="1:10" x14ac:dyDescent="0.2">
      <c r="A13" s="4" t="s">
        <v>12</v>
      </c>
      <c r="B13">
        <v>1.7050699520681891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0.96610174586290487</v>
      </c>
      <c r="J13">
        <f>(Table3[[#This Row],[HomeMargin]]-Table3[[#This Row],[HomeForecast]])^2</f>
        <v>8.7977595668109725</v>
      </c>
    </row>
    <row r="14" spans="1:10" x14ac:dyDescent="0.2">
      <c r="A14" s="4" t="s">
        <v>28</v>
      </c>
      <c r="B14">
        <v>-0.45544062464079677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-2.2473559191568404E-3</v>
      </c>
      <c r="J14">
        <f>(Table3[[#This Row],[HomeMargin]]-Table3[[#This Row],[HomeForecast]])^2</f>
        <v>1.0044997624469412</v>
      </c>
    </row>
    <row r="15" spans="1:10" x14ac:dyDescent="0.2">
      <c r="A15" s="4" t="s">
        <v>39</v>
      </c>
      <c r="B15">
        <v>0.57663845568176975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-0.3091724743026748</v>
      </c>
      <c r="J15">
        <f>(Table3[[#This Row],[HomeMargin]]-Table3[[#This Row],[HomeForecast]])^2</f>
        <v>13.62220782444504</v>
      </c>
    </row>
    <row r="16" spans="1:10" x14ac:dyDescent="0.2">
      <c r="A16" s="4" t="s">
        <v>26</v>
      </c>
      <c r="B16">
        <v>-0.72022444935789065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0.54875527948458835</v>
      </c>
      <c r="J16">
        <f>(Table3[[#This Row],[HomeMargin]]-Table3[[#This Row],[HomeForecast]])^2</f>
        <v>6.0086006798546787</v>
      </c>
    </row>
    <row r="17" spans="1:10" x14ac:dyDescent="0.2">
      <c r="A17" s="4" t="s">
        <v>17</v>
      </c>
      <c r="B17">
        <v>-0.70231133461274453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1.7905650739660945</v>
      </c>
      <c r="J17">
        <f>(Table3[[#This Row],[HomeMargin]]-Table3[[#This Row],[HomeForecast]])^2</f>
        <v>0.62499313617501651</v>
      </c>
    </row>
    <row r="18" spans="1:10" x14ac:dyDescent="0.2">
      <c r="A18" s="4" t="s">
        <v>11</v>
      </c>
      <c r="B18">
        <v>-0.42252386696344346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-0.18892961799335428</v>
      </c>
      <c r="J18">
        <f>(Table3[[#This Row],[HomeMargin]]-Table3[[#This Row],[HomeForecast]])^2</f>
        <v>14.52425745660828</v>
      </c>
    </row>
    <row r="19" spans="1:10" x14ac:dyDescent="0.2">
      <c r="A19" s="4" t="s">
        <v>13</v>
      </c>
      <c r="B19">
        <v>-0.27930615658534785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-0.24352427941982066</v>
      </c>
      <c r="J19">
        <f>(Table3[[#This Row],[HomeMargin]]-Table3[[#This Row],[HomeForecast]])^2</f>
        <v>1.5463526335065843</v>
      </c>
    </row>
    <row r="20" spans="1:10" x14ac:dyDescent="0.2">
      <c r="A20" s="4" t="s">
        <v>34</v>
      </c>
      <c r="B20">
        <v>6.3765445873038576E-2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-0.62182007212421198</v>
      </c>
      <c r="J20">
        <f>(Table3[[#This Row],[HomeMargin]]-Table3[[#This Row],[HomeForecast]])^2</f>
        <v>2.6303003463449843</v>
      </c>
    </row>
    <row r="21" spans="1:10" x14ac:dyDescent="0.2">
      <c r="A21" s="4" t="s">
        <v>18</v>
      </c>
      <c r="B21">
        <v>-0.50446035262371991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4.3567789236984712E-2</v>
      </c>
      <c r="J21">
        <f>(Table3[[#This Row],[HomeMargin]]-Table3[[#This Row],[HomeForecast]])^2</f>
        <v>0.91476257378502901</v>
      </c>
    </row>
    <row r="22" spans="1:10" x14ac:dyDescent="0.2">
      <c r="A22" s="4" t="s">
        <v>29</v>
      </c>
      <c r="B22">
        <v>-1.1040951755058253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-0.51283205990204528</v>
      </c>
      <c r="J22">
        <f>(Table3[[#This Row],[HomeMargin]]-Table3[[#This Row],[HomeForecast]])^2</f>
        <v>6.3143249612715575</v>
      </c>
    </row>
    <row r="23" spans="1:10" x14ac:dyDescent="0.2">
      <c r="A23" s="4" t="s">
        <v>24</v>
      </c>
      <c r="B23">
        <v>1.2368486032251671E-3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-0.3571199024345042</v>
      </c>
      <c r="J23">
        <f>(Table3[[#This Row],[HomeMargin]]-Table3[[#This Row],[HomeForecast]])^2</f>
        <v>0.41329481984582139</v>
      </c>
    </row>
    <row r="24" spans="1:10" x14ac:dyDescent="0.2">
      <c r="A24" s="4" t="s">
        <v>30</v>
      </c>
      <c r="B24">
        <v>-2.8228251376645769E-2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-1.2915507961310375</v>
      </c>
      <c r="J24">
        <f>(Table3[[#This Row],[HomeMargin]]-Table3[[#This Row],[HomeForecast]])^2</f>
        <v>13.752595497676342</v>
      </c>
    </row>
    <row r="25" spans="1:10" x14ac:dyDescent="0.2">
      <c r="A25" s="4" t="s">
        <v>15</v>
      </c>
      <c r="B25">
        <v>-0.10354486814940167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0.92677409519147169</v>
      </c>
      <c r="J25">
        <f>(Table3[[#This Row],[HomeMargin]]-Table3[[#This Row],[HomeForecast]])^2</f>
        <v>3.7124584139009138</v>
      </c>
    </row>
    <row r="26" spans="1:10" x14ac:dyDescent="0.2">
      <c r="A26" s="4" t="s">
        <v>36</v>
      </c>
      <c r="B26">
        <v>-0.31206928170612303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0.29269516907357052</v>
      </c>
      <c r="J26">
        <f>(Table3[[#This Row],[HomeMargin]]-Table3[[#This Row],[HomeForecast]])^2</f>
        <v>13.744109109410443</v>
      </c>
    </row>
    <row r="27" spans="1:10" x14ac:dyDescent="0.2">
      <c r="A27" s="4" t="s">
        <v>27</v>
      </c>
      <c r="B27">
        <v>-0.15216510880280634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-0.80368571130882993</v>
      </c>
      <c r="J27">
        <f>(Table3[[#This Row],[HomeMargin]]-Table3[[#This Row],[HomeForecast]])^2</f>
        <v>3.8539299944320066E-2</v>
      </c>
    </row>
    <row r="28" spans="1:10" x14ac:dyDescent="0.2">
      <c r="A28" s="4" t="s">
        <v>14</v>
      </c>
      <c r="B28">
        <v>-1.1494940880477545E-2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0.30920900489700442</v>
      </c>
      <c r="J28">
        <f>(Table3[[#This Row],[HomeMargin]]-Table3[[#This Row],[HomeForecast]])^2</f>
        <v>2.858774189121378</v>
      </c>
    </row>
    <row r="29" spans="1:10" x14ac:dyDescent="0.2">
      <c r="A29" s="4" t="s">
        <v>33</v>
      </c>
      <c r="B29">
        <v>-0.51080431935976611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0.70215723689061982</v>
      </c>
      <c r="J29">
        <f>(Table3[[#This Row],[HomeMargin]]-Table3[[#This Row],[HomeForecast]])^2</f>
        <v>8.8710311536630365E-2</v>
      </c>
    </row>
    <row r="30" spans="1:10" x14ac:dyDescent="0.2">
      <c r="A30" s="4" t="s">
        <v>32</v>
      </c>
      <c r="B30">
        <v>-0.53356664249341723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0.18393378982799335</v>
      </c>
      <c r="J30">
        <f>(Table3[[#This Row],[HomeMargin]]-Table3[[#This Row],[HomeForecast]])^2</f>
        <v>4.7695667983524617</v>
      </c>
    </row>
    <row r="31" spans="1:10" x14ac:dyDescent="0.2">
      <c r="A31" s="4" t="s">
        <v>35</v>
      </c>
      <c r="B31">
        <v>-1.2546198289988155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0.40319937098780467</v>
      </c>
      <c r="J31">
        <f>(Table3[[#This Row],[HomeMargin]]-Table3[[#This Row],[HomeForecast]])^2</f>
        <v>1.9689684747405709</v>
      </c>
    </row>
    <row r="32" spans="1:10" x14ac:dyDescent="0.2">
      <c r="A32" s="4" t="s">
        <v>37</v>
      </c>
      <c r="B32">
        <v>0.58787033474453221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1.1552659751272358</v>
      </c>
      <c r="J32">
        <f>(Table3[[#This Row],[HomeMargin]]-Table3[[#This Row],[HomeForecast]])^2</f>
        <v>4.6451714235411545</v>
      </c>
    </row>
    <row r="33" spans="1:10" x14ac:dyDescent="0.2">
      <c r="A33" s="4" t="s">
        <v>19</v>
      </c>
      <c r="B33">
        <v>-0.38335501658895638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-0.31003495402811782</v>
      </c>
      <c r="J33">
        <f>(Table3[[#This Row],[HomeMargin]]-Table3[[#This Row],[HomeForecast]])^2</f>
        <v>10.956331396887924</v>
      </c>
    </row>
    <row r="34" spans="1:10" x14ac:dyDescent="0.2">
      <c r="A34" t="s">
        <v>55</v>
      </c>
      <c r="B34">
        <v>-5.8660643157088771E-2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0.15618297170695661</v>
      </c>
      <c r="J34">
        <f>(Table3[[#This Row],[HomeMargin]]-Table3[[#This Row],[HomeForecast]])^2</f>
        <v>3.39966123382339</v>
      </c>
    </row>
    <row r="35" spans="1:10" x14ac:dyDescent="0.2">
      <c r="A35" s="4" t="s">
        <v>38</v>
      </c>
      <c r="B35">
        <v>-0.83165982757888468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-8.3620106516503978E-2</v>
      </c>
      <c r="J35">
        <f>(Table3[[#This Row],[HomeMargin]]-Table3[[#This Row],[HomeForecast]])^2</f>
        <v>16.675953174345864</v>
      </c>
    </row>
    <row r="36" spans="1:10" x14ac:dyDescent="0.2">
      <c r="A36" s="4" t="s">
        <v>20</v>
      </c>
      <c r="B36">
        <v>-0.12684993818444543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0.54604054925465184</v>
      </c>
      <c r="J36">
        <f>(Table3[[#This Row],[HomeMargin]]-Table3[[#This Row],[HomeForecast]])^2</f>
        <v>12.574403576958234</v>
      </c>
    </row>
    <row r="37" spans="1:10" x14ac:dyDescent="0.2">
      <c r="A37" s="4" t="s">
        <v>22</v>
      </c>
      <c r="B37">
        <v>0.78208997208538333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-1.0186000536079198</v>
      </c>
      <c r="J37">
        <f>(Table3[[#This Row],[HomeMargin]]-Table3[[#This Row],[HomeForecast]])^2</f>
        <v>3.4596199421749153E-4</v>
      </c>
    </row>
    <row r="38" spans="1:10" x14ac:dyDescent="0.2">
      <c r="A38" s="4" t="s">
        <v>40</v>
      </c>
      <c r="B38">
        <v>-0.25388173436787664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-0.78348374472121263</v>
      </c>
      <c r="J38">
        <f>(Table3[[#This Row],[HomeMargin]]-Table3[[#This Row],[HomeForecast]])^2</f>
        <v>1.4799117993575237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0.11888440600974061</v>
      </c>
      <c r="J39">
        <f>(Table3[[#This Row],[HomeMargin]]-Table3[[#This Row],[HomeForecast]])^2</f>
        <v>26.2029775620897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-0.37988222556815532</v>
      </c>
      <c r="J40">
        <f>(Table3[[#This Row],[HomeMargin]]-Table3[[#This Row],[HomeForecast]])^2</f>
        <v>1.9040749564389254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-0.49006973676839416</v>
      </c>
      <c r="J41">
        <f>(Table3[[#This Row],[HomeMargin]]-Table3[[#This Row],[HomeForecast]])^2</f>
        <v>0.26002887335945485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0.61346796488212352</v>
      </c>
      <c r="J42">
        <f>(Table3[[#This Row],[HomeMargin]]-Table3[[#This Row],[HomeForecast]])^2</f>
        <v>6.8302148034651085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5.2258900958287696E-2</v>
      </c>
      <c r="J43">
        <f>(Table3[[#This Row],[HomeMargin]]-Table3[[#This Row],[HomeForecast]])^2</f>
        <v>0.89821319081279283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-0.85880036149396854</v>
      </c>
      <c r="J44">
        <f>(Table3[[#This Row],[HomeMargin]]-Table3[[#This Row],[HomeForecast]])^2</f>
        <v>1.9937337914233962E-2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-0.71821315104042072</v>
      </c>
      <c r="J45">
        <f>(Table3[[#This Row],[HomeMargin]]-Table3[[#This Row],[HomeForecast]])^2</f>
        <v>7.9403828246568747E-2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-2.1177872945202658</v>
      </c>
      <c r="J46">
        <f>(Table3[[#This Row],[HomeMargin]]-Table3[[#This Row],[HomeForecast]])^2</f>
        <v>1.3873846750403842E-2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-0.4298429945032054</v>
      </c>
      <c r="J47">
        <f>(Table3[[#This Row],[HomeMargin]]-Table3[[#This Row],[HomeForecast]])^2</f>
        <v>0.32507901091707186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-4.2600338478826438E-2</v>
      </c>
      <c r="J48">
        <f>(Table3[[#This Row],[HomeMargin]]-Table3[[#This Row],[HomeForecast]])^2</f>
        <v>4.1722161427538165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0.36990608119920293</v>
      </c>
      <c r="J49">
        <f>(Table3[[#This Row],[HomeMargin]]-Table3[[#This Row],[HomeForecast]])^2</f>
        <v>0.39701834650974538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0.25248796173204735</v>
      </c>
      <c r="J50">
        <f>(Table3[[#This Row],[HomeMargin]]-Table3[[#This Row],[HomeForecast]])^2</f>
        <v>10.578677941211888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0.81886037254051869</v>
      </c>
      <c r="J51">
        <f>(Table3[[#This Row],[HomeMargin]]-Table3[[#This Row],[HomeForecast]])^2</f>
        <v>14.583694544960309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0.29719323690145361</v>
      </c>
      <c r="J52">
        <f>(Table3[[#This Row],[HomeMargin]]-Table3[[#This Row],[HomeForecast]])^2</f>
        <v>7.3051643986512422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0.36370391150975079</v>
      </c>
      <c r="J53">
        <f>(Table3[[#This Row],[HomeMargin]]-Table3[[#This Row],[HomeForecast]])^2</f>
        <v>1.8596883582669945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0.4497944801607473</v>
      </c>
      <c r="J54">
        <f>(Table3[[#This Row],[HomeMargin]]-Table3[[#This Row],[HomeForecast]])^2</f>
        <v>11.901081955347561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4.4429315770738532E-2</v>
      </c>
      <c r="J55">
        <f>(Table3[[#This Row],[HomeMargin]]-Table3[[#This Row],[HomeForecast]])^2</f>
        <v>0.91311533255837896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-0.94383610098637671</v>
      </c>
      <c r="J56">
        <f>(Table3[[#This Row],[HomeMargin]]-Table3[[#This Row],[HomeForecast]])^2</f>
        <v>1.1154821815796589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0.53970748854954764</v>
      </c>
      <c r="J57">
        <f>(Table3[[#This Row],[HomeMargin]]-Table3[[#This Row],[HomeForecast]])^2</f>
        <v>6.0530392418991754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5.594076861051378E-2</v>
      </c>
      <c r="J58">
        <f>(Table3[[#This Row],[HomeMargin]]-Table3[[#This Row],[HomeForecast]])^2</f>
        <v>0.89124783237170746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0.62560094520415932</v>
      </c>
      <c r="J59">
        <f>(Table3[[#This Row],[HomeMargin]]-Table3[[#This Row],[HomeForecast]])^2</f>
        <v>6.8937803234569746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-1.0071274899659466</v>
      </c>
      <c r="J60">
        <f>(Table3[[#This Row],[HomeMargin]]-Table3[[#This Row],[HomeForecast]])^2</f>
        <v>8.9572858613175352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0.74757463765768539</v>
      </c>
      <c r="J61">
        <f>(Table3[[#This Row],[HomeMargin]]-Table3[[#This Row],[HomeForecast]])^2</f>
        <v>5.0734200129229068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0.22105411608166758</v>
      </c>
      <c r="J62">
        <f>(Table3[[#This Row],[HomeMargin]]-Table3[[#This Row],[HomeForecast]])^2</f>
        <v>0.60675669007331223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-0.10064806074595345</v>
      </c>
      <c r="J63">
        <f>(Table3[[#This Row],[HomeMargin]]-Table3[[#This Row],[HomeForecast]])^2</f>
        <v>16.815314518099552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-0.27086610365363073</v>
      </c>
      <c r="J64">
        <f>(Table3[[#This Row],[HomeMargin]]-Table3[[#This Row],[HomeForecast]])^2</f>
        <v>10.698565068030284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-1.0996898898812673</v>
      </c>
      <c r="J65">
        <f>(Table3[[#This Row],[HomeMargin]]-Table3[[#This Row],[HomeForecast]])^2</f>
        <v>15.212418955094403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1.0656943534953665</v>
      </c>
      <c r="J66">
        <f>(Table3[[#This Row],[HomeMargin]]-Table3[[#This Row],[HomeForecast]])^2</f>
        <v>0.87292704109044128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-0.49022327445673608</v>
      </c>
      <c r="J67">
        <f>(Table3[[#This Row],[HomeMargin]]-Table3[[#This Row],[HomeForecast]])^2</f>
        <v>6.2989792120786694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-2.1336760979681695</v>
      </c>
      <c r="J68">
        <f>(Table3[[#This Row],[HomeMargin]]-Table3[[#This Row],[HomeForecast]])^2</f>
        <v>0.75051710323165666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1.4351327620014709</v>
      </c>
      <c r="J69">
        <f>(Table3[[#This Row],[HomeMargin]]-Table3[[#This Row],[HomeForecast]])^2</f>
        <v>11.800137092575856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-0.24097673696405386</v>
      </c>
      <c r="J70">
        <f>(Table3[[#This Row],[HomeMargin]]-Table3[[#This Row],[HomeForecast]])^2</f>
        <v>3.0941628399016272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0.6264693016229218</v>
      </c>
      <c r="J71">
        <f>(Table3[[#This Row],[HomeMargin]]-Table3[[#This Row],[HomeForecast]])^2</f>
        <v>0.13952518263006777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0.45059519430748513</v>
      </c>
      <c r="J72">
        <f>(Table3[[#This Row],[HomeMargin]]-Table3[[#This Row],[HomeForecast]])^2</f>
        <v>2.4006552519030597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0.70091756197691524</v>
      </c>
      <c r="J73">
        <f>(Table3[[#This Row],[HomeMargin]]-Table3[[#This Row],[HomeForecast]])^2</f>
        <v>1.6876151807800019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0.24833183952811066</v>
      </c>
      <c r="J74">
        <f>(Table3[[#This Row],[HomeMargin]]-Table3[[#This Row],[HomeForecast]])^2</f>
        <v>0.56500502346719395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0.12855110430588679</v>
      </c>
      <c r="J75">
        <f>(Table3[[#This Row],[HomeMargin]]-Table3[[#This Row],[HomeForecast]])^2</f>
        <v>9.7878320122535847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-0.25297566969873819</v>
      </c>
      <c r="J76">
        <f>(Table3[[#This Row],[HomeMargin]]-Table3[[#This Row],[HomeForecast]])^2</f>
        <v>1.5699480288570016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5.7161835593076082E-2</v>
      </c>
      <c r="J77">
        <f>(Table3[[#This Row],[HomeMargin]]-Table3[[#This Row],[HomeForecast]])^2</f>
        <v>0.88894380426221764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0.73039884594296944</v>
      </c>
      <c r="J78">
        <f>(Table3[[#This Row],[HomeMargin]]-Table3[[#This Row],[HomeForecast]])^2</f>
        <v>2.994280166040761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-1.2812603053616063</v>
      </c>
      <c r="J79">
        <f>(Table3[[#This Row],[HomeMargin]]-Table3[[#This Row],[HomeForecast]])^2</f>
        <v>5.2041485808185293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0.47897815494349383</v>
      </c>
      <c r="J80">
        <f>(Table3[[#This Row],[HomeMargin]]-Table3[[#This Row],[HomeForecast]])^2</f>
        <v>6.3555511432521108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0.74515900495316123</v>
      </c>
      <c r="J81">
        <f>(Table3[[#This Row],[HomeMargin]]-Table3[[#This Row],[HomeForecast]])^2</f>
        <v>10.593989903037496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9.8065245113669874E-3</v>
      </c>
      <c r="J82">
        <f>(Table3[[#This Row],[HomeMargin]]-Table3[[#This Row],[HomeForecast]])^2</f>
        <v>8.9412570208547901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-1.0164764806445126</v>
      </c>
      <c r="J83">
        <f>(Table3[[#This Row],[HomeMargin]]-Table3[[#This Row],[HomeForecast]])^2</f>
        <v>4.0661773969924795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1.8890817258457107</v>
      </c>
      <c r="J84">
        <f>(Table3[[#This Row],[HomeMargin]]-Table3[[#This Row],[HomeForecast]])^2</f>
        <v>1.2341394118499447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-0.77562932719152844</v>
      </c>
      <c r="J85">
        <f>(Table3[[#This Row],[HomeMargin]]-Table3[[#This Row],[HomeForecast]])^2</f>
        <v>5.0342198816526199E-2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-0.37408100573350178</v>
      </c>
      <c r="J86">
        <f>(Table3[[#This Row],[HomeMargin]]-Table3[[#This Row],[HomeForecast]])^2</f>
        <v>0.39177458738358462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0.73038266195678614</v>
      </c>
      <c r="J87">
        <f>(Table3[[#This Row],[HomeMargin]]-Table3[[#This Row],[HomeForecast]])^2</f>
        <v>1.6119281850599363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-0.25700655158866081</v>
      </c>
      <c r="J88">
        <f>(Table3[[#This Row],[HomeMargin]]-Table3[[#This Row],[HomeForecast]])^2</f>
        <v>0.55203926438217332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-0.18909607593502842</v>
      </c>
      <c r="J89">
        <f>(Table3[[#This Row],[HomeMargin]]-Table3[[#This Row],[HomeForecast]])^2</f>
        <v>1.4139494778040829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-0.47247489973847212</v>
      </c>
      <c r="J90">
        <f>(Table3[[#This Row],[HomeMargin]]-Table3[[#This Row],[HomeForecast]])^2</f>
        <v>6.3883831324520459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-1.8044238059397686</v>
      </c>
      <c r="J91">
        <f>(Table3[[#This Row],[HomeMargin]]-Table3[[#This Row],[HomeForecast]])^2</f>
        <v>14.473640495201234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0.17704610464527737</v>
      </c>
      <c r="J92">
        <f>(Table3[[#This Row],[HomeMargin]]-Table3[[#This Row],[HomeForecast]])^2</f>
        <v>1.3854375324606212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0.99750505846800985</v>
      </c>
      <c r="J93">
        <f>(Table3[[#This Row],[HomeMargin]]-Table3[[#This Row],[HomeForecast]])^2</f>
        <v>16.019965756989173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0.87704791987876507</v>
      </c>
      <c r="J94">
        <f>(Table3[[#This Row],[HomeMargin]]-Table3[[#This Row],[HomeForecast]])^2</f>
        <v>4.506925534491077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-0.1073608777853597</v>
      </c>
      <c r="J95">
        <f>(Table3[[#This Row],[HomeMargin]]-Table3[[#This Row],[HomeForecast]])^2</f>
        <v>1.2262481136495622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8.9213639956703394E-3</v>
      </c>
      <c r="J96">
        <f>(Table3[[#This Row],[HomeMargin]]-Table3[[#This Row],[HomeForecast]])^2</f>
        <v>3.9643941347528613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0.12535113062043274</v>
      </c>
      <c r="J97">
        <f>(Table3[[#This Row],[HomeMargin]]-Table3[[#This Row],[HomeForecast]])^2</f>
        <v>0.76501064470695546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1.6405842784050844</v>
      </c>
      <c r="J98">
        <f>(Table3[[#This Row],[HomeMargin]]-Table3[[#This Row],[HomeForecast]])^2</f>
        <v>6.9726853313601005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-0.81680430480294552</v>
      </c>
      <c r="J99">
        <f>(Table3[[#This Row],[HomeMargin]]-Table3[[#This Row],[HomeForecast]])^2</f>
        <v>3.3560662738732087E-2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-3.8074052690010463E-2</v>
      </c>
      <c r="J100">
        <f>(Table3[[#This Row],[HomeMargin]]-Table3[[#This Row],[HomeForecast]])^2</f>
        <v>4.1537458442482835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-0.14047583528162377</v>
      </c>
      <c r="J101">
        <f>(Table3[[#This Row],[HomeMargin]]-Table3[[#This Row],[HomeForecast]])^2</f>
        <v>3.4578301191715748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0.40823601243142738</v>
      </c>
      <c r="J102">
        <f>(Table3[[#This Row],[HomeMargin]]-Table3[[#This Row],[HomeForecast]])^2</f>
        <v>6.7172405672573481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-0.62317310879062604</v>
      </c>
      <c r="J103">
        <f>(Table3[[#This Row],[HomeMargin]]-Table3[[#This Row],[HomeForecast]])^2</f>
        <v>13.127383376263529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0.29218105066755495</v>
      </c>
      <c r="J104">
        <f>(Table3[[#This Row],[HomeMargin]]-Table3[[#This Row],[HomeForecast]])^2</f>
        <v>1.669731867704306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1.0589135590633829</v>
      </c>
      <c r="J105">
        <f>(Table3[[#This Row],[HomeMargin]]-Table3[[#This Row],[HomeForecast]])^2</f>
        <v>25.592606398075343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-1.0833605929144532</v>
      </c>
      <c r="J106">
        <f>(Table3[[#This Row],[HomeMargin]]-Table3[[#This Row],[HomeForecast]])^2</f>
        <v>3.6735066167932362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0.50941054672393682</v>
      </c>
      <c r="J107">
        <f>(Table3[[#This Row],[HomeMargin]]-Table3[[#This Row],[HomeForecast]])^2</f>
        <v>0.24067801166570657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0.41707653164743796</v>
      </c>
      <c r="J108">
        <f>(Table3[[#This Row],[HomeMargin]]-Table3[[#This Row],[HomeForecast]])^2</f>
        <v>2.0081058965459317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0.84699936543922361</v>
      </c>
      <c r="J109">
        <f>(Table3[[#This Row],[HomeMargin]]-Table3[[#This Row],[HomeForecast]])^2</f>
        <v>9.9414130015406581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-0.9484791936726511</v>
      </c>
      <c r="J110">
        <f>(Table3[[#This Row],[HomeMargin]]-Table3[[#This Row],[HomeForecast]])^2</f>
        <v>2.6543934846201944E-3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-0.35775738645136501</v>
      </c>
      <c r="J111">
        <f>(Table3[[#This Row],[HomeMargin]]-Table3[[#This Row],[HomeForecast]])^2</f>
        <v>6.9814460288523215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-1.7368961164844614</v>
      </c>
      <c r="J112">
        <f>(Table3[[#This Row],[HomeMargin]]-Table3[[#This Row],[HomeForecast]])^2</f>
        <v>7.4906003524277267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1.342491093319617</v>
      </c>
      <c r="J113">
        <f>(Table3[[#This Row],[HomeMargin]]-Table3[[#This Row],[HomeForecast]])^2</f>
        <v>2.7473357757247987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0.30750710690581418</v>
      </c>
      <c r="J114">
        <f>(Table3[[#This Row],[HomeMargin]]-Table3[[#This Row],[HomeForecast]])^2</f>
        <v>2.8645321931743273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-0.56622568654710226</v>
      </c>
      <c r="J115">
        <f>(Table3[[#This Row],[HomeMargin]]-Table3[[#This Row],[HomeForecast]])^2</f>
        <v>0.18816015501153277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-3.5694118528996926E-2</v>
      </c>
      <c r="J116">
        <f>(Table3[[#This Row],[HomeMargin]]-Table3[[#This Row],[HomeForecast]])^2</f>
        <v>9.2154387812715424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-0.13644271244533304</v>
      </c>
      <c r="J117">
        <f>(Table3[[#This Row],[HomeMargin]]-Table3[[#This Row],[HomeForecast]])^2</f>
        <v>3.4728457639981074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1.2087467814620085</v>
      </c>
      <c r="J118">
        <f>(Table3[[#This Row],[HomeMargin]]-Table3[[#This Row],[HomeForecast]])^2</f>
        <v>4.878562344618782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0.88277909100793406</v>
      </c>
      <c r="J119">
        <f>(Table3[[#This Row],[HomeMargin]]-Table3[[#This Row],[HomeForecast]])^2</f>
        <v>3.5448571055366624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-0.17101650324820816</v>
      </c>
      <c r="J120">
        <f>(Table3[[#This Row],[HomeMargin]]-Table3[[#This Row],[HomeForecast]])^2</f>
        <v>1.371279650879661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-0.38419444734214947</v>
      </c>
      <c r="J121">
        <f>(Table3[[#This Row],[HomeMargin]]-Table3[[#This Row],[HomeForecast]])^2</f>
        <v>2.6108275839999417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-0.245600869186124</v>
      </c>
      <c r="J122">
        <f>(Table3[[#This Row],[HomeMargin]]-Table3[[#This Row],[HomeForecast]])^2</f>
        <v>1.5515215253172276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0.71883067672206136</v>
      </c>
      <c r="J123">
        <f>(Table3[[#This Row],[HomeMargin]]-Table3[[#This Row],[HomeForecast]])^2</f>
        <v>18.328410774576085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0.4340939299511809</v>
      </c>
      <c r="J124">
        <f>(Table3[[#This Row],[HomeMargin]]-Table3[[#This Row],[HomeForecast]])^2</f>
        <v>2.0566253999228223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-0.13306969416250022</v>
      </c>
      <c r="J125">
        <f>(Table3[[#This Row],[HomeMargin]]-Table3[[#This Row],[HomeForecast]])^2</f>
        <v>1.2838469318295018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-1.1691247071009101</v>
      </c>
      <c r="J126">
        <f>(Table3[[#This Row],[HomeMargin]]-Table3[[#This Row],[HomeForecast]])^2</f>
        <v>3.3521043381483282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0.74280027386208036</v>
      </c>
      <c r="J127">
        <f>(Table3[[#This Row],[HomeMargin]]-Table3[[#This Row],[HomeForecast]])^2</f>
        <v>3.0373527945737426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0.30651938686635705</v>
      </c>
      <c r="J128">
        <f>(Table3[[#This Row],[HomeMargin]]-Table3[[#This Row],[HomeForecast]])^2</f>
        <v>10.933070455723069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-2.9362325863120098E-2</v>
      </c>
      <c r="J129">
        <f>(Table3[[#This Row],[HomeMargin]]-Table3[[#This Row],[HomeForecast]])^2</f>
        <v>4.1183114496325715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-1.2106961179853637</v>
      </c>
      <c r="J130">
        <f>(Table3[[#This Row],[HomeMargin]]-Table3[[#This Row],[HomeForecast]])^2</f>
        <v>7.7802161462219201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0.53887564670380772</v>
      </c>
      <c r="J131">
        <f>(Table3[[#This Row],[HomeMargin]]-Table3[[#This Row],[HomeForecast]])^2</f>
        <v>2.1348843757952158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0.87047326228457855</v>
      </c>
      <c r="J132">
        <f>(Table3[[#This Row],[HomeMargin]]-Table3[[#This Row],[HomeForecast]])^2</f>
        <v>1.2758306512140425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-1.8354127683640777</v>
      </c>
      <c r="J133">
        <f>(Table3[[#This Row],[HomeMargin]]-Table3[[#This Row],[HomeForecast]])^2</f>
        <v>8.0395655670020449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8.031528507558916E-2</v>
      </c>
      <c r="J134">
        <f>(Table3[[#This Row],[HomeMargin]]-Table3[[#This Row],[HomeForecast]])^2</f>
        <v>0.84581997486559479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0.56122985838174133</v>
      </c>
      <c r="J135">
        <f>(Table3[[#This Row],[HomeMargin]]-Table3[[#This Row],[HomeForecast]])^2</f>
        <v>2.0700595204122245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-0.26883945003818155</v>
      </c>
      <c r="J136">
        <f>(Table3[[#This Row],[HomeMargin]]-Table3[[#This Row],[HomeForecast]])^2</f>
        <v>10.685311350125922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0.14926056777094382</v>
      </c>
      <c r="J137">
        <f>(Table3[[#This Row],[HomeMargin]]-Table3[[#This Row],[HomeForecast]])^2</f>
        <v>17.216363259258856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-0.79795454017966083</v>
      </c>
      <c r="J138">
        <f>(Table3[[#This Row],[HomeMargin]]-Table3[[#This Row],[HomeForecast]])^2</f>
        <v>3.2326405285526558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-9.710237868534409E-2</v>
      </c>
      <c r="J139">
        <f>(Table3[[#This Row],[HomeMargin]]-Table3[[#This Row],[HomeForecast]])^2</f>
        <v>1.20363362931704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0.47078016250113569</v>
      </c>
      <c r="J140">
        <f>(Table3[[#This Row],[HomeMargin]]-Table3[[#This Row],[HomeForecast]])^2</f>
        <v>2.163194286406867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0.19557917086014376</v>
      </c>
      <c r="J141">
        <f>(Table3[[#This Row],[HomeMargin]]-Table3[[#This Row],[HomeForecast]])^2</f>
        <v>0.64709287035405383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0.60860491733590416</v>
      </c>
      <c r="J142">
        <f>(Table3[[#This Row],[HomeMargin]]-Table3[[#This Row],[HomeForecast]])^2</f>
        <v>0.15319011073363442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8.3031283344753126E-2</v>
      </c>
      <c r="J143">
        <f>(Table3[[#This Row],[HomeMargin]]-Table3[[#This Row],[HomeForecast]])^2</f>
        <v>0.84083162732437056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-0.30036499621434831</v>
      </c>
      <c r="J144">
        <f>(Table3[[#This Row],[HomeMargin]]-Table3[[#This Row],[HomeForecast]])^2</f>
        <v>0.48948913852214887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1.1209937325323227</v>
      </c>
      <c r="J145">
        <f>(Table3[[#This Row],[HomeMargin]]-Table3[[#This Row],[HomeForecast]])^2</f>
        <v>50.708551738764626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-0.9671411710214205</v>
      </c>
      <c r="J146">
        <f>(Table3[[#This Row],[HomeMargin]]-Table3[[#This Row],[HomeForecast]])^2</f>
        <v>24.672491412856051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0.17804517494943264</v>
      </c>
      <c r="J147">
        <f>(Table3[[#This Row],[HomeMargin]]-Table3[[#This Row],[HomeForecast]])^2</f>
        <v>4.7438807841205053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0.60140424397362113</v>
      </c>
      <c r="J148">
        <f>(Table3[[#This Row],[HomeMargin]]-Table3[[#This Row],[HomeForecast]])^2</f>
        <v>2.5644955526167252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-1.6769986247241475</v>
      </c>
      <c r="J149">
        <f>(Table3[[#This Row],[HomeMargin]]-Table3[[#This Row],[HomeForecast]])^2</f>
        <v>7.1663216367749758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-1.6538991524467783</v>
      </c>
      <c r="J150">
        <f>(Table3[[#This Row],[HomeMargin]]-Table3[[#This Row],[HomeForecast]])^2</f>
        <v>0.42758410157061505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0.74155475166979412</v>
      </c>
      <c r="J151">
        <f>(Table3[[#This Row],[HomeMargin]]-Table3[[#This Row],[HomeForecast]])^2</f>
        <v>6.6793946384461789E-2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-0.10251401422532369</v>
      </c>
      <c r="J152">
        <f>(Table3[[#This Row],[HomeMargin]]-Table3[[#This Row],[HomeForecast]])^2</f>
        <v>1.2155371515632374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-0.16838661246997139</v>
      </c>
      <c r="J153">
        <f>(Table3[[#This Row],[HomeMargin]]-Table3[[#This Row],[HomeForecast]])^2</f>
        <v>0.69158082631916962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-0.12805750792860154</v>
      </c>
      <c r="J154">
        <f>(Table3[[#This Row],[HomeMargin]]-Table3[[#This Row],[HomeForecast]])^2</f>
        <v>26.296973804622898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1.2699593668591544</v>
      </c>
      <c r="J155">
        <f>(Table3[[#This Row],[HomeMargin]]-Table3[[#This Row],[HomeForecast]])^2</f>
        <v>2.9930405923183776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-0.10211456491924277</v>
      </c>
      <c r="J156">
        <f>(Table3[[#This Row],[HomeMargin]]-Table3[[#This Row],[HomeForecast]])^2</f>
        <v>9.6231147738841027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4.2723282188720291E-2</v>
      </c>
      <c r="J157">
        <f>(Table3[[#This Row],[HomeMargin]]-Table3[[#This Row],[HomeForecast]])^2</f>
        <v>1.0872718432184174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0.67684206627225896</v>
      </c>
      <c r="J158">
        <f>(Table3[[#This Row],[HomeMargin]]-Table3[[#This Row],[HomeForecast]])^2</f>
        <v>13.519167580309254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0.21080830007020782</v>
      </c>
      <c r="J159">
        <f>(Table3[[#This Row],[HomeMargin]]-Table3[[#This Row],[HomeForecast]])^2</f>
        <v>14.357973738816828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1.7306675822057804</v>
      </c>
      <c r="J160">
        <f>(Table3[[#This Row],[HomeMargin]]-Table3[[#This Row],[HomeForecast]])^2</f>
        <v>5.1498696224517584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-0.17861703766279713</v>
      </c>
      <c r="J161">
        <f>(Table3[[#This Row],[HomeMargin]]-Table3[[#This Row],[HomeForecast]])^2</f>
        <v>1.3891381214690273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-0.61681621271483933</v>
      </c>
      <c r="J162">
        <f>(Table3[[#This Row],[HomeMargin]]-Table3[[#This Row],[HomeForecast]])^2</f>
        <v>13.081359516556915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-0.40178928437207151</v>
      </c>
      <c r="J163">
        <f>(Table3[[#This Row],[HomeMargin]]-Table3[[#This Row],[HomeForecast]])^2</f>
        <v>0.35785606029207834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0.34448165898173172</v>
      </c>
      <c r="J164">
        <f>(Table3[[#This Row],[HomeMargin]]-Table3[[#This Row],[HomeForecast]])^2</f>
        <v>1.8076309313382695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-1.6651310315095409</v>
      </c>
      <c r="J165">
        <f>(Table3[[#This Row],[HomeMargin]]-Table3[[#This Row],[HomeForecast]])^2</f>
        <v>1.7818751630387824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-0.11383568918151231</v>
      </c>
      <c r="J166">
        <f>(Table3[[#This Row],[HomeMargin]]-Table3[[#This Row],[HomeForecast]])^2</f>
        <v>1.2406299424944542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-2.2718111288808629E-3</v>
      </c>
      <c r="J167">
        <f>(Table3[[#This Row],[HomeMargin]]-Table3[[#This Row],[HomeForecast]])^2</f>
        <v>0.99546153886804356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-0.2046636840336018</v>
      </c>
      <c r="J168">
        <f>(Table3[[#This Row],[HomeMargin]]-Table3[[#This Row],[HomeForecast]])^2</f>
        <v>0.63255985549500238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-0.5075609009001083</v>
      </c>
      <c r="J169">
        <f>(Table3[[#This Row],[HomeMargin]]-Table3[[#This Row],[HomeForecast]])^2</f>
        <v>6.2122526627218813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0.74099998006349888</v>
      </c>
      <c r="J170">
        <f>(Table3[[#This Row],[HomeMargin]]-Table3[[#This Row],[HomeForecast]])^2</f>
        <v>6.7081010327107976E-2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-0.70128048068866655</v>
      </c>
      <c r="J171">
        <f>(Table3[[#This Row],[HomeMargin]]-Table3[[#This Row],[HomeForecast]])^2</f>
        <v>1.6866723898402609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-4.5251129311023874E-2</v>
      </c>
      <c r="J172">
        <f>(Table3[[#This Row],[HomeMargin]]-Table3[[#This Row],[HomeForecast]])^2</f>
        <v>9.2735544405700665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0.30920900489700442</v>
      </c>
      <c r="J173">
        <f>(Table3[[#This Row],[HomeMargin]]-Table3[[#This Row],[HomeForecast]])^2</f>
        <v>0.47719219891538683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0.57822037946445926</v>
      </c>
      <c r="J174">
        <f>(Table3[[#This Row],[HomeMargin]]-Table3[[#This Row],[HomeForecast]])^2</f>
        <v>11.708575771512349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-0.5719319877225264</v>
      </c>
      <c r="J175">
        <f>(Table3[[#This Row],[HomeMargin]]-Table3[[#This Row],[HomeForecast]])^2</f>
        <v>0.18324222313518729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0.46775277151335926</v>
      </c>
      <c r="J176">
        <f>(Table3[[#This Row],[HomeMargin]]-Table3[[#This Row],[HomeForecast]])^2</f>
        <v>2.1542981982851477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0.10209486549433261</v>
      </c>
      <c r="J177">
        <f>(Table3[[#This Row],[HomeMargin]]-Table3[[#This Row],[HomeForecast]])^2</f>
        <v>9.6229925545263022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0.81228571494633217</v>
      </c>
      <c r="J178">
        <f>(Table3[[#This Row],[HomeMargin]]-Table3[[#This Row],[HomeForecast]])^2</f>
        <v>3.523665281320966E-2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0.9787645454438354</v>
      </c>
      <c r="J179">
        <f>(Table3[[#This Row],[HomeMargin]]-Table3[[#This Row],[HomeForecast]])^2</f>
        <v>4.0853927627548652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-0.4852066892221748</v>
      </c>
      <c r="J180">
        <f>(Table3[[#This Row],[HomeMargin]]-Table3[[#This Row],[HomeForecast]])^2</f>
        <v>12.146665666598992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-0.39612552267911427</v>
      </c>
      <c r="J181">
        <f>(Table3[[#This Row],[HomeMargin]]-Table3[[#This Row],[HomeForecast]])^2</f>
        <v>0.36466438435957294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3.8066357803578921E-2</v>
      </c>
      <c r="J182">
        <f>(Table3[[#This Row],[HomeMargin]]-Table3[[#This Row],[HomeForecast]])^2</f>
        <v>0.92531633198927221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-9.8951795250328461E-2</v>
      </c>
      <c r="J183">
        <f>(Table3[[#This Row],[HomeMargin]]-Table3[[#This Row],[HomeForecast]])^2</f>
        <v>9.6035022292852332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0.75315882424815161</v>
      </c>
      <c r="J184">
        <f>(Table3[[#This Row],[HomeMargin]]-Table3[[#This Row],[HomeForecast]])^2</f>
        <v>5.0482952690539493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-1.805085411511818</v>
      </c>
      <c r="J185">
        <f>(Table3[[#This Row],[HomeMargin]]-Table3[[#This Row],[HomeForecast]])^2</f>
        <v>3.7991696805517332E-2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0.83715270220284554</v>
      </c>
      <c r="J186">
        <f>(Table3[[#This Row],[HomeMargin]]-Table3[[#This Row],[HomeForecast]])^2</f>
        <v>8.0494354556169103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-0.65350046564288555</v>
      </c>
      <c r="J187">
        <f>(Table3[[#This Row],[HomeMargin]]-Table3[[#This Row],[HomeForecast]])^2</f>
        <v>2.7340637898812394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-1.1948073145374598</v>
      </c>
      <c r="J188">
        <f>(Table3[[#This Row],[HomeMargin]]-Table3[[#This Row],[HomeForecast]])^2</f>
        <v>4.8171791479471366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0.82601368309883527</v>
      </c>
      <c r="J189">
        <f>(Table3[[#This Row],[HomeMargin]]-Table3[[#This Row],[HomeForecast]])^2</f>
        <v>3.027123846883252E-2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-0.54738139549519638</v>
      </c>
      <c r="J190">
        <f>(Table3[[#This Row],[HomeMargin]]-Table3[[#This Row],[HomeForecast]])^2</f>
        <v>2.3943891831246611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-0.97232784390439675</v>
      </c>
      <c r="J191">
        <f>(Table3[[#This Row],[HomeMargin]]-Table3[[#This Row],[HomeForecast]])^2</f>
        <v>3.8900771238405665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-0.25370852644775654</v>
      </c>
      <c r="J192">
        <f>(Table3[[#This Row],[HomeMargin]]-Table3[[#This Row],[HomeForecast]])^2</f>
        <v>7.5421168577057527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0.9222597521927397</v>
      </c>
      <c r="J193">
        <f>(Table3[[#This Row],[HomeMargin]]-Table3[[#This Row],[HomeForecast]])^2</f>
        <v>4.3170045373581756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-0.16555659217678043</v>
      </c>
      <c r="J194">
        <f>(Table3[[#This Row],[HomeMargin]]-Table3[[#This Row],[HomeForecast]])^2</f>
        <v>1.35852216956675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2.0259821146630053E-2</v>
      </c>
      <c r="J195">
        <f>(Table3[[#This Row],[HomeMargin]]-Table3[[#This Row],[HomeForecast]])^2</f>
        <v>3.9193711757663734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0.25802438652696652</v>
      </c>
      <c r="J196">
        <f>(Table3[[#This Row],[HomeMargin]]-Table3[[#This Row],[HomeForecast]])^2</f>
        <v>10.614722903204418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-0.4031872956031991</v>
      </c>
      <c r="J197">
        <f>(Table3[[#This Row],[HomeMargin]]-Table3[[#This Row],[HomeForecast]])^2</f>
        <v>0.35618540412942323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-2.1890397926871388</v>
      </c>
      <c r="J198">
        <f>(Table3[[#This Row],[HomeMargin]]-Table3[[#This Row],[HomeForecast]])^2</f>
        <v>10.169974799342029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-0.21555231474658262</v>
      </c>
      <c r="J199">
        <f>(Table3[[#This Row],[HomeMargin]]-Table3[[#This Row],[HomeForecast]])^2</f>
        <v>10.339776688872107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3.1697526287035815E-2</v>
      </c>
      <c r="J200">
        <f>(Table3[[#This Row],[HomeMargin]]-Table3[[#This Row],[HomeForecast]])^2</f>
        <v>8.8108195754505036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0.45404685200496747</v>
      </c>
      <c r="J201">
        <f>(Table3[[#This Row],[HomeMargin]]-Table3[[#This Row],[HomeForecast]])^2</f>
        <v>0.29806483980568593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0.97218988784964888</v>
      </c>
      <c r="J202">
        <f>(Table3[[#This Row],[HomeMargin]]-Table3[[#This Row],[HomeForecast]])^2</f>
        <v>3.8895329537364107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0.236254608738941</v>
      </c>
      <c r="J203">
        <f>(Table3[[#This Row],[HomeMargin]]-Table3[[#This Row],[HomeForecast]])^2</f>
        <v>1.5283254576282721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-0.61969649916080449</v>
      </c>
      <c r="J204">
        <f>(Table3[[#This Row],[HomeMargin]]-Table3[[#This Row],[HomeForecast]])^2</f>
        <v>1.9052377544289389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-0.245600869186124</v>
      </c>
      <c r="J205">
        <f>(Table3[[#This Row],[HomeMargin]]-Table3[[#This Row],[HomeForecast]])^2</f>
        <v>0.56911804857273163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-0.37863670337586908</v>
      </c>
      <c r="J206">
        <f>(Table3[[#This Row],[HomeMargin]]-Table3[[#This Row],[HomeForecast]])^2</f>
        <v>5.6579125666468215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-0.52547401564525442</v>
      </c>
      <c r="J207">
        <f>(Table3[[#This Row],[HomeMargin]]-Table3[[#This Row],[HomeForecast]])^2</f>
        <v>2.3270709724088579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-0.34502559696766233</v>
      </c>
      <c r="J208">
        <f>(Table3[[#This Row],[HomeMargin]]-Table3[[#This Row],[HomeForecast]])^2</f>
        <v>1.8090938564982164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0.45545824185370443</v>
      </c>
      <c r="J209">
        <f>(Table3[[#This Row],[HomeMargin]]-Table3[[#This Row],[HomeForecast]])^2</f>
        <v>12.563776275242834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-0.35405669929498773</v>
      </c>
      <c r="J210">
        <f>(Table3[[#This Row],[HomeMargin]]-Table3[[#This Row],[HomeForecast]])^2</f>
        <v>0.41724274772568593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1.1440340960644735</v>
      </c>
      <c r="J211">
        <f>(Table3[[#This Row],[HomeMargin]]-Table3[[#This Row],[HomeForecast]])^2</f>
        <v>2.0745820829109977E-2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1.3057842690353307</v>
      </c>
      <c r="J212">
        <f>(Table3[[#This Row],[HomeMargin]]-Table3[[#This Row],[HomeForecast]])^2</f>
        <v>9.3504019189471529E-2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1.4100565233452489E-3</v>
      </c>
      <c r="J213">
        <f>(Table3[[#This Row],[HomeMargin]]-Table3[[#This Row],[HomeForecast]])^2</f>
        <v>8.9915416491193287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1.1946951001196804</v>
      </c>
      <c r="J214">
        <f>(Table3[[#This Row],[HomeMargin]]-Table3[[#This Row],[HomeForecast]])^2</f>
        <v>3.7906182010612369E-2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-0.32546076508009714</v>
      </c>
      <c r="J215">
        <f>(Table3[[#This Row],[HomeMargin]]-Table3[[#This Row],[HomeForecast]])^2</f>
        <v>0.4550031794463279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0.15578352240087573</v>
      </c>
      <c r="J216">
        <f>(Table3[[#This Row],[HomeMargin]]-Table3[[#This Row],[HomeForecast]])^2</f>
        <v>1.3358355506533754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-0.59986803875558226</v>
      </c>
      <c r="J217">
        <f>(Table3[[#This Row],[HomeMargin]]-Table3[[#This Row],[HomeForecast]])^2</f>
        <v>5.7606334313869754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0.62020898991426177</v>
      </c>
      <c r="J218">
        <f>(Table3[[#This Row],[HomeMargin]]-Table3[[#This Row],[HomeForecast]])^2</f>
        <v>0.14424121134194531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-0.61524541453002546</v>
      </c>
      <c r="J219">
        <f>(Table3[[#This Row],[HomeMargin]]-Table3[[#This Row],[HomeForecast]])^2</f>
        <v>21.300490236340423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4.0721556071653398E-3</v>
      </c>
      <c r="J220">
        <f>(Table3[[#This Row],[HomeMargin]]-Table3[[#This Row],[HomeForecast]])^2</f>
        <v>25.04073813852294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-0.29785989469105112</v>
      </c>
      <c r="J221">
        <f>(Table3[[#This Row],[HomeMargin]]-Table3[[#This Row],[HomeForecast]])^2</f>
        <v>5.2801600956295678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-0.67672988846133653</v>
      </c>
      <c r="J222">
        <f>(Table3[[#This Row],[HomeMargin]]-Table3[[#This Row],[HomeForecast]])^2</f>
        <v>5.397584011168874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2.0635442798250154</v>
      </c>
      <c r="J223">
        <f>(Table3[[#This Row],[HomeMargin]]-Table3[[#This Row],[HomeForecast]])^2</f>
        <v>8.6227721965483877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0.18172646541023449</v>
      </c>
      <c r="J224">
        <f>(Table3[[#This Row],[HomeMargin]]-Table3[[#This Row],[HomeForecast]])^2</f>
        <v>0.66957157741002815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0.84190248654673905</v>
      </c>
      <c r="J225">
        <f>(Table3[[#This Row],[HomeMargin]]-Table3[[#This Row],[HomeForecast]])^2</f>
        <v>14.760214716134016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0.48622668221477494</v>
      </c>
      <c r="J226">
        <f>(Table3[[#This Row],[HomeMargin]]-Table3[[#This Row],[HomeForecast]])^2</f>
        <v>0.26396302206803784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0.5973730382731417</v>
      </c>
      <c r="J227">
        <f>(Table3[[#This Row],[HomeMargin]]-Table3[[#This Row],[HomeForecast]])^2</f>
        <v>6.7463466999482513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0.17005218911891207</v>
      </c>
      <c r="J228">
        <f>(Table3[[#This Row],[HomeMargin]]-Table3[[#This Row],[HomeForecast]])^2</f>
        <v>10.049230881737607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0.53253167996776152</v>
      </c>
      <c r="J229">
        <f>(Table3[[#This Row],[HomeMargin]]-Table3[[#This Row],[HomeForecast]])^2</f>
        <v>0.21852663023376334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-0.92509558796220237</v>
      </c>
      <c r="J230">
        <f>(Table3[[#This Row],[HomeMargin]]-Table3[[#This Row],[HomeForecast]])^2</f>
        <v>1.1554194950183236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-0.76675043422504441</v>
      </c>
      <c r="J231">
        <f>(Table3[[#This Row],[HomeMargin]]-Table3[[#This Row],[HomeForecast]])^2</f>
        <v>7.6549079652844716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-0.68788579418816109</v>
      </c>
      <c r="J232">
        <f>(Table3[[#This Row],[HomeMargin]]-Table3[[#This Row],[HomeForecast]])^2</f>
        <v>5.3458721007169103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-0.94259057879409047</v>
      </c>
      <c r="J233">
        <f>(Table3[[#This Row],[HomeMargin]]-Table3[[#This Row],[HomeForecast]])^2</f>
        <v>9.3477523688786555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-0.58984510246767252</v>
      </c>
      <c r="J234">
        <f>(Table3[[#This Row],[HomeMargin]]-Table3[[#This Row],[HomeForecast]])^2</f>
        <v>5.8088466300990635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-6.5159218508867855E-2</v>
      </c>
      <c r="J235">
        <f>(Table3[[#This Row],[HomeMargin]]-Table3[[#This Row],[HomeForecast]])^2</f>
        <v>8.6132904127034795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-0.23008810625107301</v>
      </c>
      <c r="J236">
        <f>(Table3[[#This Row],[HomeMargin]]-Table3[[#This Row],[HomeForecast]])^2</f>
        <v>1.5131167491403514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0.98954394928070655</v>
      </c>
      <c r="J237">
        <f>(Table3[[#This Row],[HomeMargin]]-Table3[[#This Row],[HomeForecast]])^2</f>
        <v>4.0419335318738172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-2.3805468079401173</v>
      </c>
      <c r="J238">
        <f>(Table3[[#This Row],[HomeMargin]]-Table3[[#This Row],[HomeForecast]])^2</f>
        <v>31.578254177752004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-0.41896523072581471</v>
      </c>
      <c r="J239">
        <f>(Table3[[#This Row],[HomeMargin]]-Table3[[#This Row],[HomeForecast]])^2</f>
        <v>19.527253710363652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3.9566268224519197E-2</v>
      </c>
      <c r="J240">
        <f>(Table3[[#This Row],[HomeMargin]]-Table3[[#This Row],[HomeForecast]])^2</f>
        <v>0.9224329531321761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-1.6538991524467783</v>
      </c>
      <c r="J241">
        <f>(Table3[[#This Row],[HomeMargin]]-Table3[[#This Row],[HomeForecast]])^2</f>
        <v>0.42758410157061505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-4.8482138031939417E-2</v>
      </c>
      <c r="J242">
        <f>(Table3[[#This Row],[HomeMargin]]-Table3[[#This Row],[HomeForecast]])^2</f>
        <v>24.517529137388753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0.18673865164413317</v>
      </c>
      <c r="J243">
        <f>(Table3[[#This Row],[HomeMargin]]-Table3[[#This Row],[HomeForecast]])^2</f>
        <v>1.4083486273061352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-6.1445973655506192E-2</v>
      </c>
      <c r="J244">
        <f>(Table3[[#This Row],[HomeMargin]]-Table3[[#This Row],[HomeForecast]])^2</f>
        <v>4.2495595023004986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-0.69421870776458172</v>
      </c>
      <c r="J245">
        <f>(Table3[[#This Row],[HomeMargin]]-Table3[[#This Row],[HomeForecast]])^2</f>
        <v>9.3502198681162274E-2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-0.16738515860003467</v>
      </c>
      <c r="J246">
        <f>(Table3[[#This Row],[HomeMargin]]-Table3[[#This Row],[HomeForecast]])^2</f>
        <v>1.3627881085196283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-0.19934324281143484</v>
      </c>
      <c r="J247">
        <f>(Table3[[#This Row],[HomeMargin]]-Table3[[#This Row],[HomeForecast]])^2</f>
        <v>3.2423647572088394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-0.34938472419727146</v>
      </c>
      <c r="J248">
        <f>(Table3[[#This Row],[HomeMargin]]-Table3[[#This Row],[HomeForecast]])^2</f>
        <v>1.8208391338969463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-0.10611535559307343</v>
      </c>
      <c r="J249">
        <f>(Table3[[#This Row],[HomeMargin]]-Table3[[#This Row],[HomeForecast]])^2</f>
        <v>0.79902975750649763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0.28681610925813761</v>
      </c>
      <c r="J250">
        <f>(Table3[[#This Row],[HomeMargin]]-Table3[[#This Row],[HomeForecast]])^2</f>
        <v>7.3613668249811504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1.1370395769160035</v>
      </c>
      <c r="J251">
        <f>(Table3[[#This Row],[HomeMargin]]-Table3[[#This Row],[HomeForecast]])^2</f>
        <v>1.8779845641317253E-2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-0.5652945102403425</v>
      </c>
      <c r="J252">
        <f>(Table3[[#This Row],[HomeMargin]]-Table3[[#This Row],[HomeForecast]])^2</f>
        <v>11.797201801385128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1.1881204425254939</v>
      </c>
      <c r="J253">
        <f>(Table3[[#This Row],[HomeMargin]]-Table3[[#This Row],[HomeForecast]])^2</f>
        <v>0.65914841584499995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-0.2265741598082178</v>
      </c>
      <c r="J254">
        <f>(Table3[[#This Row],[HomeMargin]]-Table3[[#This Row],[HomeForecast]])^2</f>
        <v>4.95763248912567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0.29464569444568678</v>
      </c>
      <c r="J255">
        <f>(Table3[[#This Row],[HomeMargin]]-Table3[[#This Row],[HomeForecast]])^2</f>
        <v>1.6761074741467545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-0.87967818719513691</v>
      </c>
      <c r="J256">
        <f>(Table3[[#This Row],[HomeMargin]]-Table3[[#This Row],[HomeForecast]])^2</f>
        <v>1.4477338636648516E-2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-2.5098953009062575</v>
      </c>
      <c r="J257">
        <f>(Table3[[#This Row],[HomeMargin]]-Table3[[#This Row],[HomeForecast]])^2</f>
        <v>2.2797838196987978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-0.22003623123113131</v>
      </c>
      <c r="J258">
        <f>(Table3[[#This Row],[HomeMargin]]-Table3[[#This Row],[HomeForecast]])^2</f>
        <v>1.4884884055166623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5.6299578720687422E-2</v>
      </c>
      <c r="J259">
        <f>(Table3[[#This Row],[HomeMargin]]-Table3[[#This Row],[HomeForecast]])^2</f>
        <v>1.1157688000055019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1.02738478609724</v>
      </c>
      <c r="J260">
        <f>(Table3[[#This Row],[HomeMargin]]-Table3[[#This Row],[HomeForecast]])^2</f>
        <v>3.8912107821206314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0.32250840751981452</v>
      </c>
      <c r="J261">
        <f>(Table3[[#This Row],[HomeMargin]]-Table3[[#This Row],[HomeForecast]])^2</f>
        <v>1.749028487960596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0.25301220029306781</v>
      </c>
      <c r="J262">
        <f>(Table3[[#This Row],[HomeMargin]]-Table3[[#This Row],[HomeForecast]])^2</f>
        <v>3.051966372324868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-0.23209784399756983</v>
      </c>
      <c r="J263">
        <f>(Table3[[#This Row],[HomeMargin]]-Table3[[#This Row],[HomeForecast]])^2</f>
        <v>7.6612823452029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1.7258045346595612</v>
      </c>
      <c r="J264">
        <f>(Table3[[#This Row],[HomeMargin]]-Table3[[#This Row],[HomeForecast]])^2</f>
        <v>1.6235740838941375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0.60140424397362113</v>
      </c>
      <c r="J265">
        <f>(Table3[[#This Row],[HomeMargin]]-Table3[[#This Row],[HomeForecast]])^2</f>
        <v>2.5644955526167252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-0.1983197172975556</v>
      </c>
      <c r="J266">
        <f>(Table3[[#This Row],[HomeMargin]]-Table3[[#This Row],[HomeForecast]])^2</f>
        <v>14.452772971888537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-0.86187325864707631</v>
      </c>
      <c r="J267">
        <f>(Table3[[#This Row],[HomeMargin]]-Table3[[#This Row],[HomeForecast]])^2</f>
        <v>1.9078996676777479E-2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-5.1291539111804008E-2</v>
      </c>
      <c r="J268">
        <f>(Table3[[#This Row],[HomeMargin]]-Table3[[#This Row],[HomeForecast]])^2</f>
        <v>0.90004774376084962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-0.13026483234636022</v>
      </c>
      <c r="J269">
        <f>(Table3[[#This Row],[HomeMargin]]-Table3[[#This Row],[HomeForecast]])^2</f>
        <v>1.2774985912389458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-0.55094361447019158</v>
      </c>
      <c r="J270">
        <f>(Table3[[#This Row],[HomeMargin]]-Table3[[#This Row],[HomeForecast]])^2</f>
        <v>2.0997644084447127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-0.10249783023914037</v>
      </c>
      <c r="J271">
        <f>(Table3[[#This Row],[HomeMargin]]-Table3[[#This Row],[HomeForecast]])^2</f>
        <v>0.80551014472545091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0.57698070455075467</v>
      </c>
      <c r="J272">
        <f>(Table3[[#This Row],[HomeMargin]]-Table3[[#This Row],[HomeForecast]])^2</f>
        <v>2.4868681425253945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0.71824968163475034</v>
      </c>
      <c r="J273">
        <f>(Table3[[#This Row],[HomeMargin]]-Table3[[#This Row],[HomeForecast]])^2</f>
        <v>22.261880058246426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0.4077256567766207</v>
      </c>
      <c r="J274">
        <f>(Table3[[#This Row],[HomeMargin]]-Table3[[#This Row],[HomeForecast]])^2</f>
        <v>6.719886270534202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0.27370518871276428</v>
      </c>
      <c r="J275">
        <f>(Table3[[#This Row],[HomeMargin]]-Table3[[#This Row],[HomeForecast]])^2</f>
        <v>0.52750415290276131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-0.55988171981105606</v>
      </c>
      <c r="J276">
        <f>(Table3[[#This Row],[HomeMargin]]-Table3[[#This Row],[HomeForecast]])^2</f>
        <v>6.5529944194228094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2.1714562520018985</v>
      </c>
      <c r="J277">
        <f>(Table3[[#This Row],[HomeMargin]]-Table3[[#This Row],[HomeForecast]])^2</f>
        <v>0.68648474234674151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-0.6994898667665187</v>
      </c>
      <c r="J278">
        <f>(Table3[[#This Row],[HomeMargin]]-Table3[[#This Row],[HomeForecast]])^2</f>
        <v>13.686225274308155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-1.1777793603080102</v>
      </c>
      <c r="J279">
        <f>(Table3[[#This Row],[HomeMargin]]-Table3[[#This Row],[HomeForecast]])^2</f>
        <v>17.453840383415606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-1.0542643295646732</v>
      </c>
      <c r="J280">
        <f>(Table3[[#This Row],[HomeMargin]]-Table3[[#This Row],[HomeForecast]])^2</f>
        <v>35.351772662687026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-0.12805750792860154</v>
      </c>
      <c r="J281">
        <f>(Table3[[#This Row],[HomeMargin]]-Table3[[#This Row],[HomeForecast]])^2</f>
        <v>4.5286287570512895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-0.25285042938472413</v>
      </c>
      <c r="J282">
        <f>(Table3[[#This Row],[HomeMargin]]-Table3[[#This Row],[HomeForecast]])^2</f>
        <v>5.0753350571789362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-7.7214381262792009E-2</v>
      </c>
      <c r="J283">
        <f>(Table3[[#This Row],[HomeMargin]]-Table3[[#This Row],[HomeForecast]])^2</f>
        <v>0.85153329814821177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-7.1787208066983174E-2</v>
      </c>
      <c r="J284">
        <f>(Table3[[#This Row],[HomeMargin]]-Table3[[#This Row],[HomeForecast]])^2</f>
        <v>0.86157898710808611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1.3816519556666982</v>
      </c>
      <c r="J285">
        <f>(Table3[[#This Row],[HomeMargin]]-Table3[[#This Row],[HomeForecast]])^2</f>
        <v>0.14565821526421535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-1.065765755884531</v>
      </c>
      <c r="J286">
        <f>(Table3[[#This Row],[HomeMargin]]-Table3[[#This Row],[HomeForecast]])^2</f>
        <v>4.2673881581851871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-1.0756202414551925</v>
      </c>
      <c r="J287">
        <f>(Table3[[#This Row],[HomeMargin]]-Table3[[#This Row],[HomeForecast]])^2</f>
        <v>5.718420917741618E-3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-3.5979130396265151E-3</v>
      </c>
      <c r="J288">
        <f>(Table3[[#This Row],[HomeMargin]]-Table3[[#This Row],[HomeForecast]])^2</f>
        <v>0.99281711889898761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1.252303462700558</v>
      </c>
      <c r="J289">
        <f>(Table3[[#This Row],[HomeMargin]]-Table3[[#This Row],[HomeForecast]])^2</f>
        <v>5.0728708880929254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-0.32506127775057858</v>
      </c>
      <c r="J290">
        <f>(Table3[[#This Row],[HomeMargin]]-Table3[[#This Row],[HomeForecast]])^2</f>
        <v>0.45554227879168163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-0.81680430480294552</v>
      </c>
      <c r="J291">
        <f>(Table3[[#This Row],[HomeMargin]]-Table3[[#This Row],[HomeForecast]])^2</f>
        <v>3.3560662738732087E-2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0.2820940349530412</v>
      </c>
      <c r="J292">
        <f>(Table3[[#This Row],[HomeMargin]]-Table3[[#This Row],[HomeForecast]])^2</f>
        <v>0.51538897465000522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0.75563804322539252</v>
      </c>
      <c r="J293">
        <f>(Table3[[#This Row],[HomeMargin]]-Table3[[#This Row],[HomeForecast]])^2</f>
        <v>10.52588450656636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-0.2538381494241812</v>
      </c>
      <c r="J294">
        <f>(Table3[[#This Row],[HomeMargin]]-Table3[[#This Row],[HomeForecast]])^2</f>
        <v>0.5567575072547305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-0.98355972296715921</v>
      </c>
      <c r="J295">
        <f>(Table3[[#This Row],[HomeMargin]]-Table3[[#This Row],[HomeForecast]])^2</f>
        <v>1.0331508367745983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8.450002846441057E-2</v>
      </c>
      <c r="J296">
        <f>(Table3[[#This Row],[HomeMargin]]-Table3[[#This Row],[HomeForecast]])^2</f>
        <v>3.6691401409528437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-0.32044857884619843</v>
      </c>
      <c r="J297">
        <f>(Table3[[#This Row],[HomeMargin]]-Table3[[#This Row],[HomeForecast]])^2</f>
        <v>0.46179013399215146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-5.928646379958713E-3</v>
      </c>
      <c r="J298">
        <f>(Table3[[#This Row],[HomeMargin]]-Table3[[#This Row],[HomeForecast]])^2</f>
        <v>0.98817785608798114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4.0721556071653398E-3</v>
      </c>
      <c r="J299">
        <f>(Table3[[#This Row],[HomeMargin]]-Table3[[#This Row],[HomeForecast]])^2</f>
        <v>8.9755836488082981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-1.1009354120735535</v>
      </c>
      <c r="J300">
        <f>(Table3[[#This Row],[HomeMargin]]-Table3[[#This Row],[HomeForecast]])^2</f>
        <v>3.6064463091162442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0.80768760222297464</v>
      </c>
      <c r="J301">
        <f>(Table3[[#This Row],[HomeMargin]]-Table3[[#This Row],[HomeForecast]])^2</f>
        <v>3.2677344672306474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1.7601326821856516</v>
      </c>
      <c r="J302">
        <f>(Table3[[#This Row],[HomeMargin]]-Table3[[#This Row],[HomeForecast]])^2</f>
        <v>1.5372709657841466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0.21744986279830048</v>
      </c>
      <c r="J303">
        <f>(Table3[[#This Row],[HomeMargin]]-Table3[[#This Row],[HomeForecast]])^2</f>
        <v>0.6123847172343988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0.64351405994930544</v>
      </c>
      <c r="J304">
        <f>(Table3[[#This Row],[HomeMargin]]-Table3[[#This Row],[HomeForecast]])^2</f>
        <v>2.7011384652510491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1.1194347133661642</v>
      </c>
      <c r="J305">
        <f>(Table3[[#This Row],[HomeMargin]]-Table3[[#This Row],[HomeForecast]])^2</f>
        <v>8.2976563705598707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1.4463646410642332</v>
      </c>
      <c r="J306">
        <f>(Table3[[#This Row],[HomeMargin]]-Table3[[#This Row],[HomeForecast]])^2</f>
        <v>29.662887803434739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9.1595018047349763E-2</v>
      </c>
      <c r="J307">
        <f>(Table3[[#This Row],[HomeMargin]]-Table3[[#This Row],[HomeForecast]])^2</f>
        <v>0.82519961123639485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-0.65350046564288555</v>
      </c>
      <c r="J308">
        <f>(Table3[[#This Row],[HomeMargin]]-Table3[[#This Row],[HomeForecast]])^2</f>
        <v>1.8130609960239261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0.28959399216066806</v>
      </c>
      <c r="J309">
        <f>(Table3[[#This Row],[HomeMargin]]-Table3[[#This Row],[HomeForecast]])^2</f>
        <v>13.767112743010207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7.5854206723739659E-2</v>
      </c>
      <c r="J310">
        <f>(Table3[[#This Row],[HomeMargin]]-Table3[[#This Row],[HomeForecast]])^2</f>
        <v>0.85404544723020848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0.43597043935625768</v>
      </c>
      <c r="J311">
        <f>(Table3[[#This Row],[HomeMargin]]-Table3[[#This Row],[HomeForecast]])^2</f>
        <v>6.5742475878549413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1.0882306074115475</v>
      </c>
      <c r="J312">
        <f>(Table3[[#This Row],[HomeMargin]]-Table3[[#This Row],[HomeForecast]])^2</f>
        <v>7.784640084210627E-3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0.9962595362757235</v>
      </c>
      <c r="J313">
        <f>(Table3[[#This Row],[HomeMargin]]-Table3[[#This Row],[HomeForecast]])^2</f>
        <v>4.0149758459659779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0.63170118579923196</v>
      </c>
      <c r="J314">
        <f>(Table3[[#This Row],[HomeMargin]]-Table3[[#This Row],[HomeForecast]])^2</f>
        <v>2.6624487597386199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-0.15982332812365696</v>
      </c>
      <c r="J315">
        <f>(Table3[[#This Row],[HomeMargin]]-Table3[[#This Row],[HomeForecast]])^2</f>
        <v>4.6648368087071503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-0.42530919746186091</v>
      </c>
      <c r="J316">
        <f>(Table3[[#This Row],[HomeMargin]]-Table3[[#This Row],[HomeForecast]])^2</f>
        <v>2.0315063083693743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0.61346796488212352</v>
      </c>
      <c r="J317">
        <f>(Table3[[#This Row],[HomeMargin]]-Table3[[#This Row],[HomeForecast]])^2</f>
        <v>11.468599224879625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0.89809929115067566</v>
      </c>
      <c r="J318">
        <f>(Table3[[#This Row],[HomeMargin]]-Table3[[#This Row],[HomeForecast]])^2</f>
        <v>1.0383754463994768E-2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3.5294087057727297E-3</v>
      </c>
      <c r="J319">
        <f>(Table3[[#This Row],[HomeMargin]]-Table3[[#This Row],[HomeForecast]])^2</f>
        <v>0.99295363931426706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0.22839336901373661</v>
      </c>
      <c r="J320">
        <f>(Table3[[#This Row],[HomeMargin]]-Table3[[#This Row],[HomeForecast]])^2</f>
        <v>7.6818033169270254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0.19011166992696601</v>
      </c>
      <c r="J321">
        <f>(Table3[[#This Row],[HomeMargin]]-Table3[[#This Row],[HomeForecast]])^2</f>
        <v>0.65591910718848756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0.68480317545956226</v>
      </c>
      <c r="J322">
        <f>(Table3[[#This Row],[HomeMargin]]-Table3[[#This Row],[HomeForecast]])^2</f>
        <v>21.947380792795997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-0.43255772473314197</v>
      </c>
      <c r="J323">
        <f>(Table3[[#This Row],[HomeMargin]]-Table3[[#This Row],[HomeForecast]])^2</f>
        <v>2.0522216346925966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1.5112357854389442</v>
      </c>
      <c r="J324">
        <f>(Table3[[#This Row],[HomeMargin]]-Table3[[#This Row],[HomeForecast]])^2</f>
        <v>2.2164188865575976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0.34500365659638399</v>
      </c>
      <c r="J325">
        <f>(Table3[[#This Row],[HomeMargin]]-Table3[[#This Row],[HomeForecast]])^2</f>
        <v>1.8090348362576438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0.43230566085750199</v>
      </c>
      <c r="J326">
        <f>(Table3[[#This Row],[HomeMargin]]-Table3[[#This Row],[HomeForecast]])^2</f>
        <v>2.0514995061244456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1.8354492989584075</v>
      </c>
      <c r="J327">
        <f>(Table3[[#This Row],[HomeMargin]]-Table3[[#This Row],[HomeForecast]])^2</f>
        <v>1.3561783352964647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-0.66516171924042844</v>
      </c>
      <c r="J328">
        <f>(Table3[[#This Row],[HomeMargin]]-Table3[[#This Row],[HomeForecast]])^2</f>
        <v>18.790822920338599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-0.39692623682585215</v>
      </c>
      <c r="J329">
        <f>(Table3[[#This Row],[HomeMargin]]-Table3[[#This Row],[HomeForecast]])^2</f>
        <v>1.9514029111324367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-1.2597158459682869</v>
      </c>
      <c r="J330">
        <f>(Table3[[#This Row],[HomeMargin]]-Table3[[#This Row],[HomeForecast]])^2</f>
        <v>7.5091572448373016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1.1292891989368257</v>
      </c>
      <c r="J331">
        <f>(Table3[[#This Row],[HomeMargin]]-Table3[[#This Row],[HomeForecast]])^2</f>
        <v>1.6715696961726083E-2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-0.2046636840336018</v>
      </c>
      <c r="J332">
        <f>(Table3[[#This Row],[HomeMargin]]-Table3[[#This Row],[HomeForecast]])^2</f>
        <v>1.4512145916294097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1.3170161480980931</v>
      </c>
      <c r="J333">
        <f>(Table3[[#This Row],[HomeMargin]]-Table3[[#This Row],[HomeForecast]])^2</f>
        <v>0.10049923815495208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9.8920086792656903E-2</v>
      </c>
      <c r="J334">
        <f>(Table3[[#This Row],[HomeMargin]]-Table3[[#This Row],[HomeForecast]])^2</f>
        <v>1.2076253571563806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9.5023773768173142E-2</v>
      </c>
      <c r="J335">
        <f>(Table3[[#This Row],[HomeMargin]]-Table3[[#This Row],[HomeForecast]])^2</f>
        <v>9.5791721601901827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-1.381463804519838</v>
      </c>
      <c r="J336">
        <f>(Table3[[#This Row],[HomeMargin]]-Table3[[#This Row],[HomeForecast]])^2</f>
        <v>0.38258702511907322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-0.28462188207534478</v>
      </c>
      <c r="J337">
        <f>(Table3[[#This Row],[HomeMargin]]-Table3[[#This Row],[HomeForecast]])^2</f>
        <v>39.49647220066025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-9.5294382807826372E-2</v>
      </c>
      <c r="J338">
        <f>(Table3[[#This Row],[HomeMargin]]-Table3[[#This Row],[HomeForecast]])^2</f>
        <v>0.81849225377907187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-4.8425908012699637E-2</v>
      </c>
      <c r="J339">
        <f>(Table3[[#This Row],[HomeMargin]]-Table3[[#This Row],[HomeForecast]])^2</f>
        <v>24.518085988439857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-0.75020490497405723</v>
      </c>
      <c r="J340">
        <f>(Table3[[#This Row],[HomeMargin]]-Table3[[#This Row],[HomeForecast]])^2</f>
        <v>6.239758949901978E-2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0.15978431307470642</v>
      </c>
      <c r="J341">
        <f>(Table3[[#This Row],[HomeMargin]]-Table3[[#This Row],[HomeForecast]])^2</f>
        <v>0.70596240055534298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-1.647324494852592</v>
      </c>
      <c r="J342">
        <f>(Table3[[#This Row],[HomeMargin]]-Table3[[#This Row],[HomeForecast]])^2</f>
        <v>7.0083269810465314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-0.23794934597627743</v>
      </c>
      <c r="J343">
        <f>(Table3[[#This Row],[HomeMargin]]-Table3[[#This Row],[HomeForecast]])^2</f>
        <v>1.532518583203093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0.30662194639011753</v>
      </c>
      <c r="J344">
        <f>(Table3[[#This Row],[HomeMargin]]-Table3[[#This Row],[HomeForecast]])^2</f>
        <v>10.93374869634877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-9.4270857293947075E-2</v>
      </c>
      <c r="J345">
        <f>(Table3[[#This Row],[HomeMargin]]-Table3[[#This Row],[HomeForecast]])^2</f>
        <v>9.5745121382986191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-2.7823306488331978</v>
      </c>
      <c r="J346">
        <f>(Table3[[#This Row],[HomeMargin]]-Table3[[#This Row],[HomeForecast]])^2</f>
        <v>4.7379946437376655E-2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1.2532260563629862</v>
      </c>
      <c r="J347">
        <f>(Table3[[#This Row],[HomeMargin]]-Table3[[#This Row],[HomeForecast]])^2</f>
        <v>5.0770276610730942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-0.12656747866521503</v>
      </c>
      <c r="J348">
        <f>(Table3[[#This Row],[HomeMargin]]-Table3[[#This Row],[HomeForecast]])^2</f>
        <v>9.7754241986469612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0.54890618035375616</v>
      </c>
      <c r="J349">
        <f>(Table3[[#This Row],[HomeMargin]]-Table3[[#This Row],[HomeForecast]])^2</f>
        <v>2.3991103555380624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-0.17190055891282663</v>
      </c>
      <c r="J350">
        <f>(Table3[[#This Row],[HomeMargin]]-Table3[[#This Row],[HomeForecast]])^2</f>
        <v>0.68574868432888891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7.1718703733129385E-2</v>
      </c>
      <c r="J351">
        <f>(Table3[[#This Row],[HomeMargin]]-Table3[[#This Row],[HomeForecast]])^2</f>
        <v>0.86170616499890162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0.22105411608166758</v>
      </c>
      <c r="J352">
        <f>(Table3[[#This Row],[HomeMargin]]-Table3[[#This Row],[HomeForecast]])^2</f>
        <v>4.933081386563317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-0.93587499179907352</v>
      </c>
      <c r="J353">
        <f>(Table3[[#This Row],[HomeMargin]]-Table3[[#This Row],[HomeForecast]])^2</f>
        <v>15.491111951069358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-1.8063309337041042</v>
      </c>
      <c r="J354">
        <f>(Table3[[#This Row],[HomeMargin]]-Table3[[#This Row],[HomeForecast]])^2</f>
        <v>0.65016957464813252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0.53217286985758794</v>
      </c>
      <c r="J355">
        <f>(Table3[[#This Row],[HomeMargin]]-Table3[[#This Row],[HomeForecast]])^2</f>
        <v>0.21886222369728536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-0.32679254558224463</v>
      </c>
      <c r="J356">
        <f>(Table3[[#This Row],[HomeMargin]]-Table3[[#This Row],[HomeForecast]])^2</f>
        <v>5.4139635501771011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0.29269516907357052</v>
      </c>
      <c r="J357">
        <f>(Table3[[#This Row],[HomeMargin]]-Table3[[#This Row],[HomeForecast]])^2</f>
        <v>10.841841476440429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-0.29081270150009875</v>
      </c>
      <c r="J358">
        <f>(Table3[[#This Row],[HomeMargin]]-Table3[[#This Row],[HomeForecast]])^2</f>
        <v>7.3396958183531931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5.959760386159163E-2</v>
      </c>
      <c r="J359">
        <f>(Table3[[#This Row],[HomeMargin]]-Table3[[#This Row],[HomeForecast]])^2</f>
        <v>0.88435666666285995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0.74829577670193226</v>
      </c>
      <c r="J360">
        <f>(Table3[[#This Row],[HomeMargin]]-Table3[[#This Row],[HomeForecast]])^2</f>
        <v>6.3355016026083552E-2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-0.65473682980156522</v>
      </c>
      <c r="J361">
        <f>(Table3[[#This Row],[HomeMargin]]-Table3[[#This Row],[HomeForecast]])^2</f>
        <v>18.881312018282955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1.1779094395902303</v>
      </c>
      <c r="J362">
        <f>(Table3[[#This Row],[HomeMargin]]-Table3[[#This Row],[HomeForecast]])^2</f>
        <v>3.1651768695309807E-2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0.76686992228815498</v>
      </c>
      <c r="J363">
        <f>(Table3[[#This Row],[HomeMargin]]-Table3[[#This Row],[HomeForecast]])^2</f>
        <v>4.9868699439813113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9.5023773768173142E-2</v>
      </c>
      <c r="J364">
        <f>(Table3[[#This Row],[HomeMargin]]-Table3[[#This Row],[HomeForecast]])^2</f>
        <v>15.248839327435761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1.2643650754669966</v>
      </c>
      <c r="J365">
        <f>(Table3[[#This Row],[HomeMargin]]-Table3[[#This Row],[HomeForecast]])^2</f>
        <v>7.48369844032469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-1.2521153115536978</v>
      </c>
      <c r="J366">
        <f>(Table3[[#This Row],[HomeMargin]]-Table3[[#This Row],[HomeForecast]])^2</f>
        <v>14.046639637890236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0.86459420246914565</v>
      </c>
      <c r="J367">
        <f>(Table3[[#This Row],[HomeMargin]]-Table3[[#This Row],[HomeForecast]])^2</f>
        <v>3.4767115398815496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0.65353699623721517</v>
      </c>
      <c r="J368">
        <f>(Table3[[#This Row],[HomeMargin]]-Table3[[#This Row],[HomeForecast]])^2</f>
        <v>7.0412585903996234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-4.5251129311023874E-2</v>
      </c>
      <c r="J369">
        <f>(Table3[[#This Row],[HomeMargin]]-Table3[[#This Row],[HomeForecast]])^2</f>
        <v>0.9115454060818754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-0.1650264275089538</v>
      </c>
      <c r="J370">
        <f>(Table3[[#This Row],[HomeMargin]]-Table3[[#This Row],[HomeForecast]])^2</f>
        <v>0.69718086675846036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2.2427087501687719</v>
      </c>
      <c r="J371">
        <f>(Table3[[#This Row],[HomeMargin]]-Table3[[#This Row],[HomeForecast]])^2</f>
        <v>14.117237536058312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0.41070520488875106</v>
      </c>
      <c r="J372">
        <f>(Table3[[#This Row],[HomeMargin]]-Table3[[#This Row],[HomeForecast]])^2</f>
        <v>11.632909994655217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-0.24352427941982066</v>
      </c>
      <c r="J373">
        <f>(Table3[[#This Row],[HomeMargin]]-Table3[[#This Row],[HomeForecast]])^2</f>
        <v>3.0852069569876601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1.2826911563428571</v>
      </c>
      <c r="J374">
        <f>(Table3[[#This Row],[HomeMargin]]-Table3[[#This Row],[HomeForecast]])^2</f>
        <v>7.9914289874461697E-2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0.15578352240087573</v>
      </c>
      <c r="J375">
        <f>(Table3[[#This Row],[HomeMargin]]-Table3[[#This Row],[HomeForecast]])^2</f>
        <v>4.6474025954551275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0.45489135905323191</v>
      </c>
      <c r="J376">
        <f>(Table3[[#This Row],[HomeMargin]]-Table3[[#This Row],[HomeForecast]])^2</f>
        <v>2.3873607123283684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-1.0833706194343704</v>
      </c>
      <c r="J377">
        <f>(Table3[[#This Row],[HomeMargin]]-Table3[[#This Row],[HomeForecast]])^2</f>
        <v>6.9506601848706205E-3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1.7122253313969873</v>
      </c>
      <c r="J378">
        <f>(Table3[[#This Row],[HomeMargin]]-Table3[[#This Row],[HomeForecast]])^2</f>
        <v>5.2339129343016246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0.47263418820744763</v>
      </c>
      <c r="J379">
        <f>(Table3[[#This Row],[HomeMargin]]-Table3[[#This Row],[HomeForecast]])^2</f>
        <v>2.1686514522774081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0.21205382226249408</v>
      </c>
      <c r="J380">
        <f>(Table3[[#This Row],[HomeMargin]]-Table3[[#This Row],[HomeForecast]])^2</f>
        <v>1.4690744680611216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1.0628061851940764</v>
      </c>
      <c r="J381">
        <f>(Table3[[#This Row],[HomeMargin]]-Table3[[#This Row],[HomeForecast]])^2</f>
        <v>3.9446168986326264E-3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0.31224053147560882</v>
      </c>
      <c r="J382">
        <f>(Table3[[#This Row],[HomeMargin]]-Table3[[#This Row],[HomeForecast]])^2</f>
        <v>0.473013086544953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-2.6797948146486866E-2</v>
      </c>
      <c r="J383">
        <f>(Table3[[#This Row],[HomeMargin]]-Table3[[#This Row],[HomeForecast]])^2</f>
        <v>15.786334544852966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-0.41395419105530162</v>
      </c>
      <c r="J384">
        <f>(Table3[[#This Row],[HomeMargin]]-Table3[[#This Row],[HomeForecast]])^2</f>
        <v>21.031816161739233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0.80387386245569015</v>
      </c>
      <c r="J385">
        <f>(Table3[[#This Row],[HomeMargin]]-Table3[[#This Row],[HomeForecast]])^2</f>
        <v>10.215222287093908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-0.41711120501950272</v>
      </c>
      <c r="J386">
        <f>(Table3[[#This Row],[HomeMargin]]-Table3[[#This Row],[HomeForecast]])^2</f>
        <v>0.33975934731381618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1.0028341938699101</v>
      </c>
      <c r="J387">
        <f>(Table3[[#This Row],[HomeMargin]]-Table3[[#This Row],[HomeForecast]])^2</f>
        <v>4.0113448081345338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0.66213357757967495</v>
      </c>
      <c r="J388">
        <f>(Table3[[#This Row],[HomeMargin]]-Table3[[#This Row],[HomeForecast]])^2</f>
        <v>0.11415371939910952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-1.2812603053616063</v>
      </c>
      <c r="J389">
        <f>(Table3[[#This Row],[HomeMargin]]-Table3[[#This Row],[HomeForecast]])^2</f>
        <v>2.954066137925679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0.70183112968901173</v>
      </c>
      <c r="J390">
        <f>(Table3[[#This Row],[HomeMargin]]-Table3[[#This Row],[HomeForecast]])^2</f>
        <v>7.2998914533566017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-1.614470027454334</v>
      </c>
      <c r="J391">
        <f>(Table3[[#This Row],[HomeMargin]]-Table3[[#This Row],[HomeForecast]])^2</f>
        <v>6.8354535244570647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0.15077133616697705</v>
      </c>
      <c r="J392">
        <f>(Table3[[#This Row],[HomeMargin]]-Table3[[#This Row],[HomeForecast]])^2</f>
        <v>1.3242746681435298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0.34768998695993503</v>
      </c>
      <c r="J393">
        <f>(Table3[[#This Row],[HomeMargin]]-Table3[[#This Row],[HomeForecast]])^2</f>
        <v>0.42550835311232976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-0.91571606855187593</v>
      </c>
      <c r="J394">
        <f>(Table3[[#This Row],[HomeMargin]]-Table3[[#This Row],[HomeForecast]])^2</f>
        <v>3.669968055307856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0.40444489318009097</v>
      </c>
      <c r="J395">
        <f>(Table3[[#This Row],[HomeMargin]]-Table3[[#This Row],[HomeForecast]])^2</f>
        <v>11.590245030700002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1.1922794674151562</v>
      </c>
      <c r="J396">
        <f>(Table3[[#This Row],[HomeMargin]]-Table3[[#This Row],[HomeForecast]])^2</f>
        <v>0.65241245875914367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0.58988163306200214</v>
      </c>
      <c r="J397">
        <f>(Table3[[#This Row],[HomeMargin]]-Table3[[#This Row],[HomeForecast]])^2</f>
        <v>0.16819707489989025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2.2363647834327258</v>
      </c>
      <c r="J398">
        <f>(Table3[[#This Row],[HomeMargin]]-Table3[[#This Row],[HomeForecast]])^2</f>
        <v>7.6376796102508449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0.57918814973435329</v>
      </c>
      <c r="J399">
        <f>(Table3[[#This Row],[HomeMargin]]-Table3[[#This Row],[HomeForecast]])^2</f>
        <v>0.17708261332399708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0.53015174580674806</v>
      </c>
      <c r="J400">
        <f>(Table3[[#This Row],[HomeMargin]]-Table3[[#This Row],[HomeForecast]])^2</f>
        <v>2.3413643651954388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0.18023643614684801</v>
      </c>
      <c r="J401">
        <f>(Table3[[#This Row],[HomeMargin]]-Table3[[#This Row],[HomeForecast]])^2</f>
        <v>4.7534309175023077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-0.82337896239713204</v>
      </c>
      <c r="J402">
        <f>(Table3[[#This Row],[HomeMargin]]-Table3[[#This Row],[HomeForecast]])^2</f>
        <v>4.7376791413353851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-0.66458072415311742</v>
      </c>
      <c r="J403">
        <f>(Table3[[#This Row],[HomeMargin]]-Table3[[#This Row],[HomeForecast]])^2</f>
        <v>5.454183193997177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0.3986945544492953</v>
      </c>
      <c r="J404">
        <f>(Table3[[#This Row],[HomeMargin]]-Table3[[#This Row],[HomeForecast]])^2</f>
        <v>29.145902892240475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0.19557917086014376</v>
      </c>
      <c r="J405">
        <f>(Table3[[#This Row],[HomeMargin]]-Table3[[#This Row],[HomeForecast]])^2</f>
        <v>17.602884578955496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-1.1691247071009101</v>
      </c>
      <c r="J406">
        <f>(Table3[[#This Row],[HomeMargin]]-Table3[[#This Row],[HomeForecast]])^2</f>
        <v>4.7051019949556103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0.41078885991613717</v>
      </c>
      <c r="J407">
        <f>(Table3[[#This Row],[HomeMargin]]-Table3[[#This Row],[HomeForecast]])^2</f>
        <v>0.34716976759892548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1.6475126459994522</v>
      </c>
      <c r="J408">
        <f>(Table3[[#This Row],[HomeMargin]]-Table3[[#This Row],[HomeForecast]])^2</f>
        <v>0.41927262672921195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-0.1073608777853597</v>
      </c>
      <c r="J409">
        <f>(Table3[[#This Row],[HomeMargin]]-Table3[[#This Row],[HomeForecast]])^2</f>
        <v>4.4409698692202824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0.91554221612870923</v>
      </c>
      <c r="J410">
        <f>(Table3[[#This Row],[HomeMargin]]-Table3[[#This Row],[HomeForecast]])^2</f>
        <v>16.682795388226779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-0.78348374472121263</v>
      </c>
      <c r="J411">
        <f>(Table3[[#This Row],[HomeMargin]]-Table3[[#This Row],[HomeForecast]])^2</f>
        <v>4.9129443099150985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-0.15883560808419983</v>
      </c>
      <c r="J412">
        <f>(Table3[[#This Row],[HomeMargin]]-Table3[[#This Row],[HomeForecast]])^2</f>
        <v>17.295913615069075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0.48351195198483843</v>
      </c>
      <c r="J413">
        <f>(Table3[[#This Row],[HomeMargin]]-Table3[[#This Row],[HomeForecast]])^2</f>
        <v>6.1678316156515427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-0.11383568918151231</v>
      </c>
      <c r="J414">
        <f>(Table3[[#This Row],[HomeMargin]]-Table3[[#This Row],[HomeForecast]])^2</f>
        <v>15.102273050679333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-0.42530919746186091</v>
      </c>
      <c r="J415">
        <f>(Table3[[#This Row],[HomeMargin]]-Table3[[#This Row],[HomeForecast]])^2</f>
        <v>11.732743098216819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-1.2338852464074435</v>
      </c>
      <c r="J416">
        <f>(Table3[[#This Row],[HomeMargin]]-Table3[[#This Row],[HomeForecast]])^2</f>
        <v>3.1191613228572965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2.5635642583878901</v>
      </c>
      <c r="J417">
        <f>(Table3[[#This Row],[HomeMargin]]-Table3[[#This Row],[HomeForecast]])^2</f>
        <v>0.31760467333229259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-0.53621267558036911</v>
      </c>
      <c r="J418">
        <f>(Table3[[#This Row],[HomeMargin]]-Table3[[#This Row],[HomeForecast]])^2</f>
        <v>2.3599493846137962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-0.73924230174496663</v>
      </c>
      <c r="J419">
        <f>(Table3[[#This Row],[HomeMargin]]-Table3[[#This Row],[HomeForecast]])^2</f>
        <v>6.7994577199263037E-2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-1.2334371633670627E-2</v>
      </c>
      <c r="J420">
        <f>(Table3[[#This Row],[HomeMargin]]-Table3[[#This Row],[HomeForecast]])^2</f>
        <v>8.9261459069215743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-1.0345616499299148</v>
      </c>
      <c r="J421">
        <f>(Table3[[#This Row],[HomeMargin]]-Table3[[#This Row],[HomeForecast]])^2</f>
        <v>0.93207120778604835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-0.16555659217678043</v>
      </c>
      <c r="J422">
        <f>(Table3[[#This Row],[HomeMargin]]-Table3[[#This Row],[HomeForecast]])^2</f>
        <v>8.0340694321525064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2.0259821146630053E-2</v>
      </c>
      <c r="J423">
        <f>(Table3[[#This Row],[HomeMargin]]-Table3[[#This Row],[HomeForecast]])^2</f>
        <v>15.838331891179854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-0.5892641073803615</v>
      </c>
      <c r="J424">
        <f>(Table3[[#This Row],[HomeMargin]]-Table3[[#This Row],[HomeForecast]])^2</f>
        <v>2.5257604030074972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-0.65334884509035496</v>
      </c>
      <c r="J425">
        <f>(Table3[[#This Row],[HomeMargin]]-Table3[[#This Row],[HomeForecast]])^2</f>
        <v>2.7335624035616104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2.8080000933102756E-2</v>
      </c>
      <c r="J426">
        <f>(Table3[[#This Row],[HomeMargin]]-Table3[[#This Row],[HomeForecast]])^2</f>
        <v>0.94462848458619741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9.1595018047349763E-2</v>
      </c>
      <c r="J427">
        <f>(Table3[[#This Row],[HomeMargin]]-Table3[[#This Row],[HomeForecast]])^2</f>
        <v>50.290719899993995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-0.22374413951502681</v>
      </c>
      <c r="J428">
        <f>(Table3[[#This Row],[HomeMargin]]-Table3[[#This Row],[HomeForecast]])^2</f>
        <v>1.4975497189973734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-0.54856712833772814</v>
      </c>
      <c r="J429">
        <f>(Table3[[#This Row],[HomeMargin]]-Table3[[#This Row],[HomeForecast]])^2</f>
        <v>6.0095231242663321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0.31422119113090313</v>
      </c>
      <c r="J430">
        <f>(Table3[[#This Row],[HomeMargin]]-Table3[[#This Row],[HomeForecast]])^2</f>
        <v>7.2134078101703061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-1.266059812704333</v>
      </c>
      <c r="J431">
        <f>(Table3[[#This Row],[HomeMargin]]-Table3[[#This Row],[HomeForecast]])^2</f>
        <v>22.410189696892939</v>
      </c>
    </row>
    <row r="432" spans="4:10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D1" zoomScale="75" zoomScaleNormal="60" workbookViewId="0">
      <pane ySplit="1" topLeftCell="A414" activePane="bottomLeft" state="frozen"/>
      <selection activeCell="I1" sqref="I1"/>
      <selection pane="bottomLeft" activeCell="L428" sqref="L428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2.6834478740816486E-2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-0.42252386696344346</v>
      </c>
      <c r="H2" t="s">
        <v>10</v>
      </c>
      <c r="I2">
        <f>VLOOKUP(Table4[[#This Row],[Visitor]],'NHL Model'!$A$6:$B$38,2,FALSE)</f>
        <v>-0.1280954603767317</v>
      </c>
      <c r="J2">
        <f>($B$1+Table4[[#This Row],[Home Differential]])-Table4[[#This Row],[Away Differential]]</f>
        <v>-0.26759392784589531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0.49142789716595409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0.24150137811295155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-0.27930615658534785</v>
      </c>
      <c r="H3" t="s">
        <v>12</v>
      </c>
      <c r="I3">
        <f>VLOOKUP(Table4[[#This Row],[Visitor]],'NHL Model'!$A$6:$B$38,2,FALSE)</f>
        <v>1.7050699520681891</v>
      </c>
      <c r="J3">
        <f>($B$1+Table4[[#This Row],[Home Differential]])-Table4[[#This Row],[Away Differential]]</f>
        <v>-1.9575416299127206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0.76252904753421835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5.6392453265005527E-2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251</v>
      </c>
      <c r="V3">
        <f>COUNTIF(Table4[Locked Correct],"YES")</f>
        <v>252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-0.10354486814940167</v>
      </c>
      <c r="H4" t="s">
        <v>14</v>
      </c>
      <c r="I4">
        <f>VLOOKUP(Table4[[#This Row],[Visitor]],'NHL Model'!$A$6:$B$38,2,FALSE)</f>
        <v>-1.1494940880477545E-2</v>
      </c>
      <c r="J4">
        <f>($B$1+Table4[[#This Row],[Home Differential]])-Table4[[#This Row],[Away Differential]]</f>
        <v>-6.5215448528107636E-2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0.50694604160322987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0.24310220589072393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174</v>
      </c>
      <c r="V4">
        <f>COUNTIF(Table4[Locked Correct],"NO")</f>
        <v>173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-0.70231133461274453</v>
      </c>
      <c r="H5" t="s">
        <v>16</v>
      </c>
      <c r="I5">
        <f>VLOOKUP(Table4[[#This Row],[Visitor]],'NHL Model'!$A$6:$B$38,2,FALSE)</f>
        <v>-1.0975205179116387</v>
      </c>
      <c r="J5">
        <f>($B$1+Table4[[#This Row],[Home Differential]])-Table4[[#This Row],[Away Differential]]</f>
        <v>0.42204366203971067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0.58956743569220782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0.34758976122868562</v>
      </c>
      <c r="O5">
        <v>-4.1674767740132361E-3</v>
      </c>
      <c r="P5" s="11"/>
      <c r="Q5" t="s">
        <v>16</v>
      </c>
      <c r="R5" t="s">
        <v>248</v>
      </c>
      <c r="T5">
        <f>SUM(T3:T4)</f>
        <v>425</v>
      </c>
      <c r="V5">
        <f>SUM(V3:V4)</f>
        <v>425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-0.38335501658895638</v>
      </c>
      <c r="H6" t="s">
        <v>18</v>
      </c>
      <c r="I6">
        <f>VLOOKUP(Table4[[#This Row],[Visitor]],'NHL Model'!$A$6:$B$38,2,FALSE)</f>
        <v>-0.50446035262371991</v>
      </c>
      <c r="J6">
        <f>($B$1+Table4[[#This Row],[Home Differential]])-Table4[[#This Row],[Away Differential]]</f>
        <v>0.14793981477558005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0.49808713922528752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0.25191651981105595</v>
      </c>
      <c r="O6">
        <v>-4.4363714293103977E-3</v>
      </c>
      <c r="P6" s="11"/>
      <c r="Q6" t="s">
        <v>18</v>
      </c>
      <c r="R6" t="s">
        <v>249</v>
      </c>
      <c r="T6" s="13">
        <f>T3/T5</f>
        <v>0.59058823529411764</v>
      </c>
      <c r="V6" s="13">
        <f>V3/V5</f>
        <v>0.59294117647058819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-0.12684993818444543</v>
      </c>
      <c r="H7" t="s">
        <v>13</v>
      </c>
      <c r="I7">
        <f>VLOOKUP(Table4[[#This Row],[Visitor]],'NHL Model'!$A$6:$B$38,2,FALSE)</f>
        <v>-0.27930615658534785</v>
      </c>
      <c r="J7">
        <f>($B$1+Table4[[#This Row],[Home Differential]])-Table4[[#This Row],[Away Differential]]</f>
        <v>0.17929069714171891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0.49474122642328017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0.24476888112281137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0.78208997208538333</v>
      </c>
      <c r="H8" t="s">
        <v>21</v>
      </c>
      <c r="I8">
        <f>VLOOKUP(Table4[[#This Row],[Visitor]],'NHL Model'!$A$6:$B$38,2,FALSE)</f>
        <v>-0.15717729503670502</v>
      </c>
      <c r="J8">
        <f>($B$1+Table4[[#This Row],[Home Differential]])-Table4[[#This Row],[Away Differential]]</f>
        <v>0.96610174586290487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0.67950274069891836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0.46172397461734149</v>
      </c>
      <c r="O8">
        <v>-4.9858230986448791E-3</v>
      </c>
      <c r="P8" s="11"/>
      <c r="Q8" t="s">
        <v>21</v>
      </c>
      <c r="R8" t="s">
        <v>248</v>
      </c>
      <c r="T8">
        <f>SUM(Table4[Error])</f>
        <v>97.785022979328673</v>
      </c>
      <c r="V8">
        <f>COUNTIF(Table4[Locked Correct],"")</f>
        <v>887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-0.15717729503670502</v>
      </c>
      <c r="H9" t="s">
        <v>10</v>
      </c>
      <c r="I9">
        <f>VLOOKUP(Table4[[#This Row],[Visitor]],'NHL Model'!$A$6:$B$38,2,FALSE)</f>
        <v>-0.1280954603767317</v>
      </c>
      <c r="J9">
        <f>($B$1+Table4[[#This Row],[Home Differential]])-Table4[[#This Row],[Away Differential]]</f>
        <v>-2.2473559191568404E-3</v>
      </c>
      <c r="K9" t="str">
        <f>IF(Table4[[#This Row],[HomeIce Differential]]&gt;0,Table4[[#This Row],[Home]],Table4[[#This Row],[Visitor]])</f>
        <v>Chicago Blackhawks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0.41736238906905371</v>
      </c>
      <c r="M9" t="str">
        <f>IF(OR((NHL2025_26Results[[#This Row],[Winning Team]]="")),"-",IF(Table4[[#This Row],[Predicted Winner]]=NHL2025_26Results[[#This Row],[Winning Team]],"YES","NO"))</f>
        <v>NO</v>
      </c>
      <c r="N9">
        <f>IF(Table4[[#This Row],[Adjusted Correct]]="-", "",IF(Table4[[#This Row],[Adjusted Correct]]="YES",(Table4[[#This Row],[Strength of Win]]-1)^2,(Table4[[#This Row],[Strength of Win]]-0)^2))</f>
        <v>0.17419136380942815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-0.43955182119289299</v>
      </c>
      <c r="H10" t="s">
        <v>15</v>
      </c>
      <c r="I10">
        <f>VLOOKUP(Table4[[#This Row],[Visitor]],'NHL Model'!$A$6:$B$38,2,FALSE)</f>
        <v>-0.10354486814940167</v>
      </c>
      <c r="J10">
        <f>($B$1+Table4[[#This Row],[Home Differential]])-Table4[[#This Row],[Away Differential]]</f>
        <v>-0.3091724743026748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0.58631114056714984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0.17113847241885247</v>
      </c>
      <c r="O10">
        <v>2.893763878885032E-2</v>
      </c>
      <c r="P10" s="11"/>
      <c r="Q10" t="s">
        <v>23</v>
      </c>
      <c r="R10" t="s">
        <v>249</v>
      </c>
      <c r="T10">
        <v>0.1174462268966473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0.52315764934699704</v>
      </c>
      <c r="H11" t="s">
        <v>24</v>
      </c>
      <c r="I11">
        <f>VLOOKUP(Table4[[#This Row],[Visitor]],'NHL Model'!$A$6:$B$38,2,FALSE)</f>
        <v>1.2368486032251671E-3</v>
      </c>
      <c r="J11">
        <f>($B$1+Table4[[#This Row],[Home Differential]])-Table4[[#This Row],[Away Differential]]</f>
        <v>0.54875527948458835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0.63587780849365161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0.13258497034738587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1.7050699520681891</v>
      </c>
      <c r="H12" t="s">
        <v>55</v>
      </c>
      <c r="I12">
        <f>VLOOKUP(Table4[[#This Row],[Visitor]],'NHL Model'!$A$6:$B$38,2,FALSE)</f>
        <v>-5.8660643157088771E-2</v>
      </c>
      <c r="J12">
        <f>($B$1+Table4[[#This Row],[Home Differential]])-Table4[[#This Row],[Away Differential]]</f>
        <v>1.7905650739660945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0.85811607779240118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2.0131047381011954E-2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-0.72022444935789065</v>
      </c>
      <c r="H13" t="s">
        <v>18</v>
      </c>
      <c r="I13">
        <f>VLOOKUP(Table4[[#This Row],[Visitor]],'NHL Model'!$A$6:$B$38,2,FALSE)</f>
        <v>-0.50446035262371991</v>
      </c>
      <c r="J13">
        <f>($B$1+Table4[[#This Row],[Home Differential]])-Table4[[#This Row],[Away Differential]]</f>
        <v>-0.18892961799335428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0.53127997987325337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0.21969845726761777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-0.42252386696344346</v>
      </c>
      <c r="H14" t="s">
        <v>27</v>
      </c>
      <c r="I14">
        <f>VLOOKUP(Table4[[#This Row],[Visitor]],'NHL Model'!$A$6:$B$38,2,FALSE)</f>
        <v>-0.15216510880280634</v>
      </c>
      <c r="J14">
        <f>($B$1+Table4[[#This Row],[Home Differential]])-Table4[[#This Row],[Away Differential]]</f>
        <v>-0.24352427941982066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0.53111357058965314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0.28208162486449045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-1.1040951755058253</v>
      </c>
      <c r="H15" t="s">
        <v>28</v>
      </c>
      <c r="I15">
        <f>VLOOKUP(Table4[[#This Row],[Visitor]],'NHL Model'!$A$6:$B$38,2,FALSE)</f>
        <v>-0.45544062464079677</v>
      </c>
      <c r="J15">
        <f>($B$1+Table4[[#This Row],[Home Differential]])-Table4[[#This Row],[Away Differential]]</f>
        <v>-0.62182007212421198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0.53660658021998708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0.28794662193538945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-1.1494940880477545E-2</v>
      </c>
      <c r="H16" t="s">
        <v>30</v>
      </c>
      <c r="I16">
        <f>VLOOKUP(Table4[[#This Row],[Visitor]],'NHL Model'!$A$6:$B$38,2,FALSE)</f>
        <v>-2.8228251376645769E-2</v>
      </c>
      <c r="J16">
        <f>($B$1+Table4[[#This Row],[Home Differential]])-Table4[[#This Row],[Away Differential]]</f>
        <v>4.3567789236984712E-2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0.47249370335225604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0.27826289300301765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-0.53356664249341723</v>
      </c>
      <c r="H17" t="s">
        <v>31</v>
      </c>
      <c r="I17">
        <f>VLOOKUP(Table4[[#This Row],[Visitor]],'NHL Model'!$A$6:$B$38,2,FALSE)</f>
        <v>6.0998961494444972E-3</v>
      </c>
      <c r="J17">
        <f>($B$1+Table4[[#This Row],[Home Differential]])-Table4[[#This Row],[Away Differential]]</f>
        <v>-0.51283205990204528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0.54099942123636136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0.29268037377807793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-0.51080431935976611</v>
      </c>
      <c r="H18" t="s">
        <v>20</v>
      </c>
      <c r="I18">
        <f>VLOOKUP(Table4[[#This Row],[Visitor]],'NHL Model'!$A$6:$B$38,2,FALSE)</f>
        <v>-0.12684993818444543</v>
      </c>
      <c r="J18">
        <f>($B$1+Table4[[#This Row],[Home Differential]])-Table4[[#This Row],[Away Differential]]</f>
        <v>-0.3571199024345042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0.50194238509063138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0.24806138776920891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-1.2546198289988155</v>
      </c>
      <c r="H19" t="s">
        <v>34</v>
      </c>
      <c r="I19">
        <f>VLOOKUP(Table4[[#This Row],[Visitor]],'NHL Model'!$A$6:$B$38,2,FALSE)</f>
        <v>6.3765445873038576E-2</v>
      </c>
      <c r="J19">
        <f>($B$1+Table4[[#This Row],[Home Differential]])-Table4[[#This Row],[Away Differential]]</f>
        <v>-1.2915507961310375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0.6709756016788444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0.10825705469059846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0.58787033474453221</v>
      </c>
      <c r="H20" t="s">
        <v>36</v>
      </c>
      <c r="I20">
        <f>VLOOKUP(Table4[[#This Row],[Visitor]],'NHL Model'!$A$6:$B$38,2,FALSE)</f>
        <v>-0.31206928170612303</v>
      </c>
      <c r="J20">
        <f>($B$1+Table4[[#This Row],[Home Differential]])-Table4[[#This Row],[Away Differential]]</f>
        <v>0.92677409519147169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0.677566499812712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0.45909636166844986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-0.83165982757888468</v>
      </c>
      <c r="H21" t="s">
        <v>16</v>
      </c>
      <c r="I21">
        <f>VLOOKUP(Table4[[#This Row],[Visitor]],'NHL Model'!$A$6:$B$38,2,FALSE)</f>
        <v>-1.0975205179116387</v>
      </c>
      <c r="J21">
        <f>($B$1+Table4[[#This Row],[Home Differential]])-Table4[[#This Row],[Away Differential]]</f>
        <v>0.29269516907357052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0.57437594323856711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0.18115583769405944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-0.25388173436787664</v>
      </c>
      <c r="H22" t="s">
        <v>39</v>
      </c>
      <c r="I22">
        <f>VLOOKUP(Table4[[#This Row],[Visitor]],'NHL Model'!$A$6:$B$38,2,FALSE)</f>
        <v>0.57663845568176975</v>
      </c>
      <c r="J22">
        <f>($B$1+Table4[[#This Row],[Home Differential]])-Table4[[#This Row],[Away Differential]]</f>
        <v>-0.80368571130882993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0.64438985440397023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0.12645857565082949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-0.15717729503670502</v>
      </c>
      <c r="H23" t="s">
        <v>23</v>
      </c>
      <c r="I23">
        <f>VLOOKUP(Table4[[#This Row],[Visitor]],'NHL Model'!$A$6:$B$38,2,FALSE)</f>
        <v>-0.43955182119289299</v>
      </c>
      <c r="J23">
        <f>($B$1+Table4[[#This Row],[Home Differential]])-Table4[[#This Row],[Away Differential]]</f>
        <v>0.30920900489700442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0.61921698535176517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0.14499570424459782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0.52315764934699704</v>
      </c>
      <c r="H24" t="s">
        <v>27</v>
      </c>
      <c r="I24">
        <f>VLOOKUP(Table4[[#This Row],[Visitor]],'NHL Model'!$A$6:$B$38,2,FALSE)</f>
        <v>-0.15216510880280634</v>
      </c>
      <c r="J24">
        <f>($B$1+Table4[[#This Row],[Home Differential]])-Table4[[#This Row],[Away Differential]]</f>
        <v>0.70215723689061982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0.63246571816097874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0.13508144832692512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-1.0975205179116387</v>
      </c>
      <c r="H25" t="s">
        <v>35</v>
      </c>
      <c r="I25">
        <f>VLOOKUP(Table4[[#This Row],[Visitor]],'NHL Model'!$A$6:$B$38,2,FALSE)</f>
        <v>-1.2546198289988155</v>
      </c>
      <c r="J25">
        <f>($B$1+Table4[[#This Row],[Home Differential]])-Table4[[#This Row],[Away Differential]]</f>
        <v>0.18393378982799335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0.56160232961409873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0.31539717662798278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-0.1280954603767317</v>
      </c>
      <c r="H26" t="s">
        <v>18</v>
      </c>
      <c r="I26">
        <f>VLOOKUP(Table4[[#This Row],[Visitor]],'NHL Model'!$A$6:$B$38,2,FALSE)</f>
        <v>-0.50446035262371991</v>
      </c>
      <c r="J26">
        <f>($B$1+Table4[[#This Row],[Home Differential]])-Table4[[#This Row],[Away Differential]]</f>
        <v>0.40319937098780467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0.52806641098172591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0.27885413440712103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1.7050699520681891</v>
      </c>
      <c r="H27" t="s">
        <v>39</v>
      </c>
      <c r="I27">
        <f>VLOOKUP(Table4[[#This Row],[Visitor]],'NHL Model'!$A$6:$B$38,2,FALSE)</f>
        <v>0.57663845568176975</v>
      </c>
      <c r="J27">
        <f>($B$1+Table4[[#This Row],[Home Differential]])-Table4[[#This Row],[Away Differential]]</f>
        <v>1.1552659751272358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0.69500366373907496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0.48303009261073721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-0.72022444935789065</v>
      </c>
      <c r="H28" t="s">
        <v>19</v>
      </c>
      <c r="I28">
        <f>VLOOKUP(Table4[[#This Row],[Visitor]],'NHL Model'!$A$6:$B$38,2,FALSE)</f>
        <v>-0.38335501658895638</v>
      </c>
      <c r="J28">
        <f>($B$1+Table4[[#This Row],[Home Differential]])-Table4[[#This Row],[Away Differential]]</f>
        <v>-0.31003495402811782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0.48629018616792491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0.23647814516323507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-0.70231133461274453</v>
      </c>
      <c r="H29" t="s">
        <v>38</v>
      </c>
      <c r="I29">
        <f>VLOOKUP(Table4[[#This Row],[Visitor]],'NHL Model'!$A$6:$B$38,2,FALSE)</f>
        <v>-0.83165982757888468</v>
      </c>
      <c r="J29">
        <f>($B$1+Table4[[#This Row],[Home Differential]])-Table4[[#This Row],[Away Differential]]</f>
        <v>0.15618297170695661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0.55834310073248794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0.1950608166705933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-0.42252386696344346</v>
      </c>
      <c r="H30" t="s">
        <v>36</v>
      </c>
      <c r="I30">
        <f>VLOOKUP(Table4[[#This Row],[Visitor]],'NHL Model'!$A$6:$B$38,2,FALSE)</f>
        <v>-0.31206928170612303</v>
      </c>
      <c r="J30">
        <f>($B$1+Table4[[#This Row],[Home Differential]])-Table4[[#This Row],[Away Differential]]</f>
        <v>-8.3620106516503978E-2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0.47339702494345642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0.22410474322531551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6.3765445873038576E-2</v>
      </c>
      <c r="H31" t="s">
        <v>28</v>
      </c>
      <c r="I31">
        <f>VLOOKUP(Table4[[#This Row],[Visitor]],'NHL Model'!$A$6:$B$38,2,FALSE)</f>
        <v>-0.45544062464079677</v>
      </c>
      <c r="J31">
        <f>($B$1+Table4[[#This Row],[Home Differential]])-Table4[[#This Row],[Away Differential]]</f>
        <v>0.54604054925465184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0.60055424330213436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0.36066539914819917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-1.1040951755058253</v>
      </c>
      <c r="H32" t="s">
        <v>55</v>
      </c>
      <c r="I32">
        <f>VLOOKUP(Table4[[#This Row],[Visitor]],'NHL Model'!$A$6:$B$38,2,FALSE)</f>
        <v>-5.8660643157088771E-2</v>
      </c>
      <c r="J32">
        <f>($B$1+Table4[[#This Row],[Home Differential]])-Table4[[#This Row],[Away Differential]]</f>
        <v>-1.0186000536079198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0.57963073301297285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0.17671032062721051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-2.8228251376645769E-2</v>
      </c>
      <c r="H33" t="s">
        <v>22</v>
      </c>
      <c r="I33">
        <f>VLOOKUP(Table4[[#This Row],[Visitor]],'NHL Model'!$A$6:$B$38,2,FALSE)</f>
        <v>0.78208997208538333</v>
      </c>
      <c r="J33">
        <f>($B$1+Table4[[#This Row],[Home Differential]])-Table4[[#This Row],[Away Differential]]</f>
        <v>-0.78348374472121263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0.62464037876021861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0.14089484525727214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-1.1494940880477545E-2</v>
      </c>
      <c r="H34" t="s">
        <v>15</v>
      </c>
      <c r="I34">
        <f>VLOOKUP(Table4[[#This Row],[Visitor]],'NHL Model'!$A$6:$B$38,2,FALSE)</f>
        <v>-0.10354486814940167</v>
      </c>
      <c r="J34">
        <f>($B$1+Table4[[#This Row],[Home Differential]])-Table4[[#This Row],[Away Differential]]</f>
        <v>0.11888440600974061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0.45388105852758109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0.2060080152901175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-0.53356664249341723</v>
      </c>
      <c r="H35" t="s">
        <v>20</v>
      </c>
      <c r="I35">
        <f>VLOOKUP(Table4[[#This Row],[Visitor]],'NHL Model'!$A$6:$B$38,2,FALSE)</f>
        <v>-0.12684993818444543</v>
      </c>
      <c r="J35">
        <f>($B$1+Table4[[#This Row],[Home Differential]])-Table4[[#This Row],[Away Differential]]</f>
        <v>-0.37988222556815532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0.50461573405808091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0.25463703905897583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-0.51080431935976611</v>
      </c>
      <c r="H36" t="s">
        <v>31</v>
      </c>
      <c r="I36">
        <f>VLOOKUP(Table4[[#This Row],[Visitor]],'NHL Model'!$A$6:$B$38,2,FALSE)</f>
        <v>6.0998961494444972E-3</v>
      </c>
      <c r="J36">
        <f>($B$1+Table4[[#This Row],[Home Differential]])-Table4[[#This Row],[Away Differential]]</f>
        <v>-0.49006973676839416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0.53832607226891172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0.21314281554665013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0.58787033474453221</v>
      </c>
      <c r="H37" t="s">
        <v>24</v>
      </c>
      <c r="I37">
        <f>VLOOKUP(Table4[[#This Row],[Visitor]],'NHL Model'!$A$6:$B$38,2,FALSE)</f>
        <v>1.2368486032251671E-3</v>
      </c>
      <c r="J37">
        <f>($B$1+Table4[[#This Row],[Home Differential]])-Table4[[#This Row],[Away Differential]]</f>
        <v>0.61346796488212352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0.62377363572840483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0.3890935486298327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-0.25388173436787664</v>
      </c>
      <c r="H38" t="s">
        <v>13</v>
      </c>
      <c r="I38">
        <f>VLOOKUP(Table4[[#This Row],[Visitor]],'NHL Model'!$A$6:$B$38,2,FALSE)</f>
        <v>-0.27930615658534785</v>
      </c>
      <c r="J38">
        <f>($B$1+Table4[[#This Row],[Home Differential]])-Table4[[#This Row],[Away Differential]]</f>
        <v>5.2258900958287696E-2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0.48232808692979257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0.26798420958176838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-0.10354486814940167</v>
      </c>
      <c r="H39" t="s">
        <v>22</v>
      </c>
      <c r="I39">
        <f>VLOOKUP(Table4[[#This Row],[Visitor]],'NHL Model'!$A$6:$B$38,2,FALSE)</f>
        <v>0.78208997208538333</v>
      </c>
      <c r="J39">
        <f>($B$1+Table4[[#This Row],[Home Differential]])-Table4[[#This Row],[Away Differential]]</f>
        <v>-0.85880036149396854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0.63348603122279956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0.13433248930881467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-0.15717729503670502</v>
      </c>
      <c r="H40" t="s">
        <v>37</v>
      </c>
      <c r="I40">
        <f>VLOOKUP(Table4[[#This Row],[Visitor]],'NHL Model'!$A$6:$B$38,2,FALSE)</f>
        <v>0.58787033474453221</v>
      </c>
      <c r="J40">
        <f>($B$1+Table4[[#This Row],[Home Differential]])-Table4[[#This Row],[Away Differential]]</f>
        <v>-0.71821315104042072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0.57343439412956365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0.18195821611161245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-0.43955182119289299</v>
      </c>
      <c r="H41" t="s">
        <v>12</v>
      </c>
      <c r="I41">
        <f>VLOOKUP(Table4[[#This Row],[Visitor]],'NHL Model'!$A$6:$B$38,2,FALSE)</f>
        <v>1.7050699520681891</v>
      </c>
      <c r="J41">
        <f>($B$1+Table4[[#This Row],[Home Differential]])-Table4[[#This Row],[Away Differential]]</f>
        <v>-2.1177872945202658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0.77117510670290068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5.236083179242889E-2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-0.45544062464079677</v>
      </c>
      <c r="H42" t="s">
        <v>24</v>
      </c>
      <c r="I42">
        <f>VLOOKUP(Table4[[#This Row],[Visitor]],'NHL Model'!$A$6:$B$38,2,FALSE)</f>
        <v>1.2368486032251671E-3</v>
      </c>
      <c r="J42">
        <f>($B$1+Table4[[#This Row],[Home Differential]])-Table4[[#This Row],[Away Differential]]</f>
        <v>-0.4298429945032054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0.53125266863158849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0.21972406066500738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-0.1280954603767317</v>
      </c>
      <c r="H43" t="s">
        <v>55</v>
      </c>
      <c r="I43">
        <f>VLOOKUP(Table4[[#This Row],[Visitor]],'NHL Model'!$A$6:$B$38,2,FALSE)</f>
        <v>-5.8660643157088771E-2</v>
      </c>
      <c r="J43">
        <f>($B$1+Table4[[#This Row],[Home Differential]])-Table4[[#This Row],[Away Differential]]</f>
        <v>-4.2600338478826438E-2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0.46500324901885826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0.21622802159809429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6.3765445873038576E-2</v>
      </c>
      <c r="H44" t="s">
        <v>13</v>
      </c>
      <c r="I44">
        <f>VLOOKUP(Table4[[#This Row],[Visitor]],'NHL Model'!$A$6:$B$38,2,FALSE)</f>
        <v>-0.27930615658534785</v>
      </c>
      <c r="J44">
        <f>($B$1+Table4[[#This Row],[Home Differential]])-Table4[[#This Row],[Away Differential]]</f>
        <v>0.36990608119920293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0.51712828406928701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0.23316509404587119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-2.8228251376645769E-2</v>
      </c>
      <c r="H45" t="s">
        <v>40</v>
      </c>
      <c r="I45">
        <f>VLOOKUP(Table4[[#This Row],[Visitor]],'NHL Model'!$A$6:$B$38,2,FALSE)</f>
        <v>-0.25388173436787664</v>
      </c>
      <c r="J45">
        <f>($B$1+Table4[[#This Row],[Home Differential]])-Table4[[#This Row],[Away Differential]]</f>
        <v>0.25248796173204735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0.56607759950185665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0.32044384865778441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-0.31206928170612303</v>
      </c>
      <c r="H46" t="s">
        <v>29</v>
      </c>
      <c r="I46">
        <f>VLOOKUP(Table4[[#This Row],[Visitor]],'NHL Model'!$A$6:$B$38,2,FALSE)</f>
        <v>-1.1040951755058253</v>
      </c>
      <c r="J46">
        <f>($B$1+Table4[[#This Row],[Home Differential]])-Table4[[#This Row],[Away Differential]]</f>
        <v>0.81886037254051869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0.63866754031440687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0.4078962270512545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-0.15216510880280634</v>
      </c>
      <c r="H47" t="s">
        <v>11</v>
      </c>
      <c r="I47">
        <f>VLOOKUP(Table4[[#This Row],[Visitor]],'NHL Model'!$A$6:$B$38,2,FALSE)</f>
        <v>-0.42252386696344346</v>
      </c>
      <c r="J47">
        <f>($B$1+Table4[[#This Row],[Home Differential]])-Table4[[#This Row],[Away Differential]]</f>
        <v>0.29719323690145361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0.60094196018233381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0.15924731914311804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-0.38335501658895638</v>
      </c>
      <c r="H48" t="s">
        <v>26</v>
      </c>
      <c r="I48">
        <f>VLOOKUP(Table4[[#This Row],[Visitor]],'NHL Model'!$A$6:$B$38,2,FALSE)</f>
        <v>-0.72022444935789065</v>
      </c>
      <c r="J48">
        <f>($B$1+Table4[[#This Row],[Home Differential]])-Table4[[#This Row],[Away Differential]]</f>
        <v>0.36370391150975079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0.58271565211437237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0.33955753121907822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-0.83165982757888468</v>
      </c>
      <c r="H49" t="s">
        <v>35</v>
      </c>
      <c r="I49">
        <f>VLOOKUP(Table4[[#This Row],[Visitor]],'NHL Model'!$A$6:$B$38,2,FALSE)</f>
        <v>-1.2546198289988155</v>
      </c>
      <c r="J49">
        <f>($B$1+Table4[[#This Row],[Home Differential]])-Table4[[#This Row],[Away Differential]]</f>
        <v>0.4497944801607473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0.59282666457381872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0.35144345422971895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6.0998961494444972E-3</v>
      </c>
      <c r="H50" t="s">
        <v>14</v>
      </c>
      <c r="I50">
        <f>VLOOKUP(Table4[[#This Row],[Visitor]],'NHL Model'!$A$6:$B$38,2,FALSE)</f>
        <v>-1.1494940880477545E-2</v>
      </c>
      <c r="J50">
        <f>($B$1+Table4[[#This Row],[Home Differential]])-Table4[[#This Row],[Away Differential]]</f>
        <v>4.4429315770738532E-2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0.56771805550087295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0.18686767953994635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-1.0975205179116387</v>
      </c>
      <c r="H51" t="s">
        <v>20</v>
      </c>
      <c r="I51">
        <f>VLOOKUP(Table4[[#This Row],[Visitor]],'NHL Model'!$A$6:$B$38,2,FALSE)</f>
        <v>-0.12684993818444543</v>
      </c>
      <c r="J51">
        <f>($B$1+Table4[[#This Row],[Home Differential]])-Table4[[#This Row],[Away Differential]]</f>
        <v>-0.94383610098637671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0.57084998886969296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0.18416973205314266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0.57663845568176975</v>
      </c>
      <c r="H52" t="s">
        <v>34</v>
      </c>
      <c r="I52">
        <f>VLOOKUP(Table4[[#This Row],[Visitor]],'NHL Model'!$A$6:$B$38,2,FALSE)</f>
        <v>6.3765445873038576E-2</v>
      </c>
      <c r="J52">
        <f>($B$1+Table4[[#This Row],[Home Differential]])-Table4[[#This Row],[Away Differential]]</f>
        <v>0.53970748854954764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0.57675559211522909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0.17913582880573034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-0.50446035262371991</v>
      </c>
      <c r="H53" t="s">
        <v>32</v>
      </c>
      <c r="I53">
        <f>VLOOKUP(Table4[[#This Row],[Visitor]],'NHL Model'!$A$6:$B$38,2,FALSE)</f>
        <v>-0.53356664249341723</v>
      </c>
      <c r="J53">
        <f>($B$1+Table4[[#This Row],[Home Differential]])-Table4[[#This Row],[Away Differential]]</f>
        <v>5.594076861051378E-2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0.54657003220300326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0.20559873569638551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-0.10354486814940167</v>
      </c>
      <c r="H54" t="s">
        <v>17</v>
      </c>
      <c r="I54">
        <f>VLOOKUP(Table4[[#This Row],[Visitor]],'NHL Model'!$A$6:$B$38,2,FALSE)</f>
        <v>-0.70231133461274453</v>
      </c>
      <c r="J54">
        <f>($B$1+Table4[[#This Row],[Home Differential]])-Table4[[#This Row],[Away Differential]]</f>
        <v>0.62560094520415932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0.61347447055720472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0.37635092602544262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-0.51080431935976611</v>
      </c>
      <c r="H55" t="s">
        <v>25</v>
      </c>
      <c r="I55">
        <f>VLOOKUP(Table4[[#This Row],[Visitor]],'NHL Model'!$A$6:$B$38,2,FALSE)</f>
        <v>0.52315764934699704</v>
      </c>
      <c r="J55">
        <f>($B$1+Table4[[#This Row],[Home Differential]])-Table4[[#This Row],[Away Differential]]</f>
        <v>-1.0071274899659466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0.65090649280824764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0.12186627676343806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-0.38335501658895638</v>
      </c>
      <c r="H56" t="s">
        <v>29</v>
      </c>
      <c r="I56">
        <f>VLOOKUP(Table4[[#This Row],[Visitor]],'NHL Model'!$A$6:$B$38,2,FALSE)</f>
        <v>-1.1040951755058253</v>
      </c>
      <c r="J56">
        <f>($B$1+Table4[[#This Row],[Home Differential]])-Table4[[#This Row],[Away Differential]]</f>
        <v>0.74757463765768539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0.62779982051652339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0.13853297360753219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0.78208997208538333</v>
      </c>
      <c r="H57" t="s">
        <v>37</v>
      </c>
      <c r="I57">
        <f>VLOOKUP(Table4[[#This Row],[Visitor]],'NHL Model'!$A$6:$B$38,2,FALSE)</f>
        <v>0.58787033474453221</v>
      </c>
      <c r="J57">
        <f>($B$1+Table4[[#This Row],[Home Differential]])-Table4[[#This Row],[Away Differential]]</f>
        <v>0.22105411608166758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0.51963285794971459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0.23075259116155908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-0.43955182119289299</v>
      </c>
      <c r="H58" t="s">
        <v>36</v>
      </c>
      <c r="I58">
        <f>VLOOKUP(Table4[[#This Row],[Visitor]],'NHL Model'!$A$6:$B$38,2,FALSE)</f>
        <v>-0.31206928170612303</v>
      </c>
      <c r="J58">
        <f>($B$1+Table4[[#This Row],[Home Differential]])-Table4[[#This Row],[Away Differential]]</f>
        <v>-0.10064806074595345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0.46526203052563542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0.21646875704883731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-0.72022444935789065</v>
      </c>
      <c r="H59" t="s">
        <v>11</v>
      </c>
      <c r="I59">
        <f>VLOOKUP(Table4[[#This Row],[Visitor]],'NHL Model'!$A$6:$B$38,2,FALSE)</f>
        <v>-0.42252386696344346</v>
      </c>
      <c r="J59">
        <f>($B$1+Table4[[#This Row],[Home Differential]])-Table4[[#This Row],[Away Differential]]</f>
        <v>-0.27086610365363073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0.48168995247956203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0.23202521031976273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-1.2546198289988155</v>
      </c>
      <c r="H60" t="s">
        <v>10</v>
      </c>
      <c r="I60">
        <f>VLOOKUP(Table4[[#This Row],[Visitor]],'NHL Model'!$A$6:$B$38,2,FALSE)</f>
        <v>-0.1280954603767317</v>
      </c>
      <c r="J60">
        <f>($B$1+Table4[[#This Row],[Home Differential]])-Table4[[#This Row],[Away Differential]]</f>
        <v>-1.0996898898812673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0.5891544283229444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0.16879408376664662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-5.8660643157088771E-2</v>
      </c>
      <c r="H61" t="s">
        <v>16</v>
      </c>
      <c r="I61">
        <f>VLOOKUP(Table4[[#This Row],[Visitor]],'NHL Model'!$A$6:$B$38,2,FALSE)</f>
        <v>-1.0975205179116387</v>
      </c>
      <c r="J61">
        <f>($B$1+Table4[[#This Row],[Home Differential]])-Table4[[#This Row],[Away Differential]]</f>
        <v>1.0656943534953665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0.70559295828919533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8.6675506208907488E-2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6.0998961494444972E-3</v>
      </c>
      <c r="H62" t="s">
        <v>25</v>
      </c>
      <c r="I62">
        <f>VLOOKUP(Table4[[#This Row],[Visitor]],'NHL Model'!$A$6:$B$38,2,FALSE)</f>
        <v>0.52315764934699704</v>
      </c>
      <c r="J62">
        <f>($B$1+Table4[[#This Row],[Home Differential]])-Table4[[#This Row],[Away Differential]]</f>
        <v>-0.49022327445673608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0.52816310921598086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0.22263005150473039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-0.45544062464079677</v>
      </c>
      <c r="H63" t="s">
        <v>12</v>
      </c>
      <c r="I63">
        <f>VLOOKUP(Table4[[#This Row],[Visitor]],'NHL Model'!$A$6:$B$38,2,FALSE)</f>
        <v>1.7050699520681891</v>
      </c>
      <c r="J63">
        <f>($B$1+Table4[[#This Row],[Home Differential]])-Table4[[#This Row],[Away Differential]]</f>
        <v>-2.1336760979681695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0.7832153762337789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4.6995573101462032E-2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0.57663845568176975</v>
      </c>
      <c r="H64" t="s">
        <v>38</v>
      </c>
      <c r="I64">
        <f>VLOOKUP(Table4[[#This Row],[Visitor]],'NHL Model'!$A$6:$B$38,2,FALSE)</f>
        <v>-0.83165982757888468</v>
      </c>
      <c r="J64">
        <f>($B$1+Table4[[#This Row],[Home Differential]])-Table4[[#This Row],[Away Differential]]</f>
        <v>1.4351327620014709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0.74079699380113451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0.54878018602479817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-0.27930615658534785</v>
      </c>
      <c r="H65" t="s">
        <v>14</v>
      </c>
      <c r="I65">
        <f>VLOOKUP(Table4[[#This Row],[Visitor]],'NHL Model'!$A$6:$B$38,2,FALSE)</f>
        <v>-1.1494940880477545E-2</v>
      </c>
      <c r="J65">
        <f>($B$1+Table4[[#This Row],[Home Differential]])-Table4[[#This Row],[Away Differential]]</f>
        <v>-0.24097673696405386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0.52758854176452508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0.22317258587216787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-0.50446035262371991</v>
      </c>
      <c r="H66" t="s">
        <v>29</v>
      </c>
      <c r="I66">
        <f>VLOOKUP(Table4[[#This Row],[Visitor]],'NHL Model'!$A$6:$B$38,2,FALSE)</f>
        <v>-1.1040951755058253</v>
      </c>
      <c r="J66">
        <f>($B$1+Table4[[#This Row],[Home Differential]])-Table4[[#This Row],[Away Differential]]</f>
        <v>0.6264693016229218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0.61357645574218989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0.14932315555676773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1.2368486032251671E-3</v>
      </c>
      <c r="H67" t="s">
        <v>11</v>
      </c>
      <c r="I67">
        <f>VLOOKUP(Table4[[#This Row],[Visitor]],'NHL Model'!$A$6:$B$38,2,FALSE)</f>
        <v>-0.42252386696344346</v>
      </c>
      <c r="J67">
        <f>($B$1+Table4[[#This Row],[Home Differential]])-Table4[[#This Row],[Away Differential]]</f>
        <v>0.45059519430748513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0.65372177351996352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0.11990861013415943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-2.8228251376645769E-2</v>
      </c>
      <c r="H68" t="s">
        <v>17</v>
      </c>
      <c r="I68">
        <f>VLOOKUP(Table4[[#This Row],[Visitor]],'NHL Model'!$A$6:$B$38,2,FALSE)</f>
        <v>-0.70231133461274453</v>
      </c>
      <c r="J68">
        <f>($B$1+Table4[[#This Row],[Home Differential]])-Table4[[#This Row],[Away Differential]]</f>
        <v>0.70091756197691524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0.62232012301978568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0.14264208947578982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-0.31206928170612303</v>
      </c>
      <c r="H69" t="s">
        <v>32</v>
      </c>
      <c r="I69">
        <f>VLOOKUP(Table4[[#This Row],[Visitor]],'NHL Model'!$A$6:$B$38,2,FALSE)</f>
        <v>-0.53356664249341723</v>
      </c>
      <c r="J69">
        <f>($B$1+Table4[[#This Row],[Home Differential]])-Table4[[#This Row],[Away Differential]]</f>
        <v>0.24833183952811066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0.57166111677522025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0.1834741988822515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-0.15216510880280634</v>
      </c>
      <c r="H70" t="s">
        <v>40</v>
      </c>
      <c r="I70">
        <f>VLOOKUP(Table4[[#This Row],[Visitor]],'NHL Model'!$A$6:$B$38,2,FALSE)</f>
        <v>-0.25388173436787664</v>
      </c>
      <c r="J70">
        <f>($B$1+Table4[[#This Row],[Home Differential]])-Table4[[#This Row],[Away Differential]]</f>
        <v>0.12855110430588679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0.5775978421641238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0.33361926727265206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-0.38335501658895638</v>
      </c>
      <c r="H71" t="s">
        <v>15</v>
      </c>
      <c r="I71">
        <f>VLOOKUP(Table4[[#This Row],[Visitor]],'NHL Model'!$A$6:$B$38,2,FALSE)</f>
        <v>-0.10354486814940167</v>
      </c>
      <c r="J71">
        <f>($B$1+Table4[[#This Row],[Home Differential]])-Table4[[#This Row],[Away Differential]]</f>
        <v>-0.25297566969873819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0.58979250429788133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0.34785519812596638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-0.12684993818444543</v>
      </c>
      <c r="H72" t="s">
        <v>21</v>
      </c>
      <c r="I72">
        <f>VLOOKUP(Table4[[#This Row],[Visitor]],'NHL Model'!$A$6:$B$38,2,FALSE)</f>
        <v>-0.15717729503670502</v>
      </c>
      <c r="J72">
        <f>($B$1+Table4[[#This Row],[Home Differential]])-Table4[[#This Row],[Away Differential]]</f>
        <v>5.7161835593076082E-2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0.54671344191289328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0.20546870374245596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-0.1280954603767317</v>
      </c>
      <c r="H73" t="s">
        <v>38</v>
      </c>
      <c r="I73">
        <f>VLOOKUP(Table4[[#This Row],[Visitor]],'NHL Model'!$A$6:$B$38,2,FALSE)</f>
        <v>-0.83165982757888468</v>
      </c>
      <c r="J73">
        <f>($B$1+Table4[[#This Row],[Home Differential]])-Table4[[#This Row],[Away Differential]]</f>
        <v>0.73039884594296944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0.62578258858566738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0.39160384817697863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-0.72022444935789065</v>
      </c>
      <c r="H74" t="s">
        <v>37</v>
      </c>
      <c r="I74">
        <f>VLOOKUP(Table4[[#This Row],[Visitor]],'NHL Model'!$A$6:$B$38,2,FALSE)</f>
        <v>0.58787033474453221</v>
      </c>
      <c r="J74">
        <f>($B$1+Table4[[#This Row],[Home Differential]])-Table4[[#This Row],[Away Differential]]</f>
        <v>-1.2812603053616063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0.67292816812900358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0.45283231946145652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-5.8660643157088771E-2</v>
      </c>
      <c r="H75" t="s">
        <v>33</v>
      </c>
      <c r="I75">
        <f>VLOOKUP(Table4[[#This Row],[Visitor]],'NHL Model'!$A$6:$B$38,2,FALSE)</f>
        <v>-0.51080431935976611</v>
      </c>
      <c r="J75">
        <f>($B$1+Table4[[#This Row],[Home Differential]])-Table4[[#This Row],[Away Differential]]</f>
        <v>0.47897815494349383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0.63668535451013375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0.13199753162742719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0.78208997208538333</v>
      </c>
      <c r="H76" t="s">
        <v>34</v>
      </c>
      <c r="I76">
        <f>VLOOKUP(Table4[[#This Row],[Visitor]],'NHL Model'!$A$6:$B$38,2,FALSE)</f>
        <v>6.3765445873038576E-2</v>
      </c>
      <c r="J76">
        <f>($B$1+Table4[[#This Row],[Home Differential]])-Table4[[#This Row],[Away Differential]]</f>
        <v>0.74515900495316123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0.59455836709093568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0.16438291769596847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-0.43955182119289299</v>
      </c>
      <c r="H77" t="s">
        <v>11</v>
      </c>
      <c r="I77">
        <f>VLOOKUP(Table4[[#This Row],[Visitor]],'NHL Model'!$A$6:$B$38,2,FALSE)</f>
        <v>-0.42252386696344346</v>
      </c>
      <c r="J77">
        <f>($B$1+Table4[[#This Row],[Home Differential]])-Table4[[#This Row],[Away Differential]]</f>
        <v>9.8065245113669874E-3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0.55127398869158262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0.20135503322476192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-0.45544062464079677</v>
      </c>
      <c r="H78" t="s">
        <v>37</v>
      </c>
      <c r="I78">
        <f>VLOOKUP(Table4[[#This Row],[Visitor]],'NHL Model'!$A$6:$B$38,2,FALSE)</f>
        <v>0.58787033474453221</v>
      </c>
      <c r="J78">
        <f>($B$1+Table4[[#This Row],[Home Differential]])-Table4[[#This Row],[Away Differential]]</f>
        <v>-1.0164764806445126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0.65200449648873715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0.42510986344153168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1.7050699520681891</v>
      </c>
      <c r="H79" t="s">
        <v>21</v>
      </c>
      <c r="I79">
        <f>VLOOKUP(Table4[[#This Row],[Visitor]],'NHL Model'!$A$6:$B$38,2,FALSE)</f>
        <v>-0.15717729503670502</v>
      </c>
      <c r="J79">
        <f>($B$1+Table4[[#This Row],[Home Differential]])-Table4[[#This Row],[Away Differential]]</f>
        <v>1.8890817258457107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0.86968648684215255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1.698161171154048E-2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-0.27930615658534785</v>
      </c>
      <c r="H80" t="s">
        <v>25</v>
      </c>
      <c r="I80">
        <f>VLOOKUP(Table4[[#This Row],[Visitor]],'NHL Model'!$A$6:$B$38,2,FALSE)</f>
        <v>0.52315764934699704</v>
      </c>
      <c r="J80">
        <f>($B$1+Table4[[#This Row],[Home Differential]])-Table4[[#This Row],[Away Differential]]</f>
        <v>-0.77562932719152844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0.62371790705688634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0.14158821346965003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-0.50446035262371991</v>
      </c>
      <c r="H81" t="s">
        <v>15</v>
      </c>
      <c r="I81">
        <f>VLOOKUP(Table4[[#This Row],[Visitor]],'NHL Model'!$A$6:$B$38,2,FALSE)</f>
        <v>-0.10354486814940167</v>
      </c>
      <c r="J81">
        <f>($B$1+Table4[[#This Row],[Home Differential]])-Table4[[#This Row],[Away Differential]]</f>
        <v>-0.37408100573350178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0.60401586907221494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0.15680343194663321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1.2368486032251671E-3</v>
      </c>
      <c r="H82" t="s">
        <v>17</v>
      </c>
      <c r="I82">
        <f>VLOOKUP(Table4[[#This Row],[Visitor]],'NHL Model'!$A$6:$B$38,2,FALSE)</f>
        <v>-0.70231133461274453</v>
      </c>
      <c r="J82">
        <f>($B$1+Table4[[#This Row],[Home Differential]])-Table4[[#This Row],[Away Differential]]</f>
        <v>0.73038266195678614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0.6865817559283417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9.8230995716961575E-2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-0.31206928170612303</v>
      </c>
      <c r="H83" t="s">
        <v>30</v>
      </c>
      <c r="I83">
        <f>VLOOKUP(Table4[[#This Row],[Visitor]],'NHL Model'!$A$6:$B$38,2,FALSE)</f>
        <v>-2.8228251376645769E-2</v>
      </c>
      <c r="J83">
        <f>($B$1+Table4[[#This Row],[Home Differential]])-Table4[[#This Row],[Away Differential]]</f>
        <v>-0.25700655158866081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0.56030493169951767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0.19333175308776582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-0.15216510880280634</v>
      </c>
      <c r="H84" t="s">
        <v>34</v>
      </c>
      <c r="I84">
        <f>VLOOKUP(Table4[[#This Row],[Visitor]],'NHL Model'!$A$6:$B$38,2,FALSE)</f>
        <v>6.3765445873038576E-2</v>
      </c>
      <c r="J84">
        <f>($B$1+Table4[[#This Row],[Home Differential]])-Table4[[#This Row],[Away Differential]]</f>
        <v>-0.18909607593502842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0.51516636711840424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0.26539638580997443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-0.51080431935976611</v>
      </c>
      <c r="H85" t="s">
        <v>14</v>
      </c>
      <c r="I85">
        <f>VLOOKUP(Table4[[#This Row],[Visitor]],'NHL Model'!$A$6:$B$38,2,FALSE)</f>
        <v>-1.1494940880477545E-2</v>
      </c>
      <c r="J85">
        <f>($B$1+Table4[[#This Row],[Home Differential]])-Table4[[#This Row],[Away Differential]]</f>
        <v>-0.47247489973847212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0.55477712751588637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0.1982234061830053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-1.2546198289988155</v>
      </c>
      <c r="H86" t="s">
        <v>39</v>
      </c>
      <c r="I86">
        <f>VLOOKUP(Table4[[#This Row],[Visitor]],'NHL Model'!$A$6:$B$38,2,FALSE)</f>
        <v>0.57663845568176975</v>
      </c>
      <c r="J86">
        <f>($B$1+Table4[[#This Row],[Home Differential]])-Table4[[#This Row],[Away Differential]]</f>
        <v>-1.8044238059397686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0.76440895557541788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0.58432105136390122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-0.38335501658895638</v>
      </c>
      <c r="H87" t="s">
        <v>32</v>
      </c>
      <c r="I87">
        <f>VLOOKUP(Table4[[#This Row],[Visitor]],'NHL Model'!$A$6:$B$38,2,FALSE)</f>
        <v>-0.53356664249341723</v>
      </c>
      <c r="J87">
        <f>($B$1+Table4[[#This Row],[Home Differential]])-Table4[[#This Row],[Away Differential]]</f>
        <v>0.17704610464527737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0.56079339697733688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0.31448923409338098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-0.12684993818444543</v>
      </c>
      <c r="H88" t="s">
        <v>16</v>
      </c>
      <c r="I88">
        <f>VLOOKUP(Table4[[#This Row],[Visitor]],'NHL Model'!$A$6:$B$38,2,FALSE)</f>
        <v>-1.0975205179116387</v>
      </c>
      <c r="J88">
        <f>($B$1+Table4[[#This Row],[Home Differential]])-Table4[[#This Row],[Away Differential]]</f>
        <v>0.99750505846800985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0.65715320542738731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0.11754392454871529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-0.25388173436787664</v>
      </c>
      <c r="H89" t="s">
        <v>29</v>
      </c>
      <c r="I89">
        <f>VLOOKUP(Table4[[#This Row],[Visitor]],'NHL Model'!$A$6:$B$38,2,FALSE)</f>
        <v>-1.1040951755058253</v>
      </c>
      <c r="J89">
        <f>($B$1+Table4[[#This Row],[Home Differential]])-Table4[[#This Row],[Away Differential]]</f>
        <v>0.87704791987876507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0.64550144820165389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0.12566922322712468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-0.1280954603767317</v>
      </c>
      <c r="H90" t="s">
        <v>31</v>
      </c>
      <c r="I90">
        <f>VLOOKUP(Table4[[#This Row],[Visitor]],'NHL Model'!$A$6:$B$38,2,FALSE)</f>
        <v>6.0998961494444972E-3</v>
      </c>
      <c r="J90">
        <f>($B$1+Table4[[#This Row],[Home Differential]])-Table4[[#This Row],[Away Differential]]</f>
        <v>-0.1073608777853597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0.49337836078143332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0.24342220688737418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-0.72022444935789065</v>
      </c>
      <c r="H91" t="s">
        <v>17</v>
      </c>
      <c r="I91">
        <f>VLOOKUP(Table4[[#This Row],[Visitor]],'NHL Model'!$A$6:$B$38,2,FALSE)</f>
        <v>-0.70231133461274453</v>
      </c>
      <c r="J91">
        <f>($B$1+Table4[[#This Row],[Home Differential]])-Table4[[#This Row],[Away Differential]]</f>
        <v>8.9213639956703394E-3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0.55117002992881614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0.20144834203409981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-5.8660643157088771E-2</v>
      </c>
      <c r="H92" t="s">
        <v>21</v>
      </c>
      <c r="I92">
        <f>VLOOKUP(Table4[[#This Row],[Visitor]],'NHL Model'!$A$6:$B$38,2,FALSE)</f>
        <v>-0.15717729503670502</v>
      </c>
      <c r="J92">
        <f>($B$1+Table4[[#This Row],[Home Differential]])-Table4[[#This Row],[Away Differential]]</f>
        <v>0.12535113062043274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0.5951531947747013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0.16390093570113096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0.78208997208538333</v>
      </c>
      <c r="H93" t="s">
        <v>38</v>
      </c>
      <c r="I93">
        <f>VLOOKUP(Table4[[#This Row],[Visitor]],'NHL Model'!$A$6:$B$38,2,FALSE)</f>
        <v>-0.83165982757888468</v>
      </c>
      <c r="J93">
        <f>($B$1+Table4[[#This Row],[Home Differential]])-Table4[[#This Row],[Away Differential]]</f>
        <v>1.6405842784050844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0.75871816925369251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0.57565326035567477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-1.0975205179116387</v>
      </c>
      <c r="H94" t="s">
        <v>40</v>
      </c>
      <c r="I94">
        <f>VLOOKUP(Table4[[#This Row],[Visitor]],'NHL Model'!$A$6:$B$38,2,FALSE)</f>
        <v>-0.25388173436787664</v>
      </c>
      <c r="J94">
        <f>($B$1+Table4[[#This Row],[Home Differential]])-Table4[[#This Row],[Away Differential]]</f>
        <v>-0.81680430480294552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0.55950674265244227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0.19403430976866173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-0.50446035262371991</v>
      </c>
      <c r="H95" t="s">
        <v>23</v>
      </c>
      <c r="I95">
        <f>VLOOKUP(Table4[[#This Row],[Visitor]],'NHL Model'!$A$6:$B$38,2,FALSE)</f>
        <v>-0.43955182119289299</v>
      </c>
      <c r="J95">
        <f>($B$1+Table4[[#This Row],[Home Differential]])-Table4[[#This Row],[Away Differential]]</f>
        <v>-3.8074052690010463E-2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0.46447165383110589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0.21573391721260265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-0.10354486814940167</v>
      </c>
      <c r="H96" t="s">
        <v>34</v>
      </c>
      <c r="I96">
        <f>VLOOKUP(Table4[[#This Row],[Visitor]],'NHL Model'!$A$6:$B$38,2,FALSE)</f>
        <v>6.3765445873038576E-2</v>
      </c>
      <c r="J96">
        <f>($B$1+Table4[[#This Row],[Home Differential]])-Table4[[#This Row],[Away Differential]]</f>
        <v>-0.14047583528162377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0.53578619065187472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0.2154944607894976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-0.15216510880280634</v>
      </c>
      <c r="H97" t="s">
        <v>32</v>
      </c>
      <c r="I97">
        <f>VLOOKUP(Table4[[#This Row],[Visitor]],'NHL Model'!$A$6:$B$38,2,FALSE)</f>
        <v>-0.53356664249341723</v>
      </c>
      <c r="J97">
        <f>($B$1+Table4[[#This Row],[Home Differential]])-Table4[[#This Row],[Away Differential]]</f>
        <v>0.40823601243142738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0.61398351519246053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0.14900872654316935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-0.12684993818444543</v>
      </c>
      <c r="H98" t="s">
        <v>25</v>
      </c>
      <c r="I98">
        <f>VLOOKUP(Table4[[#This Row],[Visitor]],'NHL Model'!$A$6:$B$38,2,FALSE)</f>
        <v>0.52315764934699704</v>
      </c>
      <c r="J98">
        <f>($B$1+Table4[[#This Row],[Home Differential]])-Table4[[#This Row],[Away Differential]]</f>
        <v>-0.62317310879062604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0.60581249943876914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0.36700878447624863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-0.15717729503670502</v>
      </c>
      <c r="H99" t="s">
        <v>11</v>
      </c>
      <c r="I99">
        <f>VLOOKUP(Table4[[#This Row],[Visitor]],'NHL Model'!$A$6:$B$38,2,FALSE)</f>
        <v>-0.42252386696344346</v>
      </c>
      <c r="J99">
        <f>($B$1+Table4[[#This Row],[Home Differential]])-Table4[[#This Row],[Away Differential]]</f>
        <v>0.29218105066755495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0.6172171163757475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0.38095696874719304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0.57663845568176975</v>
      </c>
      <c r="H100" t="s">
        <v>28</v>
      </c>
      <c r="I100">
        <f>VLOOKUP(Table4[[#This Row],[Visitor]],'NHL Model'!$A$6:$B$38,2,FALSE)</f>
        <v>-0.45544062464079677</v>
      </c>
      <c r="J100">
        <f>($B$1+Table4[[#This Row],[Home Differential]])-Table4[[#This Row],[Away Differential]]</f>
        <v>1.0589135590633829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0.69308578126861387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0.48036790019672487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-1.1040951755058253</v>
      </c>
      <c r="H101" t="s">
        <v>31</v>
      </c>
      <c r="I101">
        <f>VLOOKUP(Table4[[#This Row],[Visitor]],'NHL Model'!$A$6:$B$38,2,FALSE)</f>
        <v>6.0998961494444972E-3</v>
      </c>
      <c r="J101">
        <f>($B$1+Table4[[#This Row],[Home Differential]])-Table4[[#This Row],[Away Differential]]</f>
        <v>-1.0833605929144532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0.60800584477554798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0.15365941773013178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-2.8228251376645769E-2</v>
      </c>
      <c r="H102" t="s">
        <v>33</v>
      </c>
      <c r="I102">
        <f>VLOOKUP(Table4[[#This Row],[Visitor]],'NHL Model'!$A$6:$B$38,2,FALSE)</f>
        <v>-0.51080431935976611</v>
      </c>
      <c r="J102">
        <f>($B$1+Table4[[#This Row],[Home Differential]])-Table4[[#This Row],[Away Differential]]</f>
        <v>0.50941054672393682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0.59982834665408469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0.16013735214160341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-0.31206928170612303</v>
      </c>
      <c r="H103" t="s">
        <v>17</v>
      </c>
      <c r="I103">
        <f>VLOOKUP(Table4[[#This Row],[Visitor]],'NHL Model'!$A$6:$B$38,2,FALSE)</f>
        <v>-0.70231133461274453</v>
      </c>
      <c r="J103">
        <f>($B$1+Table4[[#This Row],[Home Differential]])-Table4[[#This Row],[Away Differential]]</f>
        <v>0.41707653164743796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0.59147954417347159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0.34984805117565776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-1.1494940880477545E-2</v>
      </c>
      <c r="H104" t="s">
        <v>38</v>
      </c>
      <c r="I104">
        <f>VLOOKUP(Table4[[#This Row],[Visitor]],'NHL Model'!$A$6:$B$38,2,FALSE)</f>
        <v>-0.83165982757888468</v>
      </c>
      <c r="J104">
        <f>($B$1+Table4[[#This Row],[Home Differential]])-Table4[[#This Row],[Away Differential]]</f>
        <v>0.84699936543922361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0.63947687965469135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0.1299769203035179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-1.2546198289988155</v>
      </c>
      <c r="H105" t="s">
        <v>13</v>
      </c>
      <c r="I105">
        <f>VLOOKUP(Table4[[#This Row],[Visitor]],'NHL Model'!$A$6:$B$38,2,FALSE)</f>
        <v>-0.27930615658534785</v>
      </c>
      <c r="J105">
        <f>($B$1+Table4[[#This Row],[Home Differential]])-Table4[[#This Row],[Away Differential]]</f>
        <v>-0.9484791936726511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0.63771109206051146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0.13125325281598721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-0.38335501658895638</v>
      </c>
      <c r="H106" t="s">
        <v>24</v>
      </c>
      <c r="I106">
        <f>VLOOKUP(Table4[[#This Row],[Visitor]],'NHL Model'!$A$6:$B$38,2,FALSE)</f>
        <v>1.2368486032251671E-3</v>
      </c>
      <c r="J106">
        <f>($B$1+Table4[[#This Row],[Home Differential]])-Table4[[#This Row],[Away Differential]]</f>
        <v>-0.35775738645136501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0.52278648595234922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0.22773273798970739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-5.8660643157088771E-2</v>
      </c>
      <c r="H107" t="s">
        <v>12</v>
      </c>
      <c r="I107">
        <f>VLOOKUP(Table4[[#This Row],[Visitor]],'NHL Model'!$A$6:$B$38,2,FALSE)</f>
        <v>1.7050699520681891</v>
      </c>
      <c r="J107">
        <f>($B$1+Table4[[#This Row],[Home Differential]])-Table4[[#This Row],[Away Differential]]</f>
        <v>-1.7368961164844614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0.6956120071243832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0.48387606445561293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0.78208997208538333</v>
      </c>
      <c r="H108" t="s">
        <v>32</v>
      </c>
      <c r="I108">
        <f>VLOOKUP(Table4[[#This Row],[Visitor]],'NHL Model'!$A$6:$B$38,2,FALSE)</f>
        <v>-0.53356664249341723</v>
      </c>
      <c r="J108">
        <f>($B$1+Table4[[#This Row],[Home Differential]])-Table4[[#This Row],[Away Differential]]</f>
        <v>1.342491093319617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0.72370824940180045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7.6337131448617701E-2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-0.43955182119289299</v>
      </c>
      <c r="H109" t="s">
        <v>26</v>
      </c>
      <c r="I109">
        <f>VLOOKUP(Table4[[#This Row],[Visitor]],'NHL Model'!$A$6:$B$38,2,FALSE)</f>
        <v>-0.72022444935789065</v>
      </c>
      <c r="J109">
        <f>($B$1+Table4[[#This Row],[Home Differential]])-Table4[[#This Row],[Away Differential]]</f>
        <v>0.30750710690581418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0.58623779883874494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0.1711991591098069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-1.0975205179116387</v>
      </c>
      <c r="H110" t="s">
        <v>18</v>
      </c>
      <c r="I110">
        <f>VLOOKUP(Table4[[#This Row],[Visitor]],'NHL Model'!$A$6:$B$38,2,FALSE)</f>
        <v>-0.50446035262371991</v>
      </c>
      <c r="J110">
        <f>($B$1+Table4[[#This Row],[Home Differential]])-Table4[[#This Row],[Away Differential]]</f>
        <v>-0.56622568654710226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0.585788904284814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0.17157083181357496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1.2368486032251671E-3</v>
      </c>
      <c r="H111" t="s">
        <v>34</v>
      </c>
      <c r="I111">
        <f>VLOOKUP(Table4[[#This Row],[Visitor]],'NHL Model'!$A$6:$B$38,2,FALSE)</f>
        <v>6.3765445873038576E-2</v>
      </c>
      <c r="J111">
        <f>($B$1+Table4[[#This Row],[Home Differential]])-Table4[[#This Row],[Away Differential]]</f>
        <v>-3.5694118528996926E-2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0.46147857170443646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0.21296247214236669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-0.15717729503670502</v>
      </c>
      <c r="H112" t="s">
        <v>31</v>
      </c>
      <c r="I112">
        <f>VLOOKUP(Table4[[#This Row],[Visitor]],'NHL Model'!$A$6:$B$38,2,FALSE)</f>
        <v>6.0998961494444972E-3</v>
      </c>
      <c r="J112">
        <f>($B$1+Table4[[#This Row],[Home Differential]])-Table4[[#This Row],[Away Differential]]</f>
        <v>-0.13644271244533304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0.45352468176424859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0.29863527344086571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1.7050699520681891</v>
      </c>
      <c r="H113" t="s">
        <v>25</v>
      </c>
      <c r="I113">
        <f>VLOOKUP(Table4[[#This Row],[Visitor]],'NHL Model'!$A$6:$B$38,2,FALSE)</f>
        <v>0.52315764934699704</v>
      </c>
      <c r="J113">
        <f>($B$1+Table4[[#This Row],[Home Differential]])-Table4[[#This Row],[Away Differential]]</f>
        <v>1.2087467814620085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0.72091011717723175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0.51971139704849001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0.57663845568176975</v>
      </c>
      <c r="H114" t="s">
        <v>13</v>
      </c>
      <c r="I114">
        <f>VLOOKUP(Table4[[#This Row],[Visitor]],'NHL Model'!$A$6:$B$38,2,FALSE)</f>
        <v>-0.27930615658534785</v>
      </c>
      <c r="J114">
        <f>($B$1+Table4[[#This Row],[Home Differential]])-Table4[[#This Row],[Away Differential]]</f>
        <v>0.88277909100793406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0.61000818734618445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0.37210998862937766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-0.70231133461274453</v>
      </c>
      <c r="H115" t="s">
        <v>18</v>
      </c>
      <c r="I115">
        <f>VLOOKUP(Table4[[#This Row],[Visitor]],'NHL Model'!$A$6:$B$38,2,FALSE)</f>
        <v>-0.50446035262371991</v>
      </c>
      <c r="J115">
        <f>($B$1+Table4[[#This Row],[Home Differential]])-Table4[[#This Row],[Away Differential]]</f>
        <v>-0.17101650324820816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0.53937307687145342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0.2909233160537788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-0.42252386696344346</v>
      </c>
      <c r="H116" t="s">
        <v>14</v>
      </c>
      <c r="I116">
        <f>VLOOKUP(Table4[[#This Row],[Visitor]],'NHL Model'!$A$6:$B$38,2,FALSE)</f>
        <v>-1.1494940880477545E-2</v>
      </c>
      <c r="J116">
        <f>($B$1+Table4[[#This Row],[Home Differential]])-Table4[[#This Row],[Away Differential]]</f>
        <v>-0.38419444734214947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0.5444089214732093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0.20756323083320438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-1.1040951755058253</v>
      </c>
      <c r="H117" t="s">
        <v>38</v>
      </c>
      <c r="I117">
        <f>VLOOKUP(Table4[[#This Row],[Visitor]],'NHL Model'!$A$6:$B$38,2,FALSE)</f>
        <v>-0.83165982757888468</v>
      </c>
      <c r="J117">
        <f>($B$1+Table4[[#This Row],[Home Differential]])-Table4[[#This Row],[Away Differential]]</f>
        <v>-0.245600869186124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0.48884489540844733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0.2389693317668958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-2.8228251376645769E-2</v>
      </c>
      <c r="H118" t="s">
        <v>26</v>
      </c>
      <c r="I118">
        <f>VLOOKUP(Table4[[#This Row],[Visitor]],'NHL Model'!$A$6:$B$38,2,FALSE)</f>
        <v>-0.72022444935789065</v>
      </c>
      <c r="J118">
        <f>($B$1+Table4[[#This Row],[Home Differential]])-Table4[[#This Row],[Away Differential]]</f>
        <v>0.71883067672206136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0.62442395075856982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0.14105736876380118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-0.10354486814940167</v>
      </c>
      <c r="H119" t="s">
        <v>33</v>
      </c>
      <c r="I119">
        <f>VLOOKUP(Table4[[#This Row],[Visitor]],'NHL Model'!$A$6:$B$38,2,FALSE)</f>
        <v>-0.51080431935976611</v>
      </c>
      <c r="J119">
        <f>($B$1+Table4[[#This Row],[Home Differential]])-Table4[[#This Row],[Away Differential]]</f>
        <v>0.4340939299511809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0.59098269419150373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0.34926054483384844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-0.31206928170612303</v>
      </c>
      <c r="H120" t="s">
        <v>27</v>
      </c>
      <c r="I120">
        <f>VLOOKUP(Table4[[#This Row],[Visitor]],'NHL Model'!$A$6:$B$38,2,FALSE)</f>
        <v>-0.15216510880280634</v>
      </c>
      <c r="J120">
        <f>($B$1+Table4[[#This Row],[Home Differential]])-Table4[[#This Row],[Away Differential]]</f>
        <v>-0.13306969416250022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0.51562853349367643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0.26587278455283941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-1.2546198289988155</v>
      </c>
      <c r="H121" t="s">
        <v>55</v>
      </c>
      <c r="I121">
        <f>VLOOKUP(Table4[[#This Row],[Visitor]],'NHL Model'!$A$6:$B$38,2,FALSE)</f>
        <v>-5.8660643157088771E-2</v>
      </c>
      <c r="J121">
        <f>($B$1+Table4[[#This Row],[Home Differential]])-Table4[[#This Row],[Away Differential]]</f>
        <v>-1.1691247071009101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0.59730928562064989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0.16215981144735134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0.58787033474453221</v>
      </c>
      <c r="H122" t="s">
        <v>10</v>
      </c>
      <c r="I122">
        <f>VLOOKUP(Table4[[#This Row],[Visitor]],'NHL Model'!$A$6:$B$38,2,FALSE)</f>
        <v>-0.1280954603767317</v>
      </c>
      <c r="J122">
        <f>($B$1+Table4[[#This Row],[Home Differential]])-Table4[[#This Row],[Away Differential]]</f>
        <v>0.74280027386208036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0.65948515531119523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0.43492067007583129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-0.25388173436787664</v>
      </c>
      <c r="H123" t="s">
        <v>32</v>
      </c>
      <c r="I123">
        <f>VLOOKUP(Table4[[#This Row],[Visitor]],'NHL Model'!$A$6:$B$38,2,FALSE)</f>
        <v>-0.53356664249341723</v>
      </c>
      <c r="J123">
        <f>($B$1+Table4[[#This Row],[Home Differential]])-Table4[[#This Row],[Away Differential]]</f>
        <v>0.30651938686635705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0.57849502466246727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0.33465649355922861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-0.43955182119289299</v>
      </c>
      <c r="H124" t="s">
        <v>19</v>
      </c>
      <c r="I124">
        <f>VLOOKUP(Table4[[#This Row],[Visitor]],'NHL Model'!$A$6:$B$38,2,FALSE)</f>
        <v>-0.38335501658895638</v>
      </c>
      <c r="J124">
        <f>($B$1+Table4[[#This Row],[Home Differential]])-Table4[[#This Row],[Away Differential]]</f>
        <v>-2.9362325863120098E-2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0.45332624499678026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0.20550468440288083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-0.45544062464079677</v>
      </c>
      <c r="H125" t="s">
        <v>22</v>
      </c>
      <c r="I125">
        <f>VLOOKUP(Table4[[#This Row],[Visitor]],'NHL Model'!$A$6:$B$38,2,FALSE)</f>
        <v>0.78208997208538333</v>
      </c>
      <c r="J125">
        <f>($B$1+Table4[[#This Row],[Home Differential]])-Table4[[#This Row],[Away Differential]]</f>
        <v>-1.2106961179853637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0.67481486008365532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0.10574537522241266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1.2368486032251671E-3</v>
      </c>
      <c r="H126" t="s">
        <v>33</v>
      </c>
      <c r="I126">
        <f>VLOOKUP(Table4[[#This Row],[Visitor]],'NHL Model'!$A$6:$B$38,2,FALSE)</f>
        <v>-0.51080431935976611</v>
      </c>
      <c r="J126">
        <f>($B$1+Table4[[#This Row],[Home Differential]])-Table4[[#This Row],[Away Differential]]</f>
        <v>0.53887564670380772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0.66408997956264071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0.11283554183022713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-0.25388173436787664</v>
      </c>
      <c r="H127" t="s">
        <v>16</v>
      </c>
      <c r="I127">
        <f>VLOOKUP(Table4[[#This Row],[Visitor]],'NHL Model'!$A$6:$B$38,2,FALSE)</f>
        <v>-1.0975205179116387</v>
      </c>
      <c r="J127">
        <f>($B$1+Table4[[#This Row],[Home Differential]])-Table4[[#This Row],[Away Differential]]</f>
        <v>0.87047326228457855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0.64472927947407932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0.12621728486300685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-0.15717729503670502</v>
      </c>
      <c r="H128" t="s">
        <v>12</v>
      </c>
      <c r="I128">
        <f>VLOOKUP(Table4[[#This Row],[Visitor]],'NHL Model'!$A$6:$B$38,2,FALSE)</f>
        <v>1.7050699520681891</v>
      </c>
      <c r="J128">
        <f>($B$1+Table4[[#This Row],[Home Differential]])-Table4[[#This Row],[Away Differential]]</f>
        <v>-1.8354127683640777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0.7046452738746054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0.49652496199381768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0.57663845568176975</v>
      </c>
      <c r="H129" t="s">
        <v>25</v>
      </c>
      <c r="I129">
        <f>VLOOKUP(Table4[[#This Row],[Visitor]],'NHL Model'!$A$6:$B$38,2,FALSE)</f>
        <v>0.52315764934699704</v>
      </c>
      <c r="J129">
        <f>($B$1+Table4[[#This Row],[Home Differential]])-Table4[[#This Row],[Away Differential]]</f>
        <v>8.031528507558916E-2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0.50943272719425658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0.24065624914806469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-0.72022444935789065</v>
      </c>
      <c r="H130" t="s">
        <v>35</v>
      </c>
      <c r="I130">
        <f>VLOOKUP(Table4[[#This Row],[Visitor]],'NHL Model'!$A$6:$B$38,2,FALSE)</f>
        <v>-1.2546198289988155</v>
      </c>
      <c r="J130">
        <f>($B$1+Table4[[#This Row],[Home Differential]])-Table4[[#This Row],[Away Differential]]</f>
        <v>0.56122985838174133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0.61603657867742834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0.14742790891373467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-0.42252386696344346</v>
      </c>
      <c r="H131" t="s">
        <v>20</v>
      </c>
      <c r="I131">
        <f>VLOOKUP(Table4[[#This Row],[Visitor]],'NHL Model'!$A$6:$B$38,2,FALSE)</f>
        <v>-0.12684993818444543</v>
      </c>
      <c r="J131">
        <f>($B$1+Table4[[#This Row],[Home Differential]])-Table4[[#This Row],[Away Differential]]</f>
        <v>-0.26883945003818155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0.4915741790479542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0.24164517350667014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6.3765445873038576E-2</v>
      </c>
      <c r="H132" t="s">
        <v>55</v>
      </c>
      <c r="I132">
        <f>VLOOKUP(Table4[[#This Row],[Visitor]],'NHL Model'!$A$6:$B$38,2,FALSE)</f>
        <v>-5.8660643157088771E-2</v>
      </c>
      <c r="J132">
        <f>($B$1+Table4[[#This Row],[Home Differential]])-Table4[[#This Row],[Away Differential]]</f>
        <v>0.14926056777094382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0.5575300905091487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0.31083980182313953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-1.1040951755058253</v>
      </c>
      <c r="H133" t="s">
        <v>13</v>
      </c>
      <c r="I133">
        <f>VLOOKUP(Table4[[#This Row],[Visitor]],'NHL Model'!$A$6:$B$38,2,FALSE)</f>
        <v>-0.27930615658534785</v>
      </c>
      <c r="J133">
        <f>($B$1+Table4[[#This Row],[Home Differential]])-Table4[[#This Row],[Away Differential]]</f>
        <v>-0.79795454017966083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0.62003253945283454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0.38444034998033083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-0.15216510880280634</v>
      </c>
      <c r="H134" t="s">
        <v>30</v>
      </c>
      <c r="I134">
        <f>VLOOKUP(Table4[[#This Row],[Visitor]],'NHL Model'!$A$6:$B$38,2,FALSE)</f>
        <v>-2.8228251376645769E-2</v>
      </c>
      <c r="J134">
        <f>($B$1+Table4[[#This Row],[Home Differential]])-Table4[[#This Row],[Away Differential]]</f>
        <v>-9.710237868534409E-2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0.5177334219233336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0.26804789617644459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-1.1494940880477545E-2</v>
      </c>
      <c r="H135" t="s">
        <v>28</v>
      </c>
      <c r="I135">
        <f>VLOOKUP(Table4[[#This Row],[Visitor]],'NHL Model'!$A$6:$B$38,2,FALSE)</f>
        <v>-0.45544062464079677</v>
      </c>
      <c r="J135">
        <f>($B$1+Table4[[#This Row],[Home Differential]])-Table4[[#This Row],[Away Differential]]</f>
        <v>0.47078016250113569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0.59171519484315149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0.35012687180826874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-0.53356664249341723</v>
      </c>
      <c r="H136" t="s">
        <v>17</v>
      </c>
      <c r="I136">
        <f>VLOOKUP(Table4[[#This Row],[Visitor]],'NHL Model'!$A$6:$B$38,2,FALSE)</f>
        <v>-0.70231133461274453</v>
      </c>
      <c r="J136">
        <f>($B$1+Table4[[#This Row],[Home Differential]])-Table4[[#This Row],[Away Differential]]</f>
        <v>0.19557917086014376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0.56297003567709858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0.19099518971607649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0.58787033474453221</v>
      </c>
      <c r="H137" t="s">
        <v>31</v>
      </c>
      <c r="I137">
        <f>VLOOKUP(Table4[[#This Row],[Visitor]],'NHL Model'!$A$6:$B$38,2,FALSE)</f>
        <v>6.0998961494444972E-3</v>
      </c>
      <c r="J137">
        <f>($B$1+Table4[[#This Row],[Home Differential]])-Table4[[#This Row],[Away Differential]]</f>
        <v>0.60860491733590416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0.62320248914288234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0.14197636418811971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-0.38335501658895638</v>
      </c>
      <c r="H138" t="s">
        <v>23</v>
      </c>
      <c r="I138">
        <f>VLOOKUP(Table4[[#This Row],[Visitor]],'NHL Model'!$A$6:$B$38,2,FALSE)</f>
        <v>-0.43955182119289299</v>
      </c>
      <c r="J138">
        <f>($B$1+Table4[[#This Row],[Home Differential]])-Table4[[#This Row],[Away Differential]]</f>
        <v>8.3031283344753126E-2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0.54975171094322772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0.20272352179855077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-0.83165982757888468</v>
      </c>
      <c r="H139" t="s">
        <v>18</v>
      </c>
      <c r="I139">
        <f>VLOOKUP(Table4[[#This Row],[Visitor]],'NHL Model'!$A$6:$B$38,2,FALSE)</f>
        <v>-0.50446035262371991</v>
      </c>
      <c r="J139">
        <f>($B$1+Table4[[#This Row],[Home Differential]])-Table4[[#This Row],[Away Differential]]</f>
        <v>-0.30036499621434831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0.55456456932509413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0.19841272290053888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0.78208997208538333</v>
      </c>
      <c r="H140" t="s">
        <v>36</v>
      </c>
      <c r="I140">
        <f>VLOOKUP(Table4[[#This Row],[Visitor]],'NHL Model'!$A$6:$B$38,2,FALSE)</f>
        <v>-0.31206928170612303</v>
      </c>
      <c r="J140">
        <f>($B$1+Table4[[#This Row],[Home Differential]])-Table4[[#This Row],[Away Differential]]</f>
        <v>1.1209937325323227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0.69415648426071075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0.48185322464119035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-1.0975205179116387</v>
      </c>
      <c r="H141" t="s">
        <v>15</v>
      </c>
      <c r="I141">
        <f>VLOOKUP(Table4[[#This Row],[Visitor]],'NHL Model'!$A$6:$B$38,2,FALSE)</f>
        <v>-0.10354486814940167</v>
      </c>
      <c r="J141">
        <f>($B$1+Table4[[#This Row],[Home Differential]])-Table4[[#This Row],[Away Differential]]</f>
        <v>-0.9671411710214205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0.67366854780798291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0.45382931230571655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-0.1280954603767317</v>
      </c>
      <c r="H142" t="s">
        <v>13</v>
      </c>
      <c r="I142">
        <f>VLOOKUP(Table4[[#This Row],[Visitor]],'NHL Model'!$A$6:$B$38,2,FALSE)</f>
        <v>-0.27930615658534785</v>
      </c>
      <c r="J142">
        <f>($B$1+Table4[[#This Row],[Home Differential]])-Table4[[#This Row],[Away Differential]]</f>
        <v>0.17804517494943264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0.49459494454128011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0.24462415916579194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6.3765445873038576E-2</v>
      </c>
      <c r="H143" t="s">
        <v>33</v>
      </c>
      <c r="I143">
        <f>VLOOKUP(Table4[[#This Row],[Visitor]],'NHL Model'!$A$6:$B$38,2,FALSE)</f>
        <v>-0.51080431935976611</v>
      </c>
      <c r="J143">
        <f>($B$1+Table4[[#This Row],[Home Differential]])-Table4[[#This Row],[Away Differential]]</f>
        <v>0.60140424397362113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0.61063265929433252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0.37287224459686841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1.2368486032251671E-3</v>
      </c>
      <c r="H144" t="s">
        <v>12</v>
      </c>
      <c r="I144">
        <f>VLOOKUP(Table4[[#This Row],[Visitor]],'NHL Model'!$A$6:$B$38,2,FALSE)</f>
        <v>1.7050699520681891</v>
      </c>
      <c r="J144">
        <f>($B$1+Table4[[#This Row],[Home Differential]])-Table4[[#This Row],[Away Differential]]</f>
        <v>-1.6769986247241475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0.66754539627883536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0.44561685609306734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-1.1040951755058253</v>
      </c>
      <c r="H145" t="s">
        <v>39</v>
      </c>
      <c r="I145">
        <f>VLOOKUP(Table4[[#This Row],[Visitor]],'NHL Model'!$A$6:$B$38,2,FALSE)</f>
        <v>0.57663845568176975</v>
      </c>
      <c r="J145">
        <f>($B$1+Table4[[#This Row],[Home Differential]])-Table4[[#This Row],[Away Differential]]</f>
        <v>-1.6538991524467783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0.74673040296774085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6.4145488780882928E-2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0.58787033474453221</v>
      </c>
      <c r="H146" t="s">
        <v>20</v>
      </c>
      <c r="I146">
        <f>VLOOKUP(Table4[[#This Row],[Visitor]],'NHL Model'!$A$6:$B$38,2,FALSE)</f>
        <v>-0.12684993818444543</v>
      </c>
      <c r="J146">
        <f>($B$1+Table4[[#This Row],[Home Differential]])-Table4[[#This Row],[Away Differential]]</f>
        <v>0.74155475166979412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0.65933887342919517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0.1160500031564899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-0.83165982757888468</v>
      </c>
      <c r="H147" t="s">
        <v>17</v>
      </c>
      <c r="I147">
        <f>VLOOKUP(Table4[[#This Row],[Visitor]],'NHL Model'!$A$6:$B$38,2,FALSE)</f>
        <v>-0.70231133461274453</v>
      </c>
      <c r="J147">
        <f>($B$1+Table4[[#This Row],[Home Differential]])-Table4[[#This Row],[Away Differential]]</f>
        <v>-0.10251401422532369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0.47203988417479353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0.22282165225175249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-0.25388173436787664</v>
      </c>
      <c r="H148" t="s">
        <v>55</v>
      </c>
      <c r="I148">
        <f>VLOOKUP(Table4[[#This Row],[Visitor]],'NHL Model'!$A$6:$B$38,2,FALSE)</f>
        <v>-5.8660643157088771E-2</v>
      </c>
      <c r="J148">
        <f>($B$1+Table4[[#This Row],[Home Differential]])-Table4[[#This Row],[Away Differential]]</f>
        <v>-0.16838661246997139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0.47728089309016614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0.27323526472861426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-0.31206928170612303</v>
      </c>
      <c r="H149" t="s">
        <v>21</v>
      </c>
      <c r="I149">
        <f>VLOOKUP(Table4[[#This Row],[Visitor]],'NHL Model'!$A$6:$B$38,2,FALSE)</f>
        <v>-0.15717729503670502</v>
      </c>
      <c r="J149">
        <f>($B$1+Table4[[#This Row],[Home Differential]])-Table4[[#This Row],[Away Differential]]</f>
        <v>-0.12805750792860154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0.47254439192766179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0.22329820234228362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-1.1494940880477545E-2</v>
      </c>
      <c r="H150" t="s">
        <v>35</v>
      </c>
      <c r="I150">
        <f>VLOOKUP(Table4[[#This Row],[Visitor]],'NHL Model'!$A$6:$B$38,2,FALSE)</f>
        <v>-1.2546198289988155</v>
      </c>
      <c r="J150">
        <f>($B$1+Table4[[#This Row],[Home Differential]])-Table4[[#This Row],[Away Differential]]</f>
        <v>1.2699593668591544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0.68915193594966284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9.6626518923842511E-2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-0.15717729503670502</v>
      </c>
      <c r="H151" t="s">
        <v>30</v>
      </c>
      <c r="I151">
        <f>VLOOKUP(Table4[[#This Row],[Visitor]],'NHL Model'!$A$6:$B$38,2,FALSE)</f>
        <v>-2.8228251376645769E-2</v>
      </c>
      <c r="J151">
        <f>($B$1+Table4[[#This Row],[Home Differential]])-Table4[[#This Row],[Away Differential]]</f>
        <v>-0.10211456491924277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0.50107593979327225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0.25107709743971102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-0.43955182119289299</v>
      </c>
      <c r="H152" t="s">
        <v>28</v>
      </c>
      <c r="I152">
        <f>VLOOKUP(Table4[[#This Row],[Visitor]],'NHL Model'!$A$6:$B$38,2,FALSE)</f>
        <v>-0.45544062464079677</v>
      </c>
      <c r="J152">
        <f>($B$1+Table4[[#This Row],[Home Differential]])-Table4[[#This Row],[Away Differential]]</f>
        <v>4.2723282188720291E-2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0.5515763927471472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0.30423651703595517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0.52315764934699704</v>
      </c>
      <c r="H153" t="s">
        <v>20</v>
      </c>
      <c r="I153">
        <f>VLOOKUP(Table4[[#This Row],[Visitor]],'NHL Model'!$A$6:$B$38,2,FALSE)</f>
        <v>-0.12684993818444543</v>
      </c>
      <c r="J153">
        <f>($B$1+Table4[[#This Row],[Home Differential]])-Table4[[#This Row],[Away Differential]]</f>
        <v>0.67684206627225896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0.67120852321996816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0.45052088164313053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-0.1280954603767317</v>
      </c>
      <c r="H154" t="s">
        <v>36</v>
      </c>
      <c r="I154">
        <f>VLOOKUP(Table4[[#This Row],[Visitor]],'NHL Model'!$A$6:$B$38,2,FALSE)</f>
        <v>-0.31206928170612303</v>
      </c>
      <c r="J154">
        <f>($B$1+Table4[[#This Row],[Home Differential]])-Table4[[#This Row],[Away Differential]]</f>
        <v>0.21080830007020782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0.56118248050134478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0.19256081541895265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1.7050699520681891</v>
      </c>
      <c r="H155" t="s">
        <v>24</v>
      </c>
      <c r="I155">
        <f>VLOOKUP(Table4[[#This Row],[Visitor]],'NHL Model'!$A$6:$B$38,2,FALSE)</f>
        <v>1.2368486032251671E-3</v>
      </c>
      <c r="J155">
        <f>($B$1+Table4[[#This Row],[Home Differential]])-Table4[[#This Row],[Away Differential]]</f>
        <v>1.7306675822057804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0.83183180611384067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2.8280541434932877E-2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0.57663845568176975</v>
      </c>
      <c r="H156" t="s">
        <v>22</v>
      </c>
      <c r="I156">
        <f>VLOOKUP(Table4[[#This Row],[Visitor]],'NHL Model'!$A$6:$B$38,2,FALSE)</f>
        <v>0.78208997208538333</v>
      </c>
      <c r="J156">
        <f>($B$1+Table4[[#This Row],[Home Differential]])-Table4[[#This Row],[Away Differential]]</f>
        <v>-0.17861703766279713</v>
      </c>
      <c r="K156" t="str">
        <f>IF(Table4[[#This Row],[HomeIce Differential]]&gt;0,Table4[[#This Row],[Home]],Table4[[#This Row],[Visitor]])</f>
        <v>Washington Capitals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0.52097789713295184</v>
      </c>
      <c r="M156" t="str">
        <f>IF(OR((NHL2025_26Results[[#This Row],[Winning Team]]="")),"-",IF(Table4[[#This Row],[Predicted Winner]]=NHL2025_26Results[[#This Row],[Winning Team]],"YES","NO"))</f>
        <v>NO</v>
      </c>
      <c r="N156">
        <f>IF(Table4[[#This Row],[Adjusted Correct]]="-", "",IF(Table4[[#This Row],[Adjusted Correct]]="YES",(Table4[[#This Row],[Strength of Win]]-1)^2,(Table4[[#This Row],[Strength of Win]]-0)^2))</f>
        <v>0.27141796930107254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-0.70231133461274453</v>
      </c>
      <c r="H157" t="s">
        <v>55</v>
      </c>
      <c r="I157">
        <f>VLOOKUP(Table4[[#This Row],[Visitor]],'NHL Model'!$A$6:$B$38,2,FALSE)</f>
        <v>-5.8660643157088771E-2</v>
      </c>
      <c r="J157">
        <f>($B$1+Table4[[#This Row],[Home Differential]])-Table4[[#This Row],[Away Differential]]</f>
        <v>-0.61681621271483933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0.53244273687203769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0.28349526804778596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-0.42252386696344346</v>
      </c>
      <c r="H158" t="s">
        <v>31</v>
      </c>
      <c r="I158">
        <f>VLOOKUP(Table4[[#This Row],[Visitor]],'NHL Model'!$A$6:$B$38,2,FALSE)</f>
        <v>6.0998961494444972E-3</v>
      </c>
      <c r="J158">
        <f>($B$1+Table4[[#This Row],[Home Differential]])-Table4[[#This Row],[Away Differential]]</f>
        <v>-0.40178928437207151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0.52795786622623453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0.22282377605768949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6.3765445873038576E-2</v>
      </c>
      <c r="H159" t="s">
        <v>40</v>
      </c>
      <c r="I159">
        <f>VLOOKUP(Table4[[#This Row],[Visitor]],'NHL Model'!$A$6:$B$38,2,FALSE)</f>
        <v>-0.25388173436787664</v>
      </c>
      <c r="J159">
        <f>($B$1+Table4[[#This Row],[Home Differential]])-Table4[[#This Row],[Away Differential]]</f>
        <v>0.34448165898173172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0.5768819121421046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0.33279274055673091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-1.1040951755058253</v>
      </c>
      <c r="H160" t="s">
        <v>37</v>
      </c>
      <c r="I160">
        <f>VLOOKUP(Table4[[#This Row],[Visitor]],'NHL Model'!$A$6:$B$38,2,FALSE)</f>
        <v>0.58787033474453221</v>
      </c>
      <c r="J160">
        <f>($B$1+Table4[[#This Row],[Home Differential]])-Table4[[#This Row],[Away Differential]]</f>
        <v>-1.6651310315095409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0.72818652604717415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7.388256462230354E-2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-0.15216510880280634</v>
      </c>
      <c r="H161" t="s">
        <v>14</v>
      </c>
      <c r="I161">
        <f>VLOOKUP(Table4[[#This Row],[Visitor]],'NHL Model'!$A$6:$B$38,2,FALSE)</f>
        <v>-1.1494940880477545E-2</v>
      </c>
      <c r="J161">
        <f>($B$1+Table4[[#This Row],[Home Differential]])-Table4[[#This Row],[Away Differential]]</f>
        <v>-0.11383568918151231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0.4863425451535211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0.23652907122640471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-0.53356664249341723</v>
      </c>
      <c r="H162" t="s">
        <v>18</v>
      </c>
      <c r="I162">
        <f>VLOOKUP(Table4[[#This Row],[Visitor]],'NHL Model'!$A$6:$B$38,2,FALSE)</f>
        <v>-0.50446035262371991</v>
      </c>
      <c r="J162">
        <f>($B$1+Table4[[#This Row],[Home Differential]])-Table4[[#This Row],[Away Differential]]</f>
        <v>-2.2718111288808629E-3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0.51955464947320196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0.23082773484281785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-0.51080431935976611</v>
      </c>
      <c r="H163" t="s">
        <v>13</v>
      </c>
      <c r="I163">
        <f>VLOOKUP(Table4[[#This Row],[Visitor]],'NHL Model'!$A$6:$B$38,2,FALSE)</f>
        <v>-0.27930615658534785</v>
      </c>
      <c r="J163">
        <f>($B$1+Table4[[#This Row],[Home Differential]])-Table4[[#This Row],[Away Differential]]</f>
        <v>-0.2046636840336018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0.55035276694619828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0.20218263419293989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-1.2546198289988155</v>
      </c>
      <c r="H164" t="s">
        <v>26</v>
      </c>
      <c r="I164">
        <f>VLOOKUP(Table4[[#This Row],[Visitor]],'NHL Model'!$A$6:$B$38,2,FALSE)</f>
        <v>-0.72022444935789065</v>
      </c>
      <c r="J164">
        <f>($B$1+Table4[[#This Row],[Home Differential]])-Table4[[#This Row],[Away Differential]]</f>
        <v>-0.5075609009001083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0.51961111273098082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0.23077348301156642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-0.38335501658895638</v>
      </c>
      <c r="H165" t="s">
        <v>16</v>
      </c>
      <c r="I165">
        <f>VLOOKUP(Table4[[#This Row],[Visitor]],'NHL Model'!$A$6:$B$38,2,FALSE)</f>
        <v>-1.0975205179116387</v>
      </c>
      <c r="J165">
        <f>($B$1+Table4[[#This Row],[Home Differential]])-Table4[[#This Row],[Away Differential]]</f>
        <v>0.74099998006349888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0.62702765178894881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0.13910837253006561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-0.83165982757888468</v>
      </c>
      <c r="H166" t="s">
        <v>15</v>
      </c>
      <c r="I166">
        <f>VLOOKUP(Table4[[#This Row],[Visitor]],'NHL Model'!$A$6:$B$38,2,FALSE)</f>
        <v>-0.10354486814940167</v>
      </c>
      <c r="J166">
        <f>($B$1+Table4[[#This Row],[Home Differential]])-Table4[[#This Row],[Away Differential]]</f>
        <v>-0.70128048068866655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0.64244421284826303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0.12784614092569824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-0.45544062464079677</v>
      </c>
      <c r="H167" t="s">
        <v>19</v>
      </c>
      <c r="I167">
        <f>VLOOKUP(Table4[[#This Row],[Visitor]],'NHL Model'!$A$6:$B$38,2,FALSE)</f>
        <v>-0.38335501658895638</v>
      </c>
      <c r="J167">
        <f>($B$1+Table4[[#This Row],[Home Differential]])-Table4[[#This Row],[Away Differential]]</f>
        <v>-4.5251129311023874E-2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0.46531457440039203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0.21651765314941798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-0.15717729503670502</v>
      </c>
      <c r="H168" t="s">
        <v>23</v>
      </c>
      <c r="I168">
        <f>VLOOKUP(Table4[[#This Row],[Visitor]],'NHL Model'!$A$6:$B$38,2,FALSE)</f>
        <v>-0.43955182119289299</v>
      </c>
      <c r="J168">
        <f>($B$1+Table4[[#This Row],[Home Differential]])-Table4[[#This Row],[Away Differential]]</f>
        <v>0.30920900489700442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0.61921698535176517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0.14499570424459782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0.52315764934699704</v>
      </c>
      <c r="H169" t="s">
        <v>30</v>
      </c>
      <c r="I169">
        <f>VLOOKUP(Table4[[#This Row],[Visitor]],'NHL Model'!$A$6:$B$38,2,FALSE)</f>
        <v>-2.8228251376645769E-2</v>
      </c>
      <c r="J169">
        <f>($B$1+Table4[[#This Row],[Home Differential]])-Table4[[#This Row],[Away Differential]]</f>
        <v>0.57822037946445926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0.58790980188284836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0.1698183313842333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-0.70231133461274453</v>
      </c>
      <c r="H170" t="s">
        <v>15</v>
      </c>
      <c r="I170">
        <f>VLOOKUP(Table4[[#This Row],[Visitor]],'NHL Model'!$A$6:$B$38,2,FALSE)</f>
        <v>-0.10354486814940167</v>
      </c>
      <c r="J170">
        <f>($B$1+Table4[[#This Row],[Home Differential]])-Table4[[#This Row],[Away Differential]]</f>
        <v>-0.5719319877225264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0.62725272039462232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0.13894053445320961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-0.27930615658534785</v>
      </c>
      <c r="H171" t="s">
        <v>26</v>
      </c>
      <c r="I171">
        <f>VLOOKUP(Table4[[#This Row],[Visitor]],'NHL Model'!$A$6:$B$38,2,FALSE)</f>
        <v>-0.72022444935789065</v>
      </c>
      <c r="J171">
        <f>($B$1+Table4[[#This Row],[Home Differential]])-Table4[[#This Row],[Away Differential]]</f>
        <v>0.46775277151335926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0.59493579813469366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0.35394860390216498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6.3765445873038576E-2</v>
      </c>
      <c r="H172" t="s">
        <v>14</v>
      </c>
      <c r="I172">
        <f>VLOOKUP(Table4[[#This Row],[Visitor]],'NHL Model'!$A$6:$B$38,2,FALSE)</f>
        <v>-1.1494940880477545E-2</v>
      </c>
      <c r="J172">
        <f>($B$1+Table4[[#This Row],[Home Differential]])-Table4[[#This Row],[Away Differential]]</f>
        <v>0.10209486549433261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0.51270392349959903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0.26286531317188272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-0.31206928170612303</v>
      </c>
      <c r="H173" t="s">
        <v>16</v>
      </c>
      <c r="I173">
        <f>VLOOKUP(Table4[[#This Row],[Visitor]],'NHL Model'!$A$6:$B$38,2,FALSE)</f>
        <v>-1.0975205179116387</v>
      </c>
      <c r="J173">
        <f>($B$1+Table4[[#This Row],[Home Differential]])-Table4[[#This Row],[Away Differential]]</f>
        <v>0.81228571494633217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0.63789537158683229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0.13111976191823826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-0.15216510880280634</v>
      </c>
      <c r="H174" t="s">
        <v>29</v>
      </c>
      <c r="I174">
        <f>VLOOKUP(Table4[[#This Row],[Visitor]],'NHL Model'!$A$6:$B$38,2,FALSE)</f>
        <v>-1.1040951755058253</v>
      </c>
      <c r="J174">
        <f>($B$1+Table4[[#This Row],[Home Differential]])-Table4[[#This Row],[Away Differential]]</f>
        <v>0.9787645454438354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0.68098993873164715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0.10176741919043825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-0.51080431935976611</v>
      </c>
      <c r="H175" t="s">
        <v>24</v>
      </c>
      <c r="I175">
        <f>VLOOKUP(Table4[[#This Row],[Visitor]],'NHL Model'!$A$6:$B$38,2,FALSE)</f>
        <v>1.2368486032251671E-3</v>
      </c>
      <c r="J175">
        <f>($B$1+Table4[[#This Row],[Home Differential]])-Table4[[#This Row],[Away Differential]]</f>
        <v>-0.4852066892221748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0.53775492568338934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0.28918036009674758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-1.2546198289988155</v>
      </c>
      <c r="H176" t="s">
        <v>38</v>
      </c>
      <c r="I176">
        <f>VLOOKUP(Table4[[#This Row],[Visitor]],'NHL Model'!$A$6:$B$38,2,FALSE)</f>
        <v>-0.83165982757888468</v>
      </c>
      <c r="J176">
        <f>($B$1+Table4[[#This Row],[Home Differential]])-Table4[[#This Row],[Away Differential]]</f>
        <v>-0.39612552267911427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0.50652344801612426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0.24351910735789481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0.58787033474453221</v>
      </c>
      <c r="H177" t="s">
        <v>39</v>
      </c>
      <c r="I177">
        <f>VLOOKUP(Table4[[#This Row],[Visitor]],'NHL Model'!$A$6:$B$38,2,FALSE)</f>
        <v>0.57663845568176975</v>
      </c>
      <c r="J177">
        <f>($B$1+Table4[[#This Row],[Home Differential]])-Table4[[#This Row],[Away Differential]]</f>
        <v>3.8066357803578921E-2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0.48447075009572821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0.26577040750686115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-0.25388173436787664</v>
      </c>
      <c r="H178" t="s">
        <v>10</v>
      </c>
      <c r="I178">
        <f>VLOOKUP(Table4[[#This Row],[Visitor]],'NHL Model'!$A$6:$B$38,2,FALSE)</f>
        <v>-0.1280954603767317</v>
      </c>
      <c r="J178">
        <f>($B$1+Table4[[#This Row],[Home Differential]])-Table4[[#This Row],[Away Differential]]</f>
        <v>-9.8951795250328461E-2</v>
      </c>
      <c r="K178" t="str">
        <f>IF(Table4[[#This Row],[HomeIce Differential]]&gt;0,Table4[[#This Row],[Home]],Table4[[#This Row],[Visitor]])</f>
        <v>Chicago Blackhawks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0.4691260357924607</v>
      </c>
      <c r="M178" t="str">
        <f>IF(OR((NHL2025_26Results[[#This Row],[Winning Team]]="")),"-",IF(Table4[[#This Row],[Predicted Winner]]=NHL2025_26Results[[#This Row],[Winning Team]],"YES","NO"))</f>
        <v>NO</v>
      </c>
      <c r="N178">
        <f>IF(Table4[[#This Row],[Adjusted Correct]]="-", "",IF(Table4[[#This Row],[Adjusted Correct]]="YES",(Table4[[#This Row],[Strength of Win]]-1)^2,(Table4[[#This Row],[Strength of Win]]-0)^2))</f>
        <v>0.22007923745834912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6.0998961494444972E-3</v>
      </c>
      <c r="H179" t="s">
        <v>26</v>
      </c>
      <c r="I179">
        <f>VLOOKUP(Table4[[#This Row],[Visitor]],'NHL Model'!$A$6:$B$38,2,FALSE)</f>
        <v>-0.72022444935789065</v>
      </c>
      <c r="J179">
        <f>($B$1+Table4[[#This Row],[Home Differential]])-Table4[[#This Row],[Away Differential]]</f>
        <v>0.75315882424815161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0.68925673025264822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9.6561379693275426E-2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-0.12684993818444543</v>
      </c>
      <c r="H180" t="s">
        <v>12</v>
      </c>
      <c r="I180">
        <f>VLOOKUP(Table4[[#This Row],[Visitor]],'NHL Model'!$A$6:$B$38,2,FALSE)</f>
        <v>1.7050699520681891</v>
      </c>
      <c r="J180">
        <f>($B$1+Table4[[#This Row],[Home Differential]])-Table4[[#This Row],[Away Differential]]</f>
        <v>-1.805085411511818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0.74462363991610114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6.5217085289701174E-2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0.78208997208538333</v>
      </c>
      <c r="H181" t="s">
        <v>30</v>
      </c>
      <c r="I181">
        <f>VLOOKUP(Table4[[#This Row],[Visitor]],'NHL Model'!$A$6:$B$38,2,FALSE)</f>
        <v>-2.8228251376645769E-2</v>
      </c>
      <c r="J181">
        <f>($B$1+Table4[[#This Row],[Home Differential]])-Table4[[#This Row],[Away Differential]]</f>
        <v>0.83715270220284554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0.5919913122860061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0.3504537138221076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-0.15717729503670502</v>
      </c>
      <c r="H182" t="s">
        <v>25</v>
      </c>
      <c r="I182">
        <f>VLOOKUP(Table4[[#This Row],[Visitor]],'NHL Model'!$A$6:$B$38,2,FALSE)</f>
        <v>0.52315764934699704</v>
      </c>
      <c r="J182">
        <f>($B$1+Table4[[#This Row],[Home Differential]])-Table4[[#This Row],[Away Differential]]</f>
        <v>-0.65350046564288555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0.5658341333972734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0.3201682665174434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-0.43955182119289299</v>
      </c>
      <c r="H183" t="s">
        <v>22</v>
      </c>
      <c r="I183">
        <f>VLOOKUP(Table4[[#This Row],[Visitor]],'NHL Model'!$A$6:$B$38,2,FALSE)</f>
        <v>0.78208997208538333</v>
      </c>
      <c r="J183">
        <f>($B$1+Table4[[#This Row],[Home Differential]])-Table4[[#This Row],[Away Differential]]</f>
        <v>-1.1948073145374598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0.6627745905527771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0.43927015788240131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-0.45544062464079677</v>
      </c>
      <c r="H184" t="s">
        <v>35</v>
      </c>
      <c r="I184">
        <f>VLOOKUP(Table4[[#This Row],[Visitor]],'NHL Model'!$A$6:$B$38,2,FALSE)</f>
        <v>-1.2546198289988155</v>
      </c>
      <c r="J184">
        <f>($B$1+Table4[[#This Row],[Home Differential]])-Table4[[#This Row],[Away Differential]]</f>
        <v>0.82601368309883527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0.63701219044496116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0.13176014988556514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-0.70231133461274453</v>
      </c>
      <c r="H185" t="s">
        <v>10</v>
      </c>
      <c r="I185">
        <f>VLOOKUP(Table4[[#This Row],[Visitor]],'NHL Model'!$A$6:$B$38,2,FALSE)</f>
        <v>-0.1280954603767317</v>
      </c>
      <c r="J185">
        <f>($B$1+Table4[[#This Row],[Home Differential]])-Table4[[#This Row],[Away Differential]]</f>
        <v>-0.54738139549519638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0.52428787957433232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0.27487778066854957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-0.42252386696344346</v>
      </c>
      <c r="H186" t="s">
        <v>39</v>
      </c>
      <c r="I186">
        <f>VLOOKUP(Table4[[#This Row],[Visitor]],'NHL Model'!$A$6:$B$38,2,FALSE)</f>
        <v>0.57663845568176975</v>
      </c>
      <c r="J186">
        <f>($B$1+Table4[[#This Row],[Home Differential]])-Table4[[#This Row],[Away Differential]]</f>
        <v>-0.97232784390439675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0.66668242441842751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0.44446545502843232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-0.27930615658534785</v>
      </c>
      <c r="H187" t="s">
        <v>24</v>
      </c>
      <c r="I187">
        <f>VLOOKUP(Table4[[#This Row],[Visitor]],'NHL Model'!$A$6:$B$38,2,FALSE)</f>
        <v>1.2368486032251671E-3</v>
      </c>
      <c r="J187">
        <f>($B$1+Table4[[#This Row],[Home Differential]])-Table4[[#This Row],[Away Differential]]</f>
        <v>-0.25370852644775654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0.51056633993202793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0.23954530760753123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6.3765445873038576E-2</v>
      </c>
      <c r="H188" t="s">
        <v>38</v>
      </c>
      <c r="I188">
        <f>VLOOKUP(Table4[[#This Row],[Visitor]],'NHL Model'!$A$6:$B$38,2,FALSE)</f>
        <v>-0.83165982757888468</v>
      </c>
      <c r="J188">
        <f>($B$1+Table4[[#This Row],[Home Differential]])-Table4[[#This Row],[Away Differential]]</f>
        <v>0.9222597521927397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0.64831592811367422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0.12368168641854636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-0.50446035262371991</v>
      </c>
      <c r="H189" t="s">
        <v>36</v>
      </c>
      <c r="I189">
        <f>VLOOKUP(Table4[[#This Row],[Visitor]],'NHL Model'!$A$6:$B$38,2,FALSE)</f>
        <v>-0.31206928170612303</v>
      </c>
      <c r="J189">
        <f>($B$1+Table4[[#This Row],[Home Differential]])-Table4[[#This Row],[Away Differential]]</f>
        <v>-0.16555659217678043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0.48302015602942716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0.23330847113069217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-1.1040951755058253</v>
      </c>
      <c r="H190" t="s">
        <v>16</v>
      </c>
      <c r="I190">
        <f>VLOOKUP(Table4[[#This Row],[Visitor]],'NHL Model'!$A$6:$B$38,2,FALSE)</f>
        <v>-1.0975205179116387</v>
      </c>
      <c r="J190">
        <f>($B$1+Table4[[#This Row],[Home Differential]])-Table4[[#This Row],[Away Differential]]</f>
        <v>2.0259821146630053E-2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0.54237943955127266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0.20941657734540731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-0.15216510880280634</v>
      </c>
      <c r="H191" t="s">
        <v>19</v>
      </c>
      <c r="I191">
        <f>VLOOKUP(Table4[[#This Row],[Visitor]],'NHL Model'!$A$6:$B$38,2,FALSE)</f>
        <v>-0.38335501658895638</v>
      </c>
      <c r="J191">
        <f>($B$1+Table4[[#This Row],[Home Differential]])-Table4[[#This Row],[Away Differential]]</f>
        <v>0.25802438652696652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0.59634172649397088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0.35562345475780999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-0.53356664249341723</v>
      </c>
      <c r="H192" t="s">
        <v>15</v>
      </c>
      <c r="I192">
        <f>VLOOKUP(Table4[[#This Row],[Visitor]],'NHL Model'!$A$6:$B$38,2,FALSE)</f>
        <v>-0.10354486814940167</v>
      </c>
      <c r="J192">
        <f>($B$1+Table4[[#This Row],[Home Differential]])-Table4[[#This Row],[Away Differential]]</f>
        <v>-0.4031872956031991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0.60743429299637097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0.15410783431525912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-0.51080431935976611</v>
      </c>
      <c r="H193" t="s">
        <v>12</v>
      </c>
      <c r="I193">
        <f>VLOOKUP(Table4[[#This Row],[Visitor]],'NHL Model'!$A$6:$B$38,2,FALSE)</f>
        <v>1.7050699520681891</v>
      </c>
      <c r="J193">
        <f>($B$1+Table4[[#This Row],[Home Differential]])-Table4[[#This Row],[Away Differential]]</f>
        <v>-2.1890397926871388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0.78971763328557976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0.62365394032217747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-0.25388173436787664</v>
      </c>
      <c r="H194" t="s">
        <v>14</v>
      </c>
      <c r="I194">
        <f>VLOOKUP(Table4[[#This Row],[Visitor]],'NHL Model'!$A$6:$B$38,2,FALSE)</f>
        <v>-1.1494940880477545E-2</v>
      </c>
      <c r="J194">
        <f>($B$1+Table4[[#This Row],[Home Differential]])-Table4[[#This Row],[Away Differential]]</f>
        <v>-0.21555231474658262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0.52208999961421187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0.27257796769716774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6.0998961494444972E-3</v>
      </c>
      <c r="H195" t="s">
        <v>24</v>
      </c>
      <c r="I195">
        <f>VLOOKUP(Table4[[#This Row],[Visitor]],'NHL Model'!$A$6:$B$38,2,FALSE)</f>
        <v>1.2368486032251671E-3</v>
      </c>
      <c r="J195">
        <f>($B$1+Table4[[#This Row],[Home Differential]])-Table4[[#This Row],[Away Differential]]</f>
        <v>3.1697526287035815E-2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0.5843679161546923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0.1727500291215929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-2.8228251376645769E-2</v>
      </c>
      <c r="H196" t="s">
        <v>28</v>
      </c>
      <c r="I196">
        <f>VLOOKUP(Table4[[#This Row],[Visitor]],'NHL Model'!$A$6:$B$38,2,FALSE)</f>
        <v>-0.45544062464079677</v>
      </c>
      <c r="J196">
        <f>($B$1+Table4[[#This Row],[Home Differential]])-Table4[[#This Row],[Away Differential]]</f>
        <v>0.45404685200496747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0.58974993066188641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0.16830511939192699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-0.15216510880280634</v>
      </c>
      <c r="H197" t="s">
        <v>16</v>
      </c>
      <c r="I197">
        <f>VLOOKUP(Table4[[#This Row],[Visitor]],'NHL Model'!$A$6:$B$38,2,FALSE)</f>
        <v>-1.0975205179116387</v>
      </c>
      <c r="J197">
        <f>($B$1+Table4[[#This Row],[Home Differential]])-Table4[[#This Row],[Away Differential]]</f>
        <v>0.97218988784964888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0.68021777000407257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0.46269621462931337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-0.51080431935976611</v>
      </c>
      <c r="H198" t="s">
        <v>26</v>
      </c>
      <c r="I198">
        <f>VLOOKUP(Table4[[#This Row],[Visitor]],'NHL Model'!$A$6:$B$38,2,FALSE)</f>
        <v>-0.72022444935789065</v>
      </c>
      <c r="J198">
        <f>($B$1+Table4[[#This Row],[Home Differential]])-Table4[[#This Row],[Away Differential]]</f>
        <v>0.236254608738941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0.56774721238333237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0.32233689716904473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-5.8660643157088771E-2</v>
      </c>
      <c r="H199" t="s">
        <v>37</v>
      </c>
      <c r="I199">
        <f>VLOOKUP(Table4[[#This Row],[Visitor]],'NHL Model'!$A$6:$B$38,2,FALSE)</f>
        <v>0.58787033474453221</v>
      </c>
      <c r="J199">
        <f>($B$1+Table4[[#This Row],[Home Differential]])-Table4[[#This Row],[Away Differential]]</f>
        <v>-0.61969649916080449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0.56440112737934145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0.18974637782838871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-1.1040951755058253</v>
      </c>
      <c r="H200" t="s">
        <v>38</v>
      </c>
      <c r="I200">
        <f>VLOOKUP(Table4[[#This Row],[Visitor]],'NHL Model'!$A$6:$B$38,2,FALSE)</f>
        <v>-0.83165982757888468</v>
      </c>
      <c r="J200">
        <f>($B$1+Table4[[#This Row],[Home Differential]])-Table4[[#This Row],[Away Differential]]</f>
        <v>-0.245600869186124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0.48884489540844733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0.26127954095000117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-0.53356664249341723</v>
      </c>
      <c r="H201" t="s">
        <v>10</v>
      </c>
      <c r="I201">
        <f>VLOOKUP(Table4[[#This Row],[Visitor]],'NHL Model'!$A$6:$B$38,2,FALSE)</f>
        <v>-0.1280954603767317</v>
      </c>
      <c r="J201">
        <f>($B$1+Table4[[#This Row],[Home Differential]])-Table4[[#This Row],[Away Differential]]</f>
        <v>-0.37863670337586908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0.50446945217608086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0.25448942817883513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-1.2546198289988155</v>
      </c>
      <c r="H202" t="s">
        <v>17</v>
      </c>
      <c r="I202">
        <f>VLOOKUP(Table4[[#This Row],[Visitor]],'NHL Model'!$A$6:$B$38,2,FALSE)</f>
        <v>-0.70231133461274453</v>
      </c>
      <c r="J202">
        <f>($B$1+Table4[[#This Row],[Home Differential]])-Table4[[#This Row],[Away Differential]]</f>
        <v>-0.52547401564525442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0.52171494046976497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0.27218647910937038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-0.38335501658895638</v>
      </c>
      <c r="H203" t="s">
        <v>14</v>
      </c>
      <c r="I203">
        <f>VLOOKUP(Table4[[#This Row],[Visitor]],'NHL Model'!$A$6:$B$38,2,FALSE)</f>
        <v>-1.1494940880477545E-2</v>
      </c>
      <c r="J203">
        <f>($B$1+Table4[[#This Row],[Home Differential]])-Table4[[#This Row],[Away Differential]]</f>
        <v>-0.34502559696766233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0.53980868778484636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0.29139341940799773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6.0998961494444972E-3</v>
      </c>
      <c r="H204" t="s">
        <v>11</v>
      </c>
      <c r="I204">
        <f>VLOOKUP(Table4[[#This Row],[Visitor]],'NHL Model'!$A$6:$B$38,2,FALSE)</f>
        <v>-0.42252386696344346</v>
      </c>
      <c r="J204">
        <f>($B$1+Table4[[#This Row],[Home Differential]])-Table4[[#This Row],[Away Differential]]</f>
        <v>0.45545824185370443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0.6542929201054859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0.11951338508919196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-0.43955182119289299</v>
      </c>
      <c r="H205" t="s">
        <v>55</v>
      </c>
      <c r="I205">
        <f>VLOOKUP(Table4[[#This Row],[Visitor]],'NHL Model'!$A$6:$B$38,2,FALSE)</f>
        <v>-5.8660643157088771E-2</v>
      </c>
      <c r="J205">
        <f>($B$1+Table4[[#This Row],[Home Differential]])-Table4[[#This Row],[Away Differential]]</f>
        <v>-0.35405669929498773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0.49146037405092413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0.25861255116042597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1.7050699520681891</v>
      </c>
      <c r="H206" t="s">
        <v>37</v>
      </c>
      <c r="I206">
        <f>VLOOKUP(Table4[[#This Row],[Visitor]],'NHL Model'!$A$6:$B$38,2,FALSE)</f>
        <v>0.58787033474453221</v>
      </c>
      <c r="J206">
        <f>($B$1+Table4[[#This Row],[Home Differential]])-Table4[[#This Row],[Away Differential]]</f>
        <v>1.1440340960644735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0.71330985644494149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8.2191238411620057E-2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0.57663845568176975</v>
      </c>
      <c r="H207" t="s">
        <v>17</v>
      </c>
      <c r="I207">
        <f>VLOOKUP(Table4[[#This Row],[Visitor]],'NHL Model'!$A$6:$B$38,2,FALSE)</f>
        <v>-0.70231133461274453</v>
      </c>
      <c r="J207">
        <f>($B$1+Table4[[#This Row],[Home Differential]])-Table4[[#This Row],[Away Differential]]</f>
        <v>1.3057842690353307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0.7256055013474938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7.5292340890760229E-2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-0.27930615658534785</v>
      </c>
      <c r="H208" t="s">
        <v>40</v>
      </c>
      <c r="I208">
        <f>VLOOKUP(Table4[[#This Row],[Visitor]],'NHL Model'!$A$6:$B$38,2,FALSE)</f>
        <v>-0.25388173436787664</v>
      </c>
      <c r="J208">
        <f>($B$1+Table4[[#This Row],[Home Differential]])-Table4[[#This Row],[Away Differential]]</f>
        <v>1.4100565233452489E-3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0.53658944687798049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0.21474934074485608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6.3765445873038576E-2</v>
      </c>
      <c r="H209" t="s">
        <v>29</v>
      </c>
      <c r="I209">
        <f>VLOOKUP(Table4[[#This Row],[Visitor]],'NHL Model'!$A$6:$B$38,2,FALSE)</f>
        <v>-1.1040951755058253</v>
      </c>
      <c r="J209">
        <f>($B$1+Table4[[#This Row],[Home Differential]])-Table4[[#This Row],[Away Differential]]</f>
        <v>1.1946951001196804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0.68031243180096879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0.10220014126101024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-0.50446035262371991</v>
      </c>
      <c r="H210" t="s">
        <v>27</v>
      </c>
      <c r="I210">
        <f>VLOOKUP(Table4[[#This Row],[Visitor]],'NHL Model'!$A$6:$B$38,2,FALSE)</f>
        <v>-0.15216510880280634</v>
      </c>
      <c r="J210">
        <f>($B$1+Table4[[#This Row],[Home Differential]])-Table4[[#This Row],[Away Differential]]</f>
        <v>-0.32546076508009714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0.54073670167562382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0.21092277718778496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-2.8228251376645769E-2</v>
      </c>
      <c r="H211" t="s">
        <v>21</v>
      </c>
      <c r="I211">
        <f>VLOOKUP(Table4[[#This Row],[Visitor]],'NHL Model'!$A$6:$B$38,2,FALSE)</f>
        <v>-0.15717729503670502</v>
      </c>
      <c r="J211">
        <f>($B$1+Table4[[#This Row],[Home Differential]])-Table4[[#This Row],[Away Differential]]</f>
        <v>0.15578352240087573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0.55829618691865224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0.31169463232790667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-0.10354486814940167</v>
      </c>
      <c r="H212" t="s">
        <v>25</v>
      </c>
      <c r="I212">
        <f>VLOOKUP(Table4[[#This Row],[Visitor]],'NHL Model'!$A$6:$B$38,2,FALSE)</f>
        <v>0.52315764934699704</v>
      </c>
      <c r="J212">
        <f>($B$1+Table4[[#This Row],[Home Differential]])-Table4[[#This Row],[Away Differential]]</f>
        <v>-0.59986803875558226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0.60307540689559114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0.15754913261110054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-0.12684993818444543</v>
      </c>
      <c r="H213" t="s">
        <v>26</v>
      </c>
      <c r="I213">
        <f>VLOOKUP(Table4[[#This Row],[Visitor]],'NHL Model'!$A$6:$B$38,2,FALSE)</f>
        <v>-0.72022444935789065</v>
      </c>
      <c r="J213">
        <f>($B$1+Table4[[#This Row],[Home Differential]])-Table4[[#This Row],[Away Differential]]</f>
        <v>0.62020898991426177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0.61284120575281087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0.14989193196293732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-1.0975205179116387</v>
      </c>
      <c r="H214" t="s">
        <v>28</v>
      </c>
      <c r="I214">
        <f>VLOOKUP(Table4[[#This Row],[Visitor]],'NHL Model'!$A$6:$B$38,2,FALSE)</f>
        <v>-0.45544062464079677</v>
      </c>
      <c r="J214">
        <f>($B$1+Table4[[#This Row],[Home Differential]])-Table4[[#This Row],[Away Differential]]</f>
        <v>-0.61524541453002546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0.53583441149241251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0.28711851653942005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-0.53356664249341723</v>
      </c>
      <c r="H215" t="s">
        <v>33</v>
      </c>
      <c r="I215">
        <f>VLOOKUP(Table4[[#This Row],[Visitor]],'NHL Model'!$A$6:$B$38,2,FALSE)</f>
        <v>-0.51080431935976611</v>
      </c>
      <c r="J215">
        <f>($B$1+Table4[[#This Row],[Home Differential]])-Table4[[#This Row],[Away Differential]]</f>
        <v>4.0721556071653398E-3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0.54047825931139759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0.29211674878827831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-0.38335501658895638</v>
      </c>
      <c r="H216" t="s">
        <v>55</v>
      </c>
      <c r="I216">
        <f>VLOOKUP(Table4[[#This Row],[Visitor]],'NHL Model'!$A$6:$B$38,2,FALSE)</f>
        <v>-5.8660643157088771E-2</v>
      </c>
      <c r="J216">
        <f>($B$1+Table4[[#This Row],[Home Differential]])-Table4[[#This Row],[Away Differential]]</f>
        <v>-0.29785989469105112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0.4949825207752967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0.24500769587306703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-0.83165982757888468</v>
      </c>
      <c r="H217" t="s">
        <v>10</v>
      </c>
      <c r="I217">
        <f>VLOOKUP(Table4[[#This Row],[Visitor]],'NHL Model'!$A$6:$B$38,2,FALSE)</f>
        <v>-0.1280954603767317</v>
      </c>
      <c r="J217">
        <f>($B$1+Table4[[#This Row],[Home Differential]])-Table4[[#This Row],[Away Differential]]</f>
        <v>-0.67672988846133653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0.53947937202797291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0.21207924878775017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0.78208997208538333</v>
      </c>
      <c r="H218" t="s">
        <v>35</v>
      </c>
      <c r="I218">
        <f>VLOOKUP(Table4[[#This Row],[Visitor]],'NHL Model'!$A$6:$B$38,2,FALSE)</f>
        <v>-1.2546198289988155</v>
      </c>
      <c r="J218">
        <f>($B$1+Table4[[#This Row],[Home Differential]])-Table4[[#This Row],[Away Differential]]</f>
        <v>2.0635442798250154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0.808393225548664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3.6713156015645149E-2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-0.15717729503670502</v>
      </c>
      <c r="H219" t="s">
        <v>36</v>
      </c>
      <c r="I219">
        <f>VLOOKUP(Table4[[#This Row],[Visitor]],'NHL Model'!$A$6:$B$38,2,FALSE)</f>
        <v>-0.31206928170612303</v>
      </c>
      <c r="J219">
        <f>($B$1+Table4[[#This Row],[Home Differential]])-Table4[[#This Row],[Away Differential]]</f>
        <v>0.18172646541023449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0.60074222932059751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0.15940676744788634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-0.43955182119289299</v>
      </c>
      <c r="H220" t="s">
        <v>35</v>
      </c>
      <c r="I220">
        <f>VLOOKUP(Table4[[#This Row],[Visitor]],'NHL Model'!$A$6:$B$38,2,FALSE)</f>
        <v>-1.2546198289988155</v>
      </c>
      <c r="J220">
        <f>($B$1+Table4[[#This Row],[Home Differential]])-Table4[[#This Row],[Away Differential]]</f>
        <v>0.84190248654673905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0.64900051984857299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0.421201674763718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0.52315764934699704</v>
      </c>
      <c r="H221" t="s">
        <v>34</v>
      </c>
      <c r="I221">
        <f>VLOOKUP(Table4[[#This Row],[Visitor]],'NHL Model'!$A$6:$B$38,2,FALSE)</f>
        <v>6.3765445873038576E-2</v>
      </c>
      <c r="J221">
        <f>($B$1+Table4[[#This Row],[Home Differential]])-Table4[[#This Row],[Away Differential]]</f>
        <v>0.48622668221477494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0.59043882257593383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0.1677403580529874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0.57663845568176975</v>
      </c>
      <c r="H222" t="s">
        <v>31</v>
      </c>
      <c r="I222">
        <f>VLOOKUP(Table4[[#This Row],[Visitor]],'NHL Model'!$A$6:$B$38,2,FALSE)</f>
        <v>6.0998961494444972E-3</v>
      </c>
      <c r="J222">
        <f>($B$1+Table4[[#This Row],[Home Differential]])-Table4[[#This Row],[Away Differential]]</f>
        <v>0.5973730382731417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0.62188334732600148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0.38673889768139219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-0.27930615658534785</v>
      </c>
      <c r="H223" t="s">
        <v>11</v>
      </c>
      <c r="I223">
        <f>VLOOKUP(Table4[[#This Row],[Visitor]],'NHL Model'!$A$6:$B$38,2,FALSE)</f>
        <v>-0.42252386696344346</v>
      </c>
      <c r="J223">
        <f>($B$1+Table4[[#This Row],[Home Differential]])-Table4[[#This Row],[Away Differential]]</f>
        <v>0.17005218911891207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0.55997198798753134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0.31356862733070795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1.2368486032251671E-3</v>
      </c>
      <c r="H224" t="s">
        <v>18</v>
      </c>
      <c r="I224">
        <f>VLOOKUP(Table4[[#This Row],[Visitor]],'NHL Model'!$A$6:$B$38,2,FALSE)</f>
        <v>-0.50446035262371991</v>
      </c>
      <c r="J224">
        <f>($B$1+Table4[[#This Row],[Home Differential]])-Table4[[#This Row],[Away Differential]]</f>
        <v>0.53253167996776152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0.6052574043543425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0.15582171681707105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-1.1040951755058253</v>
      </c>
      <c r="H225" t="s">
        <v>27</v>
      </c>
      <c r="I225">
        <f>VLOOKUP(Table4[[#This Row],[Visitor]],'NHL Model'!$A$6:$B$38,2,FALSE)</f>
        <v>-0.15216510880280634</v>
      </c>
      <c r="J225">
        <f>($B$1+Table4[[#This Row],[Home Differential]])-Table4[[#This Row],[Away Differential]]</f>
        <v>-0.92509558796220237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0.61116154913896648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0.15119534086800837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-1.1494940880477545E-2</v>
      </c>
      <c r="H226" t="s">
        <v>22</v>
      </c>
      <c r="I226">
        <f>VLOOKUP(Table4[[#This Row],[Visitor]],'NHL Model'!$A$6:$B$38,2,FALSE)</f>
        <v>0.78208997208538333</v>
      </c>
      <c r="J226">
        <f>($B$1+Table4[[#This Row],[Home Differential]])-Table4[[#This Row],[Away Differential]]</f>
        <v>-0.76675043422504441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0.62267511457895364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0.38772429831591304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-0.12684993818444543</v>
      </c>
      <c r="H227" t="s">
        <v>37</v>
      </c>
      <c r="I227">
        <f>VLOOKUP(Table4[[#This Row],[Visitor]],'NHL Model'!$A$6:$B$38,2,FALSE)</f>
        <v>0.58787033474453221</v>
      </c>
      <c r="J227">
        <f>($B$1+Table4[[#This Row],[Home Differential]])-Table4[[#This Row],[Away Differential]]</f>
        <v>-0.68788579418816109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0.61341276017105939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0.14944969399855884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-1.0975205179116387</v>
      </c>
      <c r="H228" t="s">
        <v>10</v>
      </c>
      <c r="I228">
        <f>VLOOKUP(Table4[[#This Row],[Visitor]],'NHL Model'!$A$6:$B$38,2,FALSE)</f>
        <v>-0.1280954603767317</v>
      </c>
      <c r="J228">
        <f>($B$1+Table4[[#This Row],[Home Differential]])-Table4[[#This Row],[Away Differential]]</f>
        <v>-0.94259057879409047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0.5707037069876929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0.18429530719410864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-0.72022444935789065</v>
      </c>
      <c r="H229" t="s">
        <v>15</v>
      </c>
      <c r="I229">
        <f>VLOOKUP(Table4[[#This Row],[Visitor]],'NHL Model'!$A$6:$B$38,2,FALSE)</f>
        <v>-0.10354486814940167</v>
      </c>
      <c r="J229">
        <f>($B$1+Table4[[#This Row],[Home Differential]])-Table4[[#This Row],[Away Differential]]</f>
        <v>-0.58984510246767252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0.61927508173829449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0.14495146338538234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-2.8228251376645769E-2</v>
      </c>
      <c r="H230" t="s">
        <v>34</v>
      </c>
      <c r="I230">
        <f>VLOOKUP(Table4[[#This Row],[Visitor]],'NHL Model'!$A$6:$B$38,2,FALSE)</f>
        <v>6.3765445873038576E-2</v>
      </c>
      <c r="J230">
        <f>($B$1+Table4[[#This Row],[Home Differential]])-Table4[[#This Row],[Away Differential]]</f>
        <v>-6.5159218508867855E-2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0.52694053818929387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0.22378525440863492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-0.51080431935976611</v>
      </c>
      <c r="H231" t="s">
        <v>40</v>
      </c>
      <c r="I231">
        <f>VLOOKUP(Table4[[#This Row],[Visitor]],'NHL Model'!$A$6:$B$38,2,FALSE)</f>
        <v>-0.25388173436787664</v>
      </c>
      <c r="J231">
        <f>($B$1+Table4[[#This Row],[Home Differential]])-Table4[[#This Row],[Away Differential]]</f>
        <v>-0.23008810625107301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0.49059913887338069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0.24068751506330269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0.52315764934699704</v>
      </c>
      <c r="H232" t="s">
        <v>23</v>
      </c>
      <c r="I232">
        <f>VLOOKUP(Table4[[#This Row],[Visitor]],'NHL Model'!$A$6:$B$38,2,FALSE)</f>
        <v>-0.43955182119289299</v>
      </c>
      <c r="J232">
        <f>($B$1+Table4[[#This Row],[Home Differential]])-Table4[[#This Row],[Away Differential]]</f>
        <v>0.98954394928070655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0.70793417952278714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8.530244349102753E-2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-0.70231133461274453</v>
      </c>
      <c r="H233" t="s">
        <v>12</v>
      </c>
      <c r="I233">
        <f>VLOOKUP(Table4[[#This Row],[Visitor]],'NHL Model'!$A$6:$B$38,2,FALSE)</f>
        <v>1.7050699520681891</v>
      </c>
      <c r="J233">
        <f>($B$1+Table4[[#This Row],[Home Differential]])-Table4[[#This Row],[Away Differential]]</f>
        <v>-2.3805468079401173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0.81220940965128063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3.5265305823520533E-2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-0.50446035262371991</v>
      </c>
      <c r="H234" t="s">
        <v>55</v>
      </c>
      <c r="I234">
        <f>VLOOKUP(Table4[[#This Row],[Visitor]],'NHL Model'!$A$6:$B$38,2,FALSE)</f>
        <v>-5.8660643157088771E-2</v>
      </c>
      <c r="J234">
        <f>($B$1+Table4[[#This Row],[Home Differential]])-Table4[[#This Row],[Away Differential]]</f>
        <v>-0.41896523072581471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0.5092058855496302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0.25929063387838308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1.2368486032251671E-3</v>
      </c>
      <c r="H235" t="s">
        <v>14</v>
      </c>
      <c r="I235">
        <f>VLOOKUP(Table4[[#This Row],[Visitor]],'NHL Model'!$A$6:$B$38,2,FALSE)</f>
        <v>-1.1494940880477545E-2</v>
      </c>
      <c r="J235">
        <f>($B$1+Table4[[#This Row],[Home Differential]])-Table4[[#This Row],[Away Differential]]</f>
        <v>3.9566268224519197E-2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0.56714690891535047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0.18736179846153592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-1.1040951755058253</v>
      </c>
      <c r="H236" t="s">
        <v>39</v>
      </c>
      <c r="I236">
        <f>VLOOKUP(Table4[[#This Row],[Visitor]],'NHL Model'!$A$6:$B$38,2,FALSE)</f>
        <v>0.57663845568176975</v>
      </c>
      <c r="J236">
        <f>($B$1+Table4[[#This Row],[Home Differential]])-Table4[[#This Row],[Away Differential]]</f>
        <v>-1.6538991524467783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0.74673040296774085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6.4145488780882928E-2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-0.10354486814940167</v>
      </c>
      <c r="H237" t="s">
        <v>30</v>
      </c>
      <c r="I237">
        <f>VLOOKUP(Table4[[#This Row],[Visitor]],'NHL Model'!$A$6:$B$38,2,FALSE)</f>
        <v>-2.8228251376645769E-2</v>
      </c>
      <c r="J237">
        <f>($B$1+Table4[[#This Row],[Home Differential]])-Table4[[#This Row],[Away Differential]]</f>
        <v>-4.8482138031939417E-2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0.53831721329158999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0.2131509955428432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-0.15216510880280634</v>
      </c>
      <c r="H238" t="s">
        <v>36</v>
      </c>
      <c r="I238">
        <f>VLOOKUP(Table4[[#This Row],[Visitor]],'NHL Model'!$A$6:$B$38,2,FALSE)</f>
        <v>-0.31206928170612303</v>
      </c>
      <c r="J238">
        <f>($B$1+Table4[[#This Row],[Home Differential]])-Table4[[#This Row],[Away Differential]]</f>
        <v>0.18673865164413317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0.58443175005137082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0.341560470468108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-0.51080431935976611</v>
      </c>
      <c r="H239" t="s">
        <v>11</v>
      </c>
      <c r="I239">
        <f>VLOOKUP(Table4[[#This Row],[Visitor]],'NHL Model'!$A$6:$B$38,2,FALSE)</f>
        <v>-0.42252386696344346</v>
      </c>
      <c r="J239">
        <f>($B$1+Table4[[#This Row],[Home Differential]])-Table4[[#This Row],[Away Differential]]</f>
        <v>-6.1445973655506192E-2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0.46721659776383001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0.21829134922600851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-1.2546198289988155</v>
      </c>
      <c r="H240" t="s">
        <v>32</v>
      </c>
      <c r="I240">
        <f>VLOOKUP(Table4[[#This Row],[Visitor]],'NHL Model'!$A$6:$B$38,2,FALSE)</f>
        <v>-0.53356664249341723</v>
      </c>
      <c r="J240">
        <f>($B$1+Table4[[#This Row],[Home Differential]])-Table4[[#This Row],[Away Differential]]</f>
        <v>-0.69421870776458172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0.54153336786801631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0.21019165277844365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0.58787033474453221</v>
      </c>
      <c r="H241" t="s">
        <v>22</v>
      </c>
      <c r="I241">
        <f>VLOOKUP(Table4[[#This Row],[Visitor]],'NHL Model'!$A$6:$B$38,2,FALSE)</f>
        <v>0.78208997208538333</v>
      </c>
      <c r="J241">
        <f>($B$1+Table4[[#This Row],[Home Differential]])-Table4[[#This Row],[Away Differential]]</f>
        <v>-0.16738515860003467</v>
      </c>
      <c r="K241" t="str">
        <f>IF(Table4[[#This Row],[HomeIce Differential]]&gt;0,Table4[[#This Row],[Home]],Table4[[#This Row],[Visitor]])</f>
        <v>Washington Capitals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0.51965875531607097</v>
      </c>
      <c r="M241" t="str">
        <f>IF(OR((NHL2025_26Results[[#This Row],[Winning Team]]="")),"-",IF(Table4[[#This Row],[Predicted Winner]]=NHL2025_26Results[[#This Row],[Winning Team]],"YES","NO"))</f>
        <v>NO</v>
      </c>
      <c r="N241">
        <f>IF(Table4[[#This Row],[Adjusted Correct]]="-", "",IF(Table4[[#This Row],[Adjusted Correct]]="YES",(Table4[[#This Row],[Strength of Win]]-1)^2,(Table4[[#This Row],[Strength of Win]]-0)^2))</f>
        <v>0.2700452219766481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Washington Capitals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-0.38335501658895638</v>
      </c>
      <c r="H242" t="s">
        <v>21</v>
      </c>
      <c r="I242">
        <f>VLOOKUP(Table4[[#This Row],[Visitor]],'NHL Model'!$A$6:$B$38,2,FALSE)</f>
        <v>-0.15717729503670502</v>
      </c>
      <c r="J242">
        <f>($B$1+Table4[[#This Row],[Home Differential]])-Table4[[#This Row],[Away Differential]]</f>
        <v>-0.19934324281143484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0.48341211172554527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0.26686304631186059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-0.83165982757888468</v>
      </c>
      <c r="H243" t="s">
        <v>28</v>
      </c>
      <c r="I243">
        <f>VLOOKUP(Table4[[#This Row],[Visitor]],'NHL Model'!$A$6:$B$38,2,FALSE)</f>
        <v>-0.45544062464079677</v>
      </c>
      <c r="J243">
        <f>($B$1+Table4[[#This Row],[Home Differential]])-Table4[[#This Row],[Away Differential]]</f>
        <v>-0.34938472419727146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0.50461007653269252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0.25463132933832983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-0.12684993818444543</v>
      </c>
      <c r="H244" t="s">
        <v>31</v>
      </c>
      <c r="I244">
        <f>VLOOKUP(Table4[[#This Row],[Visitor]],'NHL Model'!$A$6:$B$38,2,FALSE)</f>
        <v>6.0998961494444972E-3</v>
      </c>
      <c r="J244">
        <f>($B$1+Table4[[#This Row],[Home Differential]])-Table4[[#This Row],[Away Differential]]</f>
        <v>-0.10611535559307343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0.49323207889943321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0.25681372585659029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6.0998961494444972E-3</v>
      </c>
      <c r="H245" t="s">
        <v>40</v>
      </c>
      <c r="I245">
        <f>VLOOKUP(Table4[[#This Row],[Visitor]],'NHL Model'!$A$6:$B$38,2,FALSE)</f>
        <v>-0.25388173436787664</v>
      </c>
      <c r="J245">
        <f>($B$1+Table4[[#This Row],[Home Differential]])-Table4[[#This Row],[Away Differential]]</f>
        <v>0.28681610925813761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0.63103060258890764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0.13613841622590461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0.57663845568176975</v>
      </c>
      <c r="H246" t="s">
        <v>32</v>
      </c>
      <c r="I246">
        <f>VLOOKUP(Table4[[#This Row],[Visitor]],'NHL Model'!$A$6:$B$38,2,FALSE)</f>
        <v>-0.53356664249341723</v>
      </c>
      <c r="J246">
        <f>($B$1+Table4[[#This Row],[Home Differential]])-Table4[[#This Row],[Away Differential]]</f>
        <v>1.1370395769160035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0.70578707394924245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8.6561245855348537E-2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-0.72022444935789065</v>
      </c>
      <c r="H247" t="s">
        <v>10</v>
      </c>
      <c r="I247">
        <f>VLOOKUP(Table4[[#This Row],[Visitor]],'NHL Model'!$A$6:$B$38,2,FALSE)</f>
        <v>-0.1280954603767317</v>
      </c>
      <c r="J247">
        <f>($B$1+Table4[[#This Row],[Home Differential]])-Table4[[#This Row],[Away Differential]]</f>
        <v>-0.5652945102403425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0.5162694579243633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0.23399523733678934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6.3765445873038576E-2</v>
      </c>
      <c r="H248" t="s">
        <v>16</v>
      </c>
      <c r="I248">
        <f>VLOOKUP(Table4[[#This Row],[Visitor]],'NHL Model'!$A$6:$B$38,2,FALSE)</f>
        <v>-1.0975205179116387</v>
      </c>
      <c r="J248">
        <f>($B$1+Table4[[#This Row],[Home Differential]])-Table4[[#This Row],[Away Differential]]</f>
        <v>1.1881204425254939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0.67954026307339421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0.10269444299106939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-0.31206928170612303</v>
      </c>
      <c r="H249" t="s">
        <v>55</v>
      </c>
      <c r="I249">
        <f>VLOOKUP(Table4[[#This Row],[Visitor]],'NHL Model'!$A$6:$B$38,2,FALSE)</f>
        <v>-5.8660643157088771E-2</v>
      </c>
      <c r="J249">
        <f>($B$1+Table4[[#This Row],[Home Differential]])-Table4[[#This Row],[Away Differential]]</f>
        <v>-0.2265741598082178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0.48411480097741322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0.23436714052540042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-1.1494940880477545E-2</v>
      </c>
      <c r="H250" t="s">
        <v>13</v>
      </c>
      <c r="I250">
        <f>VLOOKUP(Table4[[#This Row],[Visitor]],'NHL Model'!$A$6:$B$38,2,FALSE)</f>
        <v>-0.27930615658534785</v>
      </c>
      <c r="J250">
        <f>($B$1+Table4[[#This Row],[Home Differential]])-Table4[[#This Row],[Away Differential]]</f>
        <v>0.29464569444568678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0.50828923561030415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0.2583579470373073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-0.38335501658895638</v>
      </c>
      <c r="H251" t="s">
        <v>25</v>
      </c>
      <c r="I251">
        <f>VLOOKUP(Table4[[#This Row],[Visitor]],'NHL Model'!$A$6:$B$38,2,FALSE)</f>
        <v>0.52315764934699704</v>
      </c>
      <c r="J251">
        <f>($B$1+Table4[[#This Row],[Home Differential]])-Table4[[#This Row],[Away Differential]]</f>
        <v>-0.87967818719513691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0.63593805307720763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0.1325411011972141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-0.83165982757888468</v>
      </c>
      <c r="H252" t="s">
        <v>12</v>
      </c>
      <c r="I252">
        <f>VLOOKUP(Table4[[#This Row],[Visitor]],'NHL Model'!$A$6:$B$38,2,FALSE)</f>
        <v>1.7050699520681891</v>
      </c>
      <c r="J252">
        <f>($B$1+Table4[[#This Row],[Home Differential]])-Table4[[#This Row],[Away Differential]]</f>
        <v>-2.5098953009062575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0.82740090210492134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2.9790448594194947E-2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-0.70231133461274453</v>
      </c>
      <c r="H253" t="s">
        <v>28</v>
      </c>
      <c r="I253">
        <f>VLOOKUP(Table4[[#This Row],[Visitor]],'NHL Model'!$A$6:$B$38,2,FALSE)</f>
        <v>-0.45544062464079677</v>
      </c>
      <c r="J253">
        <f>($B$1+Table4[[#This Row],[Home Differential]])-Table4[[#This Row],[Away Differential]]</f>
        <v>-0.22003623123113131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0.48941858407905187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0.23953055044194396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1.2368486032251671E-3</v>
      </c>
      <c r="H254" t="s">
        <v>30</v>
      </c>
      <c r="I254">
        <f>VLOOKUP(Table4[[#This Row],[Visitor]],'NHL Model'!$A$6:$B$38,2,FALSE)</f>
        <v>-2.8228251376645769E-2</v>
      </c>
      <c r="J254">
        <f>($B$1+Table4[[#This Row],[Home Differential]])-Table4[[#This Row],[Away Differential]]</f>
        <v>5.6299578720687422E-2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0.53602393780249791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0.28732166189729613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-0.10354486814940167</v>
      </c>
      <c r="H255" t="s">
        <v>29</v>
      </c>
      <c r="I255">
        <f>VLOOKUP(Table4[[#This Row],[Visitor]],'NHL Model'!$A$6:$B$38,2,FALSE)</f>
        <v>-1.1040951755058253</v>
      </c>
      <c r="J255">
        <f>($B$1+Table4[[#This Row],[Home Differential]])-Table4[[#This Row],[Away Differential]]</f>
        <v>1.02738478609724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0.66066246669813999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0.11514996150739094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-0.12684993818444543</v>
      </c>
      <c r="H256" t="s">
        <v>11</v>
      </c>
      <c r="I256">
        <f>VLOOKUP(Table4[[#This Row],[Visitor]],'NHL Model'!$A$6:$B$38,2,FALSE)</f>
        <v>-0.42252386696344346</v>
      </c>
      <c r="J256">
        <f>($B$1+Table4[[#This Row],[Home Differential]])-Table4[[#This Row],[Away Differential]]</f>
        <v>0.32250840751981452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0.57787739560564855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0.33394228435196721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-0.15717729503670502</v>
      </c>
      <c r="H257" t="s">
        <v>19</v>
      </c>
      <c r="I257">
        <f>VLOOKUP(Table4[[#This Row],[Visitor]],'NHL Model'!$A$6:$B$38,2,FALSE)</f>
        <v>-0.38335501658895638</v>
      </c>
      <c r="J257">
        <f>($B$1+Table4[[#This Row],[Home Differential]])-Table4[[#This Row],[Away Differential]]</f>
        <v>0.25301220029306781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0.61261688268738468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0.15006567957883948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0.52315764934699704</v>
      </c>
      <c r="H258" t="s">
        <v>22</v>
      </c>
      <c r="I258">
        <f>VLOOKUP(Table4[[#This Row],[Visitor]],'NHL Model'!$A$6:$B$38,2,FALSE)</f>
        <v>0.78208997208538333</v>
      </c>
      <c r="J258">
        <f>($B$1+Table4[[#This Row],[Home Differential]])-Table4[[#This Row],[Away Differential]]</f>
        <v>-0.23209784399756983</v>
      </c>
      <c r="K258" t="str">
        <f>IF(Table4[[#This Row],[HomeIce Differential]]&gt;0,Table4[[#This Row],[Home]],Table4[[#This Row],[Visitor]])</f>
        <v>Washington Capitals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0.50725901604836132</v>
      </c>
      <c r="M258" t="str">
        <f>IF(OR((NHL2025_26Results[[#This Row],[Winning Team]]="")),"-",IF(Table4[[#This Row],[Predicted Winner]]=NHL2025_26Results[[#This Row],[Winning Team]],"YES","NO"))</f>
        <v>YES</v>
      </c>
      <c r="N258">
        <f>IF(Table4[[#This Row],[Adjusted Correct]]="-", "",IF(Table4[[#This Row],[Adjusted Correct]]="YES",(Table4[[#This Row],[Strength of Win]]-1)^2,(Table4[[#This Row],[Strength of Win]]-0)^2))</f>
        <v>0.24279367726562903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1.7050699520681891</v>
      </c>
      <c r="H259" t="s">
        <v>31</v>
      </c>
      <c r="I259">
        <f>VLOOKUP(Table4[[#This Row],[Visitor]],'NHL Model'!$A$6:$B$38,2,FALSE)</f>
        <v>6.0998961494444972E-3</v>
      </c>
      <c r="J259">
        <f>($B$1+Table4[[#This Row],[Home Differential]])-Table4[[#This Row],[Away Differential]]</f>
        <v>1.7258045346595612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0.83126065952831818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2.847296502281816E-2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6.3765445873038576E-2</v>
      </c>
      <c r="H260" t="s">
        <v>33</v>
      </c>
      <c r="I260">
        <f>VLOOKUP(Table4[[#This Row],[Visitor]],'NHL Model'!$A$6:$B$38,2,FALSE)</f>
        <v>-0.51080431935976611</v>
      </c>
      <c r="J260">
        <f>($B$1+Table4[[#This Row],[Home Differential]])-Table4[[#This Row],[Away Differential]]</f>
        <v>0.60140424397362113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0.61063265929433252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0.37287224459686841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-0.50446035262371991</v>
      </c>
      <c r="H261" t="s">
        <v>13</v>
      </c>
      <c r="I261">
        <f>VLOOKUP(Table4[[#This Row],[Visitor]],'NHL Model'!$A$6:$B$38,2,FALSE)</f>
        <v>-0.27930615658534785</v>
      </c>
      <c r="J261">
        <f>($B$1+Table4[[#This Row],[Home Differential]])-Table4[[#This Row],[Away Differential]]</f>
        <v>-0.1983197172975556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0.54960769198949189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0.20285323111503242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-0.31206928170612303</v>
      </c>
      <c r="H262" t="s">
        <v>39</v>
      </c>
      <c r="I262">
        <f>VLOOKUP(Table4[[#This Row],[Visitor]],'NHL Model'!$A$6:$B$38,2,FALSE)</f>
        <v>0.57663845568176975</v>
      </c>
      <c r="J262">
        <f>($B$1+Table4[[#This Row],[Home Differential]])-Table4[[#This Row],[Away Differential]]</f>
        <v>-0.86187325864707631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0.65122376229121737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0.12164486399029324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-0.53356664249341723</v>
      </c>
      <c r="H263" t="s">
        <v>28</v>
      </c>
      <c r="I263">
        <f>VLOOKUP(Table4[[#This Row],[Visitor]],'NHL Model'!$A$6:$B$38,2,FALSE)</f>
        <v>-0.45544062464079677</v>
      </c>
      <c r="J263">
        <f>($B$1+Table4[[#This Row],[Home Differential]])-Table4[[#This Row],[Away Differential]]</f>
        <v>-5.1291539111804008E-2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0.46960015668080046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0.28132399379303141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-1.2546198289988155</v>
      </c>
      <c r="H264" t="s">
        <v>16</v>
      </c>
      <c r="I264">
        <f>VLOOKUP(Table4[[#This Row],[Visitor]],'NHL Model'!$A$6:$B$38,2,FALSE)</f>
        <v>-1.0975205179116387</v>
      </c>
      <c r="J264">
        <f>($B$1+Table4[[#This Row],[Home Differential]])-Table4[[#This Row],[Away Differential]]</f>
        <v>-0.13026483234636022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0.47529911305640438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0.22590924687220468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-0.83165982757888468</v>
      </c>
      <c r="H265" t="s">
        <v>40</v>
      </c>
      <c r="I265">
        <f>VLOOKUP(Table4[[#This Row],[Visitor]],'NHL Model'!$A$6:$B$38,2,FALSE)</f>
        <v>-0.25388173436787664</v>
      </c>
      <c r="J265">
        <f>($B$1+Table4[[#This Row],[Home Differential]])-Table4[[#This Row],[Away Differential]]</f>
        <v>-0.55094361447019158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0.52828240769272239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0.22251748689217499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-0.1280954603767317</v>
      </c>
      <c r="H266" t="s">
        <v>24</v>
      </c>
      <c r="I266">
        <f>VLOOKUP(Table4[[#This Row],[Visitor]],'NHL Model'!$A$6:$B$38,2,FALSE)</f>
        <v>1.2368486032251671E-3</v>
      </c>
      <c r="J266">
        <f>($B$1+Table4[[#This Row],[Home Differential]])-Table4[[#This Row],[Away Differential]]</f>
        <v>-0.10249783023914037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0.49280721419591084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0.25724452197171271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-0.15216510880280634</v>
      </c>
      <c r="H267" t="s">
        <v>17</v>
      </c>
      <c r="I267">
        <f>VLOOKUP(Table4[[#This Row],[Visitor]],'NHL Model'!$A$6:$B$38,2,FALSE)</f>
        <v>-0.70231133461274453</v>
      </c>
      <c r="J267">
        <f>($B$1+Table4[[#This Row],[Home Differential]])-Table4[[#This Row],[Away Differential]]</f>
        <v>0.57698070455075467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0.63380194259071199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0.40170490243176016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0.58787033474453221</v>
      </c>
      <c r="H268" t="s">
        <v>15</v>
      </c>
      <c r="I268">
        <f>VLOOKUP(Table4[[#This Row],[Visitor]],'NHL Model'!$A$6:$B$38,2,FALSE)</f>
        <v>-0.10354486814940167</v>
      </c>
      <c r="J268">
        <f>($B$1+Table4[[#This Row],[Home Differential]])-Table4[[#This Row],[Away Differential]]</f>
        <v>0.71824968163475034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0.55668043832495206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0.30989311041366074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-5.8660643157088771E-2</v>
      </c>
      <c r="H269" t="s">
        <v>23</v>
      </c>
      <c r="I269">
        <f>VLOOKUP(Table4[[#This Row],[Visitor]],'NHL Model'!$A$6:$B$38,2,FALSE)</f>
        <v>-0.43955182119289299</v>
      </c>
      <c r="J269">
        <f>($B$1+Table4[[#This Row],[Home Differential]])-Table4[[#This Row],[Away Differential]]</f>
        <v>0.4077256567766207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0.62831701744347423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0.13814823952211464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-0.45544062464079677</v>
      </c>
      <c r="H270" t="s">
        <v>17</v>
      </c>
      <c r="I270">
        <f>VLOOKUP(Table4[[#This Row],[Visitor]],'NHL Model'!$A$6:$B$38,2,FALSE)</f>
        <v>-0.70231133461274453</v>
      </c>
      <c r="J270">
        <f>($B$1+Table4[[#This Row],[Home Differential]])-Table4[[#This Row],[Away Differential]]</f>
        <v>0.27370518871276428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0.57214564169634907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0.1830593519194289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-1.0975205179116387</v>
      </c>
      <c r="H271" t="s">
        <v>33</v>
      </c>
      <c r="I271">
        <f>VLOOKUP(Table4[[#This Row],[Visitor]],'NHL Model'!$A$6:$B$38,2,FALSE)</f>
        <v>-0.51080431935976611</v>
      </c>
      <c r="J271">
        <f>($B$1+Table4[[#This Row],[Home Differential]])-Table4[[#This Row],[Away Differential]]</f>
        <v>-0.55988171981105606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0.52575599550021446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0.27641936680442153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1.7050699520681891</v>
      </c>
      <c r="H272" t="s">
        <v>23</v>
      </c>
      <c r="I272">
        <f>VLOOKUP(Table4[[#This Row],[Visitor]],'NHL Model'!$A$6:$B$38,2,FALSE)</f>
        <v>-0.43955182119289299</v>
      </c>
      <c r="J272">
        <f>($B$1+Table4[[#This Row],[Home Differential]])-Table4[[#This Row],[Away Differential]]</f>
        <v>2.1714562520018985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0.90285030951092549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9.4380623621229745E-3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-0.72022444935789065</v>
      </c>
      <c r="H273" t="s">
        <v>31</v>
      </c>
      <c r="I273">
        <f>VLOOKUP(Table4[[#This Row],[Visitor]],'NHL Model'!$A$6:$B$38,2,FALSE)</f>
        <v>6.0998961494444972E-3</v>
      </c>
      <c r="J273">
        <f>($B$1+Table4[[#This Row],[Home Differential]])-Table4[[#This Row],[Away Differential]]</f>
        <v>-0.6994898667665187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0.55274068089828376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0.30552226031989838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-0.42252386696344346</v>
      </c>
      <c r="H274" t="s">
        <v>22</v>
      </c>
      <c r="I274">
        <f>VLOOKUP(Table4[[#This Row],[Visitor]],'NHL Model'!$A$6:$B$38,2,FALSE)</f>
        <v>0.78208997208538333</v>
      </c>
      <c r="J274">
        <f>($B$1+Table4[[#This Row],[Home Differential]])-Table4[[#This Row],[Away Differential]]</f>
        <v>-1.1777793603080102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0.67094891109277888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0.45017244129658568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-0.50446035262371991</v>
      </c>
      <c r="H275" t="s">
        <v>39</v>
      </c>
      <c r="I275">
        <f>VLOOKUP(Table4[[#This Row],[Visitor]],'NHL Model'!$A$6:$B$38,2,FALSE)</f>
        <v>0.57663845568176975</v>
      </c>
      <c r="J275">
        <f>($B$1+Table4[[#This Row],[Home Differential]])-Table4[[#This Row],[Away Differential]]</f>
        <v>-1.0542643295646732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0.67630555550439819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0.10477809339731624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-0.31206928170612303</v>
      </c>
      <c r="H276" t="s">
        <v>21</v>
      </c>
      <c r="I276">
        <f>VLOOKUP(Table4[[#This Row],[Visitor]],'NHL Model'!$A$6:$B$38,2,FALSE)</f>
        <v>-0.15717729503670502</v>
      </c>
      <c r="J276">
        <f>($B$1+Table4[[#This Row],[Home Differential]])-Table4[[#This Row],[Away Differential]]</f>
        <v>-0.12805750792860154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0.47254439192766179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0.22329820234228362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-0.53356664249341723</v>
      </c>
      <c r="H277" t="s">
        <v>40</v>
      </c>
      <c r="I277">
        <f>VLOOKUP(Table4[[#This Row],[Visitor]],'NHL Model'!$A$6:$B$38,2,FALSE)</f>
        <v>-0.25388173436787664</v>
      </c>
      <c r="J277">
        <f>($B$1+Table4[[#This Row],[Home Differential]])-Table4[[#This Row],[Away Differential]]</f>
        <v>-0.25285042938472413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0.49327248784083028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0.24331774726068206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-0.38335501658895638</v>
      </c>
      <c r="H278" t="s">
        <v>13</v>
      </c>
      <c r="I278">
        <f>VLOOKUP(Table4[[#This Row],[Visitor]],'NHL Model'!$A$6:$B$38,2,FALSE)</f>
        <v>-0.27930615658534785</v>
      </c>
      <c r="J278">
        <f>($B$1+Table4[[#This Row],[Home Differential]])-Table4[[#This Row],[Away Differential]]</f>
        <v>-7.7214381262792009E-2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0.53538432721515827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0.21586772339731111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-0.12684993818444543</v>
      </c>
      <c r="H279" t="s">
        <v>30</v>
      </c>
      <c r="I279">
        <f>VLOOKUP(Table4[[#This Row],[Visitor]],'NHL Model'!$A$6:$B$38,2,FALSE)</f>
        <v>-2.8228251376645769E-2</v>
      </c>
      <c r="J279">
        <f>($B$1+Table4[[#This Row],[Home Differential]])-Table4[[#This Row],[Away Differential]]</f>
        <v>-7.1787208066983174E-2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0.54105430583476799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0.21063115019280668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0.52315764934699704</v>
      </c>
      <c r="H280" t="s">
        <v>38</v>
      </c>
      <c r="I280">
        <f>VLOOKUP(Table4[[#This Row],[Visitor]],'NHL Model'!$A$6:$B$38,2,FALSE)</f>
        <v>-0.83165982757888468</v>
      </c>
      <c r="J280">
        <f>($B$1+Table4[[#This Row],[Home Differential]])-Table4[[#This Row],[Away Differential]]</f>
        <v>1.3816519556666982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0.75398578540878836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6.0522993780930734E-2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-1.1040951755058253</v>
      </c>
      <c r="H281" t="s">
        <v>14</v>
      </c>
      <c r="I281">
        <f>VLOOKUP(Table4[[#This Row],[Visitor]],'NHL Model'!$A$6:$B$38,2,FALSE)</f>
        <v>-1.1494940880477545E-2</v>
      </c>
      <c r="J281">
        <f>($B$1+Table4[[#This Row],[Home Differential]])-Table4[[#This Row],[Away Differential]]</f>
        <v>-1.065765755884531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0.62445690002252263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0.38994641998573881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-1.2546198289988155</v>
      </c>
      <c r="H282" t="s">
        <v>27</v>
      </c>
      <c r="I282">
        <f>VLOOKUP(Table4[[#This Row],[Visitor]],'NHL Model'!$A$6:$B$38,2,FALSE)</f>
        <v>-0.15216510880280634</v>
      </c>
      <c r="J282">
        <f>($B$1+Table4[[#This Row],[Home Differential]])-Table4[[#This Row],[Away Differential]]</f>
        <v>-1.0756202414551925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0.6288401017466434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0.13775967007144202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-5.8660643157088771E-2</v>
      </c>
      <c r="H283" t="s">
        <v>30</v>
      </c>
      <c r="I283">
        <f>VLOOKUP(Table4[[#This Row],[Visitor]],'NHL Model'!$A$6:$B$38,2,FALSE)</f>
        <v>-2.8228251376645769E-2</v>
      </c>
      <c r="J283">
        <f>($B$1+Table4[[#This Row],[Home Differential]])-Table4[[#This Row],[Away Differential]]</f>
        <v>-3.5979130396265151E-3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0.49204267304304999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0.25802064600924973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0.52315764934699704</v>
      </c>
      <c r="H284" t="s">
        <v>17</v>
      </c>
      <c r="I284">
        <f>VLOOKUP(Table4[[#This Row],[Visitor]],'NHL Model'!$A$6:$B$38,2,FALSE)</f>
        <v>-0.70231133461274453</v>
      </c>
      <c r="J284">
        <f>($B$1+Table4[[#This Row],[Home Differential]])-Table4[[#This Row],[Away Differential]]</f>
        <v>1.252303462700558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0.73879429295514765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0.54581700730309657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-0.45544062464079677</v>
      </c>
      <c r="H285" t="s">
        <v>15</v>
      </c>
      <c r="I285">
        <f>VLOOKUP(Table4[[#This Row],[Visitor]],'NHL Model'!$A$6:$B$38,2,FALSE)</f>
        <v>-0.10354486814940167</v>
      </c>
      <c r="J285">
        <f>($B$1+Table4[[#This Row],[Home Differential]])-Table4[[#This Row],[Away Differential]]</f>
        <v>-0.32506127775057858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0.59825868697712059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0.16139608258934718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-1.0975205179116387</v>
      </c>
      <c r="H286" t="s">
        <v>40</v>
      </c>
      <c r="I286">
        <f>VLOOKUP(Table4[[#This Row],[Visitor]],'NHL Model'!$A$6:$B$38,2,FALSE)</f>
        <v>-0.25388173436787664</v>
      </c>
      <c r="J286">
        <f>($B$1+Table4[[#This Row],[Home Differential]])-Table4[[#This Row],[Away Differential]]</f>
        <v>-0.81680430480294552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0.55950674265244227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0.19403430976866173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-0.1280954603767317</v>
      </c>
      <c r="H287" t="s">
        <v>19</v>
      </c>
      <c r="I287">
        <f>VLOOKUP(Table4[[#This Row],[Visitor]],'NHL Model'!$A$6:$B$38,2,FALSE)</f>
        <v>-0.38335501658895638</v>
      </c>
      <c r="J287">
        <f>($B$1+Table4[[#This Row],[Home Differential]])-Table4[[#This Row],[Away Differential]]</f>
        <v>0.2820940349530412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0.57313088003528567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0.18221724557944968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0.57663845568176975</v>
      </c>
      <c r="H288" t="s">
        <v>27</v>
      </c>
      <c r="I288">
        <f>VLOOKUP(Table4[[#This Row],[Visitor]],'NHL Model'!$A$6:$B$38,2,FALSE)</f>
        <v>-0.15216510880280634</v>
      </c>
      <c r="J288">
        <f>($B$1+Table4[[#This Row],[Home Differential]])-Table4[[#This Row],[Away Differential]]</f>
        <v>0.75563804322539252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0.61886731900409897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0.14526212052312326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-0.72022444935789065</v>
      </c>
      <c r="H289" t="s">
        <v>23</v>
      </c>
      <c r="I289">
        <f>VLOOKUP(Table4[[#This Row],[Visitor]],'NHL Model'!$A$6:$B$38,2,FALSE)</f>
        <v>-0.43955182119289299</v>
      </c>
      <c r="J289">
        <f>($B$1+Table4[[#This Row],[Home Differential]])-Table4[[#This Row],[Away Differential]]</f>
        <v>-0.2538381494241812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0.47969008350354442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0.27072240920454854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-0.42252386696344346</v>
      </c>
      <c r="H290" t="s">
        <v>37</v>
      </c>
      <c r="I290">
        <f>VLOOKUP(Table4[[#This Row],[Visitor]],'NHL Model'!$A$6:$B$38,2,FALSE)</f>
        <v>0.58787033474453221</v>
      </c>
      <c r="J290">
        <f>($B$1+Table4[[#This Row],[Home Differential]])-Table4[[#This Row],[Away Differential]]</f>
        <v>-0.98355972296715921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0.64813854749786082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0.12380648175691515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6.3765445873038576E-2</v>
      </c>
      <c r="H291" t="s">
        <v>31</v>
      </c>
      <c r="I291">
        <f>VLOOKUP(Table4[[#This Row],[Visitor]],'NHL Model'!$A$6:$B$38,2,FALSE)</f>
        <v>6.0998961494444972E-3</v>
      </c>
      <c r="J291">
        <f>($B$1+Table4[[#This Row],[Home Differential]])-Table4[[#This Row],[Away Differential]]</f>
        <v>8.450002846441057E-2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0.52915497874657358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0.22169503403913957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-0.50446035262371991</v>
      </c>
      <c r="H292" t="s">
        <v>21</v>
      </c>
      <c r="I292">
        <f>VLOOKUP(Table4[[#This Row],[Visitor]],'NHL Model'!$A$6:$B$38,2,FALSE)</f>
        <v>-0.15717729503670502</v>
      </c>
      <c r="J292">
        <f>($B$1+Table4[[#This Row],[Home Differential]])-Table4[[#This Row],[Away Differential]]</f>
        <v>-0.32044857884619843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0.49763547649987883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0.25237011447150381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-0.31206928170612303</v>
      </c>
      <c r="H293" t="s">
        <v>13</v>
      </c>
      <c r="I293">
        <f>VLOOKUP(Table4[[#This Row],[Visitor]],'NHL Model'!$A$6:$B$38,2,FALSE)</f>
        <v>-0.27930615658534785</v>
      </c>
      <c r="J293">
        <f>($B$1+Table4[[#This Row],[Home Differential]])-Table4[[#This Row],[Away Differential]]</f>
        <v>-5.928646379958713E-3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0.52450582095745435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0.22609471430334446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-0.53356664249341723</v>
      </c>
      <c r="H294" t="s">
        <v>33</v>
      </c>
      <c r="I294">
        <f>VLOOKUP(Table4[[#This Row],[Visitor]],'NHL Model'!$A$6:$B$38,2,FALSE)</f>
        <v>-0.51080431935976611</v>
      </c>
      <c r="J294">
        <f>($B$1+Table4[[#This Row],[Home Differential]])-Table4[[#This Row],[Away Differential]]</f>
        <v>4.0721556071653398E-3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0.54047825931139759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0.21116023016548316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-1.2546198289988155</v>
      </c>
      <c r="H295" t="s">
        <v>20</v>
      </c>
      <c r="I295">
        <f>VLOOKUP(Table4[[#This Row],[Visitor]],'NHL Model'!$A$6:$B$38,2,FALSE)</f>
        <v>-0.12684993818444543</v>
      </c>
      <c r="J295">
        <f>($B$1+Table4[[#This Row],[Home Differential]])-Table4[[#This Row],[Away Differential]]</f>
        <v>-1.1009354120735535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0.58930071020494446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0.16867390663816301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0.78208997208538333</v>
      </c>
      <c r="H296" t="s">
        <v>24</v>
      </c>
      <c r="I296">
        <f>VLOOKUP(Table4[[#This Row],[Visitor]],'NHL Model'!$A$6:$B$38,2,FALSE)</f>
        <v>1.2368486032251671E-3</v>
      </c>
      <c r="J296">
        <f>($B$1+Table4[[#This Row],[Home Differential]])-Table4[[#This Row],[Away Differential]]</f>
        <v>0.80768760222297464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0.64031440684683394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0.41000253961561278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1.7050699520681891</v>
      </c>
      <c r="H297" t="s">
        <v>30</v>
      </c>
      <c r="I297">
        <f>VLOOKUP(Table4[[#This Row],[Visitor]],'NHL Model'!$A$6:$B$38,2,FALSE)</f>
        <v>-2.8228251376645769E-2</v>
      </c>
      <c r="J297">
        <f>($B$1+Table4[[#This Row],[Home Differential]])-Table4[[#This Row],[Away Differential]]</f>
        <v>1.7601326821856516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0.785668310781233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4.593807300337012E-2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6.3765445873038576E-2</v>
      </c>
      <c r="H298" t="s">
        <v>20</v>
      </c>
      <c r="I298">
        <f>VLOOKUP(Table4[[#This Row],[Visitor]],'NHL Model'!$A$6:$B$38,2,FALSE)</f>
        <v>-0.12684993818444543</v>
      </c>
      <c r="J298">
        <f>($B$1+Table4[[#This Row],[Home Differential]])-Table4[[#This Row],[Away Differential]]</f>
        <v>0.21744986279830048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0.56553866592485402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0.18875665080635559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-0.10354486814940167</v>
      </c>
      <c r="H299" t="s">
        <v>26</v>
      </c>
      <c r="I299">
        <f>VLOOKUP(Table4[[#This Row],[Visitor]],'NHL Model'!$A$6:$B$38,2,FALSE)</f>
        <v>-0.72022444935789065</v>
      </c>
      <c r="J299">
        <f>($B$1+Table4[[#This Row],[Home Differential]])-Table4[[#This Row],[Away Differential]]</f>
        <v>0.64351405994930544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0.61557829829598887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0.37893664133298544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-1.1494940880477545E-2</v>
      </c>
      <c r="H300" t="s">
        <v>29</v>
      </c>
      <c r="I300">
        <f>VLOOKUP(Table4[[#This Row],[Visitor]],'NHL Model'!$A$6:$B$38,2,FALSE)</f>
        <v>-1.1040951755058253</v>
      </c>
      <c r="J300">
        <f>($B$1+Table4[[#This Row],[Home Differential]])-Table4[[#This Row],[Away Differential]]</f>
        <v>1.1194347133661642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0.67147338334198592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0.10792973785276173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0.58787033474453221</v>
      </c>
      <c r="H301" t="s">
        <v>38</v>
      </c>
      <c r="I301">
        <f>VLOOKUP(Table4[[#This Row],[Visitor]],'NHL Model'!$A$6:$B$38,2,FALSE)</f>
        <v>-0.83165982757888468</v>
      </c>
      <c r="J301">
        <f>($B$1+Table4[[#This Row],[Home Differential]])-Table4[[#This Row],[Away Differential]]</f>
        <v>1.4463646410642332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0.74211613561801537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0.55073635874461657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6.0998961494444972E-3</v>
      </c>
      <c r="H302" t="s">
        <v>55</v>
      </c>
      <c r="I302">
        <f>VLOOKUP(Table4[[#This Row],[Visitor]],'NHL Model'!$A$6:$B$38,2,FALSE)</f>
        <v>-5.8660643157088771E-2</v>
      </c>
      <c r="J302">
        <f>($B$1+Table4[[#This Row],[Home Differential]])-Table4[[#This Row],[Away Differential]]</f>
        <v>9.1595018047349763E-2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0.61155855736297926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0.15088675435792986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-0.15717729503670502</v>
      </c>
      <c r="H303" t="s">
        <v>25</v>
      </c>
      <c r="I303">
        <f>VLOOKUP(Table4[[#This Row],[Visitor]],'NHL Model'!$A$6:$B$38,2,FALSE)</f>
        <v>0.52315764934699704</v>
      </c>
      <c r="J303">
        <f>($B$1+Table4[[#This Row],[Home Differential]])-Table4[[#This Row],[Away Differential]]</f>
        <v>-0.65350046564288555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0.5658341333972734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0.18849999972289658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-0.43955182119289299</v>
      </c>
      <c r="H304" t="s">
        <v>17</v>
      </c>
      <c r="I304">
        <f>VLOOKUP(Table4[[#This Row],[Visitor]],'NHL Model'!$A$6:$B$38,2,FALSE)</f>
        <v>-0.70231133461274453</v>
      </c>
      <c r="J304">
        <f>($B$1+Table4[[#This Row],[Home Differential]])-Table4[[#This Row],[Away Differential]]</f>
        <v>0.28959399216066806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0.58413397109996079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0.17294455399308825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-0.45544062464079677</v>
      </c>
      <c r="H305" t="s">
        <v>18</v>
      </c>
      <c r="I305">
        <f>VLOOKUP(Table4[[#This Row],[Visitor]],'NHL Model'!$A$6:$B$38,2,FALSE)</f>
        <v>-0.50446035262371991</v>
      </c>
      <c r="J305">
        <f>($B$1+Table4[[#This Row],[Home Differential]])-Table4[[#This Row],[Away Differential]]</f>
        <v>7.5854206723739659E-2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0.48962095654604831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0.26048676799697068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-0.42252386696344346</v>
      </c>
      <c r="H306" t="s">
        <v>38</v>
      </c>
      <c r="I306">
        <f>VLOOKUP(Table4[[#This Row],[Visitor]],'NHL Model'!$A$6:$B$38,2,FALSE)</f>
        <v>-0.83165982757888468</v>
      </c>
      <c r="J306">
        <f>($B$1+Table4[[#This Row],[Home Differential]])-Table4[[#This Row],[Away Differential]]</f>
        <v>0.43597043935625768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0.59120308314086611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0.16711491923353361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0.78208997208538333</v>
      </c>
      <c r="H307" t="s">
        <v>13</v>
      </c>
      <c r="I307">
        <f>VLOOKUP(Table4[[#This Row],[Visitor]],'NHL Model'!$A$6:$B$38,2,FALSE)</f>
        <v>-0.27930615658534785</v>
      </c>
      <c r="J307">
        <f>($B$1+Table4[[#This Row],[Home Differential]])-Table4[[#This Row],[Away Differential]]</f>
        <v>1.0882306074115475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0.62780857883393293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0.13852645398961672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-0.1280954603767317</v>
      </c>
      <c r="H308" t="s">
        <v>16</v>
      </c>
      <c r="I308">
        <f>VLOOKUP(Table4[[#This Row],[Visitor]],'NHL Model'!$A$6:$B$38,2,FALSE)</f>
        <v>-1.0975205179116387</v>
      </c>
      <c r="J308">
        <f>($B$1+Table4[[#This Row],[Home Differential]])-Table4[[#This Row],[Away Differential]]</f>
        <v>0.9962595362757235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0.65700692354538726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0.11764425049579982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0.57663845568176975</v>
      </c>
      <c r="H309" t="s">
        <v>30</v>
      </c>
      <c r="I309">
        <f>VLOOKUP(Table4[[#This Row],[Visitor]],'NHL Model'!$A$6:$B$38,2,FALSE)</f>
        <v>-2.8228251376645769E-2</v>
      </c>
      <c r="J309">
        <f>($B$1+Table4[[#This Row],[Home Differential]])-Table4[[#This Row],[Away Differential]]</f>
        <v>0.63170118579923196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0.57419092079825773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0.32969521352715109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-0.72022444935789065</v>
      </c>
      <c r="H310" t="s">
        <v>32</v>
      </c>
      <c r="I310">
        <f>VLOOKUP(Table4[[#This Row],[Visitor]],'NHL Model'!$A$6:$B$38,2,FALSE)</f>
        <v>-0.53356664249341723</v>
      </c>
      <c r="J310">
        <f>($B$1+Table4[[#This Row],[Home Differential]])-Table4[[#This Row],[Away Differential]]</f>
        <v>-0.15982332812365696</v>
      </c>
      <c r="K310" t="str">
        <f>IF(Table4[[#This Row],[HomeIce Differential]]&gt;0,Table4[[#This Row],[Home]],Table4[[#This Row],[Visitor]])</f>
        <v>Seattle Kraken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0.46864839746943532</v>
      </c>
      <c r="M310" t="str">
        <f>IF(OR((NHL2025_26Results[[#This Row],[Winning Team]]="")),"-",IF(Table4[[#This Row],[Predicted Winner]]=NHL2025_26Results[[#This Row],[Winning Team]],"YES","NO"))</f>
        <v>NO</v>
      </c>
      <c r="N310">
        <f>IF(Table4[[#This Row],[Adjusted Correct]]="-", "",IF(Table4[[#This Row],[Adjusted Correct]]="YES",(Table4[[#This Row],[Strength of Win]]-1)^2,(Table4[[#This Row],[Strength of Win]]-0)^2))</f>
        <v>0.21963132045066983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-0.51080431935976611</v>
      </c>
      <c r="H311" t="s">
        <v>55</v>
      </c>
      <c r="I311">
        <f>VLOOKUP(Table4[[#This Row],[Visitor]],'NHL Model'!$A$6:$B$38,2,FALSE)</f>
        <v>-5.8660643157088771E-2</v>
      </c>
      <c r="J311">
        <f>($B$1+Table4[[#This Row],[Home Differential]])-Table4[[#This Row],[Away Differential]]</f>
        <v>-0.42530919746186091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0.5099509605063367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0.2600499821213354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0.58787033474453221</v>
      </c>
      <c r="H312" t="s">
        <v>24</v>
      </c>
      <c r="I312">
        <f>VLOOKUP(Table4[[#This Row],[Visitor]],'NHL Model'!$A$6:$B$38,2,FALSE)</f>
        <v>1.2368486032251671E-3</v>
      </c>
      <c r="J312">
        <f>($B$1+Table4[[#This Row],[Home Differential]])-Table4[[#This Row],[Away Differential]]</f>
        <v>0.61346796488212352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0.62377363572840483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0.14154627717302301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-0.38335501658895638</v>
      </c>
      <c r="H313" t="s">
        <v>35</v>
      </c>
      <c r="I313">
        <f>VLOOKUP(Table4[[#This Row],[Visitor]],'NHL Model'!$A$6:$B$38,2,FALSE)</f>
        <v>-1.2546198289988155</v>
      </c>
      <c r="J313">
        <f>($B$1+Table4[[#This Row],[Home Differential]])-Table4[[#This Row],[Away Differential]]</f>
        <v>0.89809929115067566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0.64547837312420042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0.12568558392266366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-0.12684993818444543</v>
      </c>
      <c r="H314" t="s">
        <v>15</v>
      </c>
      <c r="I314">
        <f>VLOOKUP(Table4[[#This Row],[Visitor]],'NHL Model'!$A$6:$B$38,2,FALSE)</f>
        <v>-0.10354486814940167</v>
      </c>
      <c r="J314">
        <f>($B$1+Table4[[#This Row],[Home Differential]])-Table4[[#This Row],[Away Differential]]</f>
        <v>3.5294087057727297E-3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0.44033304934055717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0.31322709566043921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-0.25388173436787664</v>
      </c>
      <c r="H315" t="s">
        <v>28</v>
      </c>
      <c r="I315">
        <f>VLOOKUP(Table4[[#This Row],[Visitor]],'NHL Model'!$A$6:$B$38,2,FALSE)</f>
        <v>-0.45544062464079677</v>
      </c>
      <c r="J315">
        <f>($B$1+Table4[[#This Row],[Home Differential]])-Table4[[#This Row],[Away Differential]]</f>
        <v>0.22839336901373661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0.56574609512749963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0.18857645389701461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6.0998961494444972E-3</v>
      </c>
      <c r="H316" t="s">
        <v>21</v>
      </c>
      <c r="I316">
        <f>VLOOKUP(Table4[[#This Row],[Visitor]],'NHL Model'!$A$6:$B$38,2,FALSE)</f>
        <v>-0.15717729503670502</v>
      </c>
      <c r="J316">
        <f>($B$1+Table4[[#This Row],[Home Differential]])-Table4[[#This Row],[Away Differential]]</f>
        <v>0.19011166992696601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0.62312896641273063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0.1420317759571367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-0.43955182119289299</v>
      </c>
      <c r="H317" t="s">
        <v>16</v>
      </c>
      <c r="I317">
        <f>VLOOKUP(Table4[[#This Row],[Visitor]],'NHL Model'!$A$6:$B$38,2,FALSE)</f>
        <v>-1.0975205179116387</v>
      </c>
      <c r="J317">
        <f>($B$1+Table4[[#This Row],[Home Differential]])-Table4[[#This Row],[Away Differential]]</f>
        <v>0.68480317545956226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0.63054979851332138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0.39759304840519016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6.3765445873038576E-2</v>
      </c>
      <c r="H318" t="s">
        <v>25</v>
      </c>
      <c r="I318">
        <f>VLOOKUP(Table4[[#This Row],[Visitor]],'NHL Model'!$A$6:$B$38,2,FALSE)</f>
        <v>0.52315764934699704</v>
      </c>
      <c r="J318">
        <f>($B$1+Table4[[#This Row],[Home Differential]])-Table4[[#This Row],[Away Differential]]</f>
        <v>-0.43255772473314197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0.58342544179276234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0.3403852461310799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0.78208997208538333</v>
      </c>
      <c r="H319" t="s">
        <v>17</v>
      </c>
      <c r="I319">
        <f>VLOOKUP(Table4[[#This Row],[Visitor]],'NHL Model'!$A$6:$B$38,2,FALSE)</f>
        <v>-0.70231133461274453</v>
      </c>
      <c r="J319">
        <f>($B$1+Table4[[#This Row],[Home Differential]])-Table4[[#This Row],[Away Differential]]</f>
        <v>1.5112357854389442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0.7435266768000518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6.5778565513225085E-2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6.0998961494444972E-3</v>
      </c>
      <c r="H320" t="s">
        <v>36</v>
      </c>
      <c r="I320">
        <f>VLOOKUP(Table4[[#This Row],[Visitor]],'NHL Model'!$A$6:$B$38,2,FALSE)</f>
        <v>-0.31206928170612303</v>
      </c>
      <c r="J320">
        <f>($B$1+Table4[[#This Row],[Home Differential]])-Table4[[#This Row],[Away Differential]]</f>
        <v>0.34500365659638399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0.63786451047615478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0.40687113372498457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-0.1280954603767317</v>
      </c>
      <c r="H321" t="s">
        <v>32</v>
      </c>
      <c r="I321">
        <f>VLOOKUP(Table4[[#This Row],[Visitor]],'NHL Model'!$A$6:$B$38,2,FALSE)</f>
        <v>-0.53356664249341723</v>
      </c>
      <c r="J321">
        <f>($B$1+Table4[[#This Row],[Home Differential]])-Table4[[#This Row],[Away Differential]]</f>
        <v>0.43230566085750199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0.59077266873377532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0.34901234612282706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1.7050699520681891</v>
      </c>
      <c r="H322" t="s">
        <v>15</v>
      </c>
      <c r="I322">
        <f>VLOOKUP(Table4[[#This Row],[Visitor]],'NHL Model'!$A$6:$B$38,2,FALSE)</f>
        <v>-0.10354486814940167</v>
      </c>
      <c r="J322">
        <f>($B$1+Table4[[#This Row],[Home Differential]])-Table4[[#This Row],[Away Differential]]</f>
        <v>1.8354492989584075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0.76729073275379578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5.4153603062265299E-2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-0.72022444935789065</v>
      </c>
      <c r="H323" t="s">
        <v>30</v>
      </c>
      <c r="I323">
        <f>VLOOKUP(Table4[[#This Row],[Visitor]],'NHL Model'!$A$6:$B$38,2,FALSE)</f>
        <v>-2.8228251376645769E-2</v>
      </c>
      <c r="J323">
        <f>($B$1+Table4[[#This Row],[Home Differential]])-Table4[[#This Row],[Away Differential]]</f>
        <v>-0.66516171924042844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0.60056971379271218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0.15954455353963587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-0.42252386696344346</v>
      </c>
      <c r="H324" t="s">
        <v>24</v>
      </c>
      <c r="I324">
        <f>VLOOKUP(Table4[[#This Row],[Visitor]],'NHL Model'!$A$6:$B$38,2,FALSE)</f>
        <v>1.2368486032251671E-3</v>
      </c>
      <c r="J324">
        <f>($B$1+Table4[[#This Row],[Home Differential]])-Table4[[#This Row],[Away Differential]]</f>
        <v>-0.39692623682585215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0.52738671964071215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0.27813675205339111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-0.50446035262371991</v>
      </c>
      <c r="H325" t="s">
        <v>22</v>
      </c>
      <c r="I325">
        <f>VLOOKUP(Table4[[#This Row],[Visitor]],'NHL Model'!$A$6:$B$38,2,FALSE)</f>
        <v>0.78208997208538333</v>
      </c>
      <c r="J325">
        <f>($B$1+Table4[[#This Row],[Home Differential]])-Table4[[#This Row],[Away Differential]]</f>
        <v>-1.2597158459682869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0.68057204217874967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0.10203422023785448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-0.15216510880280634</v>
      </c>
      <c r="H326" t="s">
        <v>35</v>
      </c>
      <c r="I326">
        <f>VLOOKUP(Table4[[#This Row],[Visitor]],'NHL Model'!$A$6:$B$38,2,FALSE)</f>
        <v>-1.2546198289988155</v>
      </c>
      <c r="J326">
        <f>($B$1+Table4[[#This Row],[Home Differential]])-Table4[[#This Row],[Away Differential]]</f>
        <v>1.1292891989368257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0.69866849133932407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9.0800678111719019E-2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-0.51080431935976611</v>
      </c>
      <c r="H327" t="s">
        <v>13</v>
      </c>
      <c r="I327">
        <f>VLOOKUP(Table4[[#This Row],[Visitor]],'NHL Model'!$A$6:$B$38,2,FALSE)</f>
        <v>-0.27930615658534785</v>
      </c>
      <c r="J327">
        <f>($B$1+Table4[[#This Row],[Home Differential]])-Table4[[#This Row],[Away Differential]]</f>
        <v>-0.2046636840336018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0.55035276694619828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0.30288816808533642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0.58787033474453221</v>
      </c>
      <c r="H328" t="s">
        <v>17</v>
      </c>
      <c r="I328">
        <f>VLOOKUP(Table4[[#This Row],[Visitor]],'NHL Model'!$A$6:$B$38,2,FALSE)</f>
        <v>-0.70231133461274453</v>
      </c>
      <c r="J328">
        <f>($B$1+Table4[[#This Row],[Home Differential]])-Table4[[#This Row],[Away Differential]]</f>
        <v>1.3170161480980931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0.72692464316437477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7.4570150510904043E-2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-0.38335501658895638</v>
      </c>
      <c r="H329" t="s">
        <v>28</v>
      </c>
      <c r="I329">
        <f>VLOOKUP(Table4[[#This Row],[Visitor]],'NHL Model'!$A$6:$B$38,2,FALSE)</f>
        <v>-0.45544062464079677</v>
      </c>
      <c r="J329">
        <f>($B$1+Table4[[#This Row],[Home Differential]])-Table4[[#This Row],[Away Differential]]</f>
        <v>9.8920086792656903E-2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0.54804163201768907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0.3003496304246121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-5.8660643157088771E-2</v>
      </c>
      <c r="H330" t="s">
        <v>20</v>
      </c>
      <c r="I330">
        <f>VLOOKUP(Table4[[#This Row],[Visitor]],'NHL Model'!$A$6:$B$38,2,FALSE)</f>
        <v>-0.12684993818444543</v>
      </c>
      <c r="J330">
        <f>($B$1+Table4[[#This Row],[Home Differential]])-Table4[[#This Row],[Away Differential]]</f>
        <v>9.5023773768173142E-2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0.59159136114065525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0.34998033857625316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-0.83165982757888468</v>
      </c>
      <c r="H331" t="s">
        <v>39</v>
      </c>
      <c r="I331">
        <f>VLOOKUP(Table4[[#This Row],[Visitor]],'NHL Model'!$A$6:$B$38,2,FALSE)</f>
        <v>0.57663845568176975</v>
      </c>
      <c r="J331">
        <f>($B$1+Table4[[#This Row],[Home Differential]])-Table4[[#This Row],[Away Differential]]</f>
        <v>-1.381463804519838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0.71473389928044639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8.1376748219738504E-2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-0.43955182119289299</v>
      </c>
      <c r="H332" t="s">
        <v>10</v>
      </c>
      <c r="I332">
        <f>VLOOKUP(Table4[[#This Row],[Visitor]],'NHL Model'!$A$6:$B$38,2,FALSE)</f>
        <v>-0.1280954603767317</v>
      </c>
      <c r="J332">
        <f>($B$1+Table4[[#This Row],[Home Differential]])-Table4[[#This Row],[Away Differential]]</f>
        <v>-0.28462188207534478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0.4833055167532187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0.23358422252409577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-0.27930615658534785</v>
      </c>
      <c r="H333" t="s">
        <v>21</v>
      </c>
      <c r="I333">
        <f>VLOOKUP(Table4[[#This Row],[Visitor]],'NHL Model'!$A$6:$B$38,2,FALSE)</f>
        <v>-0.15717729503670502</v>
      </c>
      <c r="J333">
        <f>($B$1+Table4[[#This Row],[Home Differential]])-Table4[[#This Row],[Away Differential]]</f>
        <v>-9.5294382807826372E-2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0.47119196570522398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0.27963793713470508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-1.1494940880477545E-2</v>
      </c>
      <c r="H334" t="s">
        <v>34</v>
      </c>
      <c r="I334">
        <f>VLOOKUP(Table4[[#This Row],[Visitor]],'NHL Model'!$A$6:$B$38,2,FALSE)</f>
        <v>6.3765445873038576E-2</v>
      </c>
      <c r="J334">
        <f>($B$1+Table4[[#This Row],[Home Differential]])-Table4[[#This Row],[Away Differential]]</f>
        <v>-4.8425908012699637E-2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0.52497527400802879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0.22564849030374734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-0.25388173436787664</v>
      </c>
      <c r="H335" t="s">
        <v>25</v>
      </c>
      <c r="I335">
        <f>VLOOKUP(Table4[[#This Row],[Visitor]],'NHL Model'!$A$6:$B$38,2,FALSE)</f>
        <v>0.52315764934699704</v>
      </c>
      <c r="J335">
        <f>($B$1+Table4[[#This Row],[Home Differential]])-Table4[[#This Row],[Away Differential]]</f>
        <v>-0.75020490497405723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0.61822921741627179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0.14574893043459228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6.0998961494444972E-3</v>
      </c>
      <c r="H336" t="s">
        <v>20</v>
      </c>
      <c r="I336">
        <f>VLOOKUP(Table4[[#This Row],[Visitor]],'NHL Model'!$A$6:$B$38,2,FALSE)</f>
        <v>-0.12684993818444543</v>
      </c>
      <c r="J336">
        <f>($B$1+Table4[[#This Row],[Home Differential]])-Table4[[#This Row],[Away Differential]]</f>
        <v>0.15978431307470642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0.61956713277868458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0.144729166462231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-1.0975205179116387</v>
      </c>
      <c r="H337" t="s">
        <v>39</v>
      </c>
      <c r="I337">
        <f>VLOOKUP(Table4[[#This Row],[Visitor]],'NHL Model'!$A$6:$B$38,2,FALSE)</f>
        <v>0.57663845568176975</v>
      </c>
      <c r="J337">
        <f>($B$1+Table4[[#This Row],[Home Differential]])-Table4[[#This Row],[Away Differential]]</f>
        <v>-1.647324494852592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0.74595823424016627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0.55645368723070676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-0.72022444935789065</v>
      </c>
      <c r="H338" t="s">
        <v>28</v>
      </c>
      <c r="I338">
        <f>VLOOKUP(Table4[[#This Row],[Visitor]],'NHL Model'!$A$6:$B$38,2,FALSE)</f>
        <v>-0.45544062464079677</v>
      </c>
      <c r="J338">
        <f>($B$1+Table4[[#This Row],[Home Differential]])-Table4[[#This Row],[Away Differential]]</f>
        <v>-0.23794934597627743</v>
      </c>
      <c r="K338" t="str">
        <f>IF(Table4[[#This Row],[HomeIce Differential]]&gt;0,Table4[[#This Row],[Home]],Table4[[#This Row],[Visitor]])</f>
        <v>Columbus Blue Jackets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0.48138754842399734</v>
      </c>
      <c r="M338" t="str">
        <f>IF(OR((NHL2025_26Results[[#This Row],[Winning Team]]="")),"-",IF(Table4[[#This Row],[Predicted Winner]]=NHL2025_26Results[[#This Row],[Winning Team]],"YES","NO"))</f>
        <v>NO</v>
      </c>
      <c r="N338">
        <f>IF(Table4[[#This Row],[Adjusted Correct]]="-", "",IF(Table4[[#This Row],[Adjusted Correct]]="YES",(Table4[[#This Row],[Strength of Win]]-1)^2,(Table4[[#This Row],[Strength of Win]]-0)^2))</f>
        <v>0.23173397177766639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-0.42252386696344346</v>
      </c>
      <c r="H339" t="s">
        <v>17</v>
      </c>
      <c r="I339">
        <f>VLOOKUP(Table4[[#This Row],[Visitor]],'NHL Model'!$A$6:$B$38,2,FALSE)</f>
        <v>-0.70231133461274453</v>
      </c>
      <c r="J339">
        <f>($B$1+Table4[[#This Row],[Home Differential]])-Table4[[#This Row],[Away Differential]]</f>
        <v>0.30662194639011753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0.57601159068722541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0.33178935260602771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-0.50446035262371991</v>
      </c>
      <c r="H340" t="s">
        <v>19</v>
      </c>
      <c r="I340">
        <f>VLOOKUP(Table4[[#This Row],[Visitor]],'NHL Model'!$A$6:$B$38,2,FALSE)</f>
        <v>-0.38335501658895638</v>
      </c>
      <c r="J340">
        <f>($B$1+Table4[[#This Row],[Home Differential]])-Table4[[#This Row],[Away Differential]]</f>
        <v>-9.4270857293947075E-2</v>
      </c>
      <c r="K340" t="str">
        <f>IF(Table4[[#This Row],[HomeIce Differential]]&gt;0,Table4[[#This Row],[Home]],Table4[[#This Row],[Visitor]])</f>
        <v>Toronto Maple Leafs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0.47107175649548638</v>
      </c>
      <c r="M340" t="str">
        <f>IF(OR((NHL2025_26Results[[#This Row],[Winning Team]]="")),"-",IF(Table4[[#This Row],[Predicted Winner]]=NHL2025_26Results[[#This Row],[Winning Team]],"YES","NO"))</f>
        <v>NO</v>
      </c>
      <c r="N340">
        <f>IF(Table4[[#This Row],[Adjusted Correct]]="-", "",IF(Table4[[#This Row],[Adjusted Correct]]="YES",(Table4[[#This Row],[Strength of Win]]-1)^2,(Table4[[#This Row],[Strength of Win]]-0)^2))</f>
        <v>0.22190859976774283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-1.1040951755058253</v>
      </c>
      <c r="H341" t="s">
        <v>12</v>
      </c>
      <c r="I341">
        <f>VLOOKUP(Table4[[#This Row],[Visitor]],'NHL Model'!$A$6:$B$38,2,FALSE)</f>
        <v>1.7050699520681891</v>
      </c>
      <c r="J341">
        <f>($B$1+Table4[[#This Row],[Home Differential]])-Table4[[#This Row],[Away Differential]]</f>
        <v>-2.7823306488331978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0.8593974057922158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1.9769089497958831E-2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-2.8228251376645769E-2</v>
      </c>
      <c r="H342" t="s">
        <v>35</v>
      </c>
      <c r="I342">
        <f>VLOOKUP(Table4[[#This Row],[Visitor]],'NHL Model'!$A$6:$B$38,2,FALSE)</f>
        <v>-1.2546198289988155</v>
      </c>
      <c r="J342">
        <f>($B$1+Table4[[#This Row],[Home Differential]])-Table4[[#This Row],[Away Differential]]</f>
        <v>1.2532260563629862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0.68718667176839787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0.47222552185612782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-0.15216510880280634</v>
      </c>
      <c r="H343" t="s">
        <v>24</v>
      </c>
      <c r="I343">
        <f>VLOOKUP(Table4[[#This Row],[Visitor]],'NHL Model'!$A$6:$B$38,2,FALSE)</f>
        <v>1.2368486032251671E-3</v>
      </c>
      <c r="J343">
        <f>($B$1+Table4[[#This Row],[Home Differential]])-Table4[[#This Row],[Away Differential]]</f>
        <v>-0.12656747866521503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0.46941032736250593</v>
      </c>
      <c r="M343" t="str">
        <f>IF(OR((NHL2025_26Results[[#This Row],[Winning Team]]="")),"-",IF(Table4[[#This Row],[Predicted Winner]]=NHL2025_26Results[[#This Row],[Winning Team]],"YES","NO"))</f>
        <v>NO</v>
      </c>
      <c r="N343">
        <f>IF(Table4[[#This Row],[Adjusted Correct]]="-", "",IF(Table4[[#This Row],[Adjusted Correct]]="YES",(Table4[[#This Row],[Strength of Win]]-1)^2,(Table4[[#This Row],[Strength of Win]]-0)^2))</f>
        <v>0.22034605543457497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-1.1494940880477545E-2</v>
      </c>
      <c r="H344" t="s">
        <v>32</v>
      </c>
      <c r="I344">
        <f>VLOOKUP(Table4[[#This Row],[Visitor]],'NHL Model'!$A$6:$B$38,2,FALSE)</f>
        <v>-0.53356664249341723</v>
      </c>
      <c r="J344">
        <f>($B$1+Table4[[#This Row],[Home Differential]])-Table4[[#This Row],[Away Differential]]</f>
        <v>0.54890618035375616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0.6044669598027993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0.36538030549323897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-0.51080431935976611</v>
      </c>
      <c r="H345" t="s">
        <v>36</v>
      </c>
      <c r="I345">
        <f>VLOOKUP(Table4[[#This Row],[Visitor]],'NHL Model'!$A$6:$B$38,2,FALSE)</f>
        <v>-0.31206928170612303</v>
      </c>
      <c r="J345">
        <f>($B$1+Table4[[#This Row],[Home Differential]])-Table4[[#This Row],[Away Differential]]</f>
        <v>-0.17190055891282663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0.48376523098613361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0.26649833673880002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-5.8660643157088771E-2</v>
      </c>
      <c r="H346" t="s">
        <v>15</v>
      </c>
      <c r="I346">
        <f>VLOOKUP(Table4[[#This Row],[Visitor]],'NHL Model'!$A$6:$B$38,2,FALSE)</f>
        <v>-0.10354486814940167</v>
      </c>
      <c r="J346">
        <f>($B$1+Table4[[#This Row],[Home Differential]])-Table4[[#This Row],[Away Differential]]</f>
        <v>7.1718703733129385E-2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0.48910978643034453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0.26100881032124817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0.78208997208538333</v>
      </c>
      <c r="H347" t="s">
        <v>37</v>
      </c>
      <c r="I347">
        <f>VLOOKUP(Table4[[#This Row],[Visitor]],'NHL Model'!$A$6:$B$38,2,FALSE)</f>
        <v>0.58787033474453221</v>
      </c>
      <c r="J347">
        <f>($B$1+Table4[[#This Row],[Home Differential]])-Table4[[#This Row],[Away Differential]]</f>
        <v>0.22105411608166758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0.51963285794971459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0.27001830706098828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-0.43955182119289299</v>
      </c>
      <c r="H348" t="s">
        <v>25</v>
      </c>
      <c r="I348">
        <f>VLOOKUP(Table4[[#This Row],[Visitor]],'NHL Model'!$A$6:$B$38,2,FALSE)</f>
        <v>0.52315764934699704</v>
      </c>
      <c r="J348">
        <f>($B$1+Table4[[#This Row],[Home Differential]])-Table4[[#This Row],[Away Differential]]</f>
        <v>-0.93587499179907352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0.63236396622556867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0.39988418578053214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-0.1280954603767317</v>
      </c>
      <c r="H349" t="s">
        <v>12</v>
      </c>
      <c r="I349">
        <f>VLOOKUP(Table4[[#This Row],[Visitor]],'NHL Model'!$A$6:$B$38,2,FALSE)</f>
        <v>1.7050699520681891</v>
      </c>
      <c r="J349">
        <f>($B$1+Table4[[#This Row],[Home Differential]])-Table4[[#This Row],[Away Differential]]</f>
        <v>-1.8063309337041042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0.7447699217981012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6.5142392818947376E-2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-2.8228251376645769E-2</v>
      </c>
      <c r="H350" t="s">
        <v>32</v>
      </c>
      <c r="I350">
        <f>VLOOKUP(Table4[[#This Row],[Visitor]],'NHL Model'!$A$6:$B$38,2,FALSE)</f>
        <v>-0.53356664249341723</v>
      </c>
      <c r="J350">
        <f>($B$1+Table4[[#This Row],[Home Differential]])-Table4[[#This Row],[Away Differential]]</f>
        <v>0.53217286985758794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0.60250169562153422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0.15800490198375544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-0.51080431935976611</v>
      </c>
      <c r="H351" t="s">
        <v>21</v>
      </c>
      <c r="I351">
        <f>VLOOKUP(Table4[[#This Row],[Visitor]],'NHL Model'!$A$6:$B$38,2,FALSE)</f>
        <v>-0.15717729503670502</v>
      </c>
      <c r="J351">
        <f>($B$1+Table4[[#This Row],[Home Differential]])-Table4[[#This Row],[Away Differential]]</f>
        <v>-0.32679254558224463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0.49838055145658527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0.24838317407017005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-0.83165982757888468</v>
      </c>
      <c r="H352" t="s">
        <v>16</v>
      </c>
      <c r="I352">
        <f>VLOOKUP(Table4[[#This Row],[Visitor]],'NHL Model'!$A$6:$B$38,2,FALSE)</f>
        <v>-1.0975205179116387</v>
      </c>
      <c r="J352">
        <f>($B$1+Table4[[#This Row],[Home Differential]])-Table4[[#This Row],[Away Differential]]</f>
        <v>0.29269516907357052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0.57437594323856711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0.32990772417119368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-0.25388173436787664</v>
      </c>
      <c r="H353" t="s">
        <v>34</v>
      </c>
      <c r="I353">
        <f>VLOOKUP(Table4[[#This Row],[Visitor]],'NHL Model'!$A$6:$B$38,2,FALSE)</f>
        <v>6.3765445873038576E-2</v>
      </c>
      <c r="J353">
        <f>($B$1+Table4[[#This Row],[Home Differential]])-Table4[[#This Row],[Away Differential]]</f>
        <v>-0.29081270150009875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0.55093337801474052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0.20166083098125193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-0.27930615658534785</v>
      </c>
      <c r="H354" t="s">
        <v>36</v>
      </c>
      <c r="I354">
        <f>VLOOKUP(Table4[[#This Row],[Visitor]],'NHL Model'!$A$6:$B$38,2,FALSE)</f>
        <v>-0.31206928170612303</v>
      </c>
      <c r="J354">
        <f>($B$1+Table4[[#This Row],[Home Differential]])-Table4[[#This Row],[Away Differential]]</f>
        <v>5.959760386159163E-2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0.54342335476522763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0.2084622329738392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1.2368486032251671E-3</v>
      </c>
      <c r="H355" t="s">
        <v>26</v>
      </c>
      <c r="I355">
        <f>VLOOKUP(Table4[[#This Row],[Visitor]],'NHL Model'!$A$6:$B$38,2,FALSE)</f>
        <v>-0.72022444935789065</v>
      </c>
      <c r="J355">
        <f>($B$1+Table4[[#This Row],[Home Differential]])-Table4[[#This Row],[Away Differential]]</f>
        <v>0.74829577670193226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0.68868558366712573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9.6916665816678169E-2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-1.1040951755058253</v>
      </c>
      <c r="H356" t="s">
        <v>11</v>
      </c>
      <c r="I356">
        <f>VLOOKUP(Table4[[#This Row],[Visitor]],'NHL Model'!$A$6:$B$38,2,FALSE)</f>
        <v>-0.42252386696344346</v>
      </c>
      <c r="J356">
        <f>($B$1+Table4[[#This Row],[Home Differential]])-Table4[[#This Row],[Away Differential]]</f>
        <v>-0.65473682980156522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0.53689637027046622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0.21446497186866911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-0.10354486814940167</v>
      </c>
      <c r="H357" t="s">
        <v>35</v>
      </c>
      <c r="I357">
        <f>VLOOKUP(Table4[[#This Row],[Visitor]],'NHL Model'!$A$6:$B$38,2,FALSE)</f>
        <v>-1.2546198289988155</v>
      </c>
      <c r="J357">
        <f>($B$1+Table4[[#This Row],[Home Differential]])-Table4[[#This Row],[Away Differential]]</f>
        <v>1.1779094395902303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0.67834101930581692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0.10346449986122085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0.58787033474453221</v>
      </c>
      <c r="H358" t="s">
        <v>27</v>
      </c>
      <c r="I358">
        <f>VLOOKUP(Table4[[#This Row],[Visitor]],'NHL Model'!$A$6:$B$38,2,FALSE)</f>
        <v>-0.15216510880280634</v>
      </c>
      <c r="J358">
        <f>($B$1+Table4[[#This Row],[Home Differential]])-Table4[[#This Row],[Away Differential]]</f>
        <v>0.76686992228815498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0.62018646082097983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0.14425832454369308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-5.8660643157088771E-2</v>
      </c>
      <c r="H359" t="s">
        <v>20</v>
      </c>
      <c r="I359">
        <f>VLOOKUP(Table4[[#This Row],[Visitor]],'NHL Model'!$A$6:$B$38,2,FALSE)</f>
        <v>-0.12684993818444543</v>
      </c>
      <c r="J359">
        <f>($B$1+Table4[[#This Row],[Home Differential]])-Table4[[#This Row],[Away Differential]]</f>
        <v>9.5023773768173142E-2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0.59159136114065525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0.16679761629494269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0.78208997208538333</v>
      </c>
      <c r="H360" t="s">
        <v>28</v>
      </c>
      <c r="I360">
        <f>VLOOKUP(Table4[[#This Row],[Visitor]],'NHL Model'!$A$6:$B$38,2,FALSE)</f>
        <v>-0.45544062464079677</v>
      </c>
      <c r="J360">
        <f>($B$1+Table4[[#This Row],[Home Differential]])-Table4[[#This Row],[Away Differential]]</f>
        <v>1.2643650754669966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0.71099490753349348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8.3523943471573978E-2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-0.70231133461274453</v>
      </c>
      <c r="H361" t="s">
        <v>39</v>
      </c>
      <c r="I361">
        <f>VLOOKUP(Table4[[#This Row],[Visitor]],'NHL Model'!$A$6:$B$38,2,FALSE)</f>
        <v>0.57663845568176975</v>
      </c>
      <c r="J361">
        <f>($B$1+Table4[[#This Row],[Home Differential]])-Table4[[#This Row],[Away Differential]]</f>
        <v>-1.2521153115536978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0.69954240682680568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9.0274765295428744E-2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6.0998961494444972E-3</v>
      </c>
      <c r="H362" t="s">
        <v>38</v>
      </c>
      <c r="I362">
        <f>VLOOKUP(Table4[[#This Row],[Visitor]],'NHL Model'!$A$6:$B$38,2,FALSE)</f>
        <v>-0.83165982757888468</v>
      </c>
      <c r="J362">
        <f>($B$1+Table4[[#This Row],[Home Differential]])-Table4[[#This Row],[Away Differential]]</f>
        <v>0.86459420246914565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0.70234439496750478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0.49328764914227036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0.52315764934699704</v>
      </c>
      <c r="H363" t="s">
        <v>15</v>
      </c>
      <c r="I363">
        <f>VLOOKUP(Table4[[#This Row],[Visitor]],'NHL Model'!$A$6:$B$38,2,FALSE)</f>
        <v>-0.10354486814940167</v>
      </c>
      <c r="J363">
        <f>($B$1+Table4[[#This Row],[Home Differential]])-Table4[[#This Row],[Away Differential]]</f>
        <v>0.65353699623721517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0.56906314665312163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0.32383286487875224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-0.45544062464079677</v>
      </c>
      <c r="H364" t="s">
        <v>19</v>
      </c>
      <c r="I364">
        <f>VLOOKUP(Table4[[#This Row],[Visitor]],'NHL Model'!$A$6:$B$38,2,FALSE)</f>
        <v>-0.38335501658895638</v>
      </c>
      <c r="J364">
        <f>($B$1+Table4[[#This Row],[Home Differential]])-Table4[[#This Row],[Away Differential]]</f>
        <v>-4.5251129311023874E-2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0.46531457440039203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0.28588850434863389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-0.1280954603767317</v>
      </c>
      <c r="H365" t="s">
        <v>34</v>
      </c>
      <c r="I365">
        <f>VLOOKUP(Table4[[#This Row],[Visitor]],'NHL Model'!$A$6:$B$38,2,FALSE)</f>
        <v>6.3765445873038576E-2</v>
      </c>
      <c r="J365">
        <f>($B$1+Table4[[#This Row],[Home Differential]])-Table4[[#This Row],[Away Differential]]</f>
        <v>-0.1650264275089538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0.53866956507705277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0.21282577018619564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1.7050699520681891</v>
      </c>
      <c r="H366" t="s">
        <v>33</v>
      </c>
      <c r="I366">
        <f>VLOOKUP(Table4[[#This Row],[Visitor]],'NHL Model'!$A$6:$B$38,2,FALSE)</f>
        <v>-0.51080431935976611</v>
      </c>
      <c r="J366">
        <f>($B$1+Table4[[#This Row],[Home Differential]])-Table4[[#This Row],[Away Differential]]</f>
        <v>2.2427087501687719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0.91121864657758511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7.8821287155157391E-3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-0.72022444935789065</v>
      </c>
      <c r="H367" t="s">
        <v>29</v>
      </c>
      <c r="I367">
        <f>VLOOKUP(Table4[[#This Row],[Visitor]],'NHL Model'!$A$6:$B$38,2,FALSE)</f>
        <v>-1.1040951755058253</v>
      </c>
      <c r="J367">
        <f>($B$1+Table4[[#This Row],[Home Differential]])-Table4[[#This Row],[Away Differential]]</f>
        <v>0.41070520488875106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0.59835802606975141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0.35803232736208929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-0.42252386696344346</v>
      </c>
      <c r="H368" t="s">
        <v>27</v>
      </c>
      <c r="I368">
        <f>VLOOKUP(Table4[[#This Row],[Visitor]],'NHL Model'!$A$6:$B$38,2,FALSE)</f>
        <v>-0.15216510880280634</v>
      </c>
      <c r="J368">
        <f>($B$1+Table4[[#This Row],[Home Differential]])-Table4[[#This Row],[Away Differential]]</f>
        <v>-0.24352427941982066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0.53111357058965314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0.21985448368518418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1.2368486032251671E-3</v>
      </c>
      <c r="H369" t="s">
        <v>35</v>
      </c>
      <c r="I369">
        <f>VLOOKUP(Table4[[#This Row],[Visitor]],'NHL Model'!$A$6:$B$38,2,FALSE)</f>
        <v>-1.2546198289988155</v>
      </c>
      <c r="J369">
        <f>($B$1+Table4[[#This Row],[Home Differential]])-Table4[[#This Row],[Away Differential]]</f>
        <v>1.2826911563428571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0.75144830467695378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6.1777945247960396E-2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-2.8228251376645769E-2</v>
      </c>
      <c r="H370" t="s">
        <v>21</v>
      </c>
      <c r="I370">
        <f>VLOOKUP(Table4[[#This Row],[Visitor]],'NHL Model'!$A$6:$B$38,2,FALSE)</f>
        <v>-0.15717729503670502</v>
      </c>
      <c r="J370">
        <f>($B$1+Table4[[#This Row],[Home Differential]])-Table4[[#This Row],[Away Differential]]</f>
        <v>0.15578352240087573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0.55829618691865224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0.31169463232790667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-1.1494940880477545E-2</v>
      </c>
      <c r="H371" t="s">
        <v>23</v>
      </c>
      <c r="I371">
        <f>VLOOKUP(Table4[[#This Row],[Visitor]],'NHL Model'!$A$6:$B$38,2,FALSE)</f>
        <v>-0.43955182119289299</v>
      </c>
      <c r="J371">
        <f>($B$1+Table4[[#This Row],[Home Differential]])-Table4[[#This Row],[Away Differential]]</f>
        <v>0.45489135905323191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0.59342527376869014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0.16530300801006456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-0.53356664249341723</v>
      </c>
      <c r="H372" t="s">
        <v>39</v>
      </c>
      <c r="I372">
        <f>VLOOKUP(Table4[[#This Row],[Visitor]],'NHL Model'!$A$6:$B$38,2,FALSE)</f>
        <v>0.57663845568176975</v>
      </c>
      <c r="J372">
        <f>($B$1+Table4[[#This Row],[Home Differential]])-Table4[[#This Row],[Away Differential]]</f>
        <v>-1.0833706194343704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0.67972397942855434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0.10257672935308108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0.58787033474453221</v>
      </c>
      <c r="H373" t="s">
        <v>16</v>
      </c>
      <c r="I373">
        <f>VLOOKUP(Table4[[#This Row],[Visitor]],'NHL Model'!$A$6:$B$38,2,FALSE)</f>
        <v>-1.0975205179116387</v>
      </c>
      <c r="J373">
        <f>($B$1+Table4[[#This Row],[Home Differential]])-Table4[[#This Row],[Away Differential]]</f>
        <v>1.7122253313969873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0.77334047057773536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5.1374542277922451E-2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-5.8660643157088771E-2</v>
      </c>
      <c r="H374" t="s">
        <v>18</v>
      </c>
      <c r="I374">
        <f>VLOOKUP(Table4[[#This Row],[Visitor]],'NHL Model'!$A$6:$B$38,2,FALSE)</f>
        <v>-0.50446035262371991</v>
      </c>
      <c r="J374">
        <f>($B$1+Table4[[#This Row],[Home Differential]])-Table4[[#This Row],[Away Differential]]</f>
        <v>0.47263418820744763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0.57724823254210722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0.33321552197298671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-0.12684993818444543</v>
      </c>
      <c r="H375" t="s">
        <v>36</v>
      </c>
      <c r="I375">
        <f>VLOOKUP(Table4[[#This Row],[Visitor]],'NHL Model'!$A$6:$B$38,2,FALSE)</f>
        <v>-0.31206928170612303</v>
      </c>
      <c r="J375">
        <f>($B$1+Table4[[#This Row],[Home Differential]])-Table4[[#This Row],[Away Differential]]</f>
        <v>0.21205382226249408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0.56132876238334484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0.31508997947881762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0.78208997208538333</v>
      </c>
      <c r="H376" t="s">
        <v>40</v>
      </c>
      <c r="I376">
        <f>VLOOKUP(Table4[[#This Row],[Visitor]],'NHL Model'!$A$6:$B$38,2,FALSE)</f>
        <v>-0.25388173436787664</v>
      </c>
      <c r="J376">
        <f>($B$1+Table4[[#This Row],[Home Differential]])-Table4[[#This Row],[Away Differential]]</f>
        <v>1.0628061851940764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0.68732257637346361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9.7767171245728493E-2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6.0998961494444972E-3</v>
      </c>
      <c r="H377" t="s">
        <v>13</v>
      </c>
      <c r="I377">
        <f>VLOOKUP(Table4[[#This Row],[Visitor]],'NHL Model'!$A$6:$B$38,2,FALSE)</f>
        <v>-0.27930615658534785</v>
      </c>
      <c r="J377">
        <f>($B$1+Table4[[#This Row],[Home Differential]])-Table4[[#This Row],[Away Differential]]</f>
        <v>0.31224053147560882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0.5723857580202999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0.18285393994387353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-0.15717729503670502</v>
      </c>
      <c r="H378" t="s">
        <v>15</v>
      </c>
      <c r="I378">
        <f>VLOOKUP(Table4[[#This Row],[Visitor]],'NHL Model'!$A$6:$B$38,2,FALSE)</f>
        <v>-0.10354486814940167</v>
      </c>
      <c r="J378">
        <f>($B$1+Table4[[#This Row],[Home Differential]])-Table4[[#This Row],[Away Differential]]</f>
        <v>-2.6797948146486866E-2</v>
      </c>
      <c r="K378" t="str">
        <f>IF(Table4[[#This Row],[HomeIce Differential]]&gt;0,Table4[[#This Row],[Home]],Table4[[#This Row],[Visitor]])</f>
        <v>New York Rangers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0.51992584138830977</v>
      </c>
      <c r="M378" t="str">
        <f>IF(OR((NHL2025_26Results[[#This Row],[Winning Team]]="")),"-",IF(Table4[[#This Row],[Predicted Winner]]=NHL2025_26Results[[#This Row],[Winning Team]],"YES","NO"))</f>
        <v>YES</v>
      </c>
      <c r="N378">
        <f>IF(Table4[[#This Row],[Adjusted Correct]]="-", "",IF(Table4[[#This Row],[Adjusted Correct]]="YES",(Table4[[#This Row],[Strength of Win]]-1)^2,(Table4[[#This Row],[Strength of Win]]-0)^2))</f>
        <v>0.23047119776672231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-0.43955182119289299</v>
      </c>
      <c r="H379" t="s">
        <v>24</v>
      </c>
      <c r="I379">
        <f>VLOOKUP(Table4[[#This Row],[Visitor]],'NHL Model'!$A$6:$B$38,2,FALSE)</f>
        <v>1.2368486032251671E-3</v>
      </c>
      <c r="J379">
        <f>($B$1+Table4[[#This Row],[Home Differential]])-Table4[[#This Row],[Away Differential]]</f>
        <v>-0.41395419105530162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0.51920559314161663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0.23116326166630469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0.52315764934699704</v>
      </c>
      <c r="H380" t="s">
        <v>40</v>
      </c>
      <c r="I380">
        <f>VLOOKUP(Table4[[#This Row],[Visitor]],'NHL Model'!$A$6:$B$38,2,FALSE)</f>
        <v>-0.25388173436787664</v>
      </c>
      <c r="J380">
        <f>($B$1+Table4[[#This Row],[Home Differential]])-Table4[[#This Row],[Away Differential]]</f>
        <v>0.80387386245569015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0.68264724616390227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0.10071277036735485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-0.45544062464079677</v>
      </c>
      <c r="H381" t="s">
        <v>14</v>
      </c>
      <c r="I381">
        <f>VLOOKUP(Table4[[#This Row],[Visitor]],'NHL Model'!$A$6:$B$38,2,FALSE)</f>
        <v>-1.1494940880477545E-2</v>
      </c>
      <c r="J381">
        <f>($B$1+Table4[[#This Row],[Home Differential]])-Table4[[#This Row],[Away Differential]]</f>
        <v>-0.41711120501950272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0.54827487046408563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0.20405559265423862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-0.1280954603767317</v>
      </c>
      <c r="H382" t="s">
        <v>29</v>
      </c>
      <c r="I382">
        <f>VLOOKUP(Table4[[#This Row],[Visitor]],'NHL Model'!$A$6:$B$38,2,FALSE)</f>
        <v>-1.1040951755058253</v>
      </c>
      <c r="J382">
        <f>($B$1+Table4[[#This Row],[Home Differential]])-Table4[[#This Row],[Away Differential]]</f>
        <v>1.0028341938699101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0.65777909227296183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0.43267333423144161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0.57663845568176975</v>
      </c>
      <c r="H383" t="s">
        <v>55</v>
      </c>
      <c r="I383">
        <f>VLOOKUP(Table4[[#This Row],[Visitor]],'NHL Model'!$A$6:$B$38,2,FALSE)</f>
        <v>-5.8660643157088771E-2</v>
      </c>
      <c r="J383">
        <f>($B$1+Table4[[#This Row],[Home Differential]])-Table4[[#This Row],[Away Differential]]</f>
        <v>0.66213357757967495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0.65001115619660899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0.12249219078683443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-0.72022444935789065</v>
      </c>
      <c r="H384" t="s">
        <v>37</v>
      </c>
      <c r="I384">
        <f>VLOOKUP(Table4[[#This Row],[Visitor]],'NHL Model'!$A$6:$B$38,2,FALSE)</f>
        <v>0.58787033474453221</v>
      </c>
      <c r="J384">
        <f>($B$1+Table4[[#This Row],[Home Differential]])-Table4[[#This Row],[Away Differential]]</f>
        <v>-1.2812603053616063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0.67292816812900358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0.10697598320344935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-0.42252386696344346</v>
      </c>
      <c r="H385" t="s">
        <v>16</v>
      </c>
      <c r="I385">
        <f>VLOOKUP(Table4[[#This Row],[Visitor]],'NHL Model'!$A$6:$B$38,2,FALSE)</f>
        <v>-1.0975205179116387</v>
      </c>
      <c r="J385">
        <f>($B$1+Table4[[#This Row],[Home Differential]])-Table4[[#This Row],[Away Differential]]</f>
        <v>0.70183112968901173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0.62242741810058599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0.3874158908033617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6.3765445873038576E-2</v>
      </c>
      <c r="H386" t="s">
        <v>12</v>
      </c>
      <c r="I386">
        <f>VLOOKUP(Table4[[#This Row],[Visitor]],'NHL Model'!$A$6:$B$38,2,FALSE)</f>
        <v>1.7050699520681891</v>
      </c>
      <c r="J386">
        <f>($B$1+Table4[[#This Row],[Home Differential]])-Table4[[#This Row],[Away Differential]]</f>
        <v>-1.614470027454334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0.72223658227009435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0.52162568076918681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-2.8228251376645769E-2</v>
      </c>
      <c r="H387" t="s">
        <v>27</v>
      </c>
      <c r="I387">
        <f>VLOOKUP(Table4[[#This Row],[Visitor]],'NHL Model'!$A$6:$B$38,2,FALSE)</f>
        <v>-0.15216510880280634</v>
      </c>
      <c r="J387">
        <f>($B$1+Table4[[#This Row],[Home Differential]])-Table4[[#This Row],[Away Differential]]</f>
        <v>0.15077133616697705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0.51519496174290713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0.26542584860527552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-0.51080431935976611</v>
      </c>
      <c r="H388" t="s">
        <v>38</v>
      </c>
      <c r="I388">
        <f>VLOOKUP(Table4[[#This Row],[Visitor]],'NHL Model'!$A$6:$B$38,2,FALSE)</f>
        <v>-0.83165982757888468</v>
      </c>
      <c r="J388">
        <f>($B$1+Table4[[#This Row],[Home Differential]])-Table4[[#This Row],[Away Differential]]</f>
        <v>0.34768998695993503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0.58083487709818893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0.17569940025729039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-1.2546198289988155</v>
      </c>
      <c r="H389" t="s">
        <v>36</v>
      </c>
      <c r="I389">
        <f>VLOOKUP(Table4[[#This Row],[Visitor]],'NHL Model'!$A$6:$B$38,2,FALSE)</f>
        <v>-0.31206928170612303</v>
      </c>
      <c r="J389">
        <f>($B$1+Table4[[#This Row],[Home Differential]])-Table4[[#This Row],[Away Differential]]</f>
        <v>-0.91571606855187593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0.57112355610044674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0.32618211633282013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-0.12684993818444543</v>
      </c>
      <c r="H390" t="s">
        <v>18</v>
      </c>
      <c r="I390">
        <f>VLOOKUP(Table4[[#This Row],[Visitor]],'NHL Model'!$A$6:$B$38,2,FALSE)</f>
        <v>-0.50446035262371991</v>
      </c>
      <c r="J390">
        <f>($B$1+Table4[[#This Row],[Home Differential]])-Table4[[#This Row],[Away Differential]]</f>
        <v>0.40444489318009097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0.52821269286372596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0.27900864890234889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0.78208997208538333</v>
      </c>
      <c r="H391" t="s">
        <v>19</v>
      </c>
      <c r="I391">
        <f>VLOOKUP(Table4[[#This Row],[Visitor]],'NHL Model'!$A$6:$B$38,2,FALSE)</f>
        <v>-0.38335501658895638</v>
      </c>
      <c r="J391">
        <f>($B$1+Table4[[#This Row],[Home Differential]])-Table4[[#This Row],[Away Differential]]</f>
        <v>1.1922794674151562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0.70606646070331081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8.639692552347833E-2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-0.15717729503670502</v>
      </c>
      <c r="H392" t="s">
        <v>26</v>
      </c>
      <c r="I392">
        <f>VLOOKUP(Table4[[#This Row],[Visitor]],'NHL Model'!$A$6:$B$38,2,FALSE)</f>
        <v>-0.72022444935789065</v>
      </c>
      <c r="J392">
        <f>($B$1+Table4[[#This Row],[Home Differential]])-Table4[[#This Row],[Away Differential]]</f>
        <v>0.58988163306200214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0.65218092652290982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0.12097810787446146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1.7050699520681891</v>
      </c>
      <c r="H393" t="s">
        <v>18</v>
      </c>
      <c r="I393">
        <f>VLOOKUP(Table4[[#This Row],[Visitor]],'NHL Model'!$A$6:$B$38,2,FALSE)</f>
        <v>-0.50446035262371991</v>
      </c>
      <c r="J393">
        <f>($B$1+Table4[[#This Row],[Home Differential]])-Table4[[#This Row],[Away Differential]]</f>
        <v>2.2363647834327258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0.85458085689978758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2.1146727180000057E-2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-0.27930615658534785</v>
      </c>
      <c r="H394" t="s">
        <v>38</v>
      </c>
      <c r="I394">
        <f>VLOOKUP(Table4[[#This Row],[Visitor]],'NHL Model'!$A$6:$B$38,2,FALSE)</f>
        <v>-0.83165982757888468</v>
      </c>
      <c r="J394">
        <f>($B$1+Table4[[#This Row],[Home Differential]])-Table4[[#This Row],[Away Differential]]</f>
        <v>0.57918814973435329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0.60802346284955022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0.15364560567645794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6.3765445873038576E-2</v>
      </c>
      <c r="H395" t="s">
        <v>23</v>
      </c>
      <c r="I395">
        <f>VLOOKUP(Table4[[#This Row],[Visitor]],'NHL Model'!$A$6:$B$38,2,FALSE)</f>
        <v>-0.43955182119289299</v>
      </c>
      <c r="J395">
        <f>($B$1+Table4[[#This Row],[Home Differential]])-Table4[[#This Row],[Away Differential]]</f>
        <v>0.53015174580674806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0.60226432222767301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0.36272231382835834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1.2368486032251671E-3</v>
      </c>
      <c r="H396" t="s">
        <v>27</v>
      </c>
      <c r="I396">
        <f>VLOOKUP(Table4[[#This Row],[Visitor]],'NHL Model'!$A$6:$B$38,2,FALSE)</f>
        <v>-0.15216510880280634</v>
      </c>
      <c r="J396">
        <f>($B$1+Table4[[#This Row],[Home Differential]])-Table4[[#This Row],[Away Differential]]</f>
        <v>0.18023643614684801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0.58049012327305094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0.33696878321756185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-1.1040951755058253</v>
      </c>
      <c r="H397" t="s">
        <v>40</v>
      </c>
      <c r="I397">
        <f>VLOOKUP(Table4[[#This Row],[Visitor]],'NHL Model'!$A$6:$B$38,2,FALSE)</f>
        <v>-0.25388173436787664</v>
      </c>
      <c r="J397">
        <f>($B$1+Table4[[#This Row],[Home Differential]])-Table4[[#This Row],[Away Differential]]</f>
        <v>-0.82337896239713204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0.56027891138001684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0.19335463577714307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-0.10354486814940167</v>
      </c>
      <c r="H398" t="s">
        <v>37</v>
      </c>
      <c r="I398">
        <f>VLOOKUP(Table4[[#This Row],[Visitor]],'NHL Model'!$A$6:$B$38,2,FALSE)</f>
        <v>0.58787033474453221</v>
      </c>
      <c r="J398">
        <f>($B$1+Table4[[#This Row],[Home Differential]])-Table4[[#This Row],[Away Differential]]</f>
        <v>-0.66458072415311742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0.61067566762788139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0.15157343577699589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-1.1494940880477545E-2</v>
      </c>
      <c r="H399" t="s">
        <v>19</v>
      </c>
      <c r="I399">
        <f>VLOOKUP(Table4[[#This Row],[Visitor]],'NHL Model'!$A$6:$B$38,2,FALSE)</f>
        <v>-0.38335501658895638</v>
      </c>
      <c r="J399">
        <f>($B$1+Table4[[#This Row],[Home Differential]])-Table4[[#This Row],[Away Differential]]</f>
        <v>0.3986945544492953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0.58682517110430965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0.34436378144160229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-0.53356664249341723</v>
      </c>
      <c r="H400" t="s">
        <v>17</v>
      </c>
      <c r="I400">
        <f>VLOOKUP(Table4[[#This Row],[Visitor]],'NHL Model'!$A$6:$B$38,2,FALSE)</f>
        <v>-0.70231133461274453</v>
      </c>
      <c r="J400">
        <f>($B$1+Table4[[#This Row],[Home Differential]])-Table4[[#This Row],[Away Differential]]</f>
        <v>0.19557917086014376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0.56297003567709858</v>
      </c>
      <c r="M400" t="str">
        <f>IF(OR((NHL2025_26Results[[#This Row],[Winning Team]]="")),"-",IF(Table4[[#This Row],[Predicted Winner]]=NHL2025_26Results[[#This Row],[Winning Team]],"YES","NO"))</f>
        <v>NO</v>
      </c>
      <c r="N400">
        <f>IF(Table4[[#This Row],[Adjusted Correct]]="-", "",IF(Table4[[#This Row],[Adjusted Correct]]="YES",(Table4[[#This Row],[Strength of Win]]-1)^2,(Table4[[#This Row],[Strength of Win]]-0)^2))</f>
        <v>0.31693526107027364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-1.2546198289988155</v>
      </c>
      <c r="H401" t="s">
        <v>55</v>
      </c>
      <c r="I401">
        <f>VLOOKUP(Table4[[#This Row],[Visitor]],'NHL Model'!$A$6:$B$38,2,FALSE)</f>
        <v>-5.8660643157088771E-2</v>
      </c>
      <c r="J401">
        <f>($B$1+Table4[[#This Row],[Home Differential]])-Table4[[#This Row],[Away Differential]]</f>
        <v>-1.1691247071009101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0.59730928562064989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0.35677838268865109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-0.12684993818444543</v>
      </c>
      <c r="H402" t="s">
        <v>33</v>
      </c>
      <c r="I402">
        <f>VLOOKUP(Table4[[#This Row],[Visitor]],'NHL Model'!$A$6:$B$38,2,FALSE)</f>
        <v>-0.51080431935976611</v>
      </c>
      <c r="J402">
        <f>($B$1+Table4[[#This Row],[Home Differential]])-Table4[[#This Row],[Away Differential]]</f>
        <v>0.41078885991613717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0.58824560164832573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0.16954168456194926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0.52315764934699704</v>
      </c>
      <c r="H403" t="s">
        <v>16</v>
      </c>
      <c r="I403">
        <f>VLOOKUP(Table4[[#This Row],[Visitor]],'NHL Model'!$A$6:$B$38,2,FALSE)</f>
        <v>-1.0975205179116387</v>
      </c>
      <c r="J403">
        <f>($B$1+Table4[[#This Row],[Home Differential]])-Table4[[#This Row],[Away Differential]]</f>
        <v>1.6475126459994522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0.78521012036850824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4.6134692392110724E-2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-0.1280954603767317</v>
      </c>
      <c r="H404" t="s">
        <v>31</v>
      </c>
      <c r="I404">
        <f>VLOOKUP(Table4[[#This Row],[Visitor]],'NHL Model'!$A$6:$B$38,2,FALSE)</f>
        <v>6.0998961494444972E-3</v>
      </c>
      <c r="J404">
        <f>($B$1+Table4[[#This Row],[Home Differential]])-Table4[[#This Row],[Away Differential]]</f>
        <v>-0.1073608777853597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0.49337836078143332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0.24342220688737418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0.57663845568176975</v>
      </c>
      <c r="H405" t="s">
        <v>36</v>
      </c>
      <c r="I405">
        <f>VLOOKUP(Table4[[#This Row],[Visitor]],'NHL Model'!$A$6:$B$38,2,FALSE)</f>
        <v>-0.31206928170612303</v>
      </c>
      <c r="J405">
        <f>($B$1+Table4[[#This Row],[Home Differential]])-Table4[[#This Row],[Away Differential]]</f>
        <v>0.91554221612870923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0.67624735799583113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0.10481577320467952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-2.8228251376645769E-2</v>
      </c>
      <c r="H406" t="s">
        <v>22</v>
      </c>
      <c r="I406">
        <f>VLOOKUP(Table4[[#This Row],[Visitor]],'NHL Model'!$A$6:$B$38,2,FALSE)</f>
        <v>0.78208997208538333</v>
      </c>
      <c r="J406">
        <f>($B$1+Table4[[#This Row],[Home Differential]])-Table4[[#This Row],[Away Differential]]</f>
        <v>-0.78348374472121263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0.62464037876021861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0.14089484525727214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-0.43955182119289299</v>
      </c>
      <c r="H407" t="s">
        <v>40</v>
      </c>
      <c r="I407">
        <f>VLOOKUP(Table4[[#This Row],[Visitor]],'NHL Model'!$A$6:$B$38,2,FALSE)</f>
        <v>-0.25388173436787664</v>
      </c>
      <c r="J407">
        <f>($B$1+Table4[[#This Row],[Home Differential]])-Table4[[#This Row],[Away Differential]]</f>
        <v>-0.15883560808419983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0.47209593841288255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0.22287457506594019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1.2368486032251671E-3</v>
      </c>
      <c r="H408" t="s">
        <v>28</v>
      </c>
      <c r="I408">
        <f>VLOOKUP(Table4[[#This Row],[Visitor]],'NHL Model'!$A$6:$B$38,2,FALSE)</f>
        <v>-0.45544062464079677</v>
      </c>
      <c r="J408">
        <f>($B$1+Table4[[#This Row],[Home Differential]])-Table4[[#This Row],[Away Differential]]</f>
        <v>0.48351195198483843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0.65413178716341502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0.42788839497760328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-0.15216510880280634</v>
      </c>
      <c r="H409" t="s">
        <v>14</v>
      </c>
      <c r="I409">
        <f>VLOOKUP(Table4[[#This Row],[Visitor]],'NHL Model'!$A$6:$B$38,2,FALSE)</f>
        <v>-1.1494940880477545E-2</v>
      </c>
      <c r="J409">
        <f>($B$1+Table4[[#This Row],[Home Differential]])-Table4[[#This Row],[Away Differential]]</f>
        <v>-0.11383568918151231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0.4863425451535211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0.26384398091936256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-0.51080431935976611</v>
      </c>
      <c r="H410" t="s">
        <v>55</v>
      </c>
      <c r="I410">
        <f>VLOOKUP(Table4[[#This Row],[Visitor]],'NHL Model'!$A$6:$B$38,2,FALSE)</f>
        <v>-5.8660643157088771E-2</v>
      </c>
      <c r="J410">
        <f>($B$1+Table4[[#This Row],[Home Differential]])-Table4[[#This Row],[Away Differential]]</f>
        <v>-0.42530919746186091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0.5099509605063367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0.2600499821213354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-1.2546198289988155</v>
      </c>
      <c r="H411" t="s">
        <v>31</v>
      </c>
      <c r="I411">
        <f>VLOOKUP(Table4[[#This Row],[Visitor]],'NHL Model'!$A$6:$B$38,2,FALSE)</f>
        <v>6.0998961494444972E-3</v>
      </c>
      <c r="J411">
        <f>($B$1+Table4[[#This Row],[Home Differential]])-Table4[[#This Row],[Away Differential]]</f>
        <v>-1.2338852464074435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0.6256843973832249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0.14011217036235948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1.7050699520681891</v>
      </c>
      <c r="H412" t="s">
        <v>38</v>
      </c>
      <c r="I412">
        <f>VLOOKUP(Table4[[#This Row],[Visitor]],'NHL Model'!$A$6:$B$38,2,FALSE)</f>
        <v>-0.83165982757888468</v>
      </c>
      <c r="J412">
        <f>($B$1+Table4[[#This Row],[Home Differential]])-Table4[[#This Row],[Away Differential]]</f>
        <v>2.5635642583878901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0.9489019153969267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2.6110142501028369E-3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-0.72022444935789065</v>
      </c>
      <c r="H413" t="s">
        <v>21</v>
      </c>
      <c r="I413">
        <f>VLOOKUP(Table4[[#This Row],[Visitor]],'NHL Model'!$A$6:$B$38,2,FALSE)</f>
        <v>-0.15717729503670502</v>
      </c>
      <c r="J413">
        <f>($B$1+Table4[[#This Row],[Home Differential]])-Table4[[#This Row],[Away Differential]]</f>
        <v>-0.53621267558036911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0.5128539061723173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0.26301912907620406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-0.70231133461274453</v>
      </c>
      <c r="H414" t="s">
        <v>34</v>
      </c>
      <c r="I414">
        <f>VLOOKUP(Table4[[#This Row],[Visitor]],'NHL Model'!$A$6:$B$38,2,FALSE)</f>
        <v>6.3765445873038576E-2</v>
      </c>
      <c r="J414">
        <f>($B$1+Table4[[#This Row],[Home Differential]])-Table4[[#This Row],[Away Differential]]</f>
        <v>-0.73924230174496663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0.60610905293023232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0.15515007818351853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-0.42252386696344346</v>
      </c>
      <c r="H415" t="s">
        <v>19</v>
      </c>
      <c r="I415">
        <f>VLOOKUP(Table4[[#This Row],[Visitor]],'NHL Model'!$A$6:$B$38,2,FALSE)</f>
        <v>-0.38335501658895638</v>
      </c>
      <c r="J415">
        <f>($B$1+Table4[[#This Row],[Home Differential]])-Table4[[#This Row],[Away Differential]]</f>
        <v>-1.2334371633670627E-2</v>
      </c>
      <c r="K415" t="str">
        <f>IF(Table4[[#This Row],[HomeIce Differential]]&gt;0,Table4[[#This Row],[Home]],Table4[[#This Row],[Visitor]])</f>
        <v>Toronto Maple Leafs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0.46144862540951564</v>
      </c>
      <c r="M415" t="str">
        <f>IF(OR((NHL2025_26Results[[#This Row],[Winning Team]]="")),"-",IF(Table4[[#This Row],[Predicted Winner]]=NHL2025_26Results[[#This Row],[Winning Team]],"YES","NO"))</f>
        <v>YES</v>
      </c>
      <c r="N415">
        <f>IF(Table4[[#This Row],[Adjusted Correct]]="-", "",IF(Table4[[#This Row],[Adjusted Correct]]="YES",(Table4[[#This Row],[Strength of Win]]-1)^2,(Table4[[#This Row],[Strength of Win]]-0)^2))</f>
        <v>0.29003758307330024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-0.27930615658534785</v>
      </c>
      <c r="H416" t="s">
        <v>22</v>
      </c>
      <c r="I416">
        <f>VLOOKUP(Table4[[#This Row],[Visitor]],'NHL Model'!$A$6:$B$38,2,FALSE)</f>
        <v>0.78208997208538333</v>
      </c>
      <c r="J416">
        <f>($B$1+Table4[[#This Row],[Home Differential]])-Table4[[#This Row],[Away Differential]]</f>
        <v>-1.0345616499299148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0.65412853138409477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0.11962707280252312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-0.50446035262371991</v>
      </c>
      <c r="H417" t="s">
        <v>36</v>
      </c>
      <c r="I417">
        <f>VLOOKUP(Table4[[#This Row],[Visitor]],'NHL Model'!$A$6:$B$38,2,FALSE)</f>
        <v>-0.31206928170612303</v>
      </c>
      <c r="J417">
        <f>($B$1+Table4[[#This Row],[Home Differential]])-Table4[[#This Row],[Away Differential]]</f>
        <v>-0.16555659217678043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0.48302015602942716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0.26726815907183782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-1.1040951755058253</v>
      </c>
      <c r="H418" t="s">
        <v>16</v>
      </c>
      <c r="I418">
        <f>VLOOKUP(Table4[[#This Row],[Visitor]],'NHL Model'!$A$6:$B$38,2,FALSE)</f>
        <v>-1.0975205179116387</v>
      </c>
      <c r="J418">
        <f>($B$1+Table4[[#This Row],[Home Differential]])-Table4[[#This Row],[Away Differential]]</f>
        <v>2.0259821146630053E-2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0.54237943955127266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0.20941657734540731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-2.8228251376645769E-2</v>
      </c>
      <c r="H419" t="s">
        <v>37</v>
      </c>
      <c r="I419">
        <f>VLOOKUP(Table4[[#This Row],[Visitor]],'NHL Model'!$A$6:$B$38,2,FALSE)</f>
        <v>0.58787033474453221</v>
      </c>
      <c r="J419">
        <f>($B$1+Table4[[#This Row],[Home Differential]])-Table4[[#This Row],[Away Differential]]</f>
        <v>-0.5892641073803615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0.60183001516530055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0.36219936715386586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-0.10354486814940167</v>
      </c>
      <c r="H420" t="s">
        <v>39</v>
      </c>
      <c r="I420">
        <f>VLOOKUP(Table4[[#This Row],[Visitor]],'NHL Model'!$A$6:$B$38,2,FALSE)</f>
        <v>0.57663845568176975</v>
      </c>
      <c r="J420">
        <f>($B$1+Table4[[#This Row],[Home Differential]])-Table4[[#This Row],[Away Differential]]</f>
        <v>-0.65334884509035496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0.6292195445484482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0.39591723524175659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-0.12684993818444543</v>
      </c>
      <c r="H421" t="s">
        <v>10</v>
      </c>
      <c r="I421">
        <f>VLOOKUP(Table4[[#This Row],[Visitor]],'NHL Model'!$A$6:$B$38,2,FALSE)</f>
        <v>-0.1280954603767317</v>
      </c>
      <c r="J421">
        <f>($B$1+Table4[[#This Row],[Home Differential]])-Table4[[#This Row],[Away Differential]]</f>
        <v>2.8080000933102756E-2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0.54329789016084729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0.2085768171315335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6.0998961494444972E-3</v>
      </c>
      <c r="H422" t="s">
        <v>55</v>
      </c>
      <c r="I422">
        <f>VLOOKUP(Table4[[#This Row],[Visitor]],'NHL Model'!$A$6:$B$38,2,FALSE)</f>
        <v>-5.8660643157088771E-2</v>
      </c>
      <c r="J422">
        <f>($B$1+Table4[[#This Row],[Home Differential]])-Table4[[#This Row],[Away Differential]]</f>
        <v>9.1595018047349763E-2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0.61155855736297926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0.37400386908388839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-0.50446035262371991</v>
      </c>
      <c r="H423" t="s">
        <v>40</v>
      </c>
      <c r="I423">
        <f>VLOOKUP(Table4[[#This Row],[Visitor]],'NHL Model'!$A$6:$B$38,2,FALSE)</f>
        <v>-0.25388173436787664</v>
      </c>
      <c r="J423">
        <f>($B$1+Table4[[#This Row],[Home Differential]])-Table4[[#This Row],[Away Differential]]</f>
        <v>-0.22374413951502681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0.48985406391667424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0.23995700393568117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1.2368486032251671E-3</v>
      </c>
      <c r="H424" t="s">
        <v>39</v>
      </c>
      <c r="I424">
        <f>VLOOKUP(Table4[[#This Row],[Visitor]],'NHL Model'!$A$6:$B$38,2,FALSE)</f>
        <v>0.57663845568176975</v>
      </c>
      <c r="J424">
        <f>($B$1+Table4[[#This Row],[Home Differential]])-Table4[[#This Row],[Away Differential]]</f>
        <v>-0.54856712833772814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0.55499317715864405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0.19803107237535797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-0.15216510880280634</v>
      </c>
      <c r="H425" t="s">
        <v>23</v>
      </c>
      <c r="I425">
        <f>VLOOKUP(Table4[[#This Row],[Visitor]],'NHL Model'!$A$6:$B$38,2,FALSE)</f>
        <v>-0.43955182119289299</v>
      </c>
      <c r="J425">
        <f>($B$1+Table4[[#This Row],[Home Differential]])-Table4[[#This Row],[Away Differential]]</f>
        <v>0.31422119113090313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0.60294182915835137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0.15765519103211584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-0.51080431935976611</v>
      </c>
      <c r="H426" t="s">
        <v>22</v>
      </c>
      <c r="I426">
        <f>VLOOKUP(Table4[[#This Row],[Visitor]],'NHL Model'!$A$6:$B$38,2,FALSE)</f>
        <v>0.78208997208538333</v>
      </c>
      <c r="J426">
        <f>($B$1+Table4[[#This Row],[Home Differential]])-Table4[[#This Row],[Away Differential]]</f>
        <v>-1.266059812704333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0.68131711713545617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0.10155877983085657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-0.15717729503670502</v>
      </c>
      <c r="H427" t="s">
        <v>35</v>
      </c>
      <c r="I427">
        <f>VLOOKUP(Table4[[#This Row],[Visitor]],'NHL Model'!$A$6:$B$38,2,FALSE)</f>
        <v>-1.2546198289988155</v>
      </c>
      <c r="J427">
        <f>($B$1+Table4[[#This Row],[Home Differential]])-Table4[[#This Row],[Away Differential]]</f>
        <v>1.1242770127029269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0.71494364753273776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O427">
        <v>1.1242770127029269</v>
      </c>
      <c r="P427" s="11">
        <v>0.71494364753273776</v>
      </c>
      <c r="Q427" t="s">
        <v>21</v>
      </c>
      <c r="R427" s="19"/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0.52315764934699704</v>
      </c>
      <c r="H428" t="s">
        <v>19</v>
      </c>
      <c r="I428">
        <f>VLOOKUP(Table4[[#This Row],[Visitor]],'NHL Model'!$A$6:$B$38,2,FALSE)</f>
        <v>-0.38335501658895638</v>
      </c>
      <c r="J428">
        <f>($B$1+Table4[[#This Row],[Home Differential]])-Table4[[#This Row],[Away Differential]]</f>
        <v>0.93334714467676982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0.70133407685840665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O428">
        <v>0.93334714467676982</v>
      </c>
      <c r="P428" s="11">
        <v>0.70133407685840665</v>
      </c>
      <c r="Q428" t="s">
        <v>25</v>
      </c>
      <c r="R428" s="19"/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-0.45544062464079677</v>
      </c>
      <c r="H429" t="s">
        <v>26</v>
      </c>
      <c r="I429">
        <f>VLOOKUP(Table4[[#This Row],[Visitor]],'NHL Model'!$A$6:$B$38,2,FALSE)</f>
        <v>-0.72022444935789065</v>
      </c>
      <c r="J429">
        <f>($B$1+Table4[[#This Row],[Home Differential]])-Table4[[#This Row],[Away Differential]]</f>
        <v>0.2916183034579104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0.57424946943513311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O429">
        <v>0.2916183034579104</v>
      </c>
      <c r="P429" s="11">
        <v>0.57424946943513311</v>
      </c>
      <c r="Q429" t="s">
        <v>28</v>
      </c>
      <c r="R429" s="19"/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-1.0975205179116387</v>
      </c>
      <c r="H430" t="s">
        <v>34</v>
      </c>
      <c r="I430">
        <f>VLOOKUP(Table4[[#This Row],[Visitor]],'NHL Model'!$A$6:$B$38,2,FALSE)</f>
        <v>6.3765445873038576E-2</v>
      </c>
      <c r="J430">
        <f>($B$1+Table4[[#This Row],[Home Differential]])-Table4[[#This Row],[Away Differential]]</f>
        <v>-1.1344514850438607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0.65252488034359291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O430">
        <v>-1.1344514850438607</v>
      </c>
      <c r="P430" s="11">
        <v>0.65252488034359291</v>
      </c>
      <c r="Q430" t="s">
        <v>34</v>
      </c>
      <c r="R430" s="19"/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-0.70231133461274453</v>
      </c>
      <c r="H431" t="s">
        <v>32</v>
      </c>
      <c r="I431">
        <f>VLOOKUP(Table4[[#This Row],[Visitor]],'NHL Model'!$A$6:$B$38,2,FALSE)</f>
        <v>-0.53356664249341723</v>
      </c>
      <c r="J431">
        <f>($B$1+Table4[[#This Row],[Home Differential]])-Table4[[#This Row],[Away Differential]]</f>
        <v>-0.14191021337851084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0.47666681911940423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O431">
        <v>-0.14191021337851084</v>
      </c>
      <c r="P431" s="11">
        <v>0.47666681911940423</v>
      </c>
      <c r="Q431" t="s">
        <v>32</v>
      </c>
      <c r="R431" s="19"/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-0.42252386696344346</v>
      </c>
      <c r="H432" t="s">
        <v>29</v>
      </c>
      <c r="I432">
        <f>VLOOKUP(Table4[[#This Row],[Visitor]],'NHL Model'!$A$6:$B$38,2,FALSE)</f>
        <v>-1.1040951755058253</v>
      </c>
      <c r="J432">
        <f>($B$1+Table4[[#This Row],[Home Differential]])-Table4[[#This Row],[Away Differential]]</f>
        <v>0.70840578728319825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0.62319958682816057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O432">
        <v>0.70840578728319825</v>
      </c>
      <c r="P432" s="11">
        <v>0.62319958682816057</v>
      </c>
      <c r="Q432" t="s">
        <v>11</v>
      </c>
      <c r="R432" s="19"/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-0.27930615658534785</v>
      </c>
      <c r="H433" t="s">
        <v>10</v>
      </c>
      <c r="I433">
        <f>VLOOKUP(Table4[[#This Row],[Visitor]],'NHL Model'!$A$6:$B$38,2,FALSE)</f>
        <v>-0.1280954603767317</v>
      </c>
      <c r="J433">
        <f>($B$1+Table4[[#This Row],[Home Differential]])-Table4[[#This Row],[Away Differential]]</f>
        <v>-0.1243762174677997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0.47460751745726998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O433">
        <v>-0.1243762174677997</v>
      </c>
      <c r="P433" s="11">
        <v>0.47460751745726998</v>
      </c>
      <c r="Q433" t="s">
        <v>10</v>
      </c>
      <c r="R433" s="19"/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-2.8228251376645769E-2</v>
      </c>
      <c r="H434" t="s">
        <v>12</v>
      </c>
      <c r="I434">
        <f>VLOOKUP(Table4[[#This Row],[Visitor]],'NHL Model'!$A$6:$B$38,2,FALSE)</f>
        <v>1.7050699520681891</v>
      </c>
      <c r="J434">
        <f>($B$1+Table4[[#This Row],[Home Differential]])-Table4[[#This Row],[Away Differential]]</f>
        <v>-1.7064637247040184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0.73304089491034219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O434">
        <v>-1.7064637247040184</v>
      </c>
      <c r="P434" s="11">
        <v>0.73304089491034219</v>
      </c>
      <c r="Q434" t="s">
        <v>12</v>
      </c>
      <c r="R434" s="19"/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-0.31206928170612303</v>
      </c>
      <c r="H435" t="s">
        <v>15</v>
      </c>
      <c r="I435">
        <f>VLOOKUP(Table4[[#This Row],[Visitor]],'NHL Model'!$A$6:$B$38,2,FALSE)</f>
        <v>-0.10354486814940167</v>
      </c>
      <c r="J435">
        <f>($B$1+Table4[[#This Row],[Home Differential]])-Table4[[#This Row],[Away Differential]]</f>
        <v>-0.1816899348159049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0.57894248394517056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O435">
        <v>-0.1816899348159049</v>
      </c>
      <c r="P435" s="11">
        <v>0.57894248394517056</v>
      </c>
      <c r="Q435" t="s">
        <v>15</v>
      </c>
      <c r="R435" s="19"/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0.58787033474453221</v>
      </c>
      <c r="H436" t="s">
        <v>14</v>
      </c>
      <c r="I436">
        <f>VLOOKUP(Table4[[#This Row],[Visitor]],'NHL Model'!$A$6:$B$38,2,FALSE)</f>
        <v>-1.1494940880477545E-2</v>
      </c>
      <c r="J436">
        <f>($B$1+Table4[[#This Row],[Home Differential]])-Table4[[#This Row],[Away Differential]]</f>
        <v>0.6261997543658262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0.60687813176720706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O436">
        <v>0.6261997543658262</v>
      </c>
      <c r="P436" s="11">
        <v>0.60687813176720706</v>
      </c>
      <c r="Q436" t="s">
        <v>37</v>
      </c>
      <c r="R436" s="19"/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6.0998961494444972E-3</v>
      </c>
      <c r="H437" t="s">
        <v>22</v>
      </c>
      <c r="I437">
        <f>VLOOKUP(Table4[[#This Row],[Visitor]],'NHL Model'!$A$6:$B$38,2,FALSE)</f>
        <v>0.78208997208538333</v>
      </c>
      <c r="J437">
        <f>($B$1+Table4[[#This Row],[Home Differential]])-Table4[[#This Row],[Away Differential]]</f>
        <v>-0.74915559719512237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0.55857373354318929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0.57663845568176975</v>
      </c>
      <c r="H438" t="s">
        <v>33</v>
      </c>
      <c r="I438">
        <f>VLOOKUP(Table4[[#This Row],[Visitor]],'NHL Model'!$A$6:$B$38,2,FALSE)</f>
        <v>-0.51080431935976611</v>
      </c>
      <c r="J438">
        <f>($B$1+Table4[[#This Row],[Home Differential]])-Table4[[#This Row],[Away Differential]]</f>
        <v>1.1142772537823524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0.70311372498179281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1.2368486032251671E-3</v>
      </c>
      <c r="H439" t="s">
        <v>20</v>
      </c>
      <c r="I439">
        <f>VLOOKUP(Table4[[#This Row],[Visitor]],'NHL Model'!$A$6:$B$38,2,FALSE)</f>
        <v>-0.12684993818444543</v>
      </c>
      <c r="J439">
        <f>($B$1+Table4[[#This Row],[Home Differential]])-Table4[[#This Row],[Away Differential]]</f>
        <v>0.15492126552848709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0.6189959861931621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-0.83165982757888468</v>
      </c>
      <c r="H440" t="s">
        <v>55</v>
      </c>
      <c r="I440">
        <f>VLOOKUP(Table4[[#This Row],[Visitor]],'NHL Model'!$A$6:$B$38,2,FALSE)</f>
        <v>-5.8660643157088771E-2</v>
      </c>
      <c r="J440">
        <f>($B$1+Table4[[#This Row],[Home Differential]])-Table4[[#This Row],[Away Differential]]</f>
        <v>-0.74616470568097948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0.5476342293256784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-0.25388173436787664</v>
      </c>
      <c r="H441" t="s">
        <v>23</v>
      </c>
      <c r="I441">
        <f>VLOOKUP(Table4[[#This Row],[Visitor]],'NHL Model'!$A$6:$B$38,2,FALSE)</f>
        <v>-0.43955182119289299</v>
      </c>
      <c r="J441">
        <f>($B$1+Table4[[#This Row],[Home Differential]])-Table4[[#This Row],[Away Differential]]</f>
        <v>0.21250456556583283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0.56745333862835823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-0.15717729503670502</v>
      </c>
      <c r="H442" t="s">
        <v>24</v>
      </c>
      <c r="I442">
        <f>VLOOKUP(Table4[[#This Row],[Visitor]],'NHL Model'!$A$6:$B$38,2,FALSE)</f>
        <v>1.2368486032251671E-3</v>
      </c>
      <c r="J442">
        <f>($B$1+Table4[[#This Row],[Home Differential]])-Table4[[#This Row],[Away Differential]]</f>
        <v>-0.13157966489911371</v>
      </c>
      <c r="K442" t="str">
        <f>IF(Table4[[#This Row],[HomeIce Differential]]&gt;0,Table4[[#This Row],[Home]],Table4[[#This Row],[Visitor]])</f>
        <v>New Jersey Devils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0.45295353517872611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0.52315764934699704</v>
      </c>
      <c r="H443" t="s">
        <v>29</v>
      </c>
      <c r="I443">
        <f>VLOOKUP(Table4[[#This Row],[Visitor]],'NHL Model'!$A$6:$B$38,2,FALSE)</f>
        <v>-1.1040951755058253</v>
      </c>
      <c r="J443">
        <f>($B$1+Table4[[#This Row],[Home Differential]])-Table4[[#This Row],[Away Differential]]</f>
        <v>1.6540873035936388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0.78598228909608292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-1.0975205179116387</v>
      </c>
      <c r="H444" t="s">
        <v>55</v>
      </c>
      <c r="I444">
        <f>VLOOKUP(Table4[[#This Row],[Visitor]],'NHL Model'!$A$6:$B$38,2,FALSE)</f>
        <v>-5.8660643157088771E-2</v>
      </c>
      <c r="J444">
        <f>($B$1+Table4[[#This Row],[Home Differential]])-Table4[[#This Row],[Away Differential]]</f>
        <v>-1.0120253960137333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0.57885856428539828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-0.70231133461274453</v>
      </c>
      <c r="H445" t="s">
        <v>40</v>
      </c>
      <c r="I445">
        <f>VLOOKUP(Table4[[#This Row],[Visitor]],'NHL Model'!$A$6:$B$38,2,FALSE)</f>
        <v>-0.25388173436787664</v>
      </c>
      <c r="J445">
        <f>($B$1+Table4[[#This Row],[Home Differential]])-Table4[[#This Row],[Away Differential]]</f>
        <v>-0.42159512150405143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0.51309091523908168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-0.42252386696344346</v>
      </c>
      <c r="H446" t="s">
        <v>28</v>
      </c>
      <c r="I446">
        <f>VLOOKUP(Table4[[#This Row],[Visitor]],'NHL Model'!$A$6:$B$38,2,FALSE)</f>
        <v>-0.45544062464079677</v>
      </c>
      <c r="J446">
        <f>($B$1+Table4[[#This Row],[Home Differential]])-Table4[[#This Row],[Away Differential]]</f>
        <v>5.9751236418169762E-2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0.54344139832932614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-0.27930615658534785</v>
      </c>
      <c r="H447" t="s">
        <v>10</v>
      </c>
      <c r="I447">
        <f>VLOOKUP(Table4[[#This Row],[Visitor]],'NHL Model'!$A$6:$B$38,2,FALSE)</f>
        <v>-0.1280954603767317</v>
      </c>
      <c r="J447">
        <f>($B$1+Table4[[#This Row],[Home Differential]])-Table4[[#This Row],[Away Differential]]</f>
        <v>-0.1243762174677997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0.47460751745726998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-0.10354486814940167</v>
      </c>
      <c r="H448" t="s">
        <v>12</v>
      </c>
      <c r="I448">
        <f>VLOOKUP(Table4[[#This Row],[Visitor]],'NHL Model'!$A$6:$B$38,2,FALSE)</f>
        <v>1.7050699520681891</v>
      </c>
      <c r="J448">
        <f>($B$1+Table4[[#This Row],[Home Differential]])-Table4[[#This Row],[Away Differential]]</f>
        <v>-1.7817803414767743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0.74188654737292314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-0.31206928170612303</v>
      </c>
      <c r="H449" t="s">
        <v>35</v>
      </c>
      <c r="I449">
        <f>VLOOKUP(Table4[[#This Row],[Visitor]],'NHL Model'!$A$6:$B$38,2,FALSE)</f>
        <v>-1.2546198289988155</v>
      </c>
      <c r="J449">
        <f>($B$1+Table4[[#This Row],[Home Differential]])-Table4[[#This Row],[Away Differential]]</f>
        <v>0.96938502603350896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0.65634609292208379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-0.53356664249341723</v>
      </c>
      <c r="H450" t="s">
        <v>26</v>
      </c>
      <c r="I450">
        <f>VLOOKUP(Table4[[#This Row],[Visitor]],'NHL Model'!$A$6:$B$38,2,FALSE)</f>
        <v>-0.72022444935789065</v>
      </c>
      <c r="J450">
        <f>($B$1+Table4[[#This Row],[Home Differential]])-Table4[[#This Row],[Away Differential]]</f>
        <v>0.21349228560528988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0.56507386341588273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0.58787033474453221</v>
      </c>
      <c r="H451" t="s">
        <v>30</v>
      </c>
      <c r="I451">
        <f>VLOOKUP(Table4[[#This Row],[Visitor]],'NHL Model'!$A$6:$B$38,2,FALSE)</f>
        <v>-2.8228251376645769E-2</v>
      </c>
      <c r="J451">
        <f>($B$1+Table4[[#This Row],[Home Differential]])-Table4[[#This Row],[Away Differential]]</f>
        <v>0.64293306486199442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0.5755100626151386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-0.38335501658895638</v>
      </c>
      <c r="H452" t="s">
        <v>18</v>
      </c>
      <c r="I452">
        <f>VLOOKUP(Table4[[#This Row],[Visitor]],'NHL Model'!$A$6:$B$38,2,FALSE)</f>
        <v>-0.50446035262371991</v>
      </c>
      <c r="J452">
        <f>($B$1+Table4[[#This Row],[Home Differential]])-Table4[[#This Row],[Away Differential]]</f>
        <v>0.14793981477558005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0.49808713922528752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-0.83165982757888468</v>
      </c>
      <c r="H453" t="s">
        <v>34</v>
      </c>
      <c r="I453">
        <f>VLOOKUP(Table4[[#This Row],[Visitor]],'NHL Model'!$A$6:$B$38,2,FALSE)</f>
        <v>6.3765445873038576E-2</v>
      </c>
      <c r="J453">
        <f>($B$1+Table4[[#This Row],[Home Differential]])-Table4[[#This Row],[Away Differential]]</f>
        <v>-0.86859079471110678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0.62130054538387292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6.0998961494444972E-3</v>
      </c>
      <c r="H454" t="s">
        <v>10</v>
      </c>
      <c r="I454">
        <f>VLOOKUP(Table4[[#This Row],[Visitor]],'NHL Model'!$A$6:$B$38,2,FALSE)</f>
        <v>-0.1280954603767317</v>
      </c>
      <c r="J454">
        <f>($B$1+Table4[[#This Row],[Home Differential]])-Table4[[#This Row],[Away Differential]]</f>
        <v>0.16102983526699269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0.61971341466068464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0.52315764934699704</v>
      </c>
      <c r="H455" t="s">
        <v>33</v>
      </c>
      <c r="I455">
        <f>VLOOKUP(Table4[[#This Row],[Visitor]],'NHL Model'!$A$6:$B$38,2,FALSE)</f>
        <v>-0.51080431935976611</v>
      </c>
      <c r="J455">
        <f>($B$1+Table4[[#This Row],[Home Differential]])-Table4[[#This Row],[Away Differential]]</f>
        <v>1.0607964474475797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0.71630251658944666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0.57663845568176975</v>
      </c>
      <c r="H456" t="s">
        <v>14</v>
      </c>
      <c r="I456">
        <f>VLOOKUP(Table4[[#This Row],[Visitor]],'NHL Model'!$A$6:$B$38,2,FALSE)</f>
        <v>-1.1494940880477545E-2</v>
      </c>
      <c r="J456">
        <f>($B$1+Table4[[#This Row],[Home Differential]])-Table4[[#This Row],[Away Differential]]</f>
        <v>0.61496787530306374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0.6055589899503262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-0.42252386696344346</v>
      </c>
      <c r="H457" t="s">
        <v>30</v>
      </c>
      <c r="I457">
        <f>VLOOKUP(Table4[[#This Row],[Visitor]],'NHL Model'!$A$6:$B$38,2,FALSE)</f>
        <v>-2.8228251376645769E-2</v>
      </c>
      <c r="J457">
        <f>($B$1+Table4[[#This Row],[Home Differential]])-Table4[[#This Row],[Away Differential]]</f>
        <v>-0.36746113684598125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0.57578009316156931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-0.50446035262371991</v>
      </c>
      <c r="H458" t="s">
        <v>35</v>
      </c>
      <c r="I458">
        <f>VLOOKUP(Table4[[#This Row],[Visitor]],'NHL Model'!$A$6:$B$38,2,FALSE)</f>
        <v>-1.2546198289988155</v>
      </c>
      <c r="J458">
        <f>($B$1+Table4[[#This Row],[Home Differential]])-Table4[[#This Row],[Away Differential]]</f>
        <v>0.77699395511591207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0.63125500834986681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-0.10354486814940167</v>
      </c>
      <c r="H459" t="s">
        <v>20</v>
      </c>
      <c r="I459">
        <f>VLOOKUP(Table4[[#This Row],[Visitor]],'NHL Model'!$A$6:$B$38,2,FALSE)</f>
        <v>-0.12684993818444543</v>
      </c>
      <c r="J459">
        <f>($B$1+Table4[[#This Row],[Home Differential]])-Table4[[#This Row],[Away Differential]]</f>
        <v>5.0139548775860243E-2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0.54588870082202523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-0.15216510880280634</v>
      </c>
      <c r="H460" t="s">
        <v>12</v>
      </c>
      <c r="I460">
        <f>VLOOKUP(Table4[[#This Row],[Visitor]],'NHL Model'!$A$6:$B$38,2,FALSE)</f>
        <v>1.7050699520681891</v>
      </c>
      <c r="J460">
        <f>($B$1+Table4[[#This Row],[Home Differential]])-Table4[[#This Row],[Away Differential]]</f>
        <v>-1.830400582130179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0.72130275600466687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0.78208997208538333</v>
      </c>
      <c r="H461" t="s">
        <v>28</v>
      </c>
      <c r="I461">
        <f>VLOOKUP(Table4[[#This Row],[Visitor]],'NHL Model'!$A$6:$B$38,2,FALSE)</f>
        <v>-0.45544062464079677</v>
      </c>
      <c r="J461">
        <f>($B$1+Table4[[#This Row],[Home Differential]])-Table4[[#This Row],[Away Differential]]</f>
        <v>1.2643650754669966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0.71099490753349348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-1.0975205179116387</v>
      </c>
      <c r="H462" t="s">
        <v>23</v>
      </c>
      <c r="I462">
        <f>VLOOKUP(Table4[[#This Row],[Visitor]],'NHL Model'!$A$6:$B$38,2,FALSE)</f>
        <v>-0.43955182119289299</v>
      </c>
      <c r="J462">
        <f>($B$1+Table4[[#This Row],[Home Differential]])-Table4[[#This Row],[Away Differential]]</f>
        <v>-0.63113421797792912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0.53412433256687397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-0.53356664249341723</v>
      </c>
      <c r="H463" t="s">
        <v>34</v>
      </c>
      <c r="I463">
        <f>VLOOKUP(Table4[[#This Row],[Visitor]],'NHL Model'!$A$6:$B$38,2,FALSE)</f>
        <v>6.3765445873038576E-2</v>
      </c>
      <c r="J463">
        <f>($B$1+Table4[[#This Row],[Home Differential]])-Table4[[#This Row],[Away Differential]]</f>
        <v>-0.57049760962563933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0.58629062553198086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-0.38335501658895638</v>
      </c>
      <c r="H464" t="s">
        <v>37</v>
      </c>
      <c r="I464">
        <f>VLOOKUP(Table4[[#This Row],[Visitor]],'NHL Model'!$A$6:$B$38,2,FALSE)</f>
        <v>0.58787033474453221</v>
      </c>
      <c r="J464">
        <f>($B$1+Table4[[#This Row],[Home Differential]])-Table4[[#This Row],[Away Differential]]</f>
        <v>-0.94439087259267207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0.64353831380949789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-5.8660643157088771E-2</v>
      </c>
      <c r="H465" t="s">
        <v>13</v>
      </c>
      <c r="I465">
        <f>VLOOKUP(Table4[[#This Row],[Visitor]],'NHL Model'!$A$6:$B$38,2,FALSE)</f>
        <v>-0.27930615658534785</v>
      </c>
      <c r="J465">
        <f>($B$1+Table4[[#This Row],[Home Differential]])-Table4[[#This Row],[Away Differential]]</f>
        <v>0.24747999216907557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0.54377147366561096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-0.83165982757888468</v>
      </c>
      <c r="H466" t="s">
        <v>26</v>
      </c>
      <c r="I466">
        <f>VLOOKUP(Table4[[#This Row],[Visitor]],'NHL Model'!$A$6:$B$38,2,FALSE)</f>
        <v>-0.72022444935789065</v>
      </c>
      <c r="J466">
        <f>($B$1+Table4[[#This Row],[Home Differential]])-Table4[[#This Row],[Away Differential]]</f>
        <v>-8.4600899480177572E-2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0.46993605643600939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0.52315764934699704</v>
      </c>
      <c r="H467" t="s">
        <v>28</v>
      </c>
      <c r="I467">
        <f>VLOOKUP(Table4[[#This Row],[Visitor]],'NHL Model'!$A$6:$B$38,2,FALSE)</f>
        <v>-0.45544062464079677</v>
      </c>
      <c r="J467">
        <f>($B$1+Table4[[#This Row],[Home Differential]])-Table4[[#This Row],[Away Differential]]</f>
        <v>1.0054327527286102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0.70631957732393214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-0.70231133461274453</v>
      </c>
      <c r="H468" t="s">
        <v>23</v>
      </c>
      <c r="I468">
        <f>VLOOKUP(Table4[[#This Row],[Visitor]],'NHL Model'!$A$6:$B$38,2,FALSE)</f>
        <v>-0.43955182119289299</v>
      </c>
      <c r="J468">
        <f>($B$1+Table4[[#This Row],[Home Differential]])-Table4[[#This Row],[Away Differential]]</f>
        <v>-0.23592503467903508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0.48770850515351338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-0.50446035262371991</v>
      </c>
      <c r="H469" t="s">
        <v>37</v>
      </c>
      <c r="I469">
        <f>VLOOKUP(Table4[[#This Row],[Visitor]],'NHL Model'!$A$6:$B$38,2,FALSE)</f>
        <v>0.58787033474453221</v>
      </c>
      <c r="J469">
        <f>($B$1+Table4[[#This Row],[Home Differential]])-Table4[[#This Row],[Away Differential]]</f>
        <v>-1.0654962086274358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0.6577616785838315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-1.1040951755058253</v>
      </c>
      <c r="H470" t="s">
        <v>12</v>
      </c>
      <c r="I470">
        <f>VLOOKUP(Table4[[#This Row],[Visitor]],'NHL Model'!$A$6:$B$38,2,FALSE)</f>
        <v>1.7050699520681891</v>
      </c>
      <c r="J470">
        <f>($B$1+Table4[[#This Row],[Home Differential]])-Table4[[#This Row],[Away Differential]]</f>
        <v>-2.7823306488331978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0.8593974057922158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-2.8228251376645769E-2</v>
      </c>
      <c r="H471" t="s">
        <v>20</v>
      </c>
      <c r="I471">
        <f>VLOOKUP(Table4[[#This Row],[Visitor]],'NHL Model'!$A$6:$B$38,2,FALSE)</f>
        <v>-0.12684993818444543</v>
      </c>
      <c r="J471">
        <f>($B$1+Table4[[#This Row],[Home Differential]])-Table4[[#This Row],[Away Differential]]</f>
        <v>0.12545616554861613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0.55473435328460619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-0.31206928170612303</v>
      </c>
      <c r="H472" t="s">
        <v>24</v>
      </c>
      <c r="I472">
        <f>VLOOKUP(Table4[[#This Row],[Visitor]],'NHL Model'!$A$6:$B$38,2,FALSE)</f>
        <v>1.2368486032251671E-3</v>
      </c>
      <c r="J472">
        <f>($B$1+Table4[[#This Row],[Home Differential]])-Table4[[#This Row],[Away Differential]]</f>
        <v>-0.28647165156853172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0.51190588415479243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-0.15216510880280634</v>
      </c>
      <c r="H473" t="s">
        <v>33</v>
      </c>
      <c r="I473">
        <f>VLOOKUP(Table4[[#This Row],[Visitor]],'NHL Model'!$A$6:$B$38,2,FALSE)</f>
        <v>-0.51080431935976611</v>
      </c>
      <c r="J473">
        <f>($B$1+Table4[[#This Row],[Home Differential]])-Table4[[#This Row],[Away Differential]]</f>
        <v>0.38547368929777626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0.61131016622501089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-1.1494940880477545E-2</v>
      </c>
      <c r="H474" t="s">
        <v>31</v>
      </c>
      <c r="I474">
        <f>VLOOKUP(Table4[[#This Row],[Visitor]],'NHL Model'!$A$6:$B$38,2,FALSE)</f>
        <v>6.0998961494444972E-3</v>
      </c>
      <c r="J474">
        <f>($B$1+Table4[[#This Row],[Home Differential]])-Table4[[#This Row],[Away Differential]]</f>
        <v>9.2396417108944438E-3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0.52031593028759071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-1.2546198289988155</v>
      </c>
      <c r="H475" t="s">
        <v>21</v>
      </c>
      <c r="I475">
        <f>VLOOKUP(Table4[[#This Row],[Visitor]],'NHL Model'!$A$6:$B$38,2,FALSE)</f>
        <v>-0.15717729503670502</v>
      </c>
      <c r="J475">
        <f>($B$1+Table4[[#This Row],[Home Differential]])-Table4[[#This Row],[Away Differential]]</f>
        <v>-1.070608055221294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0.5857388765708984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-0.25388173436787664</v>
      </c>
      <c r="H476" t="s">
        <v>39</v>
      </c>
      <c r="I476">
        <f>VLOOKUP(Table4[[#This Row],[Visitor]],'NHL Model'!$A$6:$B$38,2,FALSE)</f>
        <v>0.57663845568176975</v>
      </c>
      <c r="J476">
        <f>($B$1+Table4[[#This Row],[Home Differential]])-Table4[[#This Row],[Away Differential]]</f>
        <v>-0.80368571130882993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0.64438985440397023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-1.0975205179116387</v>
      </c>
      <c r="H477" t="s">
        <v>26</v>
      </c>
      <c r="I477">
        <f>VLOOKUP(Table4[[#This Row],[Visitor]],'NHL Model'!$A$6:$B$38,2,FALSE)</f>
        <v>-0.72022444935789065</v>
      </c>
      <c r="J477">
        <f>($B$1+Table4[[#This Row],[Home Differential]])-Table4[[#This Row],[Away Differential]]</f>
        <v>-0.35046158981293152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0.50116039139572932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-0.1280954603767317</v>
      </c>
      <c r="H478" t="s">
        <v>15</v>
      </c>
      <c r="I478">
        <f>VLOOKUP(Table4[[#This Row],[Visitor]],'NHL Model'!$A$6:$B$38,2,FALSE)</f>
        <v>-0.10354486814940167</v>
      </c>
      <c r="J478">
        <f>($B$1+Table4[[#This Row],[Home Differential]])-Table4[[#This Row],[Away Differential]]</f>
        <v>2.2838865134864605E-3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0.44018676745855712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-0.53356664249341723</v>
      </c>
      <c r="H479" t="s">
        <v>13</v>
      </c>
      <c r="I479">
        <f>VLOOKUP(Table4[[#This Row],[Visitor]],'NHL Model'!$A$6:$B$38,2,FALSE)</f>
        <v>-0.27930615658534785</v>
      </c>
      <c r="J479">
        <f>($B$1+Table4[[#This Row],[Home Differential]])-Table4[[#This Row],[Away Differential]]</f>
        <v>-0.22742600716725292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0.55302611591364792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-5.8660643157088771E-2</v>
      </c>
      <c r="H480" t="s">
        <v>11</v>
      </c>
      <c r="I480">
        <f>VLOOKUP(Table4[[#This Row],[Visitor]],'NHL Model'!$A$6:$B$38,2,FALSE)</f>
        <v>-0.42252386696344346</v>
      </c>
      <c r="J480">
        <f>($B$1+Table4[[#This Row],[Home Differential]])-Table4[[#This Row],[Away Differential]]</f>
        <v>0.39069770254717118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0.62631714846745656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-0.45544062464079677</v>
      </c>
      <c r="H481" t="s">
        <v>36</v>
      </c>
      <c r="I481">
        <f>VLOOKUP(Table4[[#This Row],[Visitor]],'NHL Model'!$A$6:$B$38,2,FALSE)</f>
        <v>-0.31206928170612303</v>
      </c>
      <c r="J481">
        <f>($B$1+Table4[[#This Row],[Home Differential]])-Table4[[#This Row],[Away Differential]]</f>
        <v>-0.11653686419385723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0.47726297393433281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1.7050699520681891</v>
      </c>
      <c r="H482" t="s">
        <v>11</v>
      </c>
      <c r="I482">
        <f>VLOOKUP(Table4[[#This Row],[Visitor]],'NHL Model'!$A$6:$B$38,2,FALSE)</f>
        <v>-0.42252386696344346</v>
      </c>
      <c r="J482">
        <f>($B$1+Table4[[#This Row],[Home Differential]])-Table4[[#This Row],[Away Differential]]</f>
        <v>2.1544282977724492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0.90085044053490781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-0.70231133461274453</v>
      </c>
      <c r="H483" t="s">
        <v>26</v>
      </c>
      <c r="I483">
        <f>VLOOKUP(Table4[[#This Row],[Visitor]],'NHL Model'!$A$6:$B$38,2,FALSE)</f>
        <v>-0.72022444935789065</v>
      </c>
      <c r="J483">
        <f>($B$1+Table4[[#This Row],[Home Differential]])-Table4[[#This Row],[Away Differential]]</f>
        <v>4.4747593485962578E-2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0.54525543601763138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6.3765445873038576E-2</v>
      </c>
      <c r="H484" t="s">
        <v>39</v>
      </c>
      <c r="I484">
        <f>VLOOKUP(Table4[[#This Row],[Visitor]],'NHL Model'!$A$6:$B$38,2,FALSE)</f>
        <v>0.57663845568176975</v>
      </c>
      <c r="J484">
        <f>($B$1+Table4[[#This Row],[Home Differential]])-Table4[[#This Row],[Away Differential]]</f>
        <v>-0.48603853106791467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0.6095695794456194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1.2368486032251671E-3</v>
      </c>
      <c r="H485" t="s">
        <v>37</v>
      </c>
      <c r="I485">
        <f>VLOOKUP(Table4[[#This Row],[Visitor]],'NHL Model'!$A$6:$B$38,2,FALSE)</f>
        <v>0.58787033474453221</v>
      </c>
      <c r="J485">
        <f>($B$1+Table4[[#This Row],[Home Differential]])-Table4[[#This Row],[Away Differential]]</f>
        <v>-0.5597990074004906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0.5363345165337936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-1.1040951755058253</v>
      </c>
      <c r="H486" t="s">
        <v>35</v>
      </c>
      <c r="I486">
        <f>VLOOKUP(Table4[[#This Row],[Visitor]],'NHL Model'!$A$6:$B$38,2,FALSE)</f>
        <v>-1.2546198289988155</v>
      </c>
      <c r="J486">
        <f>($B$1+Table4[[#This Row],[Home Differential]])-Table4[[#This Row],[Away Differential]]</f>
        <v>0.17735913223380684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0.56083016088652415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-2.8228251376645769E-2</v>
      </c>
      <c r="H487" t="s">
        <v>31</v>
      </c>
      <c r="I487">
        <f>VLOOKUP(Table4[[#This Row],[Visitor]],'NHL Model'!$A$6:$B$38,2,FALSE)</f>
        <v>6.0998961494444972E-3</v>
      </c>
      <c r="J487">
        <f>($B$1+Table4[[#This Row],[Home Differential]])-Table4[[#This Row],[Away Differential]]</f>
        <v>-7.4936687852737802E-3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0.48164933389367431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-0.15216510880280634</v>
      </c>
      <c r="H488" t="s">
        <v>20</v>
      </c>
      <c r="I488">
        <f>VLOOKUP(Table4[[#This Row],[Visitor]],'NHL Model'!$A$6:$B$38,2,FALSE)</f>
        <v>-0.12684993818444543</v>
      </c>
      <c r="J488">
        <f>($B$1+Table4[[#This Row],[Home Differential]])-Table4[[#This Row],[Away Differential]]</f>
        <v>1.5193081224555705E-3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0.56621617285553238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-1.1494940880477545E-2</v>
      </c>
      <c r="H489" t="s">
        <v>18</v>
      </c>
      <c r="I489">
        <f>VLOOKUP(Table4[[#This Row],[Visitor]],'NHL Model'!$A$6:$B$38,2,FALSE)</f>
        <v>-0.50446035262371991</v>
      </c>
      <c r="J489">
        <f>($B$1+Table4[[#This Row],[Home Differential]])-Table4[[#This Row],[Away Differential]]</f>
        <v>0.51979989048405884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0.54176070205075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-0.38335501658895638</v>
      </c>
      <c r="H490" t="s">
        <v>33</v>
      </c>
      <c r="I490">
        <f>VLOOKUP(Table4[[#This Row],[Visitor]],'NHL Model'!$A$6:$B$38,2,FALSE)</f>
        <v>-0.51080431935976611</v>
      </c>
      <c r="J490">
        <f>($B$1+Table4[[#This Row],[Home Differential]])-Table4[[#This Row],[Away Differential]]</f>
        <v>0.15428378151162625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0.55812004800988724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-0.83165982757888468</v>
      </c>
      <c r="H491" t="s">
        <v>23</v>
      </c>
      <c r="I491">
        <f>VLOOKUP(Table4[[#This Row],[Visitor]],'NHL Model'!$A$6:$B$38,2,FALSE)</f>
        <v>-0.43955182119289299</v>
      </c>
      <c r="J491">
        <f>($B$1+Table4[[#This Row],[Home Differential]])-Table4[[#This Row],[Away Differential]]</f>
        <v>-0.36527352764517523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0.50289999760715398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-0.25388173436787664</v>
      </c>
      <c r="H492" t="s">
        <v>21</v>
      </c>
      <c r="I492">
        <f>VLOOKUP(Table4[[#This Row],[Visitor]],'NHL Model'!$A$6:$B$38,2,FALSE)</f>
        <v>-0.15717729503670502</v>
      </c>
      <c r="J492">
        <f>($B$1+Table4[[#This Row],[Home Differential]])-Table4[[#This Row],[Away Differential]]</f>
        <v>-6.9869960590355135E-2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0.46571048404041471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0.78208997208538333</v>
      </c>
      <c r="H493" t="s">
        <v>25</v>
      </c>
      <c r="I493">
        <f>VLOOKUP(Table4[[#This Row],[Visitor]],'NHL Model'!$A$6:$B$38,2,FALSE)</f>
        <v>0.52315764934699704</v>
      </c>
      <c r="J493">
        <f>($B$1+Table4[[#This Row],[Home Differential]])-Table4[[#This Row],[Away Differential]]</f>
        <v>0.28576680147920275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0.52723311868200484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-1.2546198289988155</v>
      </c>
      <c r="H494" t="s">
        <v>10</v>
      </c>
      <c r="I494">
        <f>VLOOKUP(Table4[[#This Row],[Visitor]],'NHL Model'!$A$6:$B$38,2,FALSE)</f>
        <v>-0.1280954603767317</v>
      </c>
      <c r="J494">
        <f>($B$1+Table4[[#This Row],[Home Differential]])-Table4[[#This Row],[Away Differential]]</f>
        <v>-1.0996898898812673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0.5891544283229444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-5.8660643157088771E-2</v>
      </c>
      <c r="H495" t="s">
        <v>32</v>
      </c>
      <c r="I495">
        <f>VLOOKUP(Table4[[#This Row],[Visitor]],'NHL Model'!$A$6:$B$38,2,FALSE)</f>
        <v>-0.53356664249341723</v>
      </c>
      <c r="J495">
        <f>($B$1+Table4[[#This Row],[Home Differential]])-Table4[[#This Row],[Away Differential]]</f>
        <v>0.50174047807714495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0.63935870347758339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-0.45544062464079677</v>
      </c>
      <c r="H496" t="s">
        <v>20</v>
      </c>
      <c r="I496">
        <f>VLOOKUP(Table4[[#This Row],[Visitor]],'NHL Model'!$A$6:$B$38,2,FALSE)</f>
        <v>-0.12684993818444543</v>
      </c>
      <c r="J496">
        <f>($B$1+Table4[[#This Row],[Home Differential]])-Table4[[#This Row],[Away Differential]]</f>
        <v>-0.3017562077155348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0.49544012803883053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-0.1280954603767317</v>
      </c>
      <c r="H497" t="s">
        <v>26</v>
      </c>
      <c r="I497">
        <f>VLOOKUP(Table4[[#This Row],[Visitor]],'NHL Model'!$A$6:$B$38,2,FALSE)</f>
        <v>-0.72022444935789065</v>
      </c>
      <c r="J497">
        <f>($B$1+Table4[[#This Row],[Home Differential]])-Table4[[#This Row],[Away Differential]]</f>
        <v>0.61896346772197541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0.61269492387081081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1.7050699520681891</v>
      </c>
      <c r="H498" t="s">
        <v>29</v>
      </c>
      <c r="I498">
        <f>VLOOKUP(Table4[[#This Row],[Visitor]],'NHL Model'!$A$6:$B$38,2,FALSE)</f>
        <v>-1.1040951755058253</v>
      </c>
      <c r="J498">
        <f>($B$1+Table4[[#This Row],[Home Differential]])-Table4[[#This Row],[Away Differential]]</f>
        <v>2.8359996063148309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0.98089841908422126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0.57663845568176975</v>
      </c>
      <c r="H499" t="s">
        <v>11</v>
      </c>
      <c r="I499">
        <f>VLOOKUP(Table4[[#This Row],[Visitor]],'NHL Model'!$A$6:$B$38,2,FALSE)</f>
        <v>-0.42252386696344346</v>
      </c>
      <c r="J499">
        <f>($B$1+Table4[[#This Row],[Home Differential]])-Table4[[#This Row],[Away Differential]]</f>
        <v>1.0259968013860297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0.69274551893911562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-0.27930615658534785</v>
      </c>
      <c r="H500" t="s">
        <v>16</v>
      </c>
      <c r="I500">
        <f>VLOOKUP(Table4[[#This Row],[Visitor]],'NHL Model'!$A$6:$B$38,2,FALSE)</f>
        <v>-1.0975205179116387</v>
      </c>
      <c r="J500">
        <f>($B$1+Table4[[#This Row],[Home Differential]])-Table4[[#This Row],[Away Differential]]</f>
        <v>0.84504884006710734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0.6392477978092701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6.3765445873038576E-2</v>
      </c>
      <c r="H501" t="s">
        <v>36</v>
      </c>
      <c r="I501">
        <f>VLOOKUP(Table4[[#This Row],[Visitor]],'NHL Model'!$A$6:$B$38,2,FALSE)</f>
        <v>-0.31206928170612303</v>
      </c>
      <c r="J501">
        <f>($B$1+Table4[[#This Row],[Home Differential]])-Table4[[#This Row],[Away Differential]]</f>
        <v>0.4026692063199781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0.58371582002935163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1.2368486032251671E-3</v>
      </c>
      <c r="H502" t="s">
        <v>31</v>
      </c>
      <c r="I502">
        <f>VLOOKUP(Table4[[#This Row],[Visitor]],'NHL Model'!$A$6:$B$38,2,FALSE)</f>
        <v>6.0998961494444972E-3</v>
      </c>
      <c r="J502">
        <f>($B$1+Table4[[#This Row],[Home Differential]])-Table4[[#This Row],[Away Differential]]</f>
        <v>2.1971431194597157E-2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0.58322562298364733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-2.8228251376645769E-2</v>
      </c>
      <c r="H503" t="s">
        <v>37</v>
      </c>
      <c r="I503">
        <f>VLOOKUP(Table4[[#This Row],[Visitor]],'NHL Model'!$A$6:$B$38,2,FALSE)</f>
        <v>0.58787033474453221</v>
      </c>
      <c r="J503">
        <f>($B$1+Table4[[#This Row],[Home Differential]])-Table4[[#This Row],[Away Differential]]</f>
        <v>-0.5892641073803615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0.60183001516530055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-0.10354486814940167</v>
      </c>
      <c r="H504" t="s">
        <v>18</v>
      </c>
      <c r="I504">
        <f>VLOOKUP(Table4[[#This Row],[Visitor]],'NHL Model'!$A$6:$B$38,2,FALSE)</f>
        <v>-0.50446035262371991</v>
      </c>
      <c r="J504">
        <f>($B$1+Table4[[#This Row],[Home Differential]])-Table4[[#This Row],[Away Differential]]</f>
        <v>0.4277499632151347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0.53094978540690407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-0.15216510880280634</v>
      </c>
      <c r="H505" t="s">
        <v>25</v>
      </c>
      <c r="I505">
        <f>VLOOKUP(Table4[[#This Row],[Visitor]],'NHL Model'!$A$6:$B$38,2,FALSE)</f>
        <v>0.52315764934699704</v>
      </c>
      <c r="J505">
        <f>($B$1+Table4[[#This Row],[Home Differential]])-Table4[[#This Row],[Away Differential]]</f>
        <v>-0.6484882794089869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0.58249161552733486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-1.1494940880477545E-2</v>
      </c>
      <c r="H506" t="s">
        <v>33</v>
      </c>
      <c r="I506">
        <f>VLOOKUP(Table4[[#This Row],[Visitor]],'NHL Model'!$A$6:$B$38,2,FALSE)</f>
        <v>-0.51080431935976611</v>
      </c>
      <c r="J506">
        <f>($B$1+Table4[[#This Row],[Home Differential]])-Table4[[#This Row],[Away Differential]]</f>
        <v>0.52614385722010504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0.60179361083534966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-0.38335501658895638</v>
      </c>
      <c r="H507" t="s">
        <v>17</v>
      </c>
      <c r="I507">
        <f>VLOOKUP(Table4[[#This Row],[Visitor]],'NHL Model'!$A$6:$B$38,2,FALSE)</f>
        <v>-0.70231133461274453</v>
      </c>
      <c r="J507">
        <f>($B$1+Table4[[#This Row],[Home Differential]])-Table4[[#This Row],[Away Differential]]</f>
        <v>0.34579079676460467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0.58061182437558823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-0.25388173436787664</v>
      </c>
      <c r="H508" t="s">
        <v>22</v>
      </c>
      <c r="I508">
        <f>VLOOKUP(Table4[[#This Row],[Visitor]],'NHL Model'!$A$6:$B$38,2,FALSE)</f>
        <v>0.78208997208538333</v>
      </c>
      <c r="J508">
        <f>($B$1+Table4[[#This Row],[Home Differential]])-Table4[[#This Row],[Away Differential]]</f>
        <v>-1.0091372277124435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0.64863984174348022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0.52315764934699704</v>
      </c>
      <c r="H509" t="s">
        <v>27</v>
      </c>
      <c r="I509">
        <f>VLOOKUP(Table4[[#This Row],[Visitor]],'NHL Model'!$A$6:$B$38,2,FALSE)</f>
        <v>-0.15216510880280634</v>
      </c>
      <c r="J509">
        <f>($B$1+Table4[[#This Row],[Home Differential]])-Table4[[#This Row],[Away Differential]]</f>
        <v>0.70215723689061982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0.63246571816097874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6.3765445873038576E-2</v>
      </c>
      <c r="H510" t="s">
        <v>21</v>
      </c>
      <c r="I510">
        <f>VLOOKUP(Table4[[#This Row],[Visitor]],'NHL Model'!$A$6:$B$38,2,FALSE)</f>
        <v>-0.15717729503670502</v>
      </c>
      <c r="J510">
        <f>($B$1+Table4[[#This Row],[Home Differential]])-Table4[[#This Row],[Away Differential]]</f>
        <v>0.2477772196505601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0.56910049955890019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-0.50446035262371991</v>
      </c>
      <c r="H511" t="s">
        <v>17</v>
      </c>
      <c r="I511">
        <f>VLOOKUP(Table4[[#This Row],[Visitor]],'NHL Model'!$A$6:$B$38,2,FALSE)</f>
        <v>-0.70231133461274453</v>
      </c>
      <c r="J511">
        <f>($B$1+Table4[[#This Row],[Home Differential]])-Table4[[#This Row],[Away Differential]]</f>
        <v>0.22468546072984108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0.56638845960125472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1.2368486032251671E-3</v>
      </c>
      <c r="H512" t="s">
        <v>38</v>
      </c>
      <c r="I512">
        <f>VLOOKUP(Table4[[#This Row],[Visitor]],'NHL Model'!$A$6:$B$38,2,FALSE)</f>
        <v>-0.83165982757888468</v>
      </c>
      <c r="J512">
        <f>($B$1+Table4[[#This Row],[Home Differential]])-Table4[[#This Row],[Away Differential]]</f>
        <v>0.85973115492292629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0.7017732483819823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-1.1494940880477545E-2</v>
      </c>
      <c r="H513" t="s">
        <v>55</v>
      </c>
      <c r="I513">
        <f>VLOOKUP(Table4[[#This Row],[Visitor]],'NHL Model'!$A$6:$B$38,2,FALSE)</f>
        <v>-5.8660643157088771E-2</v>
      </c>
      <c r="J513">
        <f>($B$1+Table4[[#This Row],[Home Differential]])-Table4[[#This Row],[Away Differential]]</f>
        <v>7.400018101742771E-2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0.54869104205016583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-0.53356664249341723</v>
      </c>
      <c r="H514" t="s">
        <v>23</v>
      </c>
      <c r="I514">
        <f>VLOOKUP(Table4[[#This Row],[Visitor]],'NHL Model'!$A$6:$B$38,2,FALSE)</f>
        <v>-0.43955182119289299</v>
      </c>
      <c r="J514">
        <f>($B$1+Table4[[#This Row],[Home Differential]])-Table4[[#This Row],[Away Differential]]</f>
        <v>-6.7180342559707784E-2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0.46789007775526192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0.57663845568176975</v>
      </c>
      <c r="H515" t="s">
        <v>13</v>
      </c>
      <c r="I515">
        <f>VLOOKUP(Table4[[#This Row],[Visitor]],'NHL Model'!$A$6:$B$38,2,FALSE)</f>
        <v>-0.27930615658534785</v>
      </c>
      <c r="J515">
        <f>($B$1+Table4[[#This Row],[Home Differential]])-Table4[[#This Row],[Away Differential]]</f>
        <v>0.88277909100793406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0.61000818734618445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-0.10354486814940167</v>
      </c>
      <c r="H516" t="s">
        <v>31</v>
      </c>
      <c r="I516">
        <f>VLOOKUP(Table4[[#This Row],[Visitor]],'NHL Model'!$A$6:$B$38,2,FALSE)</f>
        <v>6.0998961494444972E-3</v>
      </c>
      <c r="J516">
        <f>($B$1+Table4[[#This Row],[Home Differential]])-Table4[[#This Row],[Away Differential]]</f>
        <v>-8.2810285558029675E-2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0.49049498635625521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-1.2546198289988155</v>
      </c>
      <c r="H517" t="s">
        <v>29</v>
      </c>
      <c r="I517">
        <f>VLOOKUP(Table4[[#This Row],[Visitor]],'NHL Model'!$A$6:$B$38,2,FALSE)</f>
        <v>-1.1040951755058253</v>
      </c>
      <c r="J517">
        <f>($B$1+Table4[[#This Row],[Home Differential]])-Table4[[#This Row],[Away Differential]]</f>
        <v>-0.1236901747521737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0.47452694432882975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0.58787033474453221</v>
      </c>
      <c r="H518" t="s">
        <v>11</v>
      </c>
      <c r="I518">
        <f>VLOOKUP(Table4[[#This Row],[Visitor]],'NHL Model'!$A$6:$B$38,2,FALSE)</f>
        <v>-0.42252386696344346</v>
      </c>
      <c r="J518">
        <f>($B$1+Table4[[#This Row],[Home Differential]])-Table4[[#This Row],[Away Differential]]</f>
        <v>1.0372286804487922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0.6940646607559966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-0.25388173436787664</v>
      </c>
      <c r="H519" t="s">
        <v>36</v>
      </c>
      <c r="I519">
        <f>VLOOKUP(Table4[[#This Row],[Visitor]],'NHL Model'!$A$6:$B$38,2,FALSE)</f>
        <v>-0.31206928170612303</v>
      </c>
      <c r="J519">
        <f>($B$1+Table4[[#This Row],[Home Differential]])-Table4[[#This Row],[Away Differential]]</f>
        <v>8.5022026079062868E-2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0.54890767185471701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-0.15717729503670502</v>
      </c>
      <c r="H520" t="s">
        <v>55</v>
      </c>
      <c r="I520">
        <f>VLOOKUP(Table4[[#This Row],[Visitor]],'NHL Model'!$A$6:$B$38,2,FALSE)</f>
        <v>-5.8660643157088771E-2</v>
      </c>
      <c r="J520">
        <f>($B$1+Table4[[#This Row],[Home Differential]])-Table4[[#This Row],[Away Differential]]</f>
        <v>-7.1682173138799765E-2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0.42551724636675914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-0.45544062464079677</v>
      </c>
      <c r="H521" t="s">
        <v>31</v>
      </c>
      <c r="I521">
        <f>VLOOKUP(Table4[[#This Row],[Visitor]],'NHL Model'!$A$6:$B$38,2,FALSE)</f>
        <v>6.0998961494444972E-3</v>
      </c>
      <c r="J521">
        <f>($B$1+Table4[[#This Row],[Home Differential]])-Table4[[#This Row],[Away Differential]]</f>
        <v>-0.43470604204942476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0.53182381521711097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-0.72022444935789065</v>
      </c>
      <c r="H522" t="s">
        <v>30</v>
      </c>
      <c r="I522">
        <f>VLOOKUP(Table4[[#This Row],[Visitor]],'NHL Model'!$A$6:$B$38,2,FALSE)</f>
        <v>-2.8228251376645769E-2</v>
      </c>
      <c r="J522">
        <f>($B$1+Table4[[#This Row],[Home Differential]])-Table4[[#This Row],[Away Differential]]</f>
        <v>-0.66516171924042844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0.60056971379271218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6.3765445873038576E-2</v>
      </c>
      <c r="H523" t="s">
        <v>22</v>
      </c>
      <c r="I523">
        <f>VLOOKUP(Table4[[#This Row],[Visitor]],'NHL Model'!$A$6:$B$38,2,FALSE)</f>
        <v>0.78208997208538333</v>
      </c>
      <c r="J523">
        <f>($B$1+Table4[[#This Row],[Home Differential]])-Table4[[#This Row],[Away Differential]]</f>
        <v>-0.69149004747152831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0.61383606611997077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-0.50446035262371991</v>
      </c>
      <c r="H524" t="s">
        <v>27</v>
      </c>
      <c r="I524">
        <f>VLOOKUP(Table4[[#This Row],[Visitor]],'NHL Model'!$A$6:$B$38,2,FALSE)</f>
        <v>-0.15216510880280634</v>
      </c>
      <c r="J524">
        <f>($B$1+Table4[[#This Row],[Home Differential]])-Table4[[#This Row],[Away Differential]]</f>
        <v>-0.32546076508009714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0.54073670167562382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-0.10354486814940167</v>
      </c>
      <c r="H525" t="s">
        <v>38</v>
      </c>
      <c r="I525">
        <f>VLOOKUP(Table4[[#This Row],[Visitor]],'NHL Model'!$A$6:$B$38,2,FALSE)</f>
        <v>-0.83165982757888468</v>
      </c>
      <c r="J525">
        <f>($B$1+Table4[[#This Row],[Home Differential]])-Table4[[#This Row],[Away Differential]]</f>
        <v>0.75494943817029947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0.62866596301084543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-1.1494940880477545E-2</v>
      </c>
      <c r="H526" t="s">
        <v>17</v>
      </c>
      <c r="I526">
        <f>VLOOKUP(Table4[[#This Row],[Visitor]],'NHL Model'!$A$6:$B$38,2,FALSE)</f>
        <v>-0.70231133461274453</v>
      </c>
      <c r="J526">
        <f>($B$1+Table4[[#This Row],[Home Differential]])-Table4[[#This Row],[Away Differential]]</f>
        <v>0.71765087247308346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0.62428538720105065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-0.53356664249341723</v>
      </c>
      <c r="H527" t="s">
        <v>12</v>
      </c>
      <c r="I527">
        <f>VLOOKUP(Table4[[#This Row],[Visitor]],'NHL Model'!$A$6:$B$38,2,FALSE)</f>
        <v>1.7050699520681891</v>
      </c>
      <c r="J527">
        <f>($B$1+Table4[[#This Row],[Home Differential]])-Table4[[#This Row],[Away Differential]]</f>
        <v>-2.2118021158207899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0.79239098225302929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-0.51080431935976611</v>
      </c>
      <c r="H528" t="s">
        <v>16</v>
      </c>
      <c r="I528">
        <f>VLOOKUP(Table4[[#This Row],[Visitor]],'NHL Model'!$A$6:$B$38,2,FALSE)</f>
        <v>-1.0975205179116387</v>
      </c>
      <c r="J528">
        <f>($B$1+Table4[[#This Row],[Home Differential]])-Table4[[#This Row],[Away Differential]]</f>
        <v>0.61355067729268908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0.61205921205790881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-0.38335501658895638</v>
      </c>
      <c r="H529" t="s">
        <v>10</v>
      </c>
      <c r="I529">
        <f>VLOOKUP(Table4[[#This Row],[Visitor]],'NHL Model'!$A$6:$B$38,2,FALSE)</f>
        <v>-0.1280954603767317</v>
      </c>
      <c r="J529">
        <f>($B$1+Table4[[#This Row],[Home Differential]])-Table4[[#This Row],[Away Differential]]</f>
        <v>-0.22842507747140817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0.48682766347759127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-0.72022444935789065</v>
      </c>
      <c r="H530" t="s">
        <v>55</v>
      </c>
      <c r="I530">
        <f>VLOOKUP(Table4[[#This Row],[Visitor]],'NHL Model'!$A$6:$B$38,2,FALSE)</f>
        <v>-5.8660643157088771E-2</v>
      </c>
      <c r="J530">
        <f>($B$1+Table4[[#This Row],[Home Differential]])-Table4[[#This Row],[Away Differential]]</f>
        <v>-0.63472932745998545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0.52442431522206878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-0.42252386696344346</v>
      </c>
      <c r="H531" t="s">
        <v>13</v>
      </c>
      <c r="I531">
        <f>VLOOKUP(Table4[[#This Row],[Visitor]],'NHL Model'!$A$6:$B$38,2,FALSE)</f>
        <v>-0.27930615658534785</v>
      </c>
      <c r="J531">
        <f>($B$1+Table4[[#This Row],[Home Differential]])-Table4[[#This Row],[Away Differential]]</f>
        <v>-0.11638323163727915</v>
      </c>
      <c r="K531" t="str">
        <f>IF(Table4[[#This Row],[HomeIce Differential]]&gt;0,Table4[[#This Row],[Home]],Table4[[#This Row],[Visitor]])</f>
        <v>Los Angeles Kings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0.53998456090352109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-1.1040951755058253</v>
      </c>
      <c r="H532" t="s">
        <v>25</v>
      </c>
      <c r="I532">
        <f>VLOOKUP(Table4[[#This Row],[Visitor]],'NHL Model'!$A$6:$B$38,2,FALSE)</f>
        <v>0.52315764934699704</v>
      </c>
      <c r="J532">
        <f>($B$1+Table4[[#This Row],[Home Differential]])-Table4[[#This Row],[Away Differential]]</f>
        <v>-1.6004183461120056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0.72058626531488379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-1.2546198289988155</v>
      </c>
      <c r="H533" t="s">
        <v>40</v>
      </c>
      <c r="I533">
        <f>VLOOKUP(Table4[[#This Row],[Visitor]],'NHL Model'!$A$6:$B$38,2,FALSE)</f>
        <v>-0.25388173436787664</v>
      </c>
      <c r="J533">
        <f>($B$1+Table4[[#This Row],[Home Differential]])-Table4[[#This Row],[Away Differential]]</f>
        <v>-0.97390361589012231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0.57795746398769388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-0.12684993818444543</v>
      </c>
      <c r="H534" t="s">
        <v>24</v>
      </c>
      <c r="I534">
        <f>VLOOKUP(Table4[[#This Row],[Visitor]],'NHL Model'!$A$6:$B$38,2,FALSE)</f>
        <v>1.2368486032251671E-3</v>
      </c>
      <c r="J534">
        <f>($B$1+Table4[[#This Row],[Home Differential]])-Table4[[#This Row],[Away Differential]]</f>
        <v>-0.1012523080468541</v>
      </c>
      <c r="K534" t="str">
        <f>IF(Table4[[#This Row],[HomeIce Differential]]&gt;0,Table4[[#This Row],[Home]],Table4[[#This Row],[Visitor]])</f>
        <v>New Jersey Devils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0.49266093231391078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-0.15717729503670502</v>
      </c>
      <c r="H535" t="s">
        <v>17</v>
      </c>
      <c r="I535">
        <f>VLOOKUP(Table4[[#This Row],[Visitor]],'NHL Model'!$A$6:$B$38,2,FALSE)</f>
        <v>-0.70231133461274453</v>
      </c>
      <c r="J535">
        <f>($B$1+Table4[[#This Row],[Home Differential]])-Table4[[#This Row],[Away Differential]]</f>
        <v>0.57196851831685602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0.65007709878412567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-0.43955182119289299</v>
      </c>
      <c r="H536" t="s">
        <v>27</v>
      </c>
      <c r="I536">
        <f>VLOOKUP(Table4[[#This Row],[Visitor]],'NHL Model'!$A$6:$B$38,2,FALSE)</f>
        <v>-0.15216510880280634</v>
      </c>
      <c r="J536">
        <f>($B$1+Table4[[#This Row],[Home Differential]])-Table4[[#This Row],[Away Differential]]</f>
        <v>-0.26055223364927016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0.52290856905929273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-0.45544062464079677</v>
      </c>
      <c r="H537" t="s">
        <v>34</v>
      </c>
      <c r="I537">
        <f>VLOOKUP(Table4[[#This Row],[Visitor]],'NHL Model'!$A$6:$B$38,2,FALSE)</f>
        <v>6.3765445873038576E-2</v>
      </c>
      <c r="J537">
        <f>($B$1+Table4[[#This Row],[Home Differential]])-Table4[[#This Row],[Away Differential]]</f>
        <v>-0.49237159177301881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0.57711501951273048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-1.0975205179116387</v>
      </c>
      <c r="H538" t="s">
        <v>32</v>
      </c>
      <c r="I538">
        <f>VLOOKUP(Table4[[#This Row],[Visitor]],'NHL Model'!$A$6:$B$38,2,FALSE)</f>
        <v>-0.53356664249341723</v>
      </c>
      <c r="J538">
        <f>($B$1+Table4[[#This Row],[Home Differential]])-Table4[[#This Row],[Away Differential]]</f>
        <v>-0.53711939667740494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0.52308264653276482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-0.50446035262371991</v>
      </c>
      <c r="H539" t="s">
        <v>10</v>
      </c>
      <c r="I539">
        <f>VLOOKUP(Table4[[#This Row],[Visitor]],'NHL Model'!$A$6:$B$38,2,FALSE)</f>
        <v>-0.1280954603767317</v>
      </c>
      <c r="J539">
        <f>($B$1+Table4[[#This Row],[Home Differential]])-Table4[[#This Row],[Away Differential]]</f>
        <v>-0.34953041350617176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0.50105102825192482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-0.31206928170612303</v>
      </c>
      <c r="H540" t="s">
        <v>14</v>
      </c>
      <c r="I540">
        <f>VLOOKUP(Table4[[#This Row],[Visitor]],'NHL Model'!$A$6:$B$38,2,FALSE)</f>
        <v>-1.1494940880477545E-2</v>
      </c>
      <c r="J540">
        <f>($B$1+Table4[[#This Row],[Home Differential]])-Table4[[#This Row],[Away Differential]]</f>
        <v>-0.27373986208482903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0.5289239075014589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-0.51080431935976611</v>
      </c>
      <c r="H541" t="s">
        <v>39</v>
      </c>
      <c r="I541">
        <f>VLOOKUP(Table4[[#This Row],[Visitor]],'NHL Model'!$A$6:$B$38,2,FALSE)</f>
        <v>0.57663845568176975</v>
      </c>
      <c r="J541">
        <f>($B$1+Table4[[#This Row],[Home Differential]])-Table4[[#This Row],[Away Differential]]</f>
        <v>-1.0606082963007193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0.6770506304611047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-1.2546198289988155</v>
      </c>
      <c r="H542" t="s">
        <v>15</v>
      </c>
      <c r="I542">
        <f>VLOOKUP(Table4[[#This Row],[Visitor]],'NHL Model'!$A$6:$B$38,2,FALSE)</f>
        <v>-0.10354486814940167</v>
      </c>
      <c r="J542">
        <f>($B$1+Table4[[#This Row],[Home Differential]])-Table4[[#This Row],[Away Differential]]</f>
        <v>-1.1242404821085974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0.69211926914323452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0.58787033474453221</v>
      </c>
      <c r="H543" t="s">
        <v>13</v>
      </c>
      <c r="I543">
        <f>VLOOKUP(Table4[[#This Row],[Visitor]],'NHL Model'!$A$6:$B$38,2,FALSE)</f>
        <v>-0.27930615658534785</v>
      </c>
      <c r="J543">
        <f>($B$1+Table4[[#This Row],[Home Differential]])-Table4[[#This Row],[Away Differential]]</f>
        <v>0.89401097007069652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0.61132732916306531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0.78208997208538333</v>
      </c>
      <c r="H544" t="s">
        <v>19</v>
      </c>
      <c r="I544">
        <f>VLOOKUP(Table4[[#This Row],[Visitor]],'NHL Model'!$A$6:$B$38,2,FALSE)</f>
        <v>-0.38335501658895638</v>
      </c>
      <c r="J544">
        <f>($B$1+Table4[[#This Row],[Home Differential]])-Table4[[#This Row],[Away Differential]]</f>
        <v>1.1922794674151562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0.70606646070331081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6.0998961494444972E-3</v>
      </c>
      <c r="H545" t="s">
        <v>39</v>
      </c>
      <c r="I545">
        <f>VLOOKUP(Table4[[#This Row],[Visitor]],'NHL Model'!$A$6:$B$38,2,FALSE)</f>
        <v>0.57663845568176975</v>
      </c>
      <c r="J545">
        <f>($B$1+Table4[[#This Row],[Home Differential]])-Table4[[#This Row],[Away Differential]]</f>
        <v>-0.54370408079150878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0.55442203057312156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1.7050699520681891</v>
      </c>
      <c r="H546" t="s">
        <v>40</v>
      </c>
      <c r="I546">
        <f>VLOOKUP(Table4[[#This Row],[Visitor]],'NHL Model'!$A$6:$B$38,2,FALSE)</f>
        <v>-0.25388173436787664</v>
      </c>
      <c r="J546">
        <f>($B$1+Table4[[#This Row],[Home Differential]])-Table4[[#This Row],[Away Differential]]</f>
        <v>1.9857861651768824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0.87775434252358731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-0.42252386696344346</v>
      </c>
      <c r="H547" t="s">
        <v>25</v>
      </c>
      <c r="I547">
        <f>VLOOKUP(Table4[[#This Row],[Visitor]],'NHL Model'!$A$6:$B$38,2,FALSE)</f>
        <v>0.52315764934699704</v>
      </c>
      <c r="J547">
        <f>($B$1+Table4[[#This Row],[Home Differential]])-Table4[[#This Row],[Away Differential]]</f>
        <v>-0.91884703756962405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0.64053828676557045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-2.8228251376645769E-2</v>
      </c>
      <c r="H548" t="s">
        <v>38</v>
      </c>
      <c r="I548">
        <f>VLOOKUP(Table4[[#This Row],[Visitor]],'NHL Model'!$A$6:$B$38,2,FALSE)</f>
        <v>-0.83165982757888468</v>
      </c>
      <c r="J548">
        <f>($B$1+Table4[[#This Row],[Home Differential]])-Table4[[#This Row],[Away Differential]]</f>
        <v>0.83026605494305539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0.63751161547342639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-5.8660643157088771E-2</v>
      </c>
      <c r="H549" t="s">
        <v>24</v>
      </c>
      <c r="I549">
        <f>VLOOKUP(Table4[[#This Row],[Visitor]],'NHL Model'!$A$6:$B$38,2,FALSE)</f>
        <v>1.2368486032251671E-3</v>
      </c>
      <c r="J549">
        <f>($B$1+Table4[[#This Row],[Home Differential]])-Table4[[#This Row],[Away Differential]]</f>
        <v>-3.3063013019497454E-2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0.44388312612897474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6.0998961494444972E-3</v>
      </c>
      <c r="H550" t="s">
        <v>28</v>
      </c>
      <c r="I550">
        <f>VLOOKUP(Table4[[#This Row],[Visitor]],'NHL Model'!$A$6:$B$38,2,FALSE)</f>
        <v>-0.45544062464079677</v>
      </c>
      <c r="J550">
        <f>($B$1+Table4[[#This Row],[Home Differential]])-Table4[[#This Row],[Away Differential]]</f>
        <v>0.48837499953105773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0.65470293374893751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-0.15717729503670502</v>
      </c>
      <c r="H551" t="s">
        <v>38</v>
      </c>
      <c r="I551">
        <f>VLOOKUP(Table4[[#This Row],[Visitor]],'NHL Model'!$A$6:$B$38,2,FALSE)</f>
        <v>-0.83165982757888468</v>
      </c>
      <c r="J551">
        <f>($B$1+Table4[[#This Row],[Home Differential]])-Table4[[#This Row],[Away Differential]]</f>
        <v>0.70131701128299617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0.66526859123776638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-0.43955182119289299</v>
      </c>
      <c r="H552" t="s">
        <v>30</v>
      </c>
      <c r="I552">
        <f>VLOOKUP(Table4[[#This Row],[Visitor]],'NHL Model'!$A$6:$B$38,2,FALSE)</f>
        <v>-2.8228251376645769E-2</v>
      </c>
      <c r="J552">
        <f>($B$1+Table4[[#This Row],[Home Differential]])-Table4[[#This Row],[Away Differential]]</f>
        <v>-0.38448909107543072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0.56760577262156753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-1.0975205179116387</v>
      </c>
      <c r="H553" t="s">
        <v>20</v>
      </c>
      <c r="I553">
        <f>VLOOKUP(Table4[[#This Row],[Visitor]],'NHL Model'!$A$6:$B$38,2,FALSE)</f>
        <v>-0.12684993818444543</v>
      </c>
      <c r="J553">
        <f>($B$1+Table4[[#This Row],[Home Differential]])-Table4[[#This Row],[Away Differential]]</f>
        <v>-0.94383610098637671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0.57084998886969296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-0.42252386696344346</v>
      </c>
      <c r="H554" t="s">
        <v>35</v>
      </c>
      <c r="I554">
        <f>VLOOKUP(Table4[[#This Row],[Visitor]],'NHL Model'!$A$6:$B$38,2,FALSE)</f>
        <v>-1.2546198289988155</v>
      </c>
      <c r="J554">
        <f>($B$1+Table4[[#This Row],[Home Differential]])-Table4[[#This Row],[Away Differential]]</f>
        <v>0.85893044077618852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0.6408781394358376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6.3765445873038576E-2</v>
      </c>
      <c r="H555" t="s">
        <v>17</v>
      </c>
      <c r="I555">
        <f>VLOOKUP(Table4[[#This Row],[Visitor]],'NHL Model'!$A$6:$B$38,2,FALSE)</f>
        <v>-0.70231133461274453</v>
      </c>
      <c r="J555">
        <f>($B$1+Table4[[#This Row],[Home Differential]])-Table4[[#This Row],[Away Differential]]</f>
        <v>0.79291125922659955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0.63312443566003362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-0.50446035262371991</v>
      </c>
      <c r="H556" t="s">
        <v>14</v>
      </c>
      <c r="I556">
        <f>VLOOKUP(Table4[[#This Row],[Visitor]],'NHL Model'!$A$6:$B$38,2,FALSE)</f>
        <v>-1.1494940880477545E-2</v>
      </c>
      <c r="J556">
        <f>($B$1+Table4[[#This Row],[Home Differential]])-Table4[[#This Row],[Away Differential]]</f>
        <v>-0.46613093300242592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0.55403205255917998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-1.1040951755058253</v>
      </c>
      <c r="H557" t="s">
        <v>19</v>
      </c>
      <c r="I557">
        <f>VLOOKUP(Table4[[#This Row],[Visitor]],'NHL Model'!$A$6:$B$38,2,FALSE)</f>
        <v>-0.38335501658895638</v>
      </c>
      <c r="J557">
        <f>($B$1+Table4[[#This Row],[Home Differential]])-Table4[[#This Row],[Away Differential]]</f>
        <v>-0.69390568017605236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0.54149660395882904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-0.10354486814940167</v>
      </c>
      <c r="H558" t="s">
        <v>27</v>
      </c>
      <c r="I558">
        <f>VLOOKUP(Table4[[#This Row],[Visitor]],'NHL Model'!$A$6:$B$38,2,FALSE)</f>
        <v>-0.15216510880280634</v>
      </c>
      <c r="J558">
        <f>($B$1+Table4[[#This Row],[Home Differential]])-Table4[[#This Row],[Away Differential]]</f>
        <v>7.5454719394221159E-2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0.50634930928032629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-0.31206928170612303</v>
      </c>
      <c r="H559" t="s">
        <v>10</v>
      </c>
      <c r="I559">
        <f>VLOOKUP(Table4[[#This Row],[Visitor]],'NHL Model'!$A$6:$B$38,2,FALSE)</f>
        <v>-0.1280954603767317</v>
      </c>
      <c r="J559">
        <f>($B$1+Table4[[#This Row],[Home Differential]])-Table4[[#This Row],[Away Differential]]</f>
        <v>-0.15713934258857487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0.47595994367970784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-0.51080431935976611</v>
      </c>
      <c r="H560" t="s">
        <v>32</v>
      </c>
      <c r="I560">
        <f>VLOOKUP(Table4[[#This Row],[Visitor]],'NHL Model'!$A$6:$B$38,2,FALSE)</f>
        <v>-0.53356664249341723</v>
      </c>
      <c r="J560">
        <f>($B$1+Table4[[#This Row],[Home Differential]])-Table4[[#This Row],[Away Differential]]</f>
        <v>4.9596801874467578E-2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0.54582495724629687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0.58787033474453221</v>
      </c>
      <c r="H561" t="s">
        <v>25</v>
      </c>
      <c r="I561">
        <f>VLOOKUP(Table4[[#This Row],[Visitor]],'NHL Model'!$A$6:$B$38,2,FALSE)</f>
        <v>0.52315764934699704</v>
      </c>
      <c r="J561">
        <f>($B$1+Table4[[#This Row],[Home Differential]])-Table4[[#This Row],[Away Differential]]</f>
        <v>9.1547164138351622E-2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0.51075186901113745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0.78208997208538333</v>
      </c>
      <c r="H562" t="s">
        <v>26</v>
      </c>
      <c r="I562">
        <f>VLOOKUP(Table4[[#This Row],[Visitor]],'NHL Model'!$A$6:$B$38,2,FALSE)</f>
        <v>-0.72022444935789065</v>
      </c>
      <c r="J562">
        <f>($B$1+Table4[[#This Row],[Home Differential]])-Table4[[#This Row],[Away Differential]]</f>
        <v>1.5291489001840906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0.74563050453883595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-0.15717729503670502</v>
      </c>
      <c r="H563" t="s">
        <v>36</v>
      </c>
      <c r="I563">
        <f>VLOOKUP(Table4[[#This Row],[Visitor]],'NHL Model'!$A$6:$B$38,2,FALSE)</f>
        <v>-0.31206928170612303</v>
      </c>
      <c r="J563">
        <f>($B$1+Table4[[#This Row],[Home Differential]])-Table4[[#This Row],[Away Differential]]</f>
        <v>0.18172646541023449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0.60074222932059751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0.57663845568176975</v>
      </c>
      <c r="H564" t="s">
        <v>19</v>
      </c>
      <c r="I564">
        <f>VLOOKUP(Table4[[#This Row],[Visitor]],'NHL Model'!$A$6:$B$38,2,FALSE)</f>
        <v>-0.38335501658895638</v>
      </c>
      <c r="J564">
        <f>($B$1+Table4[[#This Row],[Home Differential]])-Table4[[#This Row],[Away Differential]]</f>
        <v>0.98682795101154253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0.6881452852507528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-0.72022444935789065</v>
      </c>
      <c r="H565" t="s">
        <v>22</v>
      </c>
      <c r="I565">
        <f>VLOOKUP(Table4[[#This Row],[Visitor]],'NHL Model'!$A$6:$B$38,2,FALSE)</f>
        <v>0.78208997208538333</v>
      </c>
      <c r="J565">
        <f>($B$1+Table4[[#This Row],[Home Differential]])-Table4[[#This Row],[Away Differential]]</f>
        <v>-1.4754799427024574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0.69573853172392175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-0.70231133461274453</v>
      </c>
      <c r="H566" t="s">
        <v>20</v>
      </c>
      <c r="I566">
        <f>VLOOKUP(Table4[[#This Row],[Visitor]],'NHL Model'!$A$6:$B$38,2,FALSE)</f>
        <v>-0.12684993818444543</v>
      </c>
      <c r="J566">
        <f>($B$1+Table4[[#This Row],[Home Differential]])-Table4[[#This Row],[Away Differential]]</f>
        <v>-0.54862691768748262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0.52443416145633237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6.3765445873038576E-2</v>
      </c>
      <c r="H567" t="s">
        <v>12</v>
      </c>
      <c r="I567">
        <f>VLOOKUP(Table4[[#This Row],[Visitor]],'NHL Model'!$A$6:$B$38,2,FALSE)</f>
        <v>1.7050699520681891</v>
      </c>
      <c r="J567">
        <f>($B$1+Table4[[#This Row],[Home Differential]])-Table4[[#This Row],[Away Differential]]</f>
        <v>-1.614470027454334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0.72223658227009435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1.2368486032251671E-3</v>
      </c>
      <c r="H568" t="s">
        <v>23</v>
      </c>
      <c r="I568">
        <f>VLOOKUP(Table4[[#This Row],[Visitor]],'NHL Model'!$A$6:$B$38,2,FALSE)</f>
        <v>-0.43955182119289299</v>
      </c>
      <c r="J568">
        <f>($B$1+Table4[[#This Row],[Home Differential]])-Table4[[#This Row],[Away Differential]]</f>
        <v>0.46762314853693465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0.65572164249598108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-1.1040951755058253</v>
      </c>
      <c r="H569" t="s">
        <v>15</v>
      </c>
      <c r="I569">
        <f>VLOOKUP(Table4[[#This Row],[Visitor]],'NHL Model'!$A$6:$B$38,2,FALSE)</f>
        <v>-0.10354486814940167</v>
      </c>
      <c r="J569">
        <f>($B$1+Table4[[#This Row],[Home Differential]])-Table4[[#This Row],[Away Differential]]</f>
        <v>-0.97371582861560702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0.67444071653555748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-1.1494940880477545E-2</v>
      </c>
      <c r="H570" t="s">
        <v>18</v>
      </c>
      <c r="I570">
        <f>VLOOKUP(Table4[[#This Row],[Visitor]],'NHL Model'!$A$6:$B$38,2,FALSE)</f>
        <v>-0.50446035262371991</v>
      </c>
      <c r="J570">
        <f>($B$1+Table4[[#This Row],[Home Differential]])-Table4[[#This Row],[Away Differential]]</f>
        <v>0.51979989048405884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0.54176070205075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-5.8660643157088771E-2</v>
      </c>
      <c r="H571" t="s">
        <v>40</v>
      </c>
      <c r="I571">
        <f>VLOOKUP(Table4[[#This Row],[Visitor]],'NHL Model'!$A$6:$B$38,2,FALSE)</f>
        <v>-0.25388173436787664</v>
      </c>
      <c r="J571">
        <f>($B$1+Table4[[#This Row],[Home Differential]])-Table4[[#This Row],[Away Differential]]</f>
        <v>0.22205556995160436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0.60300266577527728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6.0998961494444972E-3</v>
      </c>
      <c r="H572" t="s">
        <v>32</v>
      </c>
      <c r="I572">
        <f>VLOOKUP(Table4[[#This Row],[Visitor]],'NHL Model'!$A$6:$B$38,2,FALSE)</f>
        <v>-0.53356664249341723</v>
      </c>
      <c r="J572">
        <f>($B$1+Table4[[#This Row],[Home Differential]])-Table4[[#This Row],[Away Differential]]</f>
        <v>0.5665010173836782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0.66733447511561272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-0.27930615658534785</v>
      </c>
      <c r="H573" t="s">
        <v>28</v>
      </c>
      <c r="I573">
        <f>VLOOKUP(Table4[[#This Row],[Visitor]],'NHL Model'!$A$6:$B$38,2,FALSE)</f>
        <v>-0.45544062464079677</v>
      </c>
      <c r="J573">
        <f>($B$1+Table4[[#This Row],[Home Differential]])-Table4[[#This Row],[Away Differential]]</f>
        <v>0.20296894679626537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0.56026177803801036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-0.15216510880280634</v>
      </c>
      <c r="H574" t="s">
        <v>38</v>
      </c>
      <c r="I574">
        <f>VLOOKUP(Table4[[#This Row],[Visitor]],'NHL Model'!$A$6:$B$38,2,FALSE)</f>
        <v>-0.83165982757888468</v>
      </c>
      <c r="J574">
        <f>($B$1+Table4[[#This Row],[Home Differential]])-Table4[[#This Row],[Away Differential]]</f>
        <v>0.70632919751689482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0.64899343504435258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0.58787033474453221</v>
      </c>
      <c r="H575" t="s">
        <v>35</v>
      </c>
      <c r="I575">
        <f>VLOOKUP(Table4[[#This Row],[Visitor]],'NHL Model'!$A$6:$B$38,2,FALSE)</f>
        <v>-1.2546198289988155</v>
      </c>
      <c r="J575">
        <f>($B$1+Table4[[#This Row],[Home Differential]])-Table4[[#This Row],[Away Differential]]</f>
        <v>1.8693246424841643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0.79179119191298686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-0.15717729503670502</v>
      </c>
      <c r="H576" t="s">
        <v>18</v>
      </c>
      <c r="I576">
        <f>VLOOKUP(Table4[[#This Row],[Visitor]],'NHL Model'!$A$6:$B$38,2,FALSE)</f>
        <v>-0.50446035262371991</v>
      </c>
      <c r="J576">
        <f>($B$1+Table4[[#This Row],[Home Differential]])-Table4[[#This Row],[Away Differential]]</f>
        <v>0.3741175363278314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0.56821053771776731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0.52315764934699704</v>
      </c>
      <c r="H577" t="s">
        <v>11</v>
      </c>
      <c r="I577">
        <f>VLOOKUP(Table4[[#This Row],[Visitor]],'NHL Model'!$A$6:$B$38,2,FALSE)</f>
        <v>-0.42252386696344346</v>
      </c>
      <c r="J577">
        <f>($B$1+Table4[[#This Row],[Home Differential]])-Table4[[#This Row],[Away Differential]]</f>
        <v>0.97251599505125697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0.70593431054676947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-0.1280954603767317</v>
      </c>
      <c r="H578" t="s">
        <v>27</v>
      </c>
      <c r="I578">
        <f>VLOOKUP(Table4[[#This Row],[Visitor]],'NHL Model'!$A$6:$B$38,2,FALSE)</f>
        <v>-0.15216510880280634</v>
      </c>
      <c r="J578">
        <f>($B$1+Table4[[#This Row],[Home Differential]])-Table4[[#This Row],[Away Differential]]</f>
        <v>5.0904127166891133E-2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0.50346593485514812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1.7050699520681891</v>
      </c>
      <c r="H579" t="s">
        <v>55</v>
      </c>
      <c r="I579">
        <f>VLOOKUP(Table4[[#This Row],[Visitor]],'NHL Model'!$A$6:$B$38,2,FALSE)</f>
        <v>-5.8660643157088771E-2</v>
      </c>
      <c r="J579">
        <f>($B$1+Table4[[#This Row],[Home Differential]])-Table4[[#This Row],[Away Differential]]</f>
        <v>1.7905650739660945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0.85811607779240118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-0.72022444935789065</v>
      </c>
      <c r="H580" t="s">
        <v>39</v>
      </c>
      <c r="I580">
        <f>VLOOKUP(Table4[[#This Row],[Visitor]],'NHL Model'!$A$6:$B$38,2,FALSE)</f>
        <v>0.57663845568176975</v>
      </c>
      <c r="J580">
        <f>($B$1+Table4[[#This Row],[Home Differential]])-Table4[[#This Row],[Away Differential]]</f>
        <v>-1.2700284262988439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0.69153292807621813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-0.70231133461274453</v>
      </c>
      <c r="H581" t="s">
        <v>16</v>
      </c>
      <c r="I581">
        <f>VLOOKUP(Table4[[#This Row],[Visitor]],'NHL Model'!$A$6:$B$38,2,FALSE)</f>
        <v>-1.0975205179116387</v>
      </c>
      <c r="J581">
        <f>($B$1+Table4[[#This Row],[Home Differential]])-Table4[[#This Row],[Away Differential]]</f>
        <v>0.42204366203971067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0.58956743569220782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-0.27930615658534785</v>
      </c>
      <c r="H582" t="s">
        <v>32</v>
      </c>
      <c r="I582">
        <f>VLOOKUP(Table4[[#This Row],[Visitor]],'NHL Model'!$A$6:$B$38,2,FALSE)</f>
        <v>-0.53356664249341723</v>
      </c>
      <c r="J582">
        <f>($B$1+Table4[[#This Row],[Home Differential]])-Table4[[#This Row],[Away Differential]]</f>
        <v>0.28109496464888584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0.57301354299765817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6.3765445873038576E-2</v>
      </c>
      <c r="H583" t="s">
        <v>29</v>
      </c>
      <c r="I583">
        <f>VLOOKUP(Table4[[#This Row],[Visitor]],'NHL Model'!$A$6:$B$38,2,FALSE)</f>
        <v>-1.1040951755058253</v>
      </c>
      <c r="J583">
        <f>($B$1+Table4[[#This Row],[Home Differential]])-Table4[[#This Row],[Away Differential]]</f>
        <v>1.1946951001196804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0.68031243180096879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-2.8228251376645769E-2</v>
      </c>
      <c r="H584" t="s">
        <v>24</v>
      </c>
      <c r="I584">
        <f>VLOOKUP(Table4[[#This Row],[Visitor]],'NHL Model'!$A$6:$B$38,2,FALSE)</f>
        <v>1.2368486032251671E-3</v>
      </c>
      <c r="J584">
        <f>($B$1+Table4[[#This Row],[Home Differential]])-Table4[[#This Row],[Away Differential]]</f>
        <v>-2.6306212390544504E-3</v>
      </c>
      <c r="K584" t="str">
        <f>IF(Table4[[#This Row],[HomeIce Differential]]&gt;0,Table4[[#This Row],[Home]],Table4[[#This Row],[Visitor]])</f>
        <v>New Jersey Devils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0.48107818730815183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-0.31206928170612303</v>
      </c>
      <c r="H585" t="s">
        <v>23</v>
      </c>
      <c r="I585">
        <f>VLOOKUP(Table4[[#This Row],[Visitor]],'NHL Model'!$A$6:$B$38,2,FALSE)</f>
        <v>-0.43955182119289299</v>
      </c>
      <c r="J585">
        <f>($B$1+Table4[[#This Row],[Home Differential]])-Table4[[#This Row],[Away Differential]]</f>
        <v>0.15431701822758642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0.56061943074111109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-0.38335501658895638</v>
      </c>
      <c r="H586" t="s">
        <v>14</v>
      </c>
      <c r="I586">
        <f>VLOOKUP(Table4[[#This Row],[Visitor]],'NHL Model'!$A$6:$B$38,2,FALSE)</f>
        <v>-1.1494940880477545E-2</v>
      </c>
      <c r="J586">
        <f>($B$1+Table4[[#This Row],[Home Differential]])-Table4[[#This Row],[Away Differential]]</f>
        <v>-0.34502559696766233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0.53980868778484636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-0.12684993818444543</v>
      </c>
      <c r="H587" t="s">
        <v>33</v>
      </c>
      <c r="I587">
        <f>VLOOKUP(Table4[[#This Row],[Visitor]],'NHL Model'!$A$6:$B$38,2,FALSE)</f>
        <v>-0.51080431935976611</v>
      </c>
      <c r="J587">
        <f>($B$1+Table4[[#This Row],[Home Differential]])-Table4[[#This Row],[Away Differential]]</f>
        <v>0.41078885991613717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0.58824560164832573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0.78208997208538333</v>
      </c>
      <c r="H588" t="s">
        <v>15</v>
      </c>
      <c r="I588">
        <f>VLOOKUP(Table4[[#This Row],[Visitor]],'NHL Model'!$A$6:$B$38,2,FALSE)</f>
        <v>-0.10354486814940167</v>
      </c>
      <c r="J588">
        <f>($B$1+Table4[[#This Row],[Home Differential]])-Table4[[#This Row],[Away Differential]]</f>
        <v>0.91246931897560146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0.57318549614836578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-0.43955182119289299</v>
      </c>
      <c r="H589" t="s">
        <v>21</v>
      </c>
      <c r="I589">
        <f>VLOOKUP(Table4[[#This Row],[Visitor]],'NHL Model'!$A$6:$B$38,2,FALSE)</f>
        <v>-0.15717729503670502</v>
      </c>
      <c r="J589">
        <f>($B$1+Table4[[#This Row],[Home Differential]])-Table4[[#This Row],[Away Differential]]</f>
        <v>-0.25554004741537145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0.4798899650011727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0.52315764934699704</v>
      </c>
      <c r="H590" t="s">
        <v>26</v>
      </c>
      <c r="I590">
        <f>VLOOKUP(Table4[[#This Row],[Visitor]],'NHL Model'!$A$6:$B$38,2,FALSE)</f>
        <v>-0.72022444935789065</v>
      </c>
      <c r="J590">
        <f>($B$1+Table4[[#This Row],[Home Differential]])-Table4[[#This Row],[Away Differential]]</f>
        <v>1.2702165774457042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0.74089812069393179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-1.0975205179116387</v>
      </c>
      <c r="H591" t="s">
        <v>17</v>
      </c>
      <c r="I591">
        <f>VLOOKUP(Table4[[#This Row],[Visitor]],'NHL Model'!$A$6:$B$38,2,FALSE)</f>
        <v>-0.70231133461274453</v>
      </c>
      <c r="J591">
        <f>($B$1+Table4[[#This Row],[Home Differential]])-Table4[[#This Row],[Away Differential]]</f>
        <v>-0.36837470455807764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0.50326421913451347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0.57663845568176975</v>
      </c>
      <c r="H592" t="s">
        <v>10</v>
      </c>
      <c r="I592">
        <f>VLOOKUP(Table4[[#This Row],[Visitor]],'NHL Model'!$A$6:$B$38,2,FALSE)</f>
        <v>-0.1280954603767317</v>
      </c>
      <c r="J592">
        <f>($B$1+Table4[[#This Row],[Home Differential]])-Table4[[#This Row],[Away Differential]]</f>
        <v>0.7315683947993179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0.65816601349431436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-0.42252386696344346</v>
      </c>
      <c r="H593" t="s">
        <v>37</v>
      </c>
      <c r="I593">
        <f>VLOOKUP(Table4[[#This Row],[Visitor]],'NHL Model'!$A$6:$B$38,2,FALSE)</f>
        <v>0.58787033474453221</v>
      </c>
      <c r="J593">
        <f>($B$1+Table4[[#This Row],[Home Differential]])-Table4[[#This Row],[Away Differential]]</f>
        <v>-0.98355972296715921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0.64813854749786082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-0.27930615658534785</v>
      </c>
      <c r="H594" t="s">
        <v>31</v>
      </c>
      <c r="I594">
        <f>VLOOKUP(Table4[[#This Row],[Visitor]],'NHL Model'!$A$6:$B$38,2,FALSE)</f>
        <v>6.0998961494444972E-3</v>
      </c>
      <c r="J594">
        <f>($B$1+Table4[[#This Row],[Home Differential]])-Table4[[#This Row],[Away Differential]]</f>
        <v>-0.2585715739939759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0.51113748651755042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1.2368486032251671E-3</v>
      </c>
      <c r="H595" t="s">
        <v>22</v>
      </c>
      <c r="I595">
        <f>VLOOKUP(Table4[[#This Row],[Visitor]],'NHL Model'!$A$6:$B$38,2,FALSE)</f>
        <v>0.78208997208538333</v>
      </c>
      <c r="J595">
        <f>($B$1+Table4[[#This Row],[Home Differential]])-Table4[[#This Row],[Away Differential]]</f>
        <v>-0.75401864474134173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0.55914488012871177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-2.8228251376645769E-2</v>
      </c>
      <c r="H596" t="s">
        <v>15</v>
      </c>
      <c r="I596">
        <f>VLOOKUP(Table4[[#This Row],[Visitor]],'NHL Model'!$A$6:$B$38,2,FALSE)</f>
        <v>-0.10354486814940167</v>
      </c>
      <c r="J596">
        <f>($B$1+Table4[[#This Row],[Home Differential]])-Table4[[#This Row],[Away Differential]]</f>
        <v>0.10215109551357239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0.45191579434631607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-1.2546198289988155</v>
      </c>
      <c r="H597" t="s">
        <v>29</v>
      </c>
      <c r="I597">
        <f>VLOOKUP(Table4[[#This Row],[Visitor]],'NHL Model'!$A$6:$B$38,2,FALSE)</f>
        <v>-1.1040951755058253</v>
      </c>
      <c r="J597">
        <f>($B$1+Table4[[#This Row],[Home Differential]])-Table4[[#This Row],[Away Differential]]</f>
        <v>-0.1236901747521737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0.47452694432882975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-0.38335501658895638</v>
      </c>
      <c r="H598" t="s">
        <v>36</v>
      </c>
      <c r="I598">
        <f>VLOOKUP(Table4[[#This Row],[Visitor]],'NHL Model'!$A$6:$B$38,2,FALSE)</f>
        <v>-0.31206928170612303</v>
      </c>
      <c r="J598">
        <f>($B$1+Table4[[#This Row],[Home Differential]])-Table4[[#This Row],[Away Differential]]</f>
        <v>-4.4451256142016837E-2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0.46879679125509355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-0.83165982757888468</v>
      </c>
      <c r="H599" t="s">
        <v>33</v>
      </c>
      <c r="I599">
        <f>VLOOKUP(Table4[[#This Row],[Visitor]],'NHL Model'!$A$6:$B$38,2,FALSE)</f>
        <v>-0.51080431935976611</v>
      </c>
      <c r="J599">
        <f>($B$1+Table4[[#This Row],[Home Differential]])-Table4[[#This Row],[Away Differential]]</f>
        <v>-0.29402102947830211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0.49453166054049452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-0.12684993818444543</v>
      </c>
      <c r="H600" t="s">
        <v>12</v>
      </c>
      <c r="I600">
        <f>VLOOKUP(Table4[[#This Row],[Visitor]],'NHL Model'!$A$6:$B$38,2,FALSE)</f>
        <v>1.7050699520681891</v>
      </c>
      <c r="J600">
        <f>($B$1+Table4[[#This Row],[Home Differential]])-Table4[[#This Row],[Away Differential]]</f>
        <v>-1.805085411511818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0.74462363991610114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-0.25388173436787664</v>
      </c>
      <c r="H601" t="s">
        <v>34</v>
      </c>
      <c r="I601">
        <f>VLOOKUP(Table4[[#This Row],[Visitor]],'NHL Model'!$A$6:$B$38,2,FALSE)</f>
        <v>6.3765445873038576E-2</v>
      </c>
      <c r="J601">
        <f>($B$1+Table4[[#This Row],[Home Differential]])-Table4[[#This Row],[Away Differential]]</f>
        <v>-0.29081270150009875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0.55093337801474052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-0.45544062464079677</v>
      </c>
      <c r="H602" t="s">
        <v>30</v>
      </c>
      <c r="I602">
        <f>VLOOKUP(Table4[[#This Row],[Visitor]],'NHL Model'!$A$6:$B$38,2,FALSE)</f>
        <v>-2.8228251376645769E-2</v>
      </c>
      <c r="J602">
        <f>($B$1+Table4[[#This Row],[Home Differential]])-Table4[[#This Row],[Away Differential]]</f>
        <v>-0.4003778945233345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0.57964604215244564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-0.1280954603767317</v>
      </c>
      <c r="H603" t="s">
        <v>14</v>
      </c>
      <c r="I603">
        <f>VLOOKUP(Table4[[#This Row],[Visitor]],'NHL Model'!$A$6:$B$38,2,FALSE)</f>
        <v>-1.1494940880477545E-2</v>
      </c>
      <c r="J603">
        <f>($B$1+Table4[[#This Row],[Home Differential]])-Table4[[#This Row],[Away Differential]]</f>
        <v>-8.9766040755437662E-2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0.50982941602840792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-0.72022444935789065</v>
      </c>
      <c r="H604" t="s">
        <v>19</v>
      </c>
      <c r="I604">
        <f>VLOOKUP(Table4[[#This Row],[Visitor]],'NHL Model'!$A$6:$B$38,2,FALSE)</f>
        <v>-0.38335501658895638</v>
      </c>
      <c r="J604">
        <f>($B$1+Table4[[#This Row],[Home Differential]])-Table4[[#This Row],[Away Differential]]</f>
        <v>-0.31003495402811782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0.48629018616792491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-0.53356664249341723</v>
      </c>
      <c r="H605" t="s">
        <v>27</v>
      </c>
      <c r="I605">
        <f>VLOOKUP(Table4[[#This Row],[Visitor]],'NHL Model'!$A$6:$B$38,2,FALSE)</f>
        <v>-0.15216510880280634</v>
      </c>
      <c r="J605">
        <f>($B$1+Table4[[#This Row],[Home Differential]])-Table4[[#This Row],[Away Differential]]</f>
        <v>-0.35456705494979446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0.54415512559977985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0.58787033474453221</v>
      </c>
      <c r="H606" t="s">
        <v>18</v>
      </c>
      <c r="I606">
        <f>VLOOKUP(Table4[[#This Row],[Visitor]],'NHL Model'!$A$6:$B$38,2,FALSE)</f>
        <v>-0.50446035262371991</v>
      </c>
      <c r="J606">
        <f>($B$1+Table4[[#This Row],[Home Differential]])-Table4[[#This Row],[Away Differential]]</f>
        <v>1.1191651661090685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0.64481070999088885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6.0998961494444972E-3</v>
      </c>
      <c r="H607" t="s">
        <v>33</v>
      </c>
      <c r="I607">
        <f>VLOOKUP(Table4[[#This Row],[Visitor]],'NHL Model'!$A$6:$B$38,2,FALSE)</f>
        <v>-0.51080431935976611</v>
      </c>
      <c r="J607">
        <f>($B$1+Table4[[#This Row],[Home Differential]])-Table4[[#This Row],[Away Differential]]</f>
        <v>0.54373869425002708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0.66466112614816308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0.52315764934699704</v>
      </c>
      <c r="H608" t="s">
        <v>15</v>
      </c>
      <c r="I608">
        <f>VLOOKUP(Table4[[#This Row],[Visitor]],'NHL Model'!$A$6:$B$38,2,FALSE)</f>
        <v>-0.10354486814940167</v>
      </c>
      <c r="J608">
        <f>($B$1+Table4[[#This Row],[Home Differential]])-Table4[[#This Row],[Away Differential]]</f>
        <v>0.65353699623721517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0.56906314665312163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-1.0975205179116387</v>
      </c>
      <c r="H609" t="s">
        <v>21</v>
      </c>
      <c r="I609">
        <f>VLOOKUP(Table4[[#This Row],[Visitor]],'NHL Model'!$A$6:$B$38,2,FALSE)</f>
        <v>-0.15717729503670502</v>
      </c>
      <c r="J609">
        <f>($B$1+Table4[[#This Row],[Home Differential]])-Table4[[#This Row],[Away Differential]]</f>
        <v>-0.9135087441341172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0.56728815523564691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1.7050699520681891</v>
      </c>
      <c r="H610" t="s">
        <v>13</v>
      </c>
      <c r="I610">
        <f>VLOOKUP(Table4[[#This Row],[Visitor]],'NHL Model'!$A$6:$B$38,2,FALSE)</f>
        <v>-0.27930615658534785</v>
      </c>
      <c r="J610">
        <f>($B$1+Table4[[#This Row],[Home Differential]])-Table4[[#This Row],[Away Differential]]</f>
        <v>2.0112105873943538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0.82131547796278004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-0.42252386696344346</v>
      </c>
      <c r="H611" t="s">
        <v>22</v>
      </c>
      <c r="I611">
        <f>VLOOKUP(Table4[[#This Row],[Visitor]],'NHL Model'!$A$6:$B$38,2,FALSE)</f>
        <v>0.78208997208538333</v>
      </c>
      <c r="J611">
        <f>($B$1+Table4[[#This Row],[Home Differential]])-Table4[[#This Row],[Away Differential]]</f>
        <v>-1.1777793603080102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0.67094891109277888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-0.31206928170612303</v>
      </c>
      <c r="H612" t="s">
        <v>28</v>
      </c>
      <c r="I612">
        <f>VLOOKUP(Table4[[#This Row],[Visitor]],'NHL Model'!$A$6:$B$38,2,FALSE)</f>
        <v>-0.45544062464079677</v>
      </c>
      <c r="J612">
        <f>($B$1+Table4[[#This Row],[Home Differential]])-Table4[[#This Row],[Away Differential]]</f>
        <v>0.1702058216754902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0.5589121872402526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-0.53356664249341723</v>
      </c>
      <c r="H613" t="s">
        <v>38</v>
      </c>
      <c r="I613">
        <f>VLOOKUP(Table4[[#This Row],[Visitor]],'NHL Model'!$A$6:$B$38,2,FALSE)</f>
        <v>-0.83165982757888468</v>
      </c>
      <c r="J613">
        <f>($B$1+Table4[[#This Row],[Home Differential]])-Table4[[#This Row],[Away Differential]]</f>
        <v>0.32492766382628391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0.57816152813073929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-1.2546198289988155</v>
      </c>
      <c r="H614" t="s">
        <v>23</v>
      </c>
      <c r="I614">
        <f>VLOOKUP(Table4[[#This Row],[Visitor]],'NHL Model'!$A$6:$B$38,2,FALSE)</f>
        <v>-0.43955182119289299</v>
      </c>
      <c r="J614">
        <f>($B$1+Table4[[#This Row],[Home Differential]])-Table4[[#This Row],[Away Differential]]</f>
        <v>-0.78823352906510591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0.55257505390212547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-5.8660643157088771E-2</v>
      </c>
      <c r="H615" t="s">
        <v>29</v>
      </c>
      <c r="I615">
        <f>VLOOKUP(Table4[[#This Row],[Visitor]],'NHL Model'!$A$6:$B$38,2,FALSE)</f>
        <v>-1.1040951755058253</v>
      </c>
      <c r="J615">
        <f>($B$1+Table4[[#This Row],[Home Differential]])-Table4[[#This Row],[Away Differential]]</f>
        <v>1.072269011089553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0.70636512701677001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-0.12684993818444543</v>
      </c>
      <c r="H616" t="s">
        <v>34</v>
      </c>
      <c r="I616">
        <f>VLOOKUP(Table4[[#This Row],[Visitor]],'NHL Model'!$A$6:$B$38,2,FALSE)</f>
        <v>6.3765445873038576E-2</v>
      </c>
      <c r="J616">
        <f>($B$1+Table4[[#This Row],[Home Differential]])-Table4[[#This Row],[Away Differential]]</f>
        <v>-0.1637809053166675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0.53852328319505272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-0.25388173436787664</v>
      </c>
      <c r="H617" t="s">
        <v>17</v>
      </c>
      <c r="I617">
        <f>VLOOKUP(Table4[[#This Row],[Visitor]],'NHL Model'!$A$6:$B$38,2,FALSE)</f>
        <v>-0.70231133461274453</v>
      </c>
      <c r="J617">
        <f>($B$1+Table4[[#This Row],[Home Differential]])-Table4[[#This Row],[Away Differential]]</f>
        <v>0.47526407898568435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0.59831345206071873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-0.1280954603767317</v>
      </c>
      <c r="H618" t="s">
        <v>30</v>
      </c>
      <c r="I618">
        <f>VLOOKUP(Table4[[#This Row],[Visitor]],'NHL Model'!$A$6:$B$38,2,FALSE)</f>
        <v>-2.8228251376645769E-2</v>
      </c>
      <c r="J618">
        <f>($B$1+Table4[[#This Row],[Home Differential]])-Table4[[#This Row],[Away Differential]]</f>
        <v>-7.3032730259269443E-2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0.54120058771676804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-0.42252386696344346</v>
      </c>
      <c r="H619" t="s">
        <v>18</v>
      </c>
      <c r="I619">
        <f>VLOOKUP(Table4[[#This Row],[Visitor]],'NHL Model'!$A$6:$B$38,2,FALSE)</f>
        <v>-0.50446035262371991</v>
      </c>
      <c r="J619">
        <f>($B$1+Table4[[#This Row],[Home Differential]])-Table4[[#This Row],[Away Differential]]</f>
        <v>0.10877096440109291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0.49348690553692465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-1.1494940880477545E-2</v>
      </c>
      <c r="H620" t="s">
        <v>25</v>
      </c>
      <c r="I620">
        <f>VLOOKUP(Table4[[#This Row],[Visitor]],'NHL Model'!$A$6:$B$38,2,FALSE)</f>
        <v>0.52315764934699704</v>
      </c>
      <c r="J620">
        <f>($B$1+Table4[[#This Row],[Home Differential]])-Table4[[#This Row],[Away Differential]]</f>
        <v>-0.50781811148665812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0.59226449025174521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-0.38335501658895638</v>
      </c>
      <c r="H621" t="s">
        <v>24</v>
      </c>
      <c r="I621">
        <f>VLOOKUP(Table4[[#This Row],[Visitor]],'NHL Model'!$A$6:$B$38,2,FALSE)</f>
        <v>1.2368486032251671E-3</v>
      </c>
      <c r="J621">
        <f>($B$1+Table4[[#This Row],[Home Differential]])-Table4[[#This Row],[Away Differential]]</f>
        <v>-0.35775738645136501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0.52278648595234922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-0.83165982757888468</v>
      </c>
      <c r="H622" t="s">
        <v>27</v>
      </c>
      <c r="I622">
        <f>VLOOKUP(Table4[[#This Row],[Visitor]],'NHL Model'!$A$6:$B$38,2,FALSE)</f>
        <v>-0.15216510880280634</v>
      </c>
      <c r="J622">
        <f>($B$1+Table4[[#This Row],[Home Differential]])-Table4[[#This Row],[Away Differential]]</f>
        <v>-0.65266024003526191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0.57916504545167191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6.0998961494444972E-3</v>
      </c>
      <c r="H623" t="s">
        <v>37</v>
      </c>
      <c r="I623">
        <f>VLOOKUP(Table4[[#This Row],[Visitor]],'NHL Model'!$A$6:$B$38,2,FALSE)</f>
        <v>0.58787033474453221</v>
      </c>
      <c r="J623">
        <f>($B$1+Table4[[#This Row],[Home Differential]])-Table4[[#This Row],[Away Differential]]</f>
        <v>-0.55493595985427124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0.53576336994827112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-0.45544062464079677</v>
      </c>
      <c r="H624" t="s">
        <v>24</v>
      </c>
      <c r="I624">
        <f>VLOOKUP(Table4[[#This Row],[Visitor]],'NHL Model'!$A$6:$B$38,2,FALSE)</f>
        <v>1.2368486032251671E-3</v>
      </c>
      <c r="J624">
        <f>($B$1+Table4[[#This Row],[Home Differential]])-Table4[[#This Row],[Away Differential]]</f>
        <v>-0.4298429945032054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0.53125266863158849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-1.0975205179116387</v>
      </c>
      <c r="H625" t="s">
        <v>27</v>
      </c>
      <c r="I625">
        <f>VLOOKUP(Table4[[#This Row],[Visitor]],'NHL Model'!$A$6:$B$38,2,FALSE)</f>
        <v>-0.15216510880280634</v>
      </c>
      <c r="J625">
        <f>($B$1+Table4[[#This Row],[Home Differential]])-Table4[[#This Row],[Away Differential]]</f>
        <v>-0.91852093036801585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0.6103893804113919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1.7050699520681891</v>
      </c>
      <c r="H626" t="s">
        <v>35</v>
      </c>
      <c r="I626">
        <f>VLOOKUP(Table4[[#This Row],[Visitor]],'NHL Model'!$A$6:$B$38,2,FALSE)</f>
        <v>-1.2546198289988155</v>
      </c>
      <c r="J626">
        <f>($B$1+Table4[[#This Row],[Home Differential]])-Table4[[#This Row],[Away Differential]]</f>
        <v>2.9865242598078212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0.99857697169189819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0.57663845568176975</v>
      </c>
      <c r="H627" t="s">
        <v>23</v>
      </c>
      <c r="I627">
        <f>VLOOKUP(Table4[[#This Row],[Visitor]],'NHL Model'!$A$6:$B$38,2,FALSE)</f>
        <v>-0.43955182119289299</v>
      </c>
      <c r="J627">
        <f>($B$1+Table4[[#This Row],[Home Differential]])-Table4[[#This Row],[Away Differential]]</f>
        <v>1.0430247556154792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0.69474538791513329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-0.72022444935789065</v>
      </c>
      <c r="H628" t="s">
        <v>40</v>
      </c>
      <c r="I628">
        <f>VLOOKUP(Table4[[#This Row],[Visitor]],'NHL Model'!$A$6:$B$38,2,FALSE)</f>
        <v>-0.25388173436787664</v>
      </c>
      <c r="J628">
        <f>($B$1+Table4[[#This Row],[Home Differential]])-Table4[[#This Row],[Away Differential]]</f>
        <v>-0.43950823624919755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0.5050598795840272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-0.70231133461274453</v>
      </c>
      <c r="H629" t="s">
        <v>21</v>
      </c>
      <c r="I629">
        <f>VLOOKUP(Table4[[#This Row],[Visitor]],'NHL Model'!$A$6:$B$38,2,FALSE)</f>
        <v>-0.15717729503670502</v>
      </c>
      <c r="J629">
        <f>($B$1+Table4[[#This Row],[Home Differential]])-Table4[[#This Row],[Away Differential]]</f>
        <v>-0.51829956083522299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0.52087232782228632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-0.51080431935976611</v>
      </c>
      <c r="H630" t="s">
        <v>34</v>
      </c>
      <c r="I630">
        <f>VLOOKUP(Table4[[#This Row],[Visitor]],'NHL Model'!$A$6:$B$38,2,FALSE)</f>
        <v>6.3765445873038576E-2</v>
      </c>
      <c r="J630">
        <f>($B$1+Table4[[#This Row],[Home Differential]])-Table4[[#This Row],[Away Differential]]</f>
        <v>-0.54773528649198822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0.58361727656453133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-0.12684993818444543</v>
      </c>
      <c r="H631" t="s">
        <v>29</v>
      </c>
      <c r="I631">
        <f>VLOOKUP(Table4[[#This Row],[Visitor]],'NHL Model'!$A$6:$B$38,2,FALSE)</f>
        <v>-1.1040951755058253</v>
      </c>
      <c r="J631">
        <f>($B$1+Table4[[#This Row],[Home Differential]])-Table4[[#This Row],[Away Differential]]</f>
        <v>1.0040797160621964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0.65792537415496199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0.78208997208538333</v>
      </c>
      <c r="H632" t="s">
        <v>15</v>
      </c>
      <c r="I632">
        <f>VLOOKUP(Table4[[#This Row],[Visitor]],'NHL Model'!$A$6:$B$38,2,FALSE)</f>
        <v>-0.10354486814940167</v>
      </c>
      <c r="J632">
        <f>($B$1+Table4[[#This Row],[Home Differential]])-Table4[[#This Row],[Away Differential]]</f>
        <v>0.91246931897560146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0.57318549614836578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0.52315764934699704</v>
      </c>
      <c r="H633" t="s">
        <v>18</v>
      </c>
      <c r="I633">
        <f>VLOOKUP(Table4[[#This Row],[Visitor]],'NHL Model'!$A$6:$B$38,2,FALSE)</f>
        <v>-0.50446035262371991</v>
      </c>
      <c r="J633">
        <f>($B$1+Table4[[#This Row],[Home Differential]])-Table4[[#This Row],[Away Differential]]</f>
        <v>1.0544524807115334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0.65717479863471273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-0.1280954603767317</v>
      </c>
      <c r="H634" t="s">
        <v>39</v>
      </c>
      <c r="I634">
        <f>VLOOKUP(Table4[[#This Row],[Visitor]],'NHL Model'!$A$6:$B$38,2,FALSE)</f>
        <v>0.57663845568176975</v>
      </c>
      <c r="J634">
        <f>($B$1+Table4[[#This Row],[Home Differential]])-Table4[[#This Row],[Away Differential]]</f>
        <v>-0.67789943731768498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0.63210291897362625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-0.27930615658534785</v>
      </c>
      <c r="H635" t="s">
        <v>37</v>
      </c>
      <c r="I635">
        <f>VLOOKUP(Table4[[#This Row],[Visitor]],'NHL Model'!$A$6:$B$38,2,FALSE)</f>
        <v>0.58787033474453221</v>
      </c>
      <c r="J635">
        <f>($B$1+Table4[[#This Row],[Home Differential]])-Table4[[#This Row],[Away Differential]]</f>
        <v>-0.8403420125890636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0.6313181677891766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-2.8228251376645769E-2</v>
      </c>
      <c r="H636" t="s">
        <v>55</v>
      </c>
      <c r="I636">
        <f>VLOOKUP(Table4[[#This Row],[Visitor]],'NHL Model'!$A$6:$B$38,2,FALSE)</f>
        <v>-5.8660643157088771E-2</v>
      </c>
      <c r="J636">
        <f>($B$1+Table4[[#This Row],[Home Differential]])-Table4[[#This Row],[Away Differential]]</f>
        <v>5.7266870521259491E-2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0.54672577786890075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-0.31206928170612303</v>
      </c>
      <c r="H637" t="s">
        <v>22</v>
      </c>
      <c r="I637">
        <f>VLOOKUP(Table4[[#This Row],[Visitor]],'NHL Model'!$A$6:$B$38,2,FALSE)</f>
        <v>0.78208997208538333</v>
      </c>
      <c r="J637">
        <f>($B$1+Table4[[#This Row],[Home Differential]])-Table4[[#This Row],[Away Differential]]</f>
        <v>-1.06732477505069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0.65547374963072724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-1.1494940880477545E-2</v>
      </c>
      <c r="H638" t="s">
        <v>26</v>
      </c>
      <c r="I638">
        <f>VLOOKUP(Table4[[#This Row],[Visitor]],'NHL Model'!$A$6:$B$38,2,FALSE)</f>
        <v>-0.72022444935789065</v>
      </c>
      <c r="J638">
        <f>($B$1+Table4[[#This Row],[Home Differential]])-Table4[[#This Row],[Away Differential]]</f>
        <v>0.73556398721822958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0.62638921493983479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-0.53356664249341723</v>
      </c>
      <c r="H639" t="s">
        <v>29</v>
      </c>
      <c r="I639">
        <f>VLOOKUP(Table4[[#This Row],[Visitor]],'NHL Model'!$A$6:$B$38,2,FALSE)</f>
        <v>-1.1040951755058253</v>
      </c>
      <c r="J639">
        <f>($B$1+Table4[[#This Row],[Home Differential]])-Table4[[#This Row],[Away Differential]]</f>
        <v>0.59736301175322448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0.61015803181803385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-0.38335501658895638</v>
      </c>
      <c r="H640" t="s">
        <v>40</v>
      </c>
      <c r="I640">
        <f>VLOOKUP(Table4[[#This Row],[Visitor]],'NHL Model'!$A$6:$B$38,2,FALSE)</f>
        <v>-0.25388173436787664</v>
      </c>
      <c r="J640">
        <f>($B$1+Table4[[#This Row],[Home Differential]])-Table4[[#This Row],[Away Differential]]</f>
        <v>-0.10263880348026322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0.47563069914234068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6.0998961494444972E-3</v>
      </c>
      <c r="H641" t="s">
        <v>34</v>
      </c>
      <c r="I641">
        <f>VLOOKUP(Table4[[#This Row],[Visitor]],'NHL Model'!$A$6:$B$38,2,FALSE)</f>
        <v>6.3765445873038576E-2</v>
      </c>
      <c r="J641">
        <f>($B$1+Table4[[#This Row],[Home Differential]])-Table4[[#This Row],[Away Differential]]</f>
        <v>-3.0831070982777591E-2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0.46090742511891397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-0.42252386696344346</v>
      </c>
      <c r="H642" t="s">
        <v>15</v>
      </c>
      <c r="I642">
        <f>VLOOKUP(Table4[[#This Row],[Visitor]],'NHL Model'!$A$6:$B$38,2,FALSE)</f>
        <v>-0.10354486814940167</v>
      </c>
      <c r="J642">
        <f>($B$1+Table4[[#This Row],[Home Differential]])-Table4[[#This Row],[Away Differential]]</f>
        <v>-0.29214452007322533</v>
      </c>
      <c r="K642" t="str">
        <f>IF(Table4[[#This Row],[HomeIce Differential]]&gt;0,Table4[[#This Row],[Home]],Table4[[#This Row],[Visitor]])</f>
        <v>New York Rangers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0.59439273798624415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-1.2546198289988155</v>
      </c>
      <c r="H643" t="s">
        <v>20</v>
      </c>
      <c r="I643">
        <f>VLOOKUP(Table4[[#This Row],[Visitor]],'NHL Model'!$A$6:$B$38,2,FALSE)</f>
        <v>-0.12684993818444543</v>
      </c>
      <c r="J643">
        <f>($B$1+Table4[[#This Row],[Home Differential]])-Table4[[#This Row],[Away Differential]]</f>
        <v>-1.1009354120735535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0.58930071020494446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-0.83165982757888468</v>
      </c>
      <c r="H644" t="s">
        <v>32</v>
      </c>
      <c r="I644">
        <f>VLOOKUP(Table4[[#This Row],[Visitor]],'NHL Model'!$A$6:$B$38,2,FALSE)</f>
        <v>-0.53356664249341723</v>
      </c>
      <c r="J644">
        <f>($B$1+Table4[[#This Row],[Home Differential]])-Table4[[#This Row],[Away Differential]]</f>
        <v>-0.27125870634465099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0.49185831157304494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0.52315764934699704</v>
      </c>
      <c r="H645" t="s">
        <v>12</v>
      </c>
      <c r="I645">
        <f>VLOOKUP(Table4[[#This Row],[Visitor]],'NHL Model'!$A$6:$B$38,2,FALSE)</f>
        <v>1.7050699520681891</v>
      </c>
      <c r="J645">
        <f>($B$1+Table4[[#This Row],[Home Differential]])-Table4[[#This Row],[Away Differential]]</f>
        <v>-1.1550778239803756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0.6156595321984849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-0.45544062464079677</v>
      </c>
      <c r="H646" t="s">
        <v>23</v>
      </c>
      <c r="I646">
        <f>VLOOKUP(Table4[[#This Row],[Visitor]],'NHL Model'!$A$6:$B$38,2,FALSE)</f>
        <v>-0.43955182119289299</v>
      </c>
      <c r="J646">
        <f>($B$1+Table4[[#This Row],[Home Differential]])-Table4[[#This Row],[Away Differential]]</f>
        <v>1.0945675292912738E-2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0.54128552826398846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-1.0975205179116387</v>
      </c>
      <c r="H647" t="s">
        <v>29</v>
      </c>
      <c r="I647">
        <f>VLOOKUP(Table4[[#This Row],[Visitor]],'NHL Model'!$A$6:$B$38,2,FALSE)</f>
        <v>-1.1040951755058253</v>
      </c>
      <c r="J647">
        <f>($B$1+Table4[[#This Row],[Home Differential]])-Table4[[#This Row],[Away Differential]]</f>
        <v>3.3409136335003087E-2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0.5439237770064218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-0.72022444935789065</v>
      </c>
      <c r="H648" t="s">
        <v>14</v>
      </c>
      <c r="I648">
        <f>VLOOKUP(Table4[[#This Row],[Visitor]],'NHL Model'!$A$6:$B$38,2,FALSE)</f>
        <v>-1.1494940880477545E-2</v>
      </c>
      <c r="J648">
        <f>($B$1+Table4[[#This Row],[Home Differential]])-Table4[[#This Row],[Away Differential]]</f>
        <v>-0.68189502973659666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0.56916896781445481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-0.70231133461274453</v>
      </c>
      <c r="H649" t="s">
        <v>27</v>
      </c>
      <c r="I649">
        <f>VLOOKUP(Table4[[#This Row],[Visitor]],'NHL Model'!$A$6:$B$38,2,FALSE)</f>
        <v>-0.15216510880280634</v>
      </c>
      <c r="J649">
        <f>($B$1+Table4[[#This Row],[Home Differential]])-Table4[[#This Row],[Away Differential]]</f>
        <v>-0.52331174706912176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0.56397355299803131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-0.27930615658534785</v>
      </c>
      <c r="H650" t="s">
        <v>34</v>
      </c>
      <c r="I650">
        <f>VLOOKUP(Table4[[#This Row],[Visitor]],'NHL Model'!$A$6:$B$38,2,FALSE)</f>
        <v>6.3765445873038576E-2</v>
      </c>
      <c r="J650">
        <f>($B$1+Table4[[#This Row],[Home Differential]])-Table4[[#This Row],[Away Differential]]</f>
        <v>-0.31623712371756996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0.55642869081316992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1.2368486032251671E-3</v>
      </c>
      <c r="H651" t="s">
        <v>55</v>
      </c>
      <c r="I651">
        <f>VLOOKUP(Table4[[#This Row],[Visitor]],'NHL Model'!$A$6:$B$38,2,FALSE)</f>
        <v>-5.8660643157088771E-2</v>
      </c>
      <c r="J651">
        <f>($B$1+Table4[[#This Row],[Home Differential]])-Table4[[#This Row],[Away Differential]]</f>
        <v>8.673197050113042E-2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0.61098741077745677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-2.8228251376645769E-2</v>
      </c>
      <c r="H652" t="s">
        <v>19</v>
      </c>
      <c r="I652">
        <f>VLOOKUP(Table4[[#This Row],[Visitor]],'NHL Model'!$A$6:$B$38,2,FALSE)</f>
        <v>-0.38335501658895638</v>
      </c>
      <c r="J652">
        <f>($B$1+Table4[[#This Row],[Home Differential]])-Table4[[#This Row],[Away Differential]]</f>
        <v>0.38196124395312708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0.58485990692304468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-0.31206928170612303</v>
      </c>
      <c r="H653" t="s">
        <v>40</v>
      </c>
      <c r="I653">
        <f>VLOOKUP(Table4[[#This Row],[Visitor]],'NHL Model'!$A$6:$B$38,2,FALSE)</f>
        <v>-0.25388173436787664</v>
      </c>
      <c r="J653">
        <f>($B$1+Table4[[#This Row],[Home Differential]])-Table4[[#This Row],[Away Differential]]</f>
        <v>-3.1353068597429923E-2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0.4647601439197771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-0.51080431935976611</v>
      </c>
      <c r="H654" t="s">
        <v>37</v>
      </c>
      <c r="I654">
        <f>VLOOKUP(Table4[[#This Row],[Visitor]],'NHL Model'!$A$6:$B$38,2,FALSE)</f>
        <v>0.58787033474453221</v>
      </c>
      <c r="J654">
        <f>($B$1+Table4[[#This Row],[Home Differential]])-Table4[[#This Row],[Away Differential]]</f>
        <v>-1.0718401753634819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0.658506753540538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-1.2546198289988155</v>
      </c>
      <c r="H655" t="s">
        <v>18</v>
      </c>
      <c r="I655">
        <f>VLOOKUP(Table4[[#This Row],[Visitor]],'NHL Model'!$A$6:$B$38,2,FALSE)</f>
        <v>-0.50446035262371991</v>
      </c>
      <c r="J655">
        <f>($B$1+Table4[[#This Row],[Home Differential]])-Table4[[#This Row],[Away Differential]]</f>
        <v>-0.72332499763427904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0.6042396256200655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-0.83165982757888468</v>
      </c>
      <c r="H656" t="s">
        <v>21</v>
      </c>
      <c r="I656">
        <f>VLOOKUP(Table4[[#This Row],[Visitor]],'NHL Model'!$A$6:$B$38,2,FALSE)</f>
        <v>-0.15717729503670502</v>
      </c>
      <c r="J656">
        <f>($B$1+Table4[[#This Row],[Home Differential]])-Table4[[#This Row],[Away Differential]]</f>
        <v>-0.64764805380136314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0.53606382027592692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0.78208997208538333</v>
      </c>
      <c r="H657" t="s">
        <v>10</v>
      </c>
      <c r="I657">
        <f>VLOOKUP(Table4[[#This Row],[Visitor]],'NHL Model'!$A$6:$B$38,2,FALSE)</f>
        <v>-0.1280954603767317</v>
      </c>
      <c r="J657">
        <f>($B$1+Table4[[#This Row],[Home Differential]])-Table4[[#This Row],[Away Differential]]</f>
        <v>0.93701991120293149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0.67608718894687236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-0.45544062464079677</v>
      </c>
      <c r="H658" t="s">
        <v>14</v>
      </c>
      <c r="I658">
        <f>VLOOKUP(Table4[[#This Row],[Visitor]],'NHL Model'!$A$6:$B$38,2,FALSE)</f>
        <v>-1.1494940880477545E-2</v>
      </c>
      <c r="J658">
        <f>($B$1+Table4[[#This Row],[Home Differential]])-Table4[[#This Row],[Away Differential]]</f>
        <v>-0.41711120501950272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0.54827487046408563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-0.1280954603767317</v>
      </c>
      <c r="H659" t="s">
        <v>20</v>
      </c>
      <c r="I659">
        <f>VLOOKUP(Table4[[#This Row],[Visitor]],'NHL Model'!$A$6:$B$38,2,FALSE)</f>
        <v>-0.12684993818444543</v>
      </c>
      <c r="J659">
        <f>($B$1+Table4[[#This Row],[Home Differential]])-Table4[[#This Row],[Away Differential]]</f>
        <v>2.5588956548530217E-2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0.54300532639684718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0.57663845568176975</v>
      </c>
      <c r="H660" t="s">
        <v>18</v>
      </c>
      <c r="I660">
        <f>VLOOKUP(Table4[[#This Row],[Visitor]],'NHL Model'!$A$6:$B$38,2,FALSE)</f>
        <v>-0.50446035262371991</v>
      </c>
      <c r="J660">
        <f>($B$1+Table4[[#This Row],[Home Differential]])-Table4[[#This Row],[Away Differential]]</f>
        <v>1.1079332870463061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0.64349156817400788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-0.42252386696344346</v>
      </c>
      <c r="H661" t="s">
        <v>12</v>
      </c>
      <c r="I661">
        <f>VLOOKUP(Table4[[#This Row],[Visitor]],'NHL Model'!$A$6:$B$38,2,FALSE)</f>
        <v>1.7050699520681891</v>
      </c>
      <c r="J661">
        <f>($B$1+Table4[[#This Row],[Home Differential]])-Table4[[#This Row],[Away Differential]]</f>
        <v>-2.100759340290816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0.77934942724290246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1.2368486032251671E-3</v>
      </c>
      <c r="H662" t="s">
        <v>25</v>
      </c>
      <c r="I662">
        <f>VLOOKUP(Table4[[#This Row],[Visitor]],'NHL Model'!$A$6:$B$38,2,FALSE)</f>
        <v>0.52315764934699704</v>
      </c>
      <c r="J662">
        <f>($B$1+Table4[[#This Row],[Home Differential]])-Table4[[#This Row],[Away Differential]]</f>
        <v>-0.49508632200295538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0.52873425580150335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-1.0975205179116387</v>
      </c>
      <c r="H663" t="s">
        <v>32</v>
      </c>
      <c r="I663">
        <f>VLOOKUP(Table4[[#This Row],[Visitor]],'NHL Model'!$A$6:$B$38,2,FALSE)</f>
        <v>-0.53356664249341723</v>
      </c>
      <c r="J663">
        <f>($B$1+Table4[[#This Row],[Home Differential]])-Table4[[#This Row],[Away Differential]]</f>
        <v>-0.53711939667740494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0.52308264653276482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-0.27930615658534785</v>
      </c>
      <c r="H664" t="s">
        <v>34</v>
      </c>
      <c r="I664">
        <f>VLOOKUP(Table4[[#This Row],[Visitor]],'NHL Model'!$A$6:$B$38,2,FALSE)</f>
        <v>6.3765445873038576E-2</v>
      </c>
      <c r="J664">
        <f>($B$1+Table4[[#This Row],[Home Differential]])-Table4[[#This Row],[Away Differential]]</f>
        <v>-0.31623712371756996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0.55642869081316992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-0.10354486814940167</v>
      </c>
      <c r="H665" t="s">
        <v>55</v>
      </c>
      <c r="I665">
        <f>VLOOKUP(Table4[[#This Row],[Visitor]],'NHL Model'!$A$6:$B$38,2,FALSE)</f>
        <v>-5.8660643157088771E-2</v>
      </c>
      <c r="J665">
        <f>($B$1+Table4[[#This Row],[Home Differential]])-Table4[[#This Row],[Away Differential]]</f>
        <v>-1.8049746251496412E-2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0.4621198745936802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-0.31206928170612303</v>
      </c>
      <c r="H666" t="s">
        <v>26</v>
      </c>
      <c r="I666">
        <f>VLOOKUP(Table4[[#This Row],[Visitor]],'NHL Model'!$A$6:$B$38,2,FALSE)</f>
        <v>-0.72022444935789065</v>
      </c>
      <c r="J666">
        <f>($B$1+Table4[[#This Row],[Home Differential]])-Table4[[#This Row],[Away Differential]]</f>
        <v>0.43498964639258408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0.59358337191225574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0.78208997208538333</v>
      </c>
      <c r="H667" t="s">
        <v>31</v>
      </c>
      <c r="I667">
        <f>VLOOKUP(Table4[[#This Row],[Visitor]],'NHL Model'!$A$6:$B$38,2,FALSE)</f>
        <v>6.0998961494444972E-3</v>
      </c>
      <c r="J667">
        <f>($B$1+Table4[[#This Row],[Home Differential]])-Table4[[#This Row],[Away Differential]]</f>
        <v>0.80282455467675529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0.63974326026131145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-0.43955182119289299</v>
      </c>
      <c r="H668" t="s">
        <v>38</v>
      </c>
      <c r="I668">
        <f>VLOOKUP(Table4[[#This Row],[Visitor]],'NHL Model'!$A$6:$B$38,2,FALSE)</f>
        <v>-0.83165982757888468</v>
      </c>
      <c r="J668">
        <f>($B$1+Table4[[#This Row],[Home Differential]])-Table4[[#This Row],[Away Differential]]</f>
        <v>0.41894248512680821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0.5993254635536015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0.52315764934699704</v>
      </c>
      <c r="H669" t="s">
        <v>39</v>
      </c>
      <c r="I669">
        <f>VLOOKUP(Table4[[#This Row],[Visitor]],'NHL Model'!$A$6:$B$38,2,FALSE)</f>
        <v>0.57663845568176975</v>
      </c>
      <c r="J669">
        <f>($B$1+Table4[[#This Row],[Home Differential]])-Table4[[#This Row],[Away Differential]]</f>
        <v>-2.6646327593956243E-2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0.50312951063656219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-0.70231133461274453</v>
      </c>
      <c r="H670" t="s">
        <v>29</v>
      </c>
      <c r="I670">
        <f>VLOOKUP(Table4[[#This Row],[Visitor]],'NHL Model'!$A$6:$B$38,2,FALSE)</f>
        <v>-1.1040951755058253</v>
      </c>
      <c r="J670">
        <f>($B$1+Table4[[#This Row],[Home Differential]])-Table4[[#This Row],[Away Differential]]</f>
        <v>0.42861831963389718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0.59033960441978239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-2.8228251376645769E-2</v>
      </c>
      <c r="H671" t="s">
        <v>24</v>
      </c>
      <c r="I671">
        <f>VLOOKUP(Table4[[#This Row],[Visitor]],'NHL Model'!$A$6:$B$38,2,FALSE)</f>
        <v>1.2368486032251671E-3</v>
      </c>
      <c r="J671">
        <f>($B$1+Table4[[#This Row],[Home Differential]])-Table4[[#This Row],[Away Differential]]</f>
        <v>-2.6306212390544504E-3</v>
      </c>
      <c r="K671" t="str">
        <f>IF(Table4[[#This Row],[HomeIce Differential]]&gt;0,Table4[[#This Row],[Home]],Table4[[#This Row],[Visitor]])</f>
        <v>New Jersey Devils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0.48107818730815183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-0.15216510880280634</v>
      </c>
      <c r="H672" t="s">
        <v>31</v>
      </c>
      <c r="I672">
        <f>VLOOKUP(Table4[[#This Row],[Visitor]],'NHL Model'!$A$6:$B$38,2,FALSE)</f>
        <v>6.0998961494444972E-3</v>
      </c>
      <c r="J672">
        <f>($B$1+Table4[[#This Row],[Home Differential]])-Table4[[#This Row],[Away Differential]]</f>
        <v>-0.13143052621143436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0.46998147394802842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-0.53356664249341723</v>
      </c>
      <c r="H673" t="s">
        <v>21</v>
      </c>
      <c r="I673">
        <f>VLOOKUP(Table4[[#This Row],[Visitor]],'NHL Model'!$A$6:$B$38,2,FALSE)</f>
        <v>-0.15717729503670502</v>
      </c>
      <c r="J673">
        <f>($B$1+Table4[[#This Row],[Home Differential]])-Table4[[#This Row],[Away Differential]]</f>
        <v>-0.34955486871589575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0.50105390042403486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-0.51080431935976611</v>
      </c>
      <c r="H674" t="s">
        <v>28</v>
      </c>
      <c r="I674">
        <f>VLOOKUP(Table4[[#This Row],[Visitor]],'NHL Model'!$A$6:$B$38,2,FALSE)</f>
        <v>-0.45544062464079677</v>
      </c>
      <c r="J674">
        <f>($B$1+Table4[[#This Row],[Home Differential]])-Table4[[#This Row],[Away Differential]]</f>
        <v>-2.8529215978152889E-2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0.46692680771335088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0.58787033474453221</v>
      </c>
      <c r="H675" t="s">
        <v>12</v>
      </c>
      <c r="I675">
        <f>VLOOKUP(Table4[[#This Row],[Visitor]],'NHL Model'!$A$6:$B$38,2,FALSE)</f>
        <v>1.7050699520681891</v>
      </c>
      <c r="J675">
        <f>($B$1+Table4[[#This Row],[Home Differential]])-Table4[[#This Row],[Away Differential]]</f>
        <v>-1.0903651385828406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0.62805927146619456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-0.38335501658895638</v>
      </c>
      <c r="H676" t="s">
        <v>11</v>
      </c>
      <c r="I676">
        <f>VLOOKUP(Table4[[#This Row],[Visitor]],'NHL Model'!$A$6:$B$38,2,FALSE)</f>
        <v>-0.42252386696344346</v>
      </c>
      <c r="J676">
        <f>($B$1+Table4[[#This Row],[Home Differential]])-Table4[[#This Row],[Away Differential]]</f>
        <v>6.6003329115303599E-2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0.54775184196721005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-0.25388173436787664</v>
      </c>
      <c r="H677" t="s">
        <v>20</v>
      </c>
      <c r="I677">
        <f>VLOOKUP(Table4[[#This Row],[Visitor]],'NHL Model'!$A$6:$B$38,2,FALSE)</f>
        <v>-0.12684993818444543</v>
      </c>
      <c r="J677">
        <f>($B$1+Table4[[#This Row],[Home Differential]])-Table4[[#This Row],[Away Differential]]</f>
        <v>-0.10019731744261473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0.46927231767446081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-0.1280954603767317</v>
      </c>
      <c r="H678" t="s">
        <v>35</v>
      </c>
      <c r="I678">
        <f>VLOOKUP(Table4[[#This Row],[Visitor]],'NHL Model'!$A$6:$B$38,2,FALSE)</f>
        <v>-1.2546198289988155</v>
      </c>
      <c r="J678">
        <f>($B$1+Table4[[#This Row],[Home Differential]])-Table4[[#This Row],[Away Differential]]</f>
        <v>1.1533588473629004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0.67545764488063886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-0.27930615658534785</v>
      </c>
      <c r="H679" t="s">
        <v>33</v>
      </c>
      <c r="I679">
        <f>VLOOKUP(Table4[[#This Row],[Visitor]],'NHL Model'!$A$6:$B$38,2,FALSE)</f>
        <v>-0.51080431935976611</v>
      </c>
      <c r="J679">
        <f>($B$1+Table4[[#This Row],[Home Differential]])-Table4[[#This Row],[Away Differential]]</f>
        <v>0.25833264151523472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0.57034019403020852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-0.50446035262371991</v>
      </c>
      <c r="H680" t="s">
        <v>16</v>
      </c>
      <c r="I680">
        <f>VLOOKUP(Table4[[#This Row],[Visitor]],'NHL Model'!$A$6:$B$38,2,FALSE)</f>
        <v>-1.0975205179116387</v>
      </c>
      <c r="J680">
        <f>($B$1+Table4[[#This Row],[Home Differential]])-Table4[[#This Row],[Away Differential]]</f>
        <v>0.61989464402873529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0.61280428701461531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-5.8660643157088771E-2</v>
      </c>
      <c r="H681" t="s">
        <v>36</v>
      </c>
      <c r="I681">
        <f>VLOOKUP(Table4[[#This Row],[Visitor]],'NHL Model'!$A$6:$B$38,2,FALSE)</f>
        <v>-0.31206928170612303</v>
      </c>
      <c r="J681">
        <f>($B$1+Table4[[#This Row],[Home Differential]])-Table4[[#This Row],[Away Differential]]</f>
        <v>0.28024311728985074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0.60983657366252442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0.78208997208538333</v>
      </c>
      <c r="H682" t="s">
        <v>39</v>
      </c>
      <c r="I682">
        <f>VLOOKUP(Table4[[#This Row],[Visitor]],'NHL Model'!$A$6:$B$38,2,FALSE)</f>
        <v>0.57663845568176975</v>
      </c>
      <c r="J682">
        <f>($B$1+Table4[[#This Row],[Home Differential]])-Table4[[#This Row],[Away Differential]]</f>
        <v>0.23228599514443005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0.50096532421696205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-0.15717729503670502</v>
      </c>
      <c r="H683" t="s">
        <v>16</v>
      </c>
      <c r="I683">
        <f>VLOOKUP(Table4[[#This Row],[Visitor]],'NHL Model'!$A$6:$B$38,2,FALSE)</f>
        <v>-1.0975205179116387</v>
      </c>
      <c r="J683">
        <f>($B$1+Table4[[#This Row],[Home Differential]])-Table4[[#This Row],[Away Differential]]</f>
        <v>0.96717770161575023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0.69649292619748626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0.52315764934699704</v>
      </c>
      <c r="H684" t="s">
        <v>31</v>
      </c>
      <c r="I684">
        <f>VLOOKUP(Table4[[#This Row],[Visitor]],'NHL Model'!$A$6:$B$38,2,FALSE)</f>
        <v>6.0998961494444972E-3</v>
      </c>
      <c r="J684">
        <f>($B$1+Table4[[#This Row],[Home Differential]])-Table4[[#This Row],[Away Differential]]</f>
        <v>0.543892231938369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0.63530666190812912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1.7050699520681891</v>
      </c>
      <c r="H685" t="s">
        <v>36</v>
      </c>
      <c r="I685">
        <f>VLOOKUP(Table4[[#This Row],[Visitor]],'NHL Model'!$A$6:$B$38,2,FALSE)</f>
        <v>-0.31206928170612303</v>
      </c>
      <c r="J685">
        <f>($B$1+Table4[[#This Row],[Home Differential]])-Table4[[#This Row],[Away Differential]]</f>
        <v>2.0439737125151289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0.88458825041083433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-0.72022444935789065</v>
      </c>
      <c r="H686" t="s">
        <v>38</v>
      </c>
      <c r="I686">
        <f>VLOOKUP(Table4[[#This Row],[Visitor]],'NHL Model'!$A$6:$B$38,2,FALSE)</f>
        <v>-0.83165982757888468</v>
      </c>
      <c r="J686">
        <f>($B$1+Table4[[#This Row],[Home Differential]])-Table4[[#This Row],[Away Differential]]</f>
        <v>0.13826985696181049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0.56636152238245685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-0.50446035262371991</v>
      </c>
      <c r="H687" t="s">
        <v>11</v>
      </c>
      <c r="I687">
        <f>VLOOKUP(Table4[[#This Row],[Visitor]],'NHL Model'!$A$6:$B$38,2,FALSE)</f>
        <v>-0.42252386696344346</v>
      </c>
      <c r="J687">
        <f>($B$1+Table4[[#This Row],[Home Differential]])-Table4[[#This Row],[Away Differential]]</f>
        <v>-5.5102006919459989E-2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0.46647152280712356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-1.1040951755058253</v>
      </c>
      <c r="H688" t="s">
        <v>30</v>
      </c>
      <c r="I688">
        <f>VLOOKUP(Table4[[#This Row],[Visitor]],'NHL Model'!$A$6:$B$38,2,FALSE)</f>
        <v>-2.8228251376645769E-2</v>
      </c>
      <c r="J688">
        <f>($B$1+Table4[[#This Row],[Home Differential]])-Table4[[#This Row],[Away Differential]]</f>
        <v>-1.0490324453883628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0.65582807171088264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-0.10354486814940167</v>
      </c>
      <c r="H689" t="s">
        <v>23</v>
      </c>
      <c r="I689">
        <f>VLOOKUP(Table4[[#This Row],[Visitor]],'NHL Model'!$A$6:$B$38,2,FALSE)</f>
        <v>-0.43955182119289299</v>
      </c>
      <c r="J689">
        <f>($B$1+Table4[[#This Row],[Home Differential]])-Table4[[#This Row],[Away Differential]]</f>
        <v>0.36284143178430783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0.58261435712484422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-0.15216510880280634</v>
      </c>
      <c r="H690" t="s">
        <v>19</v>
      </c>
      <c r="I690">
        <f>VLOOKUP(Table4[[#This Row],[Visitor]],'NHL Model'!$A$6:$B$38,2,FALSE)</f>
        <v>-0.38335501658895638</v>
      </c>
      <c r="J690">
        <f>($B$1+Table4[[#This Row],[Home Differential]])-Table4[[#This Row],[Away Differential]]</f>
        <v>0.25802438652696652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0.59634172649397088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-1.1494940880477545E-2</v>
      </c>
      <c r="H691" t="s">
        <v>24</v>
      </c>
      <c r="I691">
        <f>VLOOKUP(Table4[[#This Row],[Visitor]],'NHL Model'!$A$6:$B$38,2,FALSE)</f>
        <v>1.2368486032251671E-3</v>
      </c>
      <c r="J691">
        <f>($B$1+Table4[[#This Row],[Home Differential]])-Table4[[#This Row],[Away Differential]]</f>
        <v>1.4102689257113775E-2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0.5208870768731132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-0.53356664249341723</v>
      </c>
      <c r="H692" t="s">
        <v>34</v>
      </c>
      <c r="I692">
        <f>VLOOKUP(Table4[[#This Row],[Visitor]],'NHL Model'!$A$6:$B$38,2,FALSE)</f>
        <v>6.3765445873038576E-2</v>
      </c>
      <c r="J692">
        <f>($B$1+Table4[[#This Row],[Home Differential]])-Table4[[#This Row],[Away Differential]]</f>
        <v>-0.57049760962563933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0.58629062553198086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-0.12684993818444543</v>
      </c>
      <c r="H693" t="s">
        <v>28</v>
      </c>
      <c r="I693">
        <f>VLOOKUP(Table4[[#This Row],[Visitor]],'NHL Model'!$A$6:$B$38,2,FALSE)</f>
        <v>-0.45544062464079677</v>
      </c>
      <c r="J693">
        <f>($B$1+Table4[[#This Row],[Home Differential]])-Table4[[#This Row],[Away Differential]]</f>
        <v>0.35542516519716782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0.57816718565612757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-0.25388173436787664</v>
      </c>
      <c r="H694" t="s">
        <v>17</v>
      </c>
      <c r="I694">
        <f>VLOOKUP(Table4[[#This Row],[Visitor]],'NHL Model'!$A$6:$B$38,2,FALSE)</f>
        <v>-0.70231133461274453</v>
      </c>
      <c r="J694">
        <f>($B$1+Table4[[#This Row],[Home Differential]])-Table4[[#This Row],[Away Differential]]</f>
        <v>0.47526407898568435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0.59831345206071873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-0.1280954603767317</v>
      </c>
      <c r="H695" t="s">
        <v>22</v>
      </c>
      <c r="I695">
        <f>VLOOKUP(Table4[[#This Row],[Visitor]],'NHL Model'!$A$6:$B$38,2,FALSE)</f>
        <v>0.78208997208538333</v>
      </c>
      <c r="J695">
        <f>($B$1+Table4[[#This Row],[Home Differential]])-Table4[[#This Row],[Away Differential]]</f>
        <v>-0.88335095372129857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0.63636940564797762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-5.8660643157088771E-2</v>
      </c>
      <c r="H696" t="s">
        <v>35</v>
      </c>
      <c r="I696">
        <f>VLOOKUP(Table4[[#This Row],[Visitor]],'NHL Model'!$A$6:$B$38,2,FALSE)</f>
        <v>-1.2546198289988155</v>
      </c>
      <c r="J696">
        <f>($B$1+Table4[[#This Row],[Home Differential]])-Table4[[#This Row],[Away Differential]]</f>
        <v>1.2227936645825432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0.72404367962444693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-0.25388173436787664</v>
      </c>
      <c r="H697" t="s">
        <v>13</v>
      </c>
      <c r="I697">
        <f>VLOOKUP(Table4[[#This Row],[Visitor]],'NHL Model'!$A$6:$B$38,2,FALSE)</f>
        <v>-0.27930615658534785</v>
      </c>
      <c r="J697">
        <f>($B$1+Table4[[#This Row],[Home Differential]])-Table4[[#This Row],[Away Differential]]</f>
        <v>5.2258900958287696E-2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0.48232808692979257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-0.15717729503670502</v>
      </c>
      <c r="H698" t="s">
        <v>15</v>
      </c>
      <c r="I698">
        <f>VLOOKUP(Table4[[#This Row],[Visitor]],'NHL Model'!$A$6:$B$38,2,FALSE)</f>
        <v>-0.10354486814940167</v>
      </c>
      <c r="J698">
        <f>($B$1+Table4[[#This Row],[Home Differential]])-Table4[[#This Row],[Away Differential]]</f>
        <v>-2.6797948146486866E-2</v>
      </c>
      <c r="K698" t="str">
        <f>IF(Table4[[#This Row],[HomeIce Differential]]&gt;0,Table4[[#This Row],[Home]],Table4[[#This Row],[Visitor]])</f>
        <v>New York Rangers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0.51992584138830977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-0.43955182119289299</v>
      </c>
      <c r="H699" t="s">
        <v>31</v>
      </c>
      <c r="I699">
        <f>VLOOKUP(Table4[[#This Row],[Visitor]],'NHL Model'!$A$6:$B$38,2,FALSE)</f>
        <v>6.0998961494444972E-3</v>
      </c>
      <c r="J699">
        <f>($B$1+Table4[[#This Row],[Home Differential]])-Table4[[#This Row],[Away Differential]]</f>
        <v>-0.41881723860152098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0.51977673972713911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0.52315764934699704</v>
      </c>
      <c r="H700" t="s">
        <v>32</v>
      </c>
      <c r="I700">
        <f>VLOOKUP(Table4[[#This Row],[Visitor]],'NHL Model'!$A$6:$B$38,2,FALSE)</f>
        <v>-0.53356664249341723</v>
      </c>
      <c r="J700">
        <f>($B$1+Table4[[#This Row],[Home Differential]])-Table4[[#This Row],[Away Differential]]</f>
        <v>1.0835587705812308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0.7189758655568963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1.7050699520681891</v>
      </c>
      <c r="H701" t="s">
        <v>28</v>
      </c>
      <c r="I701">
        <f>VLOOKUP(Table4[[#This Row],[Visitor]],'NHL Model'!$A$6:$B$38,2,FALSE)</f>
        <v>-0.45544062464079677</v>
      </c>
      <c r="J701">
        <f>($B$1+Table4[[#This Row],[Home Differential]])-Table4[[#This Row],[Away Differential]]</f>
        <v>2.1873450554498026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0.90142667368361706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-0.70231133461274453</v>
      </c>
      <c r="H702" t="s">
        <v>13</v>
      </c>
      <c r="I702">
        <f>VLOOKUP(Table4[[#This Row],[Visitor]],'NHL Model'!$A$6:$B$38,2,FALSE)</f>
        <v>-0.27930615658534785</v>
      </c>
      <c r="J702">
        <f>($B$1+Table4[[#This Row],[Home Differential]])-Table4[[#This Row],[Away Differential]]</f>
        <v>-0.39617069928658022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0.57284454331189927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6.3765445873038576E-2</v>
      </c>
      <c r="H703" t="s">
        <v>30</v>
      </c>
      <c r="I703">
        <f>VLOOKUP(Table4[[#This Row],[Visitor]],'NHL Model'!$A$6:$B$38,2,FALSE)</f>
        <v>-2.8228251376645769E-2</v>
      </c>
      <c r="J703">
        <f>($B$1+Table4[[#This Row],[Home Differential]])-Table4[[#This Row],[Away Differential]]</f>
        <v>0.11882817599050083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0.48133275181123891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-0.50446035262371991</v>
      </c>
      <c r="H704" t="s">
        <v>26</v>
      </c>
      <c r="I704">
        <f>VLOOKUP(Table4[[#This Row],[Visitor]],'NHL Model'!$A$6:$B$38,2,FALSE)</f>
        <v>-0.72022444935789065</v>
      </c>
      <c r="J704">
        <f>($B$1+Table4[[#This Row],[Home Differential]])-Table4[[#This Row],[Away Differential]]</f>
        <v>0.2425985754749872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0.56849228734003876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-1.1040951755058253</v>
      </c>
      <c r="H705" t="s">
        <v>10</v>
      </c>
      <c r="I705">
        <f>VLOOKUP(Table4[[#This Row],[Visitor]],'NHL Model'!$A$6:$B$38,2,FALSE)</f>
        <v>-0.1280954603767317</v>
      </c>
      <c r="J705">
        <f>($B$1+Table4[[#This Row],[Home Differential]])-Table4[[#This Row],[Away Differential]]</f>
        <v>-0.94916523638827699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0.57147587571526748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-0.31206928170612303</v>
      </c>
      <c r="H706" t="s">
        <v>11</v>
      </c>
      <c r="I706">
        <f>VLOOKUP(Table4[[#This Row],[Visitor]],'NHL Model'!$A$6:$B$38,2,FALSE)</f>
        <v>-0.42252386696344346</v>
      </c>
      <c r="J706">
        <f>($B$1+Table4[[#This Row],[Home Differential]])-Table4[[#This Row],[Away Differential]]</f>
        <v>0.1372890639981369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0.55861956176509342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-0.15216510880280634</v>
      </c>
      <c r="H707" t="s">
        <v>37</v>
      </c>
      <c r="I707">
        <f>VLOOKUP(Table4[[#This Row],[Visitor]],'NHL Model'!$A$6:$B$38,2,FALSE)</f>
        <v>0.58787033474453221</v>
      </c>
      <c r="J707">
        <f>($B$1+Table4[[#This Row],[Home Differential]])-Table4[[#This Row],[Away Differential]]</f>
        <v>-0.71320096480652206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0.59009187625962511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-1.1494940880477545E-2</v>
      </c>
      <c r="H708" t="s">
        <v>16</v>
      </c>
      <c r="I708">
        <f>VLOOKUP(Table4[[#This Row],[Visitor]],'NHL Model'!$A$6:$B$38,2,FALSE)</f>
        <v>-1.0975205179116387</v>
      </c>
      <c r="J708">
        <f>($B$1+Table4[[#This Row],[Home Differential]])-Table4[[#This Row],[Away Differential]]</f>
        <v>1.1128600557719777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0.67070121461441135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-0.51080431935976611</v>
      </c>
      <c r="H709" t="s">
        <v>39</v>
      </c>
      <c r="I709">
        <f>VLOOKUP(Table4[[#This Row],[Visitor]],'NHL Model'!$A$6:$B$38,2,FALSE)</f>
        <v>0.57663845568176975</v>
      </c>
      <c r="J709">
        <f>($B$1+Table4[[#This Row],[Home Differential]])-Table4[[#This Row],[Away Differential]]</f>
        <v>-1.0606082963007193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0.6770506304611047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-0.38335501658895638</v>
      </c>
      <c r="H710" t="s">
        <v>38</v>
      </c>
      <c r="I710">
        <f>VLOOKUP(Table4[[#This Row],[Visitor]],'NHL Model'!$A$6:$B$38,2,FALSE)</f>
        <v>-0.83165982757888468</v>
      </c>
      <c r="J710">
        <f>($B$1+Table4[[#This Row],[Home Differential]])-Table4[[#This Row],[Away Differential]]</f>
        <v>0.47513928973074482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0.59580331682922893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-0.12684993818444543</v>
      </c>
      <c r="H711" t="s">
        <v>35</v>
      </c>
      <c r="I711">
        <f>VLOOKUP(Table4[[#This Row],[Visitor]],'NHL Model'!$A$6:$B$38,2,FALSE)</f>
        <v>-1.2546198289988155</v>
      </c>
      <c r="J711">
        <f>($B$1+Table4[[#This Row],[Home Differential]])-Table4[[#This Row],[Away Differential]]</f>
        <v>1.1546043695551866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0.67560392676263892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-0.15717729503670502</v>
      </c>
      <c r="H712" t="s">
        <v>14</v>
      </c>
      <c r="I712">
        <f>VLOOKUP(Table4[[#This Row],[Visitor]],'NHL Model'!$A$6:$B$38,2,FALSE)</f>
        <v>-1.1494940880477545E-2</v>
      </c>
      <c r="J712">
        <f>($B$1+Table4[[#This Row],[Home Differential]])-Table4[[#This Row],[Away Differential]]</f>
        <v>-0.11884787541541099</v>
      </c>
      <c r="K712" t="str">
        <f>IF(Table4[[#This Row],[HomeIce Differential]]&gt;0,Table4[[#This Row],[Home]],Table4[[#This Row],[Visitor]])</f>
        <v>Pittsburgh Penguins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0.46977218803059489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-1.1040951755058253</v>
      </c>
      <c r="H713" t="s">
        <v>22</v>
      </c>
      <c r="I713">
        <f>VLOOKUP(Table4[[#This Row],[Visitor]],'NHL Model'!$A$6:$B$38,2,FALSE)</f>
        <v>0.78208997208538333</v>
      </c>
      <c r="J713">
        <f>($B$1+Table4[[#This Row],[Home Differential]])-Table4[[#This Row],[Away Differential]]</f>
        <v>-1.859350668850392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0.75099688964209232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-0.51080431935976611</v>
      </c>
      <c r="H714" t="s">
        <v>20</v>
      </c>
      <c r="I714">
        <f>VLOOKUP(Table4[[#This Row],[Visitor]],'NHL Model'!$A$6:$B$38,2,FALSE)</f>
        <v>-0.12684993818444543</v>
      </c>
      <c r="J714">
        <f>($B$1+Table4[[#This Row],[Home Differential]])-Table4[[#This Row],[Away Differential]]</f>
        <v>-0.3571199024345042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0.50194238509063138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-5.8660643157088771E-2</v>
      </c>
      <c r="H715" t="s">
        <v>28</v>
      </c>
      <c r="I715">
        <f>VLOOKUP(Table4[[#This Row],[Visitor]],'NHL Model'!$A$6:$B$38,2,FALSE)</f>
        <v>-0.45544062464079677</v>
      </c>
      <c r="J715">
        <f>($B$1+Table4[[#This Row],[Home Differential]])-Table4[[#This Row],[Away Differential]]</f>
        <v>0.42361446022452448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0.62667499693530715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-0.25388173436787664</v>
      </c>
      <c r="H716" t="s">
        <v>24</v>
      </c>
      <c r="I716">
        <f>VLOOKUP(Table4[[#This Row],[Visitor]],'NHL Model'!$A$6:$B$38,2,FALSE)</f>
        <v>1.2368486032251671E-3</v>
      </c>
      <c r="J716">
        <f>($B$1+Table4[[#This Row],[Home Differential]])-Table4[[#This Row],[Away Differential]]</f>
        <v>-0.22828410423028533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0.50507197626754541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-0.43955182119289299</v>
      </c>
      <c r="H717" t="s">
        <v>11</v>
      </c>
      <c r="I717">
        <f>VLOOKUP(Table4[[#This Row],[Visitor]],'NHL Model'!$A$6:$B$38,2,FALSE)</f>
        <v>-0.42252386696344346</v>
      </c>
      <c r="J717">
        <f>($B$1+Table4[[#This Row],[Home Differential]])-Table4[[#This Row],[Away Differential]]</f>
        <v>9.8065245113669874E-3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0.55127398869158262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-0.1280954603767317</v>
      </c>
      <c r="H718" t="s">
        <v>17</v>
      </c>
      <c r="I718">
        <f>VLOOKUP(Table4[[#This Row],[Visitor]],'NHL Model'!$A$6:$B$38,2,FALSE)</f>
        <v>-0.70231133461274453</v>
      </c>
      <c r="J718">
        <f>($B$1+Table4[[#This Row],[Home Differential]])-Table4[[#This Row],[Away Differential]]</f>
        <v>0.60105035297682929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0.61059109613202667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1.7050699520681891</v>
      </c>
      <c r="H719" t="s">
        <v>19</v>
      </c>
      <c r="I719">
        <f>VLOOKUP(Table4[[#This Row],[Visitor]],'NHL Model'!$A$6:$B$38,2,FALSE)</f>
        <v>-0.38335501658895638</v>
      </c>
      <c r="J719">
        <f>($B$1+Table4[[#This Row],[Home Differential]])-Table4[[#This Row],[Away Differential]]</f>
        <v>2.1152594473979622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0.89625020684654499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-0.72022444935789065</v>
      </c>
      <c r="H720" t="s">
        <v>25</v>
      </c>
      <c r="I720">
        <f>VLOOKUP(Table4[[#This Row],[Visitor]],'NHL Model'!$A$6:$B$38,2,FALSE)</f>
        <v>0.52315764934699704</v>
      </c>
      <c r="J720">
        <f>($B$1+Table4[[#This Row],[Home Differential]])-Table4[[#This Row],[Away Differential]]</f>
        <v>-1.2165476199640712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0.66532790739671333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-0.27930615658534785</v>
      </c>
      <c r="H721" t="s">
        <v>39</v>
      </c>
      <c r="I721">
        <f>VLOOKUP(Table4[[#This Row],[Visitor]],'NHL Model'!$A$6:$B$38,2,FALSE)</f>
        <v>0.57663845568176975</v>
      </c>
      <c r="J721">
        <f>($B$1+Table4[[#This Row],[Home Differential]])-Table4[[#This Row],[Away Differential]]</f>
        <v>-0.82911013352630114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0.6498620447097434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6.3765445873038576E-2</v>
      </c>
      <c r="H722" t="s">
        <v>24</v>
      </c>
      <c r="I722">
        <f>VLOOKUP(Table4[[#This Row],[Visitor]],'NHL Model'!$A$6:$B$38,2,FALSE)</f>
        <v>1.2368486032251671E-3</v>
      </c>
      <c r="J722">
        <f>($B$1+Table4[[#This Row],[Home Differential]])-Table4[[#This Row],[Away Differential]]</f>
        <v>8.9363076010629899E-2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0.52972612533209607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-0.50446035262371991</v>
      </c>
      <c r="H723" t="s">
        <v>38</v>
      </c>
      <c r="I723">
        <f>VLOOKUP(Table4[[#This Row],[Visitor]],'NHL Model'!$A$6:$B$38,2,FALSE)</f>
        <v>-0.83165982757888468</v>
      </c>
      <c r="J723">
        <f>($B$1+Table4[[#This Row],[Home Differential]])-Table4[[#This Row],[Away Differential]]</f>
        <v>0.35403395369598123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0.58157995205489532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-0.10354486814940167</v>
      </c>
      <c r="H724" t="s">
        <v>32</v>
      </c>
      <c r="I724">
        <f>VLOOKUP(Table4[[#This Row],[Visitor]],'NHL Model'!$A$6:$B$38,2,FALSE)</f>
        <v>-0.53356664249341723</v>
      </c>
      <c r="J724">
        <f>($B$1+Table4[[#This Row],[Home Differential]])-Table4[[#This Row],[Away Differential]]</f>
        <v>0.45685625308483202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0.59365604315895337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-0.15216510880280634</v>
      </c>
      <c r="H725" t="s">
        <v>37</v>
      </c>
      <c r="I725">
        <f>VLOOKUP(Table4[[#This Row],[Visitor]],'NHL Model'!$A$6:$B$38,2,FALSE)</f>
        <v>0.58787033474453221</v>
      </c>
      <c r="J725">
        <f>($B$1+Table4[[#This Row],[Home Differential]])-Table4[[#This Row],[Away Differential]]</f>
        <v>-0.71320096480652206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0.59009187625962511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6.0998961494444972E-3</v>
      </c>
      <c r="H726" t="s">
        <v>39</v>
      </c>
      <c r="I726">
        <f>VLOOKUP(Table4[[#This Row],[Visitor]],'NHL Model'!$A$6:$B$38,2,FALSE)</f>
        <v>0.57663845568176975</v>
      </c>
      <c r="J726">
        <f>($B$1+Table4[[#This Row],[Home Differential]])-Table4[[#This Row],[Away Differential]]</f>
        <v>-0.54370408079150878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0.55442203057312156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-0.15717729503670502</v>
      </c>
      <c r="H727" t="s">
        <v>26</v>
      </c>
      <c r="I727">
        <f>VLOOKUP(Table4[[#This Row],[Visitor]],'NHL Model'!$A$6:$B$38,2,FALSE)</f>
        <v>-0.72022444935789065</v>
      </c>
      <c r="J727">
        <f>($B$1+Table4[[#This Row],[Home Differential]])-Table4[[#This Row],[Away Differential]]</f>
        <v>0.58988163306200214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0.65218092652290982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-0.45544062464079677</v>
      </c>
      <c r="H728" t="s">
        <v>16</v>
      </c>
      <c r="I728">
        <f>VLOOKUP(Table4[[#This Row],[Visitor]],'NHL Model'!$A$6:$B$38,2,FALSE)</f>
        <v>-1.0975205179116387</v>
      </c>
      <c r="J728">
        <f>($B$1+Table4[[#This Row],[Home Differential]])-Table4[[#This Row],[Away Differential]]</f>
        <v>0.66891437201165849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0.61856146910970966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-1.1040951755058253</v>
      </c>
      <c r="H729" t="s">
        <v>17</v>
      </c>
      <c r="I729">
        <f>VLOOKUP(Table4[[#This Row],[Visitor]],'NHL Model'!$A$6:$B$38,2,FALSE)</f>
        <v>-0.70231133461274453</v>
      </c>
      <c r="J729">
        <f>($B$1+Table4[[#This Row],[Home Differential]])-Table4[[#This Row],[Away Differential]]</f>
        <v>-0.37494936215226415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0.50403638786208804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-0.31206928170612303</v>
      </c>
      <c r="H730" t="s">
        <v>38</v>
      </c>
      <c r="I730">
        <f>VLOOKUP(Table4[[#This Row],[Visitor]],'NHL Model'!$A$6:$B$38,2,FALSE)</f>
        <v>-0.83165982757888468</v>
      </c>
      <c r="J730">
        <f>($B$1+Table4[[#This Row],[Home Differential]])-Table4[[#This Row],[Away Differential]]</f>
        <v>0.54642502461357811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0.6066710366271123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-1.1494940880477545E-2</v>
      </c>
      <c r="H731" t="s">
        <v>37</v>
      </c>
      <c r="I731">
        <f>VLOOKUP(Table4[[#This Row],[Visitor]],'NHL Model'!$A$6:$B$38,2,FALSE)</f>
        <v>0.58787033474453221</v>
      </c>
      <c r="J731">
        <f>($B$1+Table4[[#This Row],[Home Differential]])-Table4[[#This Row],[Away Differential]]</f>
        <v>-0.57253079688419328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0.59986475098403547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-1.2546198289988155</v>
      </c>
      <c r="H732" t="s">
        <v>25</v>
      </c>
      <c r="I732">
        <f>VLOOKUP(Table4[[#This Row],[Visitor]],'NHL Model'!$A$6:$B$38,2,FALSE)</f>
        <v>0.52315764934699704</v>
      </c>
      <c r="J732">
        <f>($B$1+Table4[[#This Row],[Home Differential]])-Table4[[#This Row],[Away Differential]]</f>
        <v>-1.7509429996049959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0.73826481792256082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-5.8660643157088771E-2</v>
      </c>
      <c r="H733" t="s">
        <v>19</v>
      </c>
      <c r="I733">
        <f>VLOOKUP(Table4[[#This Row],[Visitor]],'NHL Model'!$A$6:$B$38,2,FALSE)</f>
        <v>-0.38335501658895638</v>
      </c>
      <c r="J733">
        <f>($B$1+Table4[[#This Row],[Home Differential]])-Table4[[#This Row],[Away Differential]]</f>
        <v>0.35152885217268409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0.62171691477909374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-0.25388173436787664</v>
      </c>
      <c r="H734" t="s">
        <v>30</v>
      </c>
      <c r="I734">
        <f>VLOOKUP(Table4[[#This Row],[Visitor]],'NHL Model'!$A$6:$B$38,2,FALSE)</f>
        <v>-2.8228251376645769E-2</v>
      </c>
      <c r="J734">
        <f>($B$1+Table4[[#This Row],[Home Differential]])-Table4[[#This Row],[Away Differential]]</f>
        <v>-0.19881900425041438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0.55347102381227054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0.78208997208538333</v>
      </c>
      <c r="H735" t="s">
        <v>18</v>
      </c>
      <c r="I735">
        <f>VLOOKUP(Table4[[#This Row],[Visitor]],'NHL Model'!$A$6:$B$38,2,FALSE)</f>
        <v>-0.50446035262371991</v>
      </c>
      <c r="J735">
        <f>($B$1+Table4[[#This Row],[Home Differential]])-Table4[[#This Row],[Away Differential]]</f>
        <v>1.3133848034499196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0.66129434314971447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-0.43955182119289299</v>
      </c>
      <c r="H736" t="s">
        <v>27</v>
      </c>
      <c r="I736">
        <f>VLOOKUP(Table4[[#This Row],[Visitor]],'NHL Model'!$A$6:$B$38,2,FALSE)</f>
        <v>-0.15216510880280634</v>
      </c>
      <c r="J736">
        <f>($B$1+Table4[[#This Row],[Home Differential]])-Table4[[#This Row],[Away Differential]]</f>
        <v>-0.26055223364927016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0.52290856905929273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-0.27930615658534785</v>
      </c>
      <c r="H737" t="s">
        <v>20</v>
      </c>
      <c r="I737">
        <f>VLOOKUP(Table4[[#This Row],[Visitor]],'NHL Model'!$A$6:$B$38,2,FALSE)</f>
        <v>-0.12684993818444543</v>
      </c>
      <c r="J737">
        <f>($B$1+Table4[[#This Row],[Home Differential]])-Table4[[#This Row],[Away Differential]]</f>
        <v>-0.12562173966008597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0.47475379933927003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1.2368486032251671E-3</v>
      </c>
      <c r="H738" t="s">
        <v>32</v>
      </c>
      <c r="I738">
        <f>VLOOKUP(Table4[[#This Row],[Visitor]],'NHL Model'!$A$6:$B$38,2,FALSE)</f>
        <v>-0.53356664249341723</v>
      </c>
      <c r="J738">
        <f>($B$1+Table4[[#This Row],[Home Differential]])-Table4[[#This Row],[Away Differential]]</f>
        <v>0.56163796983745884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0.66676332853009024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-0.10354486814940167</v>
      </c>
      <c r="H739" t="s">
        <v>36</v>
      </c>
      <c r="I739">
        <f>VLOOKUP(Table4[[#This Row],[Visitor]],'NHL Model'!$A$6:$B$38,2,FALSE)</f>
        <v>-0.31206928170612303</v>
      </c>
      <c r="J739">
        <f>($B$1+Table4[[#This Row],[Home Differential]])-Table4[[#This Row],[Away Differential]]</f>
        <v>0.23535889229753784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0.56406585492652284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-0.15717729503670502</v>
      </c>
      <c r="H740" t="s">
        <v>32</v>
      </c>
      <c r="I740">
        <f>VLOOKUP(Table4[[#This Row],[Visitor]],'NHL Model'!$A$6:$B$38,2,FALSE)</f>
        <v>-0.53356664249341723</v>
      </c>
      <c r="J740">
        <f>($B$1+Table4[[#This Row],[Home Differential]])-Table4[[#This Row],[Away Differential]]</f>
        <v>0.40322382619752872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0.63025867138587421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-0.43955182119289299</v>
      </c>
      <c r="H741" t="s">
        <v>18</v>
      </c>
      <c r="I741">
        <f>VLOOKUP(Table4[[#This Row],[Visitor]],'NHL Model'!$A$6:$B$38,2,FALSE)</f>
        <v>-0.50446035262371991</v>
      </c>
      <c r="J741">
        <f>($B$1+Table4[[#This Row],[Home Differential]])-Table4[[#This Row],[Away Differential]]</f>
        <v>9.1743010171643435E-2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0.50168396129789106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-0.45544062464079677</v>
      </c>
      <c r="H742" t="s">
        <v>38</v>
      </c>
      <c r="I742">
        <f>VLOOKUP(Table4[[#This Row],[Visitor]],'NHL Model'!$A$6:$B$38,2,FALSE)</f>
        <v>-0.83165982757888468</v>
      </c>
      <c r="J742">
        <f>($B$1+Table4[[#This Row],[Home Differential]])-Table4[[#This Row],[Away Differential]]</f>
        <v>0.40305368167890443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0.58733713414998967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-0.1280954603767317</v>
      </c>
      <c r="H743" t="s">
        <v>16</v>
      </c>
      <c r="I743">
        <f>VLOOKUP(Table4[[#This Row],[Visitor]],'NHL Model'!$A$6:$B$38,2,FALSE)</f>
        <v>-1.0975205179116387</v>
      </c>
      <c r="J743">
        <f>($B$1+Table4[[#This Row],[Home Differential]])-Table4[[#This Row],[Away Differential]]</f>
        <v>0.9962595362757235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0.65700692354538726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-0.70231133461274453</v>
      </c>
      <c r="H744" t="s">
        <v>30</v>
      </c>
      <c r="I744">
        <f>VLOOKUP(Table4[[#This Row],[Visitor]],'NHL Model'!$A$6:$B$38,2,FALSE)</f>
        <v>-2.8228251376645769E-2</v>
      </c>
      <c r="J744">
        <f>($B$1+Table4[[#This Row],[Home Differential]])-Table4[[#This Row],[Away Differential]]</f>
        <v>-0.64724860449528232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0.60864007556994748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6.3765445873038576E-2</v>
      </c>
      <c r="H745" t="s">
        <v>40</v>
      </c>
      <c r="I745">
        <f>VLOOKUP(Table4[[#This Row],[Visitor]],'NHL Model'!$A$6:$B$38,2,FALSE)</f>
        <v>-0.25388173436787664</v>
      </c>
      <c r="J745">
        <f>($B$1+Table4[[#This Row],[Home Differential]])-Table4[[#This Row],[Away Differential]]</f>
        <v>0.34448165898173172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0.5768819121421046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-1.1494940880477545E-2</v>
      </c>
      <c r="H746" t="s">
        <v>27</v>
      </c>
      <c r="I746">
        <f>VLOOKUP(Table4[[#This Row],[Visitor]],'NHL Model'!$A$6:$B$38,2,FALSE)</f>
        <v>-0.15216510880280634</v>
      </c>
      <c r="J746">
        <f>($B$1+Table4[[#This Row],[Home Differential]])-Table4[[#This Row],[Away Differential]]</f>
        <v>0.1675046466631453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0.51716022592417221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-5.8660643157088771E-2</v>
      </c>
      <c r="H747" t="s">
        <v>39</v>
      </c>
      <c r="I747">
        <f>VLOOKUP(Table4[[#This Row],[Visitor]],'NHL Model'!$A$6:$B$38,2,FALSE)</f>
        <v>0.57663845568176975</v>
      </c>
      <c r="J747">
        <f>($B$1+Table4[[#This Row],[Home Differential]])-Table4[[#This Row],[Away Differential]]</f>
        <v>-0.60846462009804203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0.58308978080736118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-0.12684993818444543</v>
      </c>
      <c r="H748" t="s">
        <v>19</v>
      </c>
      <c r="I748">
        <f>VLOOKUP(Table4[[#This Row],[Visitor]],'NHL Model'!$A$6:$B$38,2,FALSE)</f>
        <v>-0.38335501658895638</v>
      </c>
      <c r="J748">
        <f>($B$1+Table4[[#This Row],[Home Differential]])-Table4[[#This Row],[Away Differential]]</f>
        <v>0.28333955714532744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0.57327716191728573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0.78208997208538333</v>
      </c>
      <c r="H749" t="s">
        <v>33</v>
      </c>
      <c r="I749">
        <f>VLOOKUP(Table4[[#This Row],[Visitor]],'NHL Model'!$A$6:$B$38,2,FALSE)</f>
        <v>-0.51080431935976611</v>
      </c>
      <c r="J749">
        <f>($B$1+Table4[[#This Row],[Home Differential]])-Table4[[#This Row],[Away Differential]]</f>
        <v>1.3197287701859659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0.72103490043435081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0.52315764934699704</v>
      </c>
      <c r="H750" t="s">
        <v>11</v>
      </c>
      <c r="I750">
        <f>VLOOKUP(Table4[[#This Row],[Visitor]],'NHL Model'!$A$6:$B$38,2,FALSE)</f>
        <v>-0.42252386696344346</v>
      </c>
      <c r="J750">
        <f>($B$1+Table4[[#This Row],[Home Differential]])-Table4[[#This Row],[Away Differential]]</f>
        <v>0.97251599505125697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0.70593431054676947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1.7050699520681891</v>
      </c>
      <c r="H751" t="s">
        <v>29</v>
      </c>
      <c r="I751">
        <f>VLOOKUP(Table4[[#This Row],[Visitor]],'NHL Model'!$A$6:$B$38,2,FALSE)</f>
        <v>-1.1040951755058253</v>
      </c>
      <c r="J751">
        <f>($B$1+Table4[[#This Row],[Home Differential]])-Table4[[#This Row],[Away Differential]]</f>
        <v>2.8359996063148309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0.98089841908422126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-0.72022444935789065</v>
      </c>
      <c r="H752" t="s">
        <v>33</v>
      </c>
      <c r="I752">
        <f>VLOOKUP(Table4[[#This Row],[Visitor]],'NHL Model'!$A$6:$B$38,2,FALSE)</f>
        <v>-0.51080431935976611</v>
      </c>
      <c r="J752">
        <f>($B$1+Table4[[#This Row],[Home Differential]])-Table4[[#This Row],[Away Differential]]</f>
        <v>-0.18258565125730808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0.4713217464368849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-0.27930615658534785</v>
      </c>
      <c r="H753" t="s">
        <v>31</v>
      </c>
      <c r="I753">
        <f>VLOOKUP(Table4[[#This Row],[Visitor]],'NHL Model'!$A$6:$B$38,2,FALSE)</f>
        <v>6.0998961494444972E-3</v>
      </c>
      <c r="J753">
        <f>($B$1+Table4[[#This Row],[Home Differential]])-Table4[[#This Row],[Away Differential]]</f>
        <v>-0.2585715739939759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0.51113748651755042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-1.2546198289988155</v>
      </c>
      <c r="H754" t="s">
        <v>37</v>
      </c>
      <c r="I754">
        <f>VLOOKUP(Table4[[#This Row],[Visitor]],'NHL Model'!$A$6:$B$38,2,FALSE)</f>
        <v>0.58787033474453221</v>
      </c>
      <c r="J754">
        <f>($B$1+Table4[[#This Row],[Home Differential]])-Table4[[#This Row],[Away Differential]]</f>
        <v>-1.8156556850025312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0.74586507865485108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6.0998961494444972E-3</v>
      </c>
      <c r="H755" t="s">
        <v>13</v>
      </c>
      <c r="I755">
        <f>VLOOKUP(Table4[[#This Row],[Visitor]],'NHL Model'!$A$6:$B$38,2,FALSE)</f>
        <v>-0.27930615658534785</v>
      </c>
      <c r="J755">
        <f>($B$1+Table4[[#This Row],[Home Differential]])-Table4[[#This Row],[Away Differential]]</f>
        <v>0.31224053147560882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0.5723857580202999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-0.43955182119289299</v>
      </c>
      <c r="H756" t="s">
        <v>34</v>
      </c>
      <c r="I756">
        <f>VLOOKUP(Table4[[#This Row],[Visitor]],'NHL Model'!$A$6:$B$38,2,FALSE)</f>
        <v>6.3765445873038576E-2</v>
      </c>
      <c r="J756">
        <f>($B$1+Table4[[#This Row],[Home Differential]])-Table4[[#This Row],[Away Differential]]</f>
        <v>-0.47648278832511504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0.56505201476088762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-1.0975205179116387</v>
      </c>
      <c r="H757" t="s">
        <v>30</v>
      </c>
      <c r="I757">
        <f>VLOOKUP(Table4[[#This Row],[Visitor]],'NHL Model'!$A$6:$B$38,2,FALSE)</f>
        <v>-2.8228251376645769E-2</v>
      </c>
      <c r="J757">
        <f>($B$1+Table4[[#This Row],[Home Differential]])-Table4[[#This Row],[Away Differential]]</f>
        <v>-1.0424577877941763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0.65505590298330807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-0.1280954603767317</v>
      </c>
      <c r="H758" t="s">
        <v>21</v>
      </c>
      <c r="I758">
        <f>VLOOKUP(Table4[[#This Row],[Visitor]],'NHL Model'!$A$6:$B$38,2,FALSE)</f>
        <v>-0.15717729503670502</v>
      </c>
      <c r="J758">
        <f>($B$1+Table4[[#This Row],[Home Differential]])-Table4[[#This Row],[Away Differential]]</f>
        <v>5.5916313400789813E-2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0.54656716003089323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1.2368486032251671E-3</v>
      </c>
      <c r="H759" t="s">
        <v>25</v>
      </c>
      <c r="I759">
        <f>VLOOKUP(Table4[[#This Row],[Visitor]],'NHL Model'!$A$6:$B$38,2,FALSE)</f>
        <v>0.52315764934699704</v>
      </c>
      <c r="J759">
        <f>($B$1+Table4[[#This Row],[Home Differential]])-Table4[[#This Row],[Away Differential]]</f>
        <v>-0.49508632200295538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0.52873425580150335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-0.31206928170612303</v>
      </c>
      <c r="H760" t="s">
        <v>18</v>
      </c>
      <c r="I760">
        <f>VLOOKUP(Table4[[#This Row],[Visitor]],'NHL Model'!$A$6:$B$38,2,FALSE)</f>
        <v>-0.50446035262371991</v>
      </c>
      <c r="J760">
        <f>($B$1+Table4[[#This Row],[Home Differential]])-Table4[[#This Row],[Away Differential]]</f>
        <v>0.21922554965841334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0.50896869015679125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-0.15216510880280634</v>
      </c>
      <c r="H761" t="s">
        <v>15</v>
      </c>
      <c r="I761">
        <f>VLOOKUP(Table4[[#This Row],[Visitor]],'NHL Model'!$A$6:$B$38,2,FALSE)</f>
        <v>-0.10354486814940167</v>
      </c>
      <c r="J761">
        <f>($B$1+Table4[[#This Row],[Home Differential]])-Table4[[#This Row],[Away Differential]]</f>
        <v>-2.1785761912588186E-2</v>
      </c>
      <c r="K761" t="str">
        <f>IF(Table4[[#This Row],[HomeIce Differential]]&gt;0,Table4[[#This Row],[Home]],Table4[[#This Row],[Visitor]])</f>
        <v>New York Rangers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0.53653923806097403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-1.1494940880477545E-2</v>
      </c>
      <c r="H762" t="s">
        <v>28</v>
      </c>
      <c r="I762">
        <f>VLOOKUP(Table4[[#This Row],[Visitor]],'NHL Model'!$A$6:$B$38,2,FALSE)</f>
        <v>-0.45544062464079677</v>
      </c>
      <c r="J762">
        <f>($B$1+Table4[[#This Row],[Home Differential]])-Table4[[#This Row],[Away Differential]]</f>
        <v>0.47078016250113569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0.59171519484315149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-5.8660643157088771E-2</v>
      </c>
      <c r="H763" t="s">
        <v>32</v>
      </c>
      <c r="I763">
        <f>VLOOKUP(Table4[[#This Row],[Visitor]],'NHL Model'!$A$6:$B$38,2,FALSE)</f>
        <v>-0.53356664249341723</v>
      </c>
      <c r="J763">
        <f>($B$1+Table4[[#This Row],[Home Differential]])-Table4[[#This Row],[Away Differential]]</f>
        <v>0.50174047807714495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0.63935870347758339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-0.83165982757888468</v>
      </c>
      <c r="H764" t="s">
        <v>17</v>
      </c>
      <c r="I764">
        <f>VLOOKUP(Table4[[#This Row],[Visitor]],'NHL Model'!$A$6:$B$38,2,FALSE)</f>
        <v>-0.70231133461274453</v>
      </c>
      <c r="J764">
        <f>($B$1+Table4[[#This Row],[Home Differential]])-Table4[[#This Row],[Away Differential]]</f>
        <v>-0.10251401422532369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0.47203988417479353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-0.12684993818444543</v>
      </c>
      <c r="H765" t="s">
        <v>29</v>
      </c>
      <c r="I765">
        <f>VLOOKUP(Table4[[#This Row],[Visitor]],'NHL Model'!$A$6:$B$38,2,FALSE)</f>
        <v>-1.1040951755058253</v>
      </c>
      <c r="J765">
        <f>($B$1+Table4[[#This Row],[Home Differential]])-Table4[[#This Row],[Away Differential]]</f>
        <v>1.0040797160621964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0.65792537415496199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-0.25388173436787664</v>
      </c>
      <c r="H766" t="s">
        <v>19</v>
      </c>
      <c r="I766">
        <f>VLOOKUP(Table4[[#This Row],[Visitor]],'NHL Model'!$A$6:$B$38,2,FALSE)</f>
        <v>-0.38335501658895638</v>
      </c>
      <c r="J766">
        <f>($B$1+Table4[[#This Row],[Home Differential]])-Table4[[#This Row],[Away Differential]]</f>
        <v>0.15630776096189622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0.56085323596397774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0.78208997208538333</v>
      </c>
      <c r="H767" t="s">
        <v>11</v>
      </c>
      <c r="I767">
        <f>VLOOKUP(Table4[[#This Row],[Visitor]],'NHL Model'!$A$6:$B$38,2,FALSE)</f>
        <v>-0.42252386696344346</v>
      </c>
      <c r="J767">
        <f>($B$1+Table4[[#This Row],[Home Differential]])-Table4[[#This Row],[Away Differential]]</f>
        <v>1.2314483177896434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0.71066669439167374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0.57663845568176975</v>
      </c>
      <c r="H768" t="s">
        <v>37</v>
      </c>
      <c r="I768">
        <f>VLOOKUP(Table4[[#This Row],[Visitor]],'NHL Model'!$A$6:$B$38,2,FALSE)</f>
        <v>0.58787033474453221</v>
      </c>
      <c r="J768">
        <f>($B$1+Table4[[#This Row],[Home Differential]])-Table4[[#This Row],[Away Differential]]</f>
        <v>1.5602599678053997E-2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0.50183246646196633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-0.72022444935789065</v>
      </c>
      <c r="H769" t="s">
        <v>36</v>
      </c>
      <c r="I769">
        <f>VLOOKUP(Table4[[#This Row],[Visitor]],'NHL Model'!$A$6:$B$38,2,FALSE)</f>
        <v>-0.31206928170612303</v>
      </c>
      <c r="J769">
        <f>($B$1+Table4[[#This Row],[Home Differential]])-Table4[[#This Row],[Away Differential]]</f>
        <v>-0.38132068891095117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0.49822597169678007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-0.70231133461274453</v>
      </c>
      <c r="H770" t="s">
        <v>35</v>
      </c>
      <c r="I770">
        <f>VLOOKUP(Table4[[#This Row],[Visitor]],'NHL Model'!$A$6:$B$38,2,FALSE)</f>
        <v>-1.2546198289988155</v>
      </c>
      <c r="J770">
        <f>($B$1+Table4[[#This Row],[Home Differential]])-Table4[[#This Row],[Away Differential]]</f>
        <v>0.57914297312688745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0.60801815702745943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6.0998961494444972E-3</v>
      </c>
      <c r="H771" t="s">
        <v>15</v>
      </c>
      <c r="I771">
        <f>VLOOKUP(Table4[[#This Row],[Visitor]],'NHL Model'!$A$6:$B$38,2,FALSE)</f>
        <v>-0.10354486814940167</v>
      </c>
      <c r="J771">
        <f>($B$1+Table4[[#This Row],[Home Differential]])-Table4[[#This Row],[Away Differential]]</f>
        <v>0.13647924303966266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0.51777113242346451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0.52315764934699704</v>
      </c>
      <c r="H772" t="s">
        <v>23</v>
      </c>
      <c r="I772">
        <f>VLOOKUP(Table4[[#This Row],[Visitor]],'NHL Model'!$A$6:$B$38,2,FALSE)</f>
        <v>-0.43955182119289299</v>
      </c>
      <c r="J772">
        <f>($B$1+Table4[[#This Row],[Home Differential]])-Table4[[#This Row],[Away Differential]]</f>
        <v>0.98954394928070655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0.70793417952278714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-1.0975205179116387</v>
      </c>
      <c r="H773" t="s">
        <v>24</v>
      </c>
      <c r="I773">
        <f>VLOOKUP(Table4[[#This Row],[Visitor]],'NHL Model'!$A$6:$B$38,2,FALSE)</f>
        <v>1.2368486032251671E-3</v>
      </c>
      <c r="J773">
        <f>($B$1+Table4[[#This Row],[Home Differential]])-Table4[[#This Row],[Away Differential]]</f>
        <v>-1.0719228877740474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0.60666252946245092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-0.1280954603767317</v>
      </c>
      <c r="H774" t="s">
        <v>40</v>
      </c>
      <c r="I774">
        <f>VLOOKUP(Table4[[#This Row],[Visitor]],'NHL Model'!$A$6:$B$38,2,FALSE)</f>
        <v>-0.25388173436787664</v>
      </c>
      <c r="J774">
        <f>($B$1+Table4[[#This Row],[Home Differential]])-Table4[[#This Row],[Away Differential]]</f>
        <v>0.15262075273196143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0.55434857261409765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1.7050699520681891</v>
      </c>
      <c r="H775" t="s">
        <v>22</v>
      </c>
      <c r="I775">
        <f>VLOOKUP(Table4[[#This Row],[Visitor]],'NHL Model'!$A$6:$B$38,2,FALSE)</f>
        <v>0.78208997208538333</v>
      </c>
      <c r="J775">
        <f>($B$1+Table4[[#This Row],[Home Differential]])-Table4[[#This Row],[Away Differential]]</f>
        <v>0.94981445872362236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0.69049949285002332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-0.42252386696344346</v>
      </c>
      <c r="H776" t="s">
        <v>33</v>
      </c>
      <c r="I776">
        <f>VLOOKUP(Table4[[#This Row],[Visitor]],'NHL Model'!$A$6:$B$38,2,FALSE)</f>
        <v>-0.51080431935976611</v>
      </c>
      <c r="J776">
        <f>($B$1+Table4[[#This Row],[Home Differential]])-Table4[[#This Row],[Away Differential]]</f>
        <v>0.11511493113713911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0.55351981432152442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-0.53356664249341723</v>
      </c>
      <c r="H777" t="s">
        <v>14</v>
      </c>
      <c r="I777">
        <f>VLOOKUP(Table4[[#This Row],[Visitor]],'NHL Model'!$A$6:$B$38,2,FALSE)</f>
        <v>-1.1494940880477545E-2</v>
      </c>
      <c r="J777">
        <f>($B$1+Table4[[#This Row],[Home Differential]])-Table4[[#This Row],[Away Differential]]</f>
        <v>-0.49523722287212324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0.55745047648333601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-0.38335501658895638</v>
      </c>
      <c r="H778" t="s">
        <v>34</v>
      </c>
      <c r="I778">
        <f>VLOOKUP(Table4[[#This Row],[Visitor]],'NHL Model'!$A$6:$B$38,2,FALSE)</f>
        <v>6.3765445873038576E-2</v>
      </c>
      <c r="J778">
        <f>($B$1+Table4[[#This Row],[Home Differential]])-Table4[[#This Row],[Away Differential]]</f>
        <v>-0.42028598372117842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0.56864883683349121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-0.83165982757888468</v>
      </c>
      <c r="H779" t="s">
        <v>30</v>
      </c>
      <c r="I779">
        <f>VLOOKUP(Table4[[#This Row],[Visitor]],'NHL Model'!$A$6:$B$38,2,FALSE)</f>
        <v>-2.8228251376645769E-2</v>
      </c>
      <c r="J779">
        <f>($B$1+Table4[[#This Row],[Home Differential]])-Table4[[#This Row],[Away Differential]]</f>
        <v>-0.77659709746142247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0.62383156802358819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-0.12684993818444543</v>
      </c>
      <c r="H780" t="s">
        <v>27</v>
      </c>
      <c r="I780">
        <f>VLOOKUP(Table4[[#This Row],[Visitor]],'NHL Model'!$A$6:$B$38,2,FALSE)</f>
        <v>-0.15216510880280634</v>
      </c>
      <c r="J780">
        <f>($B$1+Table4[[#This Row],[Home Differential]])-Table4[[#This Row],[Away Differential]]</f>
        <v>5.2149649359177402E-2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0.50361221673714829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-0.45544062464079677</v>
      </c>
      <c r="H781" t="s">
        <v>36</v>
      </c>
      <c r="I781">
        <f>VLOOKUP(Table4[[#This Row],[Visitor]],'NHL Model'!$A$6:$B$38,2,FALSE)</f>
        <v>-0.31206928170612303</v>
      </c>
      <c r="J781">
        <f>($B$1+Table4[[#This Row],[Home Differential]])-Table4[[#This Row],[Away Differential]]</f>
        <v>-0.11653686419385723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0.47726297393433281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0.57663845568176975</v>
      </c>
      <c r="H782" t="s">
        <v>21</v>
      </c>
      <c r="I782">
        <f>VLOOKUP(Table4[[#This Row],[Visitor]],'NHL Model'!$A$6:$B$38,2,FALSE)</f>
        <v>-0.15717729503670502</v>
      </c>
      <c r="J782">
        <f>($B$1+Table4[[#This Row],[Home Differential]])-Table4[[#This Row],[Away Differential]]</f>
        <v>0.76065022945929117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0.66158156524636036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-0.70231133461274453</v>
      </c>
      <c r="H783" t="s">
        <v>24</v>
      </c>
      <c r="I783">
        <f>VLOOKUP(Table4[[#This Row],[Visitor]],'NHL Model'!$A$6:$B$38,2,FALSE)</f>
        <v>1.2368486032251671E-3</v>
      </c>
      <c r="J783">
        <f>($B$1+Table4[[#This Row],[Home Differential]])-Table4[[#This Row],[Away Differential]]</f>
        <v>-0.67671370447515322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0.56024670204909033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-0.27930615658534785</v>
      </c>
      <c r="H784" t="s">
        <v>15</v>
      </c>
      <c r="I784">
        <f>VLOOKUP(Table4[[#This Row],[Visitor]],'NHL Model'!$A$6:$B$38,2,FALSE)</f>
        <v>-0.10354486814940167</v>
      </c>
      <c r="J784">
        <f>($B$1+Table4[[#This Row],[Home Differential]])-Table4[[#This Row],[Away Differential]]</f>
        <v>-0.14892680969512972</v>
      </c>
      <c r="K784" t="str">
        <f>IF(Table4[[#This Row],[HomeIce Differential]]&gt;0,Table4[[#This Row],[Home]],Table4[[#This Row],[Visitor]])</f>
        <v>New York Rangers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0.57757235827756004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-0.50446035262371991</v>
      </c>
      <c r="H785" t="s">
        <v>34</v>
      </c>
      <c r="I785">
        <f>VLOOKUP(Table4[[#This Row],[Visitor]],'NHL Model'!$A$6:$B$38,2,FALSE)</f>
        <v>6.3765445873038576E-2</v>
      </c>
      <c r="J785">
        <f>($B$1+Table4[[#This Row],[Home Differential]])-Table4[[#This Row],[Away Differential]]</f>
        <v>-0.54139131975594201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0.58287220160782482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-1.1040951755058253</v>
      </c>
      <c r="H786" t="s">
        <v>23</v>
      </c>
      <c r="I786">
        <f>VLOOKUP(Table4[[#This Row],[Visitor]],'NHL Model'!$A$6:$B$38,2,FALSE)</f>
        <v>-0.43955182119289299</v>
      </c>
      <c r="J786">
        <f>($B$1+Table4[[#This Row],[Home Differential]])-Table4[[#This Row],[Away Differential]]</f>
        <v>-0.63770887557211564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0.53489650129444855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0.58787033474453221</v>
      </c>
      <c r="H787" t="s">
        <v>33</v>
      </c>
      <c r="I787">
        <f>VLOOKUP(Table4[[#This Row],[Visitor]],'NHL Model'!$A$6:$B$38,2,FALSE)</f>
        <v>-0.51080431935976611</v>
      </c>
      <c r="J787">
        <f>($B$1+Table4[[#This Row],[Home Differential]])-Table4[[#This Row],[Away Differential]]</f>
        <v>1.1255091328451148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0.70443286679867367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-0.25388173436787664</v>
      </c>
      <c r="H788" t="s">
        <v>35</v>
      </c>
      <c r="I788">
        <f>VLOOKUP(Table4[[#This Row],[Visitor]],'NHL Model'!$A$6:$B$38,2,FALSE)</f>
        <v>-1.2546198289988155</v>
      </c>
      <c r="J788">
        <f>($B$1+Table4[[#This Row],[Home Differential]])-Table4[[#This Row],[Away Differential]]</f>
        <v>1.0275725733717553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0.66318000080933093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-1.0975205179116387</v>
      </c>
      <c r="H789" t="s">
        <v>14</v>
      </c>
      <c r="I789">
        <f>VLOOKUP(Table4[[#This Row],[Visitor]],'NHL Model'!$A$6:$B$38,2,FALSE)</f>
        <v>-1.1494940880477545E-2</v>
      </c>
      <c r="J789">
        <f>($B$1+Table4[[#This Row],[Home Differential]])-Table4[[#This Row],[Away Differential]]</f>
        <v>-1.0591910982903445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0.62368473129494795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1.7050699520681891</v>
      </c>
      <c r="H790" t="s">
        <v>31</v>
      </c>
      <c r="I790">
        <f>VLOOKUP(Table4[[#This Row],[Visitor]],'NHL Model'!$A$6:$B$38,2,FALSE)</f>
        <v>6.0998961494444972E-3</v>
      </c>
      <c r="J790">
        <f>($B$1+Table4[[#This Row],[Home Differential]])-Table4[[#This Row],[Away Differential]]</f>
        <v>1.7258045346595612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0.83126065952831818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-0.53356664249341723</v>
      </c>
      <c r="H791" t="s">
        <v>30</v>
      </c>
      <c r="I791">
        <f>VLOOKUP(Table4[[#This Row],[Visitor]],'NHL Model'!$A$6:$B$38,2,FALSE)</f>
        <v>-2.8228251376645769E-2</v>
      </c>
      <c r="J791">
        <f>($B$1+Table4[[#This Row],[Home Differential]])-Table4[[#This Row],[Away Differential]]</f>
        <v>-0.47850391237595502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0.58882164817169613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-0.38335501658895638</v>
      </c>
      <c r="H792" t="s">
        <v>26</v>
      </c>
      <c r="I792">
        <f>VLOOKUP(Table4[[#This Row],[Visitor]],'NHL Model'!$A$6:$B$38,2,FALSE)</f>
        <v>-0.72022444935789065</v>
      </c>
      <c r="J792">
        <f>($B$1+Table4[[#This Row],[Home Differential]])-Table4[[#This Row],[Away Differential]]</f>
        <v>0.36370391150975079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0.58271565211437237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-5.8660643157088771E-2</v>
      </c>
      <c r="H793" t="s">
        <v>27</v>
      </c>
      <c r="I793">
        <f>VLOOKUP(Table4[[#This Row],[Visitor]],'NHL Model'!$A$6:$B$38,2,FALSE)</f>
        <v>-0.15216510880280634</v>
      </c>
      <c r="J793">
        <f>($B$1+Table4[[#This Row],[Home Differential]])-Table4[[#This Row],[Away Differential]]</f>
        <v>0.12033894438653406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0.55259489342846246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-0.83165982757888468</v>
      </c>
      <c r="H794" t="s">
        <v>22</v>
      </c>
      <c r="I794">
        <f>VLOOKUP(Table4[[#This Row],[Visitor]],'NHL Model'!$A$6:$B$38,2,FALSE)</f>
        <v>0.78208997208538333</v>
      </c>
      <c r="J794">
        <f>($B$1+Table4[[#This Row],[Home Differential]])-Table4[[#This Row],[Away Differential]]</f>
        <v>-1.5869153209234517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0.71900038595479776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-0.15717729503670502</v>
      </c>
      <c r="H795" t="s">
        <v>20</v>
      </c>
      <c r="I795">
        <f>VLOOKUP(Table4[[#This Row],[Visitor]],'NHL Model'!$A$6:$B$38,2,FALSE)</f>
        <v>-0.12684993818444543</v>
      </c>
      <c r="J795">
        <f>($B$1+Table4[[#This Row],[Home Differential]])-Table4[[#This Row],[Away Differential]]</f>
        <v>-3.4928781114431096E-3</v>
      </c>
      <c r="K795" t="str">
        <f>IF(Table4[[#This Row],[HomeIce Differential]]&gt;0,Table4[[#This Row],[Home]],Table4[[#This Row],[Visitor]])</f>
        <v>Vegas Golden Knights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0.41750867095105376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0.52315764934699704</v>
      </c>
      <c r="H796" t="s">
        <v>10</v>
      </c>
      <c r="I796">
        <f>VLOOKUP(Table4[[#This Row],[Visitor]],'NHL Model'!$A$6:$B$38,2,FALSE)</f>
        <v>-0.1280954603767317</v>
      </c>
      <c r="J796">
        <f>($B$1+Table4[[#This Row],[Home Differential]])-Table4[[#This Row],[Away Differential]]</f>
        <v>0.6780875884645452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0.67135480510196821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-0.45544062464079677</v>
      </c>
      <c r="H797" t="s">
        <v>39</v>
      </c>
      <c r="I797">
        <f>VLOOKUP(Table4[[#This Row],[Visitor]],'NHL Model'!$A$6:$B$38,2,FALSE)</f>
        <v>0.57663845568176975</v>
      </c>
      <c r="J797">
        <f>($B$1+Table4[[#This Row],[Home Differential]])-Table4[[#This Row],[Away Differential]]</f>
        <v>-1.00524460158175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0.67054837340930395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-0.70231133461274453</v>
      </c>
      <c r="H798" t="s">
        <v>14</v>
      </c>
      <c r="I798">
        <f>VLOOKUP(Table4[[#This Row],[Visitor]],'NHL Model'!$A$6:$B$38,2,FALSE)</f>
        <v>-1.1494940880477545E-2</v>
      </c>
      <c r="J798">
        <f>($B$1+Table4[[#This Row],[Home Differential]])-Table4[[#This Row],[Away Differential]]</f>
        <v>-0.66398191499145054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0.57726890388158747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6.3765445873038576E-2</v>
      </c>
      <c r="H799" t="s">
        <v>26</v>
      </c>
      <c r="I799">
        <f>VLOOKUP(Table4[[#This Row],[Visitor]],'NHL Model'!$A$6:$B$38,2,FALSE)</f>
        <v>-0.72022444935789065</v>
      </c>
      <c r="J799">
        <f>($B$1+Table4[[#This Row],[Home Differential]])-Table4[[#This Row],[Away Differential]]</f>
        <v>0.81082437397174567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0.63522826339881766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-0.50446035262371991</v>
      </c>
      <c r="H800" t="s">
        <v>23</v>
      </c>
      <c r="I800">
        <f>VLOOKUP(Table4[[#This Row],[Visitor]],'NHL Model'!$A$6:$B$38,2,FALSE)</f>
        <v>-0.43955182119289299</v>
      </c>
      <c r="J800">
        <f>($B$1+Table4[[#This Row],[Home Differential]])-Table4[[#This Row],[Away Differential]]</f>
        <v>-3.8074052690010463E-2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0.46447165383110589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-1.1040951755058253</v>
      </c>
      <c r="H801" t="s">
        <v>36</v>
      </c>
      <c r="I801">
        <f>VLOOKUP(Table4[[#This Row],[Visitor]],'NHL Model'!$A$6:$B$38,2,FALSE)</f>
        <v>-0.31206928170612303</v>
      </c>
      <c r="J801">
        <f>($B$1+Table4[[#This Row],[Home Differential]])-Table4[[#This Row],[Away Differential]]</f>
        <v>-0.76519141505888566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0.55344500349276982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-0.25388173436787664</v>
      </c>
      <c r="H802" t="s">
        <v>11</v>
      </c>
      <c r="I802">
        <f>VLOOKUP(Table4[[#This Row],[Visitor]],'NHL Model'!$A$6:$B$38,2,FALSE)</f>
        <v>-0.42252386696344346</v>
      </c>
      <c r="J802">
        <f>($B$1+Table4[[#This Row],[Home Differential]])-Table4[[#This Row],[Away Differential]]</f>
        <v>0.1954766113363833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0.56545346965234056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-1.0975205179116387</v>
      </c>
      <c r="H803" t="s">
        <v>22</v>
      </c>
      <c r="I803">
        <f>VLOOKUP(Table4[[#This Row],[Visitor]],'NHL Model'!$A$6:$B$38,2,FALSE)</f>
        <v>0.78208997208538333</v>
      </c>
      <c r="J803">
        <f>($B$1+Table4[[#This Row],[Home Differential]])-Table4[[#This Row],[Away Differential]]</f>
        <v>-1.8527760112562055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0.75022472091451764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-0.1280954603767317</v>
      </c>
      <c r="H804" t="s">
        <v>37</v>
      </c>
      <c r="I804">
        <f>VLOOKUP(Table4[[#This Row],[Visitor]],'NHL Model'!$A$6:$B$38,2,FALSE)</f>
        <v>0.58787033474453221</v>
      </c>
      <c r="J804">
        <f>($B$1+Table4[[#This Row],[Home Differential]])-Table4[[#This Row],[Away Differential]]</f>
        <v>-0.68913131638044745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0.61355904205305944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1.7050699520681891</v>
      </c>
      <c r="H805" t="s">
        <v>27</v>
      </c>
      <c r="I805">
        <f>VLOOKUP(Table4[[#This Row],[Visitor]],'NHL Model'!$A$6:$B$38,2,FALSE)</f>
        <v>-0.15216510880280634</v>
      </c>
      <c r="J805">
        <f>($B$1+Table4[[#This Row],[Home Differential]])-Table4[[#This Row],[Away Differential]]</f>
        <v>1.8840695396118121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0.8293170596433358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0.57663845568176975</v>
      </c>
      <c r="H806" t="s">
        <v>35</v>
      </c>
      <c r="I806">
        <f>VLOOKUP(Table4[[#This Row],[Visitor]],'NHL Model'!$A$6:$B$38,2,FALSE)</f>
        <v>-1.2546198289988155</v>
      </c>
      <c r="J806">
        <f>($B$1+Table4[[#This Row],[Home Differential]])-Table4[[#This Row],[Away Differential]]</f>
        <v>1.8580927634214017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0.79047205009610599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-0.53356664249341723</v>
      </c>
      <c r="H807" t="s">
        <v>31</v>
      </c>
      <c r="I807">
        <f>VLOOKUP(Table4[[#This Row],[Visitor]],'NHL Model'!$A$6:$B$38,2,FALSE)</f>
        <v>6.0998961494444972E-3</v>
      </c>
      <c r="J807">
        <f>($B$1+Table4[[#This Row],[Home Differential]])-Table4[[#This Row],[Away Differential]]</f>
        <v>-0.51283205990204528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0.54099942123636136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-0.51080431935976611</v>
      </c>
      <c r="H808" t="s">
        <v>15</v>
      </c>
      <c r="I808">
        <f>VLOOKUP(Table4[[#This Row],[Visitor]],'NHL Model'!$A$6:$B$38,2,FALSE)</f>
        <v>-0.10354486814940167</v>
      </c>
      <c r="J808">
        <f>($B$1+Table4[[#This Row],[Home Differential]])-Table4[[#This Row],[Away Differential]]</f>
        <v>-0.38042497246954798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0.60476094402892133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-0.38335501658895638</v>
      </c>
      <c r="H809" t="s">
        <v>20</v>
      </c>
      <c r="I809">
        <f>VLOOKUP(Table4[[#This Row],[Visitor]],'NHL Model'!$A$6:$B$38,2,FALSE)</f>
        <v>-0.12684993818444543</v>
      </c>
      <c r="J809">
        <f>($B$1+Table4[[#This Row],[Home Differential]])-Table4[[#This Row],[Away Differential]]</f>
        <v>-0.22967059966369444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0.48697394535959132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-0.83165982757888468</v>
      </c>
      <c r="H810" t="s">
        <v>24</v>
      </c>
      <c r="I810">
        <f>VLOOKUP(Table4[[#This Row],[Visitor]],'NHL Model'!$A$6:$B$38,2,FALSE)</f>
        <v>1.2368486032251671E-3</v>
      </c>
      <c r="J810">
        <f>($B$1+Table4[[#This Row],[Home Differential]])-Table4[[#This Row],[Away Differential]]</f>
        <v>-0.80606219744129337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0.57543819450273093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-0.15717729503670502</v>
      </c>
      <c r="H811" t="s">
        <v>18</v>
      </c>
      <c r="I811">
        <f>VLOOKUP(Table4[[#This Row],[Visitor]],'NHL Model'!$A$6:$B$38,2,FALSE)</f>
        <v>-0.50446035262371991</v>
      </c>
      <c r="J811">
        <f>($B$1+Table4[[#This Row],[Home Differential]])-Table4[[#This Row],[Away Differential]]</f>
        <v>0.3741175363278314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0.56821053771776731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-0.45544062464079677</v>
      </c>
      <c r="H812" t="s">
        <v>37</v>
      </c>
      <c r="I812">
        <f>VLOOKUP(Table4[[#This Row],[Visitor]],'NHL Model'!$A$6:$B$38,2,FALSE)</f>
        <v>0.58787033474453221</v>
      </c>
      <c r="J812">
        <f>($B$1+Table4[[#This Row],[Home Differential]])-Table4[[#This Row],[Away Differential]]</f>
        <v>-1.0164764806445126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0.65200449648873715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-0.70231133461274453</v>
      </c>
      <c r="H813" t="s">
        <v>22</v>
      </c>
      <c r="I813">
        <f>VLOOKUP(Table4[[#This Row],[Visitor]],'NHL Model'!$A$6:$B$38,2,FALSE)</f>
        <v>0.78208997208538333</v>
      </c>
      <c r="J813">
        <f>($B$1+Table4[[#This Row],[Home Differential]])-Table4[[#This Row],[Away Differential]]</f>
        <v>-1.4575668279573115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0.70380889350115705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6.3765445873038576E-2</v>
      </c>
      <c r="H814" t="s">
        <v>11</v>
      </c>
      <c r="I814">
        <f>VLOOKUP(Table4[[#This Row],[Visitor]],'NHL Model'!$A$6:$B$38,2,FALSE)</f>
        <v>-0.42252386696344346</v>
      </c>
      <c r="J814">
        <f>($B$1+Table4[[#This Row],[Home Differential]])-Table4[[#This Row],[Away Differential]]</f>
        <v>0.51312379157729848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0.60026445325165545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-1.1040951755058253</v>
      </c>
      <c r="H815" t="s">
        <v>55</v>
      </c>
      <c r="I815">
        <f>VLOOKUP(Table4[[#This Row],[Visitor]],'NHL Model'!$A$6:$B$38,2,FALSE)</f>
        <v>-5.8660643157088771E-2</v>
      </c>
      <c r="J815">
        <f>($B$1+Table4[[#This Row],[Home Differential]])-Table4[[#This Row],[Away Differential]]</f>
        <v>-1.0186000536079198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0.57963073301297285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-2.8228251376645769E-2</v>
      </c>
      <c r="H816" t="s">
        <v>23</v>
      </c>
      <c r="I816">
        <f>VLOOKUP(Table4[[#This Row],[Visitor]],'NHL Model'!$A$6:$B$38,2,FALSE)</f>
        <v>-0.43955182119289299</v>
      </c>
      <c r="J816">
        <f>($B$1+Table4[[#This Row],[Home Differential]])-Table4[[#This Row],[Away Differential]]</f>
        <v>0.4381580485570637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0.59146000958742517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-0.31206928170612303</v>
      </c>
      <c r="H817" t="s">
        <v>25</v>
      </c>
      <c r="I817">
        <f>VLOOKUP(Table4[[#This Row],[Visitor]],'NHL Model'!$A$6:$B$38,2,FALSE)</f>
        <v>0.52315764934699704</v>
      </c>
      <c r="J817">
        <f>($B$1+Table4[[#This Row],[Home Differential]])-Table4[[#This Row],[Away Differential]]</f>
        <v>-0.80839245231230361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0.62506312530351882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-1.2546198289988155</v>
      </c>
      <c r="H818" t="s">
        <v>13</v>
      </c>
      <c r="I818">
        <f>VLOOKUP(Table4[[#This Row],[Visitor]],'NHL Model'!$A$6:$B$38,2,FALSE)</f>
        <v>-0.27930615658534785</v>
      </c>
      <c r="J818">
        <f>($B$1+Table4[[#This Row],[Home Differential]])-Table4[[#This Row],[Away Differential]]</f>
        <v>-0.9484791936726511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0.63771109206051146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-0.25388173436787664</v>
      </c>
      <c r="H819" t="s">
        <v>26</v>
      </c>
      <c r="I819">
        <f>VLOOKUP(Table4[[#This Row],[Visitor]],'NHL Model'!$A$6:$B$38,2,FALSE)</f>
        <v>-0.72022444935789065</v>
      </c>
      <c r="J819">
        <f>($B$1+Table4[[#This Row],[Home Differential]])-Table4[[#This Row],[Away Differential]]</f>
        <v>0.49317719373083047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0.60041727979950288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-1.0975205179116387</v>
      </c>
      <c r="H820" t="s">
        <v>31</v>
      </c>
      <c r="I820">
        <f>VLOOKUP(Table4[[#This Row],[Visitor]],'NHL Model'!$A$6:$B$38,2,FALSE)</f>
        <v>6.0998961494444972E-3</v>
      </c>
      <c r="J820">
        <f>($B$1+Table4[[#This Row],[Home Differential]])-Table4[[#This Row],[Away Differential]]</f>
        <v>-1.0767859353202667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0.60723367604797329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-0.1280954603767317</v>
      </c>
      <c r="H821" t="s">
        <v>11</v>
      </c>
      <c r="I821">
        <f>VLOOKUP(Table4[[#This Row],[Visitor]],'NHL Model'!$A$6:$B$38,2,FALSE)</f>
        <v>-0.42252386696344346</v>
      </c>
      <c r="J821">
        <f>($B$1+Table4[[#This Row],[Home Differential]])-Table4[[#This Row],[Away Differential]]</f>
        <v>0.32126288532752822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0.57773111372364849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-0.31206928170612303</v>
      </c>
      <c r="H822" t="s">
        <v>20</v>
      </c>
      <c r="I822">
        <f>VLOOKUP(Table4[[#This Row],[Visitor]],'NHL Model'!$A$6:$B$38,2,FALSE)</f>
        <v>-0.12684993818444543</v>
      </c>
      <c r="J822">
        <f>($B$1+Table4[[#This Row],[Home Differential]])-Table4[[#This Row],[Away Differential]]</f>
        <v>-0.15838486478086114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0.4761062255617079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-0.53356664249341723</v>
      </c>
      <c r="H823" t="s">
        <v>24</v>
      </c>
      <c r="I823">
        <f>VLOOKUP(Table4[[#This Row],[Visitor]],'NHL Model'!$A$6:$B$38,2,FALSE)</f>
        <v>1.2368486032251671E-3</v>
      </c>
      <c r="J823">
        <f>($B$1+Table4[[#This Row],[Home Differential]])-Table4[[#This Row],[Away Differential]]</f>
        <v>-0.50796901235582592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0.54042827465083887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-0.38335501658895638</v>
      </c>
      <c r="H824" t="s">
        <v>12</v>
      </c>
      <c r="I824">
        <f>VLOOKUP(Table4[[#This Row],[Visitor]],'NHL Model'!$A$6:$B$38,2,FALSE)</f>
        <v>1.7050699520681891</v>
      </c>
      <c r="J824">
        <f>($B$1+Table4[[#This Row],[Home Differential]])-Table4[[#This Row],[Away Differential]]</f>
        <v>-2.0615904899163291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0.77474919355453964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-0.83165982757888468</v>
      </c>
      <c r="H825" t="s">
        <v>14</v>
      </c>
      <c r="I825">
        <f>VLOOKUP(Table4[[#This Row],[Visitor]],'NHL Model'!$A$6:$B$38,2,FALSE)</f>
        <v>-1.1494940880477545E-2</v>
      </c>
      <c r="J825">
        <f>($B$1+Table4[[#This Row],[Home Differential]])-Table4[[#This Row],[Away Differential]]</f>
        <v>-0.79333040795759069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0.59246039633522807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-0.45544062464079677</v>
      </c>
      <c r="H826" t="s">
        <v>13</v>
      </c>
      <c r="I826">
        <f>VLOOKUP(Table4[[#This Row],[Visitor]],'NHL Model'!$A$6:$B$38,2,FALSE)</f>
        <v>-0.27930615658534785</v>
      </c>
      <c r="J826">
        <f>($B$1+Table4[[#This Row],[Home Differential]])-Table4[[#This Row],[Away Differential]]</f>
        <v>-0.1492999893146324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0.54385050989439754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-0.70231133461274453</v>
      </c>
      <c r="H827" t="s">
        <v>31</v>
      </c>
      <c r="I827">
        <f>VLOOKUP(Table4[[#This Row],[Visitor]],'NHL Model'!$A$6:$B$38,2,FALSE)</f>
        <v>6.0998961494444972E-3</v>
      </c>
      <c r="J827">
        <f>($B$1+Table4[[#This Row],[Home Differential]])-Table4[[#This Row],[Away Differential]]</f>
        <v>-0.68157675202137258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0.5608178486346127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-0.10354486814940167</v>
      </c>
      <c r="H828" t="s">
        <v>21</v>
      </c>
      <c r="I828">
        <f>VLOOKUP(Table4[[#This Row],[Visitor]],'NHL Model'!$A$6:$B$38,2,FALSE)</f>
        <v>-0.15717729503670502</v>
      </c>
      <c r="J828">
        <f>($B$1+Table4[[#This Row],[Home Differential]])-Table4[[#This Row],[Away Differential]]</f>
        <v>8.0466905628119839E-2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0.54945053445607128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-0.15216510880280634</v>
      </c>
      <c r="H829" t="s">
        <v>30</v>
      </c>
      <c r="I829">
        <f>VLOOKUP(Table4[[#This Row],[Visitor]],'NHL Model'!$A$6:$B$38,2,FALSE)</f>
        <v>-2.8228251376645769E-2</v>
      </c>
      <c r="J829">
        <f>($B$1+Table4[[#This Row],[Home Differential]])-Table4[[#This Row],[Away Differential]]</f>
        <v>-9.710237868534409E-2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0.5177334219233336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0.58787033474453221</v>
      </c>
      <c r="H830" t="s">
        <v>55</v>
      </c>
      <c r="I830">
        <f>VLOOKUP(Table4[[#This Row],[Visitor]],'NHL Model'!$A$6:$B$38,2,FALSE)</f>
        <v>-5.8660643157088771E-2</v>
      </c>
      <c r="J830">
        <f>($B$1+Table4[[#This Row],[Home Differential]])-Table4[[#This Row],[Away Differential]]</f>
        <v>0.67336545664243741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0.65133029801348985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-0.15717729503670502</v>
      </c>
      <c r="H831" t="s">
        <v>29</v>
      </c>
      <c r="I831">
        <f>VLOOKUP(Table4[[#This Row],[Visitor]],'NHL Model'!$A$6:$B$38,2,FALSE)</f>
        <v>-1.1040951755058253</v>
      </c>
      <c r="J831">
        <f>($B$1+Table4[[#This Row],[Home Differential]])-Table4[[#This Row],[Away Differential]]</f>
        <v>0.97375235920993675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0.69726509492506084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-0.72022444935789065</v>
      </c>
      <c r="H832" t="s">
        <v>13</v>
      </c>
      <c r="I832">
        <f>VLOOKUP(Table4[[#This Row],[Visitor]],'NHL Model'!$A$6:$B$38,2,FALSE)</f>
        <v>-0.27930615658534785</v>
      </c>
      <c r="J832">
        <f>($B$1+Table4[[#This Row],[Home Differential]])-Table4[[#This Row],[Away Differential]]</f>
        <v>-0.41408381403172634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0.56476161383506374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-0.42252386696344346</v>
      </c>
      <c r="H833" t="s">
        <v>55</v>
      </c>
      <c r="I833">
        <f>VLOOKUP(Table4[[#This Row],[Visitor]],'NHL Model'!$A$6:$B$38,2,FALSE)</f>
        <v>-5.8660643157088771E-2</v>
      </c>
      <c r="J833">
        <f>($B$1+Table4[[#This Row],[Home Differential]])-Table4[[#This Row],[Away Differential]]</f>
        <v>-0.33702874506553826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0.49958275446365952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6.3765445873038576E-2</v>
      </c>
      <c r="H834" t="s">
        <v>10</v>
      </c>
      <c r="I834">
        <f>VLOOKUP(Table4[[#This Row],[Visitor]],'NHL Model'!$A$6:$B$38,2,FALSE)</f>
        <v>-0.1280954603767317</v>
      </c>
      <c r="J834">
        <f>($B$1+Table4[[#This Row],[Home Differential]])-Table4[[#This Row],[Away Differential]]</f>
        <v>0.21869538499058677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0.56568494780685408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-0.50446035262371991</v>
      </c>
      <c r="H835" t="s">
        <v>20</v>
      </c>
      <c r="I835">
        <f>VLOOKUP(Table4[[#This Row],[Visitor]],'NHL Model'!$A$6:$B$38,2,FALSE)</f>
        <v>-0.12684993818444543</v>
      </c>
      <c r="J835">
        <f>($B$1+Table4[[#This Row],[Home Differential]])-Table4[[#This Row],[Away Differential]]</f>
        <v>-0.350775935698458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0.50119731013392488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1.2368486032251671E-3</v>
      </c>
      <c r="H836" t="s">
        <v>40</v>
      </c>
      <c r="I836">
        <f>VLOOKUP(Table4[[#This Row],[Visitor]],'NHL Model'!$A$6:$B$38,2,FALSE)</f>
        <v>-0.25388173436787664</v>
      </c>
      <c r="J836">
        <f>($B$1+Table4[[#This Row],[Home Differential]])-Table4[[#This Row],[Away Differential]]</f>
        <v>0.28195306171191831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0.63045945600338527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-0.53356664249341723</v>
      </c>
      <c r="H837" t="s">
        <v>22</v>
      </c>
      <c r="I837">
        <f>VLOOKUP(Table4[[#This Row],[Visitor]],'NHL Model'!$A$6:$B$38,2,FALSE)</f>
        <v>0.78208997208538333</v>
      </c>
      <c r="J837">
        <f>($B$1+Table4[[#This Row],[Home Differential]])-Table4[[#This Row],[Away Differential]]</f>
        <v>-1.2888221358379841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0.6839904661029057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-1.2546198289988155</v>
      </c>
      <c r="H838" t="s">
        <v>39</v>
      </c>
      <c r="I838">
        <f>VLOOKUP(Table4[[#This Row],[Visitor]],'NHL Model'!$A$6:$B$38,2,FALSE)</f>
        <v>0.57663845568176975</v>
      </c>
      <c r="J838">
        <f>($B$1+Table4[[#This Row],[Home Differential]])-Table4[[#This Row],[Away Differential]]</f>
        <v>-1.8044238059397686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0.76440895557541788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-0.38335501658895638</v>
      </c>
      <c r="H839" t="s">
        <v>23</v>
      </c>
      <c r="I839">
        <f>VLOOKUP(Table4[[#This Row],[Visitor]],'NHL Model'!$A$6:$B$38,2,FALSE)</f>
        <v>-0.43955182119289299</v>
      </c>
      <c r="J839">
        <f>($B$1+Table4[[#This Row],[Home Differential]])-Table4[[#This Row],[Away Differential]]</f>
        <v>8.3031283344753126E-2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0.54975171094322772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-0.83165982757888468</v>
      </c>
      <c r="H840" t="s">
        <v>33</v>
      </c>
      <c r="I840">
        <f>VLOOKUP(Table4[[#This Row],[Visitor]],'NHL Model'!$A$6:$B$38,2,FALSE)</f>
        <v>-0.51080431935976611</v>
      </c>
      <c r="J840">
        <f>($B$1+Table4[[#This Row],[Home Differential]])-Table4[[#This Row],[Away Differential]]</f>
        <v>-0.29402102947830211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0.49453166054049452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-0.45544062464079677</v>
      </c>
      <c r="H841" t="s">
        <v>27</v>
      </c>
      <c r="I841">
        <f>VLOOKUP(Table4[[#This Row],[Visitor]],'NHL Model'!$A$6:$B$38,2,FALSE)</f>
        <v>-0.15216510880280634</v>
      </c>
      <c r="J841">
        <f>($B$1+Table4[[#This Row],[Home Differential]])-Table4[[#This Row],[Away Differential]]</f>
        <v>-0.27644103709717394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0.53497951958052947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-2.8228251376645769E-2</v>
      </c>
      <c r="H842" t="s">
        <v>15</v>
      </c>
      <c r="I842">
        <f>VLOOKUP(Table4[[#This Row],[Visitor]],'NHL Model'!$A$6:$B$38,2,FALSE)</f>
        <v>-0.10354486814940167</v>
      </c>
      <c r="J842">
        <f>($B$1+Table4[[#This Row],[Home Differential]])-Table4[[#This Row],[Away Differential]]</f>
        <v>0.10215109551357239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0.45191579434631607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-0.31206928170612303</v>
      </c>
      <c r="H843" t="s">
        <v>12</v>
      </c>
      <c r="I843">
        <f>VLOOKUP(Table4[[#This Row],[Visitor]],'NHL Model'!$A$6:$B$38,2,FALSE)</f>
        <v>1.7050699520681891</v>
      </c>
      <c r="J843">
        <f>($B$1+Table4[[#This Row],[Home Differential]])-Table4[[#This Row],[Away Differential]]</f>
        <v>-1.9903047550334958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0.76387426578085083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-0.15717729503670502</v>
      </c>
      <c r="H844" t="s">
        <v>27</v>
      </c>
      <c r="I844">
        <f>VLOOKUP(Table4[[#This Row],[Visitor]],'NHL Model'!$A$6:$B$38,2,FALSE)</f>
        <v>-0.15216510880280634</v>
      </c>
      <c r="J844">
        <f>($B$1+Table4[[#This Row],[Home Differential]])-Table4[[#This Row],[Away Differential]]</f>
        <v>2.1822292506917806E-2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0.54354655247454953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-0.43955182119289299</v>
      </c>
      <c r="H845" t="s">
        <v>13</v>
      </c>
      <c r="I845">
        <f>VLOOKUP(Table4[[#This Row],[Visitor]],'NHL Model'!$A$6:$B$38,2,FALSE)</f>
        <v>-0.27930615658534785</v>
      </c>
      <c r="J845">
        <f>($B$1+Table4[[#This Row],[Home Differential]])-Table4[[#This Row],[Away Differential]]</f>
        <v>-0.13341118586672862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0.53179767266391909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0.52315764934699704</v>
      </c>
      <c r="H846" t="s">
        <v>55</v>
      </c>
      <c r="I846">
        <f>VLOOKUP(Table4[[#This Row],[Visitor]],'NHL Model'!$A$6:$B$38,2,FALSE)</f>
        <v>-5.8660643157088771E-2</v>
      </c>
      <c r="J846">
        <f>($B$1+Table4[[#This Row],[Home Differential]])-Table4[[#This Row],[Away Differential]]</f>
        <v>0.60865277124490225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0.66319994780426283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-0.72022444935789065</v>
      </c>
      <c r="H847" t="s">
        <v>22</v>
      </c>
      <c r="I847">
        <f>VLOOKUP(Table4[[#This Row],[Visitor]],'NHL Model'!$A$6:$B$38,2,FALSE)</f>
        <v>0.78208997208538333</v>
      </c>
      <c r="J847">
        <f>($B$1+Table4[[#This Row],[Home Differential]])-Table4[[#This Row],[Away Differential]]</f>
        <v>-1.4754799427024574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0.69573853172392175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-0.70231133461274453</v>
      </c>
      <c r="H848" t="s">
        <v>33</v>
      </c>
      <c r="I848">
        <f>VLOOKUP(Table4[[#This Row],[Visitor]],'NHL Model'!$A$6:$B$38,2,FALSE)</f>
        <v>-0.51080431935976611</v>
      </c>
      <c r="J848">
        <f>($B$1+Table4[[#This Row],[Home Differential]])-Table4[[#This Row],[Away Differential]]</f>
        <v>-0.16467253651216196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0.47934016808685381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6.3765445873038576E-2</v>
      </c>
      <c r="H849" t="s">
        <v>16</v>
      </c>
      <c r="I849">
        <f>VLOOKUP(Table4[[#This Row],[Visitor]],'NHL Model'!$A$6:$B$38,2,FALSE)</f>
        <v>-1.0975205179116387</v>
      </c>
      <c r="J849">
        <f>($B$1+Table4[[#This Row],[Home Differential]])-Table4[[#This Row],[Away Differential]]</f>
        <v>1.1881204425254939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0.67954026307339421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-0.50446035262371991</v>
      </c>
      <c r="H850" t="s">
        <v>12</v>
      </c>
      <c r="I850">
        <f>VLOOKUP(Table4[[#This Row],[Visitor]],'NHL Model'!$A$6:$B$38,2,FALSE)</f>
        <v>1.7050699520681891</v>
      </c>
      <c r="J850">
        <f>($B$1+Table4[[#This Row],[Home Differential]])-Table4[[#This Row],[Away Differential]]</f>
        <v>-2.1826958259510927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0.78897255832887325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1.2368486032251671E-3</v>
      </c>
      <c r="H851" t="s">
        <v>29</v>
      </c>
      <c r="I851">
        <f>VLOOKUP(Table4[[#This Row],[Visitor]],'NHL Model'!$A$6:$B$38,2,FALSE)</f>
        <v>-1.1040951755058253</v>
      </c>
      <c r="J851">
        <f>($B$1+Table4[[#This Row],[Home Differential]])-Table4[[#This Row],[Away Differential]]</f>
        <v>1.1321665028498669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0.73376975206927686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-0.10354486814940167</v>
      </c>
      <c r="H852" t="s">
        <v>30</v>
      </c>
      <c r="I852">
        <f>VLOOKUP(Table4[[#This Row],[Visitor]],'NHL Model'!$A$6:$B$38,2,FALSE)</f>
        <v>-2.8228251376645769E-2</v>
      </c>
      <c r="J852">
        <f>($B$1+Table4[[#This Row],[Home Differential]])-Table4[[#This Row],[Away Differential]]</f>
        <v>-4.8482138031939417E-2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0.53831721329158999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-1.1494940880477545E-2</v>
      </c>
      <c r="H853" t="s">
        <v>10</v>
      </c>
      <c r="I853">
        <f>VLOOKUP(Table4[[#This Row],[Visitor]],'NHL Model'!$A$6:$B$38,2,FALSE)</f>
        <v>-0.1280954603767317</v>
      </c>
      <c r="J853">
        <f>($B$1+Table4[[#This Row],[Home Differential]])-Table4[[#This Row],[Away Differential]]</f>
        <v>0.14343499823707065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0.55684589934787121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-0.53356664249341723</v>
      </c>
      <c r="H854" t="s">
        <v>19</v>
      </c>
      <c r="I854">
        <f>VLOOKUP(Table4[[#This Row],[Visitor]],'NHL Model'!$A$6:$B$38,2,FALSE)</f>
        <v>-0.38335501658895638</v>
      </c>
      <c r="J854">
        <f>($B$1+Table4[[#This Row],[Home Differential]])-Table4[[#This Row],[Away Differential]]</f>
        <v>-0.1233771471636444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0.47449018041964247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-1.2546198289988155</v>
      </c>
      <c r="H855" t="s">
        <v>11</v>
      </c>
      <c r="I855">
        <f>VLOOKUP(Table4[[#This Row],[Visitor]],'NHL Model'!$A$6:$B$38,2,FALSE)</f>
        <v>-0.42252386696344346</v>
      </c>
      <c r="J855">
        <f>($B$1+Table4[[#This Row],[Home Differential]])-Table4[[#This Row],[Away Differential]]</f>
        <v>-0.80526148329455549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0.55457492287814314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0.58787033474453221</v>
      </c>
      <c r="H856" t="s">
        <v>40</v>
      </c>
      <c r="I856">
        <f>VLOOKUP(Table4[[#This Row],[Visitor]],'NHL Model'!$A$6:$B$38,2,FALSE)</f>
        <v>-0.25388173436787664</v>
      </c>
      <c r="J856">
        <f>($B$1+Table4[[#This Row],[Home Differential]])-Table4[[#This Row],[Away Differential]]</f>
        <v>0.86858654785322531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0.67073259192546497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-0.83165982757888468</v>
      </c>
      <c r="H857" t="s">
        <v>31</v>
      </c>
      <c r="I857">
        <f>VLOOKUP(Table4[[#This Row],[Visitor]],'NHL Model'!$A$6:$B$38,2,FALSE)</f>
        <v>6.0998961494444972E-3</v>
      </c>
      <c r="J857">
        <f>($B$1+Table4[[#This Row],[Home Differential]])-Table4[[#This Row],[Away Differential]]</f>
        <v>-0.81092524498751273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0.57600934108825341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-0.12684993818444543</v>
      </c>
      <c r="H858" t="s">
        <v>39</v>
      </c>
      <c r="I858">
        <f>VLOOKUP(Table4[[#This Row],[Visitor]],'NHL Model'!$A$6:$B$38,2,FALSE)</f>
        <v>0.57663845568176975</v>
      </c>
      <c r="J858">
        <f>($B$1+Table4[[#This Row],[Home Differential]])-Table4[[#This Row],[Away Differential]]</f>
        <v>-0.67665391512539874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0.63195663709162619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-0.1280954603767317</v>
      </c>
      <c r="H859" t="s">
        <v>28</v>
      </c>
      <c r="I859">
        <f>VLOOKUP(Table4[[#This Row],[Visitor]],'NHL Model'!$A$6:$B$38,2,FALSE)</f>
        <v>-0.45544062464079677</v>
      </c>
      <c r="J859">
        <f>($B$1+Table4[[#This Row],[Home Differential]])-Table4[[#This Row],[Away Differential]]</f>
        <v>0.35417964300488158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0.57802090377412751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-0.43955182119289299</v>
      </c>
      <c r="H860" t="s">
        <v>18</v>
      </c>
      <c r="I860">
        <f>VLOOKUP(Table4[[#This Row],[Visitor]],'NHL Model'!$A$6:$B$38,2,FALSE)</f>
        <v>-0.50446035262371991</v>
      </c>
      <c r="J860">
        <f>($B$1+Table4[[#This Row],[Home Differential]])-Table4[[#This Row],[Away Differential]]</f>
        <v>9.1743010171643435E-2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0.50168396129789106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-1.0975205179116387</v>
      </c>
      <c r="H861" t="s">
        <v>33</v>
      </c>
      <c r="I861">
        <f>VLOOKUP(Table4[[#This Row],[Visitor]],'NHL Model'!$A$6:$B$38,2,FALSE)</f>
        <v>-0.51080431935976611</v>
      </c>
      <c r="J861">
        <f>($B$1+Table4[[#This Row],[Home Differential]])-Table4[[#This Row],[Away Differential]]</f>
        <v>-0.55988171981105606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0.52575599550021446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-0.72022444935789065</v>
      </c>
      <c r="H862" t="s">
        <v>12</v>
      </c>
      <c r="I862">
        <f>VLOOKUP(Table4[[#This Row],[Visitor]],'NHL Model'!$A$6:$B$38,2,FALSE)</f>
        <v>1.7050699520681891</v>
      </c>
      <c r="J862">
        <f>($B$1+Table4[[#This Row],[Home Differential]])-Table4[[#This Row],[Away Differential]]</f>
        <v>-2.3984599226852632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0.80413904787404533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-0.70231133461274453</v>
      </c>
      <c r="H863" t="s">
        <v>34</v>
      </c>
      <c r="I863">
        <f>VLOOKUP(Table4[[#This Row],[Visitor]],'NHL Model'!$A$6:$B$38,2,FALSE)</f>
        <v>6.3765445873038576E-2</v>
      </c>
      <c r="J863">
        <f>($B$1+Table4[[#This Row],[Home Differential]])-Table4[[#This Row],[Away Differential]]</f>
        <v>-0.73924230174496663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0.60610905293023232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-0.42252386696344346</v>
      </c>
      <c r="H864" t="s">
        <v>40</v>
      </c>
      <c r="I864">
        <f>VLOOKUP(Table4[[#This Row],[Visitor]],'NHL Model'!$A$6:$B$38,2,FALSE)</f>
        <v>-0.25388173436787664</v>
      </c>
      <c r="J864">
        <f>($B$1+Table4[[#This Row],[Home Differential]])-Table4[[#This Row],[Away Differential]]</f>
        <v>-0.14180765385475036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0.48023093283070351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-2.8228251376645769E-2</v>
      </c>
      <c r="H865" t="s">
        <v>29</v>
      </c>
      <c r="I865">
        <f>VLOOKUP(Table4[[#This Row],[Visitor]],'NHL Model'!$A$6:$B$38,2,FALSE)</f>
        <v>-1.1040951755058253</v>
      </c>
      <c r="J865">
        <f>($B$1+Table4[[#This Row],[Home Differential]])-Table4[[#This Row],[Away Differential]]</f>
        <v>1.102701402869996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0.66950811916072084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-0.31206928170612303</v>
      </c>
      <c r="H866" t="s">
        <v>24</v>
      </c>
      <c r="I866">
        <f>VLOOKUP(Table4[[#This Row],[Visitor]],'NHL Model'!$A$6:$B$38,2,FALSE)</f>
        <v>1.2368486032251671E-3</v>
      </c>
      <c r="J866">
        <f>($B$1+Table4[[#This Row],[Home Differential]])-Table4[[#This Row],[Away Differential]]</f>
        <v>-0.28647165156853172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0.51190588415479243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-0.15216510880280634</v>
      </c>
      <c r="H867" t="s">
        <v>13</v>
      </c>
      <c r="I867">
        <f>VLOOKUP(Table4[[#This Row],[Visitor]],'NHL Model'!$A$6:$B$38,2,FALSE)</f>
        <v>-0.27930615658534785</v>
      </c>
      <c r="J867">
        <f>($B$1+Table4[[#This Row],[Home Differential]])-Table4[[#This Row],[Away Differential]]</f>
        <v>0.153975526523358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0.518083844624593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-1.1494940880477545E-2</v>
      </c>
      <c r="H868" t="s">
        <v>15</v>
      </c>
      <c r="I868">
        <f>VLOOKUP(Table4[[#This Row],[Visitor]],'NHL Model'!$A$6:$B$38,2,FALSE)</f>
        <v>-0.10354486814940167</v>
      </c>
      <c r="J868">
        <f>($B$1+Table4[[#This Row],[Home Differential]])-Table4[[#This Row],[Away Differential]]</f>
        <v>0.11888440600974061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0.45388105852758109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-1.2546198289988155</v>
      </c>
      <c r="H869" t="s">
        <v>28</v>
      </c>
      <c r="I869">
        <f>VLOOKUP(Table4[[#This Row],[Visitor]],'NHL Model'!$A$6:$B$38,2,FALSE)</f>
        <v>-0.45544062464079677</v>
      </c>
      <c r="J869">
        <f>($B$1+Table4[[#This Row],[Home Differential]])-Table4[[#This Row],[Away Differential]]</f>
        <v>-0.77234472561720224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0.55428513282766401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-5.8660643157088771E-2</v>
      </c>
      <c r="H870" t="s">
        <v>39</v>
      </c>
      <c r="I870">
        <f>VLOOKUP(Table4[[#This Row],[Visitor]],'NHL Model'!$A$6:$B$38,2,FALSE)</f>
        <v>0.57663845568176975</v>
      </c>
      <c r="J870">
        <f>($B$1+Table4[[#This Row],[Home Differential]])-Table4[[#This Row],[Away Differential]]</f>
        <v>-0.60846462009804203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0.58308978080736118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-0.83165982757888468</v>
      </c>
      <c r="H871" t="s">
        <v>19</v>
      </c>
      <c r="I871">
        <f>VLOOKUP(Table4[[#This Row],[Visitor]],'NHL Model'!$A$6:$B$38,2,FALSE)</f>
        <v>-0.38335501658895638</v>
      </c>
      <c r="J871">
        <f>($B$1+Table4[[#This Row],[Home Differential]])-Table4[[#This Row],[Away Differential]]</f>
        <v>-0.42147033224911185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0.50950010027153458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-0.12684993818444543</v>
      </c>
      <c r="H872" t="s">
        <v>32</v>
      </c>
      <c r="I872">
        <f>VLOOKUP(Table4[[#This Row],[Visitor]],'NHL Model'!$A$6:$B$38,2,FALSE)</f>
        <v>-0.53356664249341723</v>
      </c>
      <c r="J872">
        <f>($B$1+Table4[[#This Row],[Home Differential]])-Table4[[#This Row],[Away Differential]]</f>
        <v>0.43355118304978829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0.59091895061577537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0.78208997208538333</v>
      </c>
      <c r="H873" t="s">
        <v>25</v>
      </c>
      <c r="I873">
        <f>VLOOKUP(Table4[[#This Row],[Visitor]],'NHL Model'!$A$6:$B$38,2,FALSE)</f>
        <v>0.52315764934699704</v>
      </c>
      <c r="J873">
        <f>($B$1+Table4[[#This Row],[Home Differential]])-Table4[[#This Row],[Away Differential]]</f>
        <v>0.28576680147920275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0.52723311868200484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6.0998961494444972E-3</v>
      </c>
      <c r="H874" t="s">
        <v>20</v>
      </c>
      <c r="I874">
        <f>VLOOKUP(Table4[[#This Row],[Visitor]],'NHL Model'!$A$6:$B$38,2,FALSE)</f>
        <v>-0.12684993818444543</v>
      </c>
      <c r="J874">
        <f>($B$1+Table4[[#This Row],[Home Differential]])-Table4[[#This Row],[Away Differential]]</f>
        <v>0.15978431307470642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0.61956713277868458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0.52315764934699704</v>
      </c>
      <c r="H875" t="s">
        <v>13</v>
      </c>
      <c r="I875">
        <f>VLOOKUP(Table4[[#This Row],[Visitor]],'NHL Model'!$A$6:$B$38,2,FALSE)</f>
        <v>-0.27930615658534785</v>
      </c>
      <c r="J875">
        <f>($B$1+Table4[[#This Row],[Home Differential]])-Table4[[#This Row],[Away Differential]]</f>
        <v>0.82929828467316136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0.62371374398040869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0.58787033474453221</v>
      </c>
      <c r="H876" t="s">
        <v>21</v>
      </c>
      <c r="I876">
        <f>VLOOKUP(Table4[[#This Row],[Visitor]],'NHL Model'!$A$6:$B$38,2,FALSE)</f>
        <v>-0.15717729503670502</v>
      </c>
      <c r="J876">
        <f>($B$1+Table4[[#This Row],[Home Differential]])-Table4[[#This Row],[Away Differential]]</f>
        <v>0.77188210852205374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0.66290070706324133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-1.0975205179116387</v>
      </c>
      <c r="H877" t="s">
        <v>19</v>
      </c>
      <c r="I877">
        <f>VLOOKUP(Table4[[#This Row],[Visitor]],'NHL Model'!$A$6:$B$38,2,FALSE)</f>
        <v>-0.38335501658895638</v>
      </c>
      <c r="J877">
        <f>($B$1+Table4[[#This Row],[Home Differential]])-Table4[[#This Row],[Away Differential]]</f>
        <v>-0.68733102258186585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0.54072443523125446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-0.1280954603767317</v>
      </c>
      <c r="H878" t="s">
        <v>33</v>
      </c>
      <c r="I878">
        <f>VLOOKUP(Table4[[#This Row],[Visitor]],'NHL Model'!$A$6:$B$38,2,FALSE)</f>
        <v>-0.51080431935976611</v>
      </c>
      <c r="J878">
        <f>($B$1+Table4[[#This Row],[Home Differential]])-Table4[[#This Row],[Away Differential]]</f>
        <v>0.40954333772385088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0.58809931976632568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1.7050699520681891</v>
      </c>
      <c r="H879" t="s">
        <v>26</v>
      </c>
      <c r="I879">
        <f>VLOOKUP(Table4[[#This Row],[Visitor]],'NHL Model'!$A$6:$B$38,2,FALSE)</f>
        <v>-0.72022444935789065</v>
      </c>
      <c r="J879">
        <f>($B$1+Table4[[#This Row],[Home Differential]])-Table4[[#This Row],[Away Differential]]</f>
        <v>2.4521288801668963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0.93581425068207014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0.57663845568176975</v>
      </c>
      <c r="H880" t="s">
        <v>40</v>
      </c>
      <c r="I880">
        <f>VLOOKUP(Table4[[#This Row],[Visitor]],'NHL Model'!$A$6:$B$38,2,FALSE)</f>
        <v>-0.25388173436787664</v>
      </c>
      <c r="J880">
        <f>($B$1+Table4[[#This Row],[Home Differential]])-Table4[[#This Row],[Away Differential]]</f>
        <v>0.85735466879046285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0.669413450108584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-0.42252386696344346</v>
      </c>
      <c r="H881" t="s">
        <v>23</v>
      </c>
      <c r="I881">
        <f>VLOOKUP(Table4[[#This Row],[Visitor]],'NHL Model'!$A$6:$B$38,2,FALSE)</f>
        <v>-0.43955182119289299</v>
      </c>
      <c r="J881">
        <f>($B$1+Table4[[#This Row],[Home Differential]])-Table4[[#This Row],[Away Differential]]</f>
        <v>4.3862432970265985E-2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0.5451514772548649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6.3765445873038576E-2</v>
      </c>
      <c r="H882" t="s">
        <v>18</v>
      </c>
      <c r="I882">
        <f>VLOOKUP(Table4[[#This Row],[Visitor]],'NHL Model'!$A$6:$B$38,2,FALSE)</f>
        <v>-0.50446035262371991</v>
      </c>
      <c r="J882">
        <f>($B$1+Table4[[#This Row],[Home Differential]])-Table4[[#This Row],[Away Differential]]</f>
        <v>0.59506027723757493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0.55059975050973287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-1.1040951755058253</v>
      </c>
      <c r="H883" t="s">
        <v>35</v>
      </c>
      <c r="I883">
        <f>VLOOKUP(Table4[[#This Row],[Visitor]],'NHL Model'!$A$6:$B$38,2,FALSE)</f>
        <v>-1.2546198289988155</v>
      </c>
      <c r="J883">
        <f>($B$1+Table4[[#This Row],[Home Differential]])-Table4[[#This Row],[Away Differential]]</f>
        <v>0.17735913223380684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0.56083016088652415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-1.1494940880477545E-2</v>
      </c>
      <c r="H884" t="s">
        <v>36</v>
      </c>
      <c r="I884">
        <f>VLOOKUP(Table4[[#This Row],[Visitor]],'NHL Model'!$A$6:$B$38,2,FALSE)</f>
        <v>-0.31206928170612303</v>
      </c>
      <c r="J884">
        <f>($B$1+Table4[[#This Row],[Home Differential]])-Table4[[#This Row],[Away Differential]]</f>
        <v>0.32740881956646195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0.57487677157036876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-5.8660643157088771E-2</v>
      </c>
      <c r="H885" t="s">
        <v>38</v>
      </c>
      <c r="I885">
        <f>VLOOKUP(Table4[[#This Row],[Visitor]],'NHL Model'!$A$6:$B$38,2,FALSE)</f>
        <v>-0.83165982757888468</v>
      </c>
      <c r="J885">
        <f>($B$1+Table4[[#This Row],[Home Differential]])-Table4[[#This Row],[Away Differential]]</f>
        <v>0.7998336631626124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0.67436862332947545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0.78208997208538333</v>
      </c>
      <c r="H886" t="s">
        <v>30</v>
      </c>
      <c r="I886">
        <f>VLOOKUP(Table4[[#This Row],[Visitor]],'NHL Model'!$A$6:$B$38,2,FALSE)</f>
        <v>-2.8228251376645769E-2</v>
      </c>
      <c r="J886">
        <f>($B$1+Table4[[#This Row],[Home Differential]])-Table4[[#This Row],[Away Differential]]</f>
        <v>0.83715270220284554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0.5919913122860061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6.0998961494444972E-3</v>
      </c>
      <c r="H887" t="s">
        <v>32</v>
      </c>
      <c r="I887">
        <f>VLOOKUP(Table4[[#This Row],[Visitor]],'NHL Model'!$A$6:$B$38,2,FALSE)</f>
        <v>-0.53356664249341723</v>
      </c>
      <c r="J887">
        <f>($B$1+Table4[[#This Row],[Home Differential]])-Table4[[#This Row],[Away Differential]]</f>
        <v>0.5665010173836782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0.66733447511561272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0.52315764934699704</v>
      </c>
      <c r="H888" t="s">
        <v>36</v>
      </c>
      <c r="I888">
        <f>VLOOKUP(Table4[[#This Row],[Visitor]],'NHL Model'!$A$6:$B$38,2,FALSE)</f>
        <v>-0.31206928170612303</v>
      </c>
      <c r="J888">
        <f>($B$1+Table4[[#This Row],[Home Differential]])-Table4[[#This Row],[Away Differential]]</f>
        <v>0.86206140979393653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0.6894811540511494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-0.70231133461274453</v>
      </c>
      <c r="H889" t="s">
        <v>19</v>
      </c>
      <c r="I889">
        <f>VLOOKUP(Table4[[#This Row],[Visitor]],'NHL Model'!$A$6:$B$38,2,FALSE)</f>
        <v>-0.38335501658895638</v>
      </c>
      <c r="J889">
        <f>($B$1+Table4[[#This Row],[Home Differential]])-Table4[[#This Row],[Away Differential]]</f>
        <v>-0.2921218392829717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0.49430860781789387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1.2368486032251671E-3</v>
      </c>
      <c r="H890" t="s">
        <v>28</v>
      </c>
      <c r="I890">
        <f>VLOOKUP(Table4[[#This Row],[Visitor]],'NHL Model'!$A$6:$B$38,2,FALSE)</f>
        <v>-0.45544062464079677</v>
      </c>
      <c r="J890">
        <f>($B$1+Table4[[#This Row],[Home Differential]])-Table4[[#This Row],[Away Differential]]</f>
        <v>0.48351195198483843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0.65413178716341502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-2.8228251376645769E-2</v>
      </c>
      <c r="H891" t="s">
        <v>14</v>
      </c>
      <c r="I891">
        <f>VLOOKUP(Table4[[#This Row],[Visitor]],'NHL Model'!$A$6:$B$38,2,FALSE)</f>
        <v>-1.1494940880477545E-2</v>
      </c>
      <c r="J891">
        <f>($B$1+Table4[[#This Row],[Home Differential]])-Table4[[#This Row],[Away Differential]]</f>
        <v>1.0101168244648262E-2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0.50189961085935109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-0.15216510880280634</v>
      </c>
      <c r="H892" t="s">
        <v>22</v>
      </c>
      <c r="I892">
        <f>VLOOKUP(Table4[[#This Row],[Visitor]],'NHL Model'!$A$6:$B$38,2,FALSE)</f>
        <v>0.78208997208538333</v>
      </c>
      <c r="J892">
        <f>($B$1+Table4[[#This Row],[Home Differential]])-Table4[[#This Row],[Away Differential]]</f>
        <v>-0.90742060214737319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0.61290223985454328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0.58787033474453221</v>
      </c>
      <c r="H893" t="s">
        <v>23</v>
      </c>
      <c r="I893">
        <f>VLOOKUP(Table4[[#This Row],[Visitor]],'NHL Model'!$A$6:$B$38,2,FALSE)</f>
        <v>-0.43955182119289299</v>
      </c>
      <c r="J893">
        <f>($B$1+Table4[[#This Row],[Home Differential]])-Table4[[#This Row],[Away Differential]]</f>
        <v>1.0542566346782416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0.69606452973201416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-0.45544062464079677</v>
      </c>
      <c r="H894" t="s">
        <v>10</v>
      </c>
      <c r="I894">
        <f>VLOOKUP(Table4[[#This Row],[Visitor]],'NHL Model'!$A$6:$B$38,2,FALSE)</f>
        <v>-0.1280954603767317</v>
      </c>
      <c r="J894">
        <f>($B$1+Table4[[#This Row],[Home Differential]])-Table4[[#This Row],[Away Differential]]</f>
        <v>-0.30051068552324856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0.49529384615683048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-1.0975205179116387</v>
      </c>
      <c r="H895" t="s">
        <v>17</v>
      </c>
      <c r="I895">
        <f>VLOOKUP(Table4[[#This Row],[Visitor]],'NHL Model'!$A$6:$B$38,2,FALSE)</f>
        <v>-0.70231133461274453</v>
      </c>
      <c r="J895">
        <f>($B$1+Table4[[#This Row],[Home Differential]])-Table4[[#This Row],[Away Differential]]</f>
        <v>-0.36837470455807764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0.50326421913451347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1.7050699520681891</v>
      </c>
      <c r="H896" t="s">
        <v>33</v>
      </c>
      <c r="I896">
        <f>VLOOKUP(Table4[[#This Row],[Visitor]],'NHL Model'!$A$6:$B$38,2,FALSE)</f>
        <v>-0.51080431935976611</v>
      </c>
      <c r="J896">
        <f>($B$1+Table4[[#This Row],[Home Differential]])-Table4[[#This Row],[Away Differential]]</f>
        <v>2.2427087501687719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0.91121864657758511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0.57663845568176975</v>
      </c>
      <c r="H897" t="s">
        <v>35</v>
      </c>
      <c r="I897">
        <f>VLOOKUP(Table4[[#This Row],[Visitor]],'NHL Model'!$A$6:$B$38,2,FALSE)</f>
        <v>-1.2546198289988155</v>
      </c>
      <c r="J897">
        <f>($B$1+Table4[[#This Row],[Home Differential]])-Table4[[#This Row],[Away Differential]]</f>
        <v>1.8580927634214017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0.79047205009610599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-0.42252386696344346</v>
      </c>
      <c r="H898" t="s">
        <v>21</v>
      </c>
      <c r="I898">
        <f>VLOOKUP(Table4[[#This Row],[Visitor]],'NHL Model'!$A$6:$B$38,2,FALSE)</f>
        <v>-0.15717729503670502</v>
      </c>
      <c r="J898">
        <f>($B$1+Table4[[#This Row],[Home Differential]])-Table4[[#This Row],[Away Differential]]</f>
        <v>-0.23851209318592198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0.48801234541390809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-0.27930615658534785</v>
      </c>
      <c r="H899" t="s">
        <v>32</v>
      </c>
      <c r="I899">
        <f>VLOOKUP(Table4[[#This Row],[Visitor]],'NHL Model'!$A$6:$B$38,2,FALSE)</f>
        <v>-0.53356664249341723</v>
      </c>
      <c r="J899">
        <f>($B$1+Table4[[#This Row],[Home Differential]])-Table4[[#This Row],[Away Differential]]</f>
        <v>0.28109496464888584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0.57301354299765817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-1.1040951755058253</v>
      </c>
      <c r="H900" t="s">
        <v>34</v>
      </c>
      <c r="I900">
        <f>VLOOKUP(Table4[[#This Row],[Visitor]],'NHL Model'!$A$6:$B$38,2,FALSE)</f>
        <v>6.3765445873038576E-2</v>
      </c>
      <c r="J900">
        <f>($B$1+Table4[[#This Row],[Home Differential]])-Table4[[#This Row],[Away Differential]]</f>
        <v>-1.1410261426380472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0.65329704907116748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-5.8660643157088771E-2</v>
      </c>
      <c r="H901" t="s">
        <v>26</v>
      </c>
      <c r="I901">
        <f>VLOOKUP(Table4[[#This Row],[Visitor]],'NHL Model'!$A$6:$B$38,2,FALSE)</f>
        <v>-0.72022444935789065</v>
      </c>
      <c r="J901">
        <f>($B$1+Table4[[#This Row],[Home Differential]])-Table4[[#This Row],[Away Differential]]</f>
        <v>0.68839828494161837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0.66128095861461889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-0.12684993818444543</v>
      </c>
      <c r="H902" t="s">
        <v>38</v>
      </c>
      <c r="I902">
        <f>VLOOKUP(Table4[[#This Row],[Visitor]],'NHL Model'!$A$6:$B$38,2,FALSE)</f>
        <v>-0.83165982757888468</v>
      </c>
      <c r="J902">
        <f>($B$1+Table4[[#This Row],[Home Differential]])-Table4[[#This Row],[Away Differential]]</f>
        <v>0.7316443681352558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0.62592887046766743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-0.25388173436787664</v>
      </c>
      <c r="H903" t="s">
        <v>18</v>
      </c>
      <c r="I903">
        <f>VLOOKUP(Table4[[#This Row],[Visitor]],'NHL Model'!$A$6:$B$38,2,FALSE)</f>
        <v>-0.50446035262371991</v>
      </c>
      <c r="J903">
        <f>($B$1+Table4[[#This Row],[Home Differential]])-Table4[[#This Row],[Away Differential]]</f>
        <v>0.27741309699665972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0.51580259804403839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-0.43955182119289299</v>
      </c>
      <c r="H904" t="s">
        <v>14</v>
      </c>
      <c r="I904">
        <f>VLOOKUP(Table4[[#This Row],[Visitor]],'NHL Model'!$A$6:$B$38,2,FALSE)</f>
        <v>-1.1494940880477545E-2</v>
      </c>
      <c r="J904">
        <f>($B$1+Table4[[#This Row],[Home Differential]])-Table4[[#This Row],[Away Differential]]</f>
        <v>-0.40122240157159894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0.53620502664331016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1.2368486032251671E-3</v>
      </c>
      <c r="H905" t="s">
        <v>30</v>
      </c>
      <c r="I905">
        <f>VLOOKUP(Table4[[#This Row],[Visitor]],'NHL Model'!$A$6:$B$38,2,FALSE)</f>
        <v>-2.8228251376645769E-2</v>
      </c>
      <c r="J905">
        <f>($B$1+Table4[[#This Row],[Home Differential]])-Table4[[#This Row],[Away Differential]]</f>
        <v>5.6299578720687422E-2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0.53602393780249791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-0.10354486814940167</v>
      </c>
      <c r="H906" t="s">
        <v>25</v>
      </c>
      <c r="I906">
        <f>VLOOKUP(Table4[[#This Row],[Visitor]],'NHL Model'!$A$6:$B$38,2,FALSE)</f>
        <v>0.52315764934699704</v>
      </c>
      <c r="J906">
        <f>($B$1+Table4[[#This Row],[Home Differential]])-Table4[[#This Row],[Away Differential]]</f>
        <v>-0.59986803875558226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0.60307540689559114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-0.15216510880280634</v>
      </c>
      <c r="H907" t="s">
        <v>36</v>
      </c>
      <c r="I907">
        <f>VLOOKUP(Table4[[#This Row],[Visitor]],'NHL Model'!$A$6:$B$38,2,FALSE)</f>
        <v>-0.31206928170612303</v>
      </c>
      <c r="J907">
        <f>($B$1+Table4[[#This Row],[Home Differential]])-Table4[[#This Row],[Away Differential]]</f>
        <v>0.18673865164413317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0.58443175005137082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0.58787033474453221</v>
      </c>
      <c r="H908" t="s">
        <v>11</v>
      </c>
      <c r="I908">
        <f>VLOOKUP(Table4[[#This Row],[Visitor]],'NHL Model'!$A$6:$B$38,2,FALSE)</f>
        <v>-0.42252386696344346</v>
      </c>
      <c r="J908">
        <f>($B$1+Table4[[#This Row],[Home Differential]])-Table4[[#This Row],[Away Differential]]</f>
        <v>1.0372286804487922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0.6940646607559966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-0.12684993818444543</v>
      </c>
      <c r="H909" t="s">
        <v>13</v>
      </c>
      <c r="I909">
        <f>VLOOKUP(Table4[[#This Row],[Visitor]],'NHL Model'!$A$6:$B$38,2,FALSE)</f>
        <v>-0.27930615658534785</v>
      </c>
      <c r="J909">
        <f>($B$1+Table4[[#This Row],[Home Differential]])-Table4[[#This Row],[Away Differential]]</f>
        <v>0.17929069714171891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0.49474122642328017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0.78208997208538333</v>
      </c>
      <c r="H910" t="s">
        <v>29</v>
      </c>
      <c r="I910">
        <f>VLOOKUP(Table4[[#This Row],[Visitor]],'NHL Model'!$A$6:$B$38,2,FALSE)</f>
        <v>-1.1040951755058253</v>
      </c>
      <c r="J910">
        <f>($B$1+Table4[[#This Row],[Home Differential]])-Table4[[#This Row],[Away Differential]]</f>
        <v>1.9130196263320252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0.79071467294098707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6.0998961494444972E-3</v>
      </c>
      <c r="H911" t="s">
        <v>17</v>
      </c>
      <c r="I911">
        <f>VLOOKUP(Table4[[#This Row],[Visitor]],'NHL Model'!$A$6:$B$38,2,FALSE)</f>
        <v>-0.70231133461274453</v>
      </c>
      <c r="J911">
        <f>($B$1+Table4[[#This Row],[Home Differential]])-Table4[[#This Row],[Away Differential]]</f>
        <v>0.7352457095030055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0.68715290251386407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0.57663845568176975</v>
      </c>
      <c r="H912" t="s">
        <v>32</v>
      </c>
      <c r="I912">
        <f>VLOOKUP(Table4[[#This Row],[Visitor]],'NHL Model'!$A$6:$B$38,2,FALSE)</f>
        <v>-0.53356664249341723</v>
      </c>
      <c r="J912">
        <f>($B$1+Table4[[#This Row],[Home Differential]])-Table4[[#This Row],[Away Differential]]</f>
        <v>1.1370395769160035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0.70578707394924245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-0.27930615658534785</v>
      </c>
      <c r="H913" t="s">
        <v>20</v>
      </c>
      <c r="I913">
        <f>VLOOKUP(Table4[[#This Row],[Visitor]],'NHL Model'!$A$6:$B$38,2,FALSE)</f>
        <v>-0.12684993818444543</v>
      </c>
      <c r="J913">
        <f>($B$1+Table4[[#This Row],[Home Differential]])-Table4[[#This Row],[Away Differential]]</f>
        <v>-0.12562173966008597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0.47475379933927003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1.2368486032251671E-3</v>
      </c>
      <c r="H914" t="s">
        <v>23</v>
      </c>
      <c r="I914">
        <f>VLOOKUP(Table4[[#This Row],[Visitor]],'NHL Model'!$A$6:$B$38,2,FALSE)</f>
        <v>-0.43955182119289299</v>
      </c>
      <c r="J914">
        <f>($B$1+Table4[[#This Row],[Home Differential]])-Table4[[#This Row],[Away Differential]]</f>
        <v>0.46762314853693465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0.65572164249598108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0.58787033474453221</v>
      </c>
      <c r="H915" t="s">
        <v>19</v>
      </c>
      <c r="I915">
        <f>VLOOKUP(Table4[[#This Row],[Visitor]],'NHL Model'!$A$6:$B$38,2,FALSE)</f>
        <v>-0.38335501658895638</v>
      </c>
      <c r="J915">
        <f>($B$1+Table4[[#This Row],[Home Differential]])-Table4[[#This Row],[Away Differential]]</f>
        <v>0.9980598300743051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0.68946442706763367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-5.8660643157088771E-2</v>
      </c>
      <c r="H916" t="s">
        <v>12</v>
      </c>
      <c r="I916">
        <f>VLOOKUP(Table4[[#This Row],[Visitor]],'NHL Model'!$A$6:$B$38,2,FALSE)</f>
        <v>1.7050699520681891</v>
      </c>
      <c r="J916">
        <f>($B$1+Table4[[#This Row],[Home Differential]])-Table4[[#This Row],[Away Differential]]</f>
        <v>-1.7368961164844614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0.6956120071243832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-0.83165982757888468</v>
      </c>
      <c r="H917" t="s">
        <v>40</v>
      </c>
      <c r="I917">
        <f>VLOOKUP(Table4[[#This Row],[Visitor]],'NHL Model'!$A$6:$B$38,2,FALSE)</f>
        <v>-0.25388173436787664</v>
      </c>
      <c r="J917">
        <f>($B$1+Table4[[#This Row],[Home Differential]])-Table4[[#This Row],[Away Differential]]</f>
        <v>-0.55094361447019158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0.52828240769272239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0.78208997208538333</v>
      </c>
      <c r="H918" t="s">
        <v>27</v>
      </c>
      <c r="I918">
        <f>VLOOKUP(Table4[[#This Row],[Visitor]],'NHL Model'!$A$6:$B$38,2,FALSE)</f>
        <v>-0.15216510880280634</v>
      </c>
      <c r="J918">
        <f>($B$1+Table4[[#This Row],[Home Differential]])-Table4[[#This Row],[Away Differential]]</f>
        <v>0.96108955962900611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0.63668586629771085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-0.15717729503670502</v>
      </c>
      <c r="H919" t="s">
        <v>28</v>
      </c>
      <c r="I919">
        <f>VLOOKUP(Table4[[#This Row],[Visitor]],'NHL Model'!$A$6:$B$38,2,FALSE)</f>
        <v>-0.45544062464079677</v>
      </c>
      <c r="J919">
        <f>($B$1+Table4[[#This Row],[Home Differential]])-Table4[[#This Row],[Away Differential]]</f>
        <v>0.3250978083449082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0.61758065259338024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0.52315764934699704</v>
      </c>
      <c r="H920" t="s">
        <v>37</v>
      </c>
      <c r="I920">
        <f>VLOOKUP(Table4[[#This Row],[Visitor]],'NHL Model'!$A$6:$B$38,2,FALSE)</f>
        <v>0.58787033474453221</v>
      </c>
      <c r="J920">
        <f>($B$1+Table4[[#This Row],[Home Differential]])-Table4[[#This Row],[Away Differential]]</f>
        <v>-3.7878206656718705E-2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0.48444865245344315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1.7050699520681891</v>
      </c>
      <c r="H921" t="s">
        <v>34</v>
      </c>
      <c r="I921">
        <f>VLOOKUP(Table4[[#This Row],[Visitor]],'NHL Model'!$A$6:$B$38,2,FALSE)</f>
        <v>6.3765445873038576E-2</v>
      </c>
      <c r="J921">
        <f>($B$1+Table4[[#This Row],[Home Differential]])-Table4[[#This Row],[Away Differential]]</f>
        <v>1.6681389849359671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0.78784488084100868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-0.42252386696344346</v>
      </c>
      <c r="H922" t="s">
        <v>19</v>
      </c>
      <c r="I922">
        <f>VLOOKUP(Table4[[#This Row],[Visitor]],'NHL Model'!$A$6:$B$38,2,FALSE)</f>
        <v>-0.38335501658895638</v>
      </c>
      <c r="J922">
        <f>($B$1+Table4[[#This Row],[Home Differential]])-Table4[[#This Row],[Away Differential]]</f>
        <v>-1.2334371633670627E-2</v>
      </c>
      <c r="K922" t="str">
        <f>IF(Table4[[#This Row],[HomeIce Differential]]&gt;0,Table4[[#This Row],[Home]],Table4[[#This Row],[Visitor]])</f>
        <v>Toronto Maple Leafs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0.46144862540951564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-0.27930615658534785</v>
      </c>
      <c r="H923" t="s">
        <v>17</v>
      </c>
      <c r="I923">
        <f>VLOOKUP(Table4[[#This Row],[Visitor]],'NHL Model'!$A$6:$B$38,2,FALSE)</f>
        <v>-0.70231133461274453</v>
      </c>
      <c r="J923">
        <f>($B$1+Table4[[#This Row],[Home Differential]])-Table4[[#This Row],[Away Differential]]</f>
        <v>0.44983965676821314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0.59283197039590951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-0.50446035262371991</v>
      </c>
      <c r="H924" t="s">
        <v>30</v>
      </c>
      <c r="I924">
        <f>VLOOKUP(Table4[[#This Row],[Visitor]],'NHL Model'!$A$6:$B$38,2,FALSE)</f>
        <v>-2.8228251376645769E-2</v>
      </c>
      <c r="J924">
        <f>($B$1+Table4[[#This Row],[Home Differential]])-Table4[[#This Row],[Away Differential]]</f>
        <v>-0.4493976225062577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0.58540322424753999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-1.1040951755058253</v>
      </c>
      <c r="H925" t="s">
        <v>10</v>
      </c>
      <c r="I925">
        <f>VLOOKUP(Table4[[#This Row],[Visitor]],'NHL Model'!$A$6:$B$38,2,FALSE)</f>
        <v>-0.1280954603767317</v>
      </c>
      <c r="J925">
        <f>($B$1+Table4[[#This Row],[Home Differential]])-Table4[[#This Row],[Away Differential]]</f>
        <v>-0.94916523638827699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0.57147587571526748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-0.10354486814940167</v>
      </c>
      <c r="H926" t="s">
        <v>27</v>
      </c>
      <c r="I926">
        <f>VLOOKUP(Table4[[#This Row],[Visitor]],'NHL Model'!$A$6:$B$38,2,FALSE)</f>
        <v>-0.15216510880280634</v>
      </c>
      <c r="J926">
        <f>($B$1+Table4[[#This Row],[Home Differential]])-Table4[[#This Row],[Away Differential]]</f>
        <v>7.5454719394221159E-2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0.50634930928032629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-0.31206928170612303</v>
      </c>
      <c r="H927" t="s">
        <v>26</v>
      </c>
      <c r="I927">
        <f>VLOOKUP(Table4[[#This Row],[Visitor]],'NHL Model'!$A$6:$B$38,2,FALSE)</f>
        <v>-0.72022444935789065</v>
      </c>
      <c r="J927">
        <f>($B$1+Table4[[#This Row],[Home Differential]])-Table4[[#This Row],[Away Differential]]</f>
        <v>0.43498964639258408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0.59358337191225574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-1.1494940880477545E-2</v>
      </c>
      <c r="H928" t="s">
        <v>24</v>
      </c>
      <c r="I928">
        <f>VLOOKUP(Table4[[#This Row],[Visitor]],'NHL Model'!$A$6:$B$38,2,FALSE)</f>
        <v>1.2368486032251671E-3</v>
      </c>
      <c r="J928">
        <f>($B$1+Table4[[#This Row],[Home Differential]])-Table4[[#This Row],[Away Differential]]</f>
        <v>1.4102689257113775E-2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0.5208870768731132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-0.51080431935976611</v>
      </c>
      <c r="H929" t="s">
        <v>16</v>
      </c>
      <c r="I929">
        <f>VLOOKUP(Table4[[#This Row],[Visitor]],'NHL Model'!$A$6:$B$38,2,FALSE)</f>
        <v>-1.0975205179116387</v>
      </c>
      <c r="J929">
        <f>($B$1+Table4[[#This Row],[Home Differential]])-Table4[[#This Row],[Away Differential]]</f>
        <v>0.61355067729268908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0.61205921205790881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-1.2546198289988155</v>
      </c>
      <c r="H930" t="s">
        <v>32</v>
      </c>
      <c r="I930">
        <f>VLOOKUP(Table4[[#This Row],[Visitor]],'NHL Model'!$A$6:$B$38,2,FALSE)</f>
        <v>-0.53356664249341723</v>
      </c>
      <c r="J930">
        <f>($B$1+Table4[[#This Row],[Home Differential]])-Table4[[#This Row],[Away Differential]]</f>
        <v>-0.69421870776458172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0.54153336786801631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6.0998961494444972E-3</v>
      </c>
      <c r="H931" t="s">
        <v>40</v>
      </c>
      <c r="I931">
        <f>VLOOKUP(Table4[[#This Row],[Visitor]],'NHL Model'!$A$6:$B$38,2,FALSE)</f>
        <v>-0.25388173436787664</v>
      </c>
      <c r="J931">
        <f>($B$1+Table4[[#This Row],[Home Differential]])-Table4[[#This Row],[Away Differential]]</f>
        <v>0.28681610925813761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0.63103060258890764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-0.42252386696344346</v>
      </c>
      <c r="H932" t="s">
        <v>23</v>
      </c>
      <c r="I932">
        <f>VLOOKUP(Table4[[#This Row],[Visitor]],'NHL Model'!$A$6:$B$38,2,FALSE)</f>
        <v>-0.43955182119289299</v>
      </c>
      <c r="J932">
        <f>($B$1+Table4[[#This Row],[Home Differential]])-Table4[[#This Row],[Away Differential]]</f>
        <v>4.3862432970265985E-2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0.5451514772548649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-5.8660643157088771E-2</v>
      </c>
      <c r="H933" t="s">
        <v>34</v>
      </c>
      <c r="I933">
        <f>VLOOKUP(Table4[[#This Row],[Visitor]],'NHL Model'!$A$6:$B$38,2,FALSE)</f>
        <v>6.3765445873038576E-2</v>
      </c>
      <c r="J933">
        <f>($B$1+Table4[[#This Row],[Home Differential]])-Table4[[#This Row],[Away Differential]]</f>
        <v>-9.559161028931086E-2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0.48948774351667168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0.78208997208538333</v>
      </c>
      <c r="H934" t="s">
        <v>20</v>
      </c>
      <c r="I934">
        <f>VLOOKUP(Table4[[#This Row],[Visitor]],'NHL Model'!$A$6:$B$38,2,FALSE)</f>
        <v>-0.12684993818444543</v>
      </c>
      <c r="J934">
        <f>($B$1+Table4[[#This Row],[Home Differential]])-Table4[[#This Row],[Away Differential]]</f>
        <v>0.93577438901064525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0.67594090706487231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0.52315764934699704</v>
      </c>
      <c r="H935" t="s">
        <v>26</v>
      </c>
      <c r="I935">
        <f>VLOOKUP(Table4[[#This Row],[Visitor]],'NHL Model'!$A$6:$B$38,2,FALSE)</f>
        <v>-0.72022444935789065</v>
      </c>
      <c r="J935">
        <f>($B$1+Table4[[#This Row],[Home Differential]])-Table4[[#This Row],[Away Differential]]</f>
        <v>1.2702165774457042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0.74089812069393179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-0.45544062464079677</v>
      </c>
      <c r="H936" t="s">
        <v>30</v>
      </c>
      <c r="I936">
        <f>VLOOKUP(Table4[[#This Row],[Visitor]],'NHL Model'!$A$6:$B$38,2,FALSE)</f>
        <v>-2.8228251376645769E-2</v>
      </c>
      <c r="J936">
        <f>($B$1+Table4[[#This Row],[Home Differential]])-Table4[[#This Row],[Away Differential]]</f>
        <v>-0.4003778945233345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0.57964604215244564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1.7050699520681891</v>
      </c>
      <c r="H937" t="s">
        <v>10</v>
      </c>
      <c r="I937">
        <f>VLOOKUP(Table4[[#This Row],[Visitor]],'NHL Model'!$A$6:$B$38,2,FALSE)</f>
        <v>-0.1280954603767317</v>
      </c>
      <c r="J937">
        <f>($B$1+Table4[[#This Row],[Home Differential]])-Table4[[#This Row],[Away Differential]]</f>
        <v>1.8599998911857374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0.86627093509010655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0.57663845568176975</v>
      </c>
      <c r="H938" t="s">
        <v>29</v>
      </c>
      <c r="I938">
        <f>VLOOKUP(Table4[[#This Row],[Visitor]],'NHL Model'!$A$6:$B$38,2,FALSE)</f>
        <v>-1.1040951755058253</v>
      </c>
      <c r="J938">
        <f>($B$1+Table4[[#This Row],[Home Differential]])-Table4[[#This Row],[Away Differential]]</f>
        <v>1.7075681099284115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0.77279349748842896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-0.27930615658534785</v>
      </c>
      <c r="H939" t="s">
        <v>16</v>
      </c>
      <c r="I939">
        <f>VLOOKUP(Table4[[#This Row],[Visitor]],'NHL Model'!$A$6:$B$38,2,FALSE)</f>
        <v>-1.0975205179116387</v>
      </c>
      <c r="J939">
        <f>($B$1+Table4[[#This Row],[Home Differential]])-Table4[[#This Row],[Away Differential]]</f>
        <v>0.84504884006710734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0.6392477978092701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-0.50446035262371991</v>
      </c>
      <c r="H940" t="s">
        <v>22</v>
      </c>
      <c r="I940">
        <f>VLOOKUP(Table4[[#This Row],[Visitor]],'NHL Model'!$A$6:$B$38,2,FALSE)</f>
        <v>0.78208997208538333</v>
      </c>
      <c r="J940">
        <f>($B$1+Table4[[#This Row],[Home Differential]])-Table4[[#This Row],[Away Differential]]</f>
        <v>-1.2597158459682869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0.68057204217874967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-0.10354486814940167</v>
      </c>
      <c r="H941" t="s">
        <v>14</v>
      </c>
      <c r="I941">
        <f>VLOOKUP(Table4[[#This Row],[Visitor]],'NHL Model'!$A$6:$B$38,2,FALSE)</f>
        <v>-1.1494940880477545E-2</v>
      </c>
      <c r="J941">
        <f>($B$1+Table4[[#This Row],[Home Differential]])-Table4[[#This Row],[Away Differential]]</f>
        <v>-6.5215448528107636E-2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0.50694604160322987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-0.15216510880280634</v>
      </c>
      <c r="H942" t="s">
        <v>21</v>
      </c>
      <c r="I942">
        <f>VLOOKUP(Table4[[#This Row],[Visitor]],'NHL Model'!$A$6:$B$38,2,FALSE)</f>
        <v>-0.15717729503670502</v>
      </c>
      <c r="J942">
        <f>($B$1+Table4[[#This Row],[Home Differential]])-Table4[[#This Row],[Away Differential]]</f>
        <v>3.1846664974715166E-2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0.56977800648957855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-0.53356664249341723</v>
      </c>
      <c r="H943" t="s">
        <v>38</v>
      </c>
      <c r="I943">
        <f>VLOOKUP(Table4[[#This Row],[Visitor]],'NHL Model'!$A$6:$B$38,2,FALSE)</f>
        <v>-0.83165982757888468</v>
      </c>
      <c r="J943">
        <f>($B$1+Table4[[#This Row],[Home Differential]])-Table4[[#This Row],[Away Differential]]</f>
        <v>0.32492766382628391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0.57816152813073929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-0.51080431935976611</v>
      </c>
      <c r="H944" t="s">
        <v>17</v>
      </c>
      <c r="I944">
        <f>VLOOKUP(Table4[[#This Row],[Visitor]],'NHL Model'!$A$6:$B$38,2,FALSE)</f>
        <v>-0.70231133461274453</v>
      </c>
      <c r="J944">
        <f>($B$1+Table4[[#This Row],[Home Differential]])-Table4[[#This Row],[Away Differential]]</f>
        <v>0.21834149399379488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0.56564338464454822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-1.2546198289988155</v>
      </c>
      <c r="H945" t="s">
        <v>24</v>
      </c>
      <c r="I945">
        <f>VLOOKUP(Table4[[#This Row],[Visitor]],'NHL Model'!$A$6:$B$38,2,FALSE)</f>
        <v>1.2368486032251671E-3</v>
      </c>
      <c r="J945">
        <f>($B$1+Table4[[#This Row],[Home Differential]])-Table4[[#This Row],[Away Differential]]</f>
        <v>-1.2290221988612242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0.62511325079770241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0.58787033474453221</v>
      </c>
      <c r="H946" t="s">
        <v>23</v>
      </c>
      <c r="I946">
        <f>VLOOKUP(Table4[[#This Row],[Visitor]],'NHL Model'!$A$6:$B$38,2,FALSE)</f>
        <v>-0.43955182119289299</v>
      </c>
      <c r="J946">
        <f>($B$1+Table4[[#This Row],[Home Differential]])-Table4[[#This Row],[Away Differential]]</f>
        <v>1.0542566346782416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0.69606452973201416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-0.38335501658895638</v>
      </c>
      <c r="H947" t="s">
        <v>36</v>
      </c>
      <c r="I947">
        <f>VLOOKUP(Table4[[#This Row],[Visitor]],'NHL Model'!$A$6:$B$38,2,FALSE)</f>
        <v>-0.31206928170612303</v>
      </c>
      <c r="J947">
        <f>($B$1+Table4[[#This Row],[Home Differential]])-Table4[[#This Row],[Away Differential]]</f>
        <v>-4.4451256142016837E-2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0.46879679125509355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6.0998961494444972E-3</v>
      </c>
      <c r="H948" t="s">
        <v>16</v>
      </c>
      <c r="I948">
        <f>VLOOKUP(Table4[[#This Row],[Visitor]],'NHL Model'!$A$6:$B$38,2,FALSE)</f>
        <v>-1.0975205179116387</v>
      </c>
      <c r="J948">
        <f>($B$1+Table4[[#This Row],[Home Differential]])-Table4[[#This Row],[Away Differential]]</f>
        <v>1.1304548928018998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0.73356872992722466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6.3765445873038576E-2</v>
      </c>
      <c r="H949" t="s">
        <v>35</v>
      </c>
      <c r="I949">
        <f>VLOOKUP(Table4[[#This Row],[Visitor]],'NHL Model'!$A$6:$B$38,2,FALSE)</f>
        <v>-1.2546198289988155</v>
      </c>
      <c r="J949">
        <f>($B$1+Table4[[#This Row],[Home Differential]])-Table4[[#This Row],[Away Differential]]</f>
        <v>1.3452197536126707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0.69799098440864571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-2.8228251376645769E-2</v>
      </c>
      <c r="H950" t="s">
        <v>11</v>
      </c>
      <c r="I950">
        <f>VLOOKUP(Table4[[#This Row],[Visitor]],'NHL Model'!$A$6:$B$38,2,FALSE)</f>
        <v>-0.42252386696344346</v>
      </c>
      <c r="J950">
        <f>($B$1+Table4[[#This Row],[Home Differential]])-Table4[[#This Row],[Away Differential]]</f>
        <v>0.42113009432761417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0.5894601406114075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-1.1494940880477545E-2</v>
      </c>
      <c r="H951" t="s">
        <v>20</v>
      </c>
      <c r="I951">
        <f>VLOOKUP(Table4[[#This Row],[Visitor]],'NHL Model'!$A$6:$B$38,2,FALSE)</f>
        <v>-0.12684993818444543</v>
      </c>
      <c r="J951">
        <f>($B$1+Table4[[#This Row],[Home Differential]])-Table4[[#This Row],[Away Differential]]</f>
        <v>0.14218947604478438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0.55669961746587115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-0.51080431935976611</v>
      </c>
      <c r="H952" t="s">
        <v>40</v>
      </c>
      <c r="I952">
        <f>VLOOKUP(Table4[[#This Row],[Visitor]],'NHL Model'!$A$6:$B$38,2,FALSE)</f>
        <v>-0.25388173436787664</v>
      </c>
      <c r="J952">
        <f>($B$1+Table4[[#This Row],[Home Differential]])-Table4[[#This Row],[Away Differential]]</f>
        <v>-0.23008810625107301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0.49059913887338069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-5.8660643157088771E-2</v>
      </c>
      <c r="H953" t="s">
        <v>10</v>
      </c>
      <c r="I953">
        <f>VLOOKUP(Table4[[#This Row],[Visitor]],'NHL Model'!$A$6:$B$38,2,FALSE)</f>
        <v>-0.1280954603767317</v>
      </c>
      <c r="J953">
        <f>($B$1+Table4[[#This Row],[Home Differential]])-Table4[[#This Row],[Away Differential]]</f>
        <v>9.6269295960459411E-2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0.5917376430226553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-0.27930615658534785</v>
      </c>
      <c r="H954" t="s">
        <v>12</v>
      </c>
      <c r="I954">
        <f>VLOOKUP(Table4[[#This Row],[Visitor]],'NHL Model'!$A$6:$B$38,2,FALSE)</f>
        <v>1.7050699520681891</v>
      </c>
      <c r="J954">
        <f>($B$1+Table4[[#This Row],[Home Differential]])-Table4[[#This Row],[Away Differential]]</f>
        <v>-1.9575416299127206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0.76252904753421835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-1.1040951755058253</v>
      </c>
      <c r="H955" t="s">
        <v>26</v>
      </c>
      <c r="I955">
        <f>VLOOKUP(Table4[[#This Row],[Visitor]],'NHL Model'!$A$6:$B$38,2,FALSE)</f>
        <v>-0.72022444935789065</v>
      </c>
      <c r="J955">
        <f>($B$1+Table4[[#This Row],[Home Differential]])-Table4[[#This Row],[Away Differential]]</f>
        <v>-0.35703624740711803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0.50193256012330389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-0.10354486814940167</v>
      </c>
      <c r="H956" t="s">
        <v>28</v>
      </c>
      <c r="I956">
        <f>VLOOKUP(Table4[[#This Row],[Visitor]],'NHL Model'!$A$6:$B$38,2,FALSE)</f>
        <v>-0.45544062464079677</v>
      </c>
      <c r="J956">
        <f>($B$1+Table4[[#This Row],[Home Differential]])-Table4[[#This Row],[Away Differential]]</f>
        <v>0.37873023523221161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0.58090427819930557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-0.53356664249341723</v>
      </c>
      <c r="H957" t="s">
        <v>25</v>
      </c>
      <c r="I957">
        <f>VLOOKUP(Table4[[#This Row],[Visitor]],'NHL Model'!$A$6:$B$38,2,FALSE)</f>
        <v>0.52315764934699704</v>
      </c>
      <c r="J957">
        <f>($B$1+Table4[[#This Row],[Home Differential]])-Table4[[#This Row],[Away Differential]]</f>
        <v>-1.0298898130995977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0.65357984177569728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-0.38335501658895638</v>
      </c>
      <c r="H958" t="s">
        <v>27</v>
      </c>
      <c r="I958">
        <f>VLOOKUP(Table4[[#This Row],[Visitor]],'NHL Model'!$A$6:$B$38,2,FALSE)</f>
        <v>-0.15216510880280634</v>
      </c>
      <c r="J958">
        <f>($B$1+Table4[[#This Row],[Home Differential]])-Table4[[#This Row],[Away Differential]]</f>
        <v>-0.20435542904533352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0.52651333690129021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-0.83165982757888468</v>
      </c>
      <c r="H959" t="s">
        <v>39</v>
      </c>
      <c r="I959">
        <f>VLOOKUP(Table4[[#This Row],[Visitor]],'NHL Model'!$A$6:$B$38,2,FALSE)</f>
        <v>0.57663845568176975</v>
      </c>
      <c r="J959">
        <f>($B$1+Table4[[#This Row],[Home Differential]])-Table4[[#This Row],[Away Differential]]</f>
        <v>-1.381463804519838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0.71473389928044639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6.0998961494444972E-3</v>
      </c>
      <c r="H960" t="s">
        <v>12</v>
      </c>
      <c r="I960">
        <f>VLOOKUP(Table4[[#This Row],[Visitor]],'NHL Model'!$A$6:$B$38,2,FALSE)</f>
        <v>1.7050699520681891</v>
      </c>
      <c r="J960">
        <f>($B$1+Table4[[#This Row],[Home Differential]])-Table4[[#This Row],[Away Differential]]</f>
        <v>-1.672135577177928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0.66697424969331287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-0.15717729503670502</v>
      </c>
      <c r="H961" t="s">
        <v>14</v>
      </c>
      <c r="I961">
        <f>VLOOKUP(Table4[[#This Row],[Visitor]],'NHL Model'!$A$6:$B$38,2,FALSE)</f>
        <v>-1.1494940880477545E-2</v>
      </c>
      <c r="J961">
        <f>($B$1+Table4[[#This Row],[Home Differential]])-Table4[[#This Row],[Away Differential]]</f>
        <v>-0.11884787541541099</v>
      </c>
      <c r="K961" t="str">
        <f>IF(Table4[[#This Row],[HomeIce Differential]]&gt;0,Table4[[#This Row],[Home]],Table4[[#This Row],[Visitor]])</f>
        <v>Pittsburgh Penguins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0.46977218803059489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-0.43955182119289299</v>
      </c>
      <c r="H962" t="s">
        <v>20</v>
      </c>
      <c r="I962">
        <f>VLOOKUP(Table4[[#This Row],[Visitor]],'NHL Model'!$A$6:$B$38,2,FALSE)</f>
        <v>-0.12684993818444543</v>
      </c>
      <c r="J962">
        <f>($B$1+Table4[[#This Row],[Home Differential]])-Table4[[#This Row],[Away Differential]]</f>
        <v>-0.28586740426763102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0.48345179863521875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-0.45544062464079677</v>
      </c>
      <c r="H963" t="s">
        <v>29</v>
      </c>
      <c r="I963">
        <f>VLOOKUP(Table4[[#This Row],[Visitor]],'NHL Model'!$A$6:$B$38,2,FALSE)</f>
        <v>-1.1040951755058253</v>
      </c>
      <c r="J963">
        <f>($B$1+Table4[[#This Row],[Home Differential]])-Table4[[#This Row],[Away Differential]]</f>
        <v>0.675489029605845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0.61933363783728423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-1.0975205179116387</v>
      </c>
      <c r="H964" t="s">
        <v>39</v>
      </c>
      <c r="I964">
        <f>VLOOKUP(Table4[[#This Row],[Visitor]],'NHL Model'!$A$6:$B$38,2,FALSE)</f>
        <v>0.57663845568176975</v>
      </c>
      <c r="J964">
        <f>($B$1+Table4[[#This Row],[Home Differential]])-Table4[[#This Row],[Away Differential]]</f>
        <v>-1.647324494852592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0.74595823424016627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-0.70231133461274453</v>
      </c>
      <c r="H965" t="s">
        <v>36</v>
      </c>
      <c r="I965">
        <f>VLOOKUP(Table4[[#This Row],[Visitor]],'NHL Model'!$A$6:$B$38,2,FALSE)</f>
        <v>-0.31206928170612303</v>
      </c>
      <c r="J965">
        <f>($B$1+Table4[[#This Row],[Home Differential]])-Table4[[#This Row],[Away Differential]]</f>
        <v>-0.36340757416580505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0.50625700735183465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6.3765445873038576E-2</v>
      </c>
      <c r="H966" t="s">
        <v>37</v>
      </c>
      <c r="I966">
        <f>VLOOKUP(Table4[[#This Row],[Visitor]],'NHL Model'!$A$6:$B$38,2,FALSE)</f>
        <v>0.58787033474453221</v>
      </c>
      <c r="J966">
        <f>($B$1+Table4[[#This Row],[Home Differential]])-Table4[[#This Row],[Away Differential]]</f>
        <v>-0.49727041013067713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0.5910257025250526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1.2368486032251671E-3</v>
      </c>
      <c r="H967" t="s">
        <v>11</v>
      </c>
      <c r="I967">
        <f>VLOOKUP(Table4[[#This Row],[Visitor]],'NHL Model'!$A$6:$B$38,2,FALSE)</f>
        <v>-0.42252386696344346</v>
      </c>
      <c r="J967">
        <f>($B$1+Table4[[#This Row],[Home Differential]])-Table4[[#This Row],[Away Differential]]</f>
        <v>0.45059519430748513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0.65372177351996352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-0.51080431935976611</v>
      </c>
      <c r="H968" t="s">
        <v>18</v>
      </c>
      <c r="I968">
        <f>VLOOKUP(Table4[[#This Row],[Visitor]],'NHL Model'!$A$6:$B$38,2,FALSE)</f>
        <v>-0.50446035262371991</v>
      </c>
      <c r="J968">
        <f>($B$1+Table4[[#This Row],[Home Differential]])-Table4[[#This Row],[Away Differential]]</f>
        <v>2.0490512004770256E-2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0.48311869949424752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-0.25388173436787664</v>
      </c>
      <c r="H969" t="s">
        <v>10</v>
      </c>
      <c r="I969">
        <f>VLOOKUP(Table4[[#This Row],[Visitor]],'NHL Model'!$A$6:$B$38,2,FALSE)</f>
        <v>-0.1280954603767317</v>
      </c>
      <c r="J969">
        <f>($B$1+Table4[[#This Row],[Home Differential]])-Table4[[#This Row],[Away Differential]]</f>
        <v>-9.8951795250328461E-2</v>
      </c>
      <c r="K969" t="str">
        <f>IF(Table4[[#This Row],[HomeIce Differential]]&gt;0,Table4[[#This Row],[Home]],Table4[[#This Row],[Visitor]])</f>
        <v>Chicago Blackhawks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0.4691260357924607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0.78208997208538333</v>
      </c>
      <c r="H970" t="s">
        <v>55</v>
      </c>
      <c r="I970">
        <f>VLOOKUP(Table4[[#This Row],[Visitor]],'NHL Model'!$A$6:$B$38,2,FALSE)</f>
        <v>-5.8660643157088771E-2</v>
      </c>
      <c r="J970">
        <f>($B$1+Table4[[#This Row],[Home Differential]])-Table4[[#This Row],[Away Differential]]</f>
        <v>0.86758509398328854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0.66793233164916699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6.0998961494444972E-3</v>
      </c>
      <c r="H971" t="s">
        <v>30</v>
      </c>
      <c r="I971">
        <f>VLOOKUP(Table4[[#This Row],[Visitor]],'NHL Model'!$A$6:$B$38,2,FALSE)</f>
        <v>-2.8228251376645769E-2</v>
      </c>
      <c r="J971">
        <f>($B$1+Table4[[#This Row],[Home Differential]])-Table4[[#This Row],[Away Differential]]</f>
        <v>6.1162626266906758E-2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0.53659508438802028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-0.72022444935789065</v>
      </c>
      <c r="H972" t="s">
        <v>20</v>
      </c>
      <c r="I972">
        <f>VLOOKUP(Table4[[#This Row],[Visitor]],'NHL Model'!$A$6:$B$38,2,FALSE)</f>
        <v>-0.12684993818444543</v>
      </c>
      <c r="J972">
        <f>($B$1+Table4[[#This Row],[Home Differential]])-Table4[[#This Row],[Away Differential]]</f>
        <v>-0.56654003243262874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0.51641573980636335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1.2368486032251671E-3</v>
      </c>
      <c r="H973" t="s">
        <v>19</v>
      </c>
      <c r="I973">
        <f>VLOOKUP(Table4[[#This Row],[Visitor]],'NHL Model'!$A$6:$B$38,2,FALSE)</f>
        <v>-0.38335501658895638</v>
      </c>
      <c r="J973">
        <f>($B$1+Table4[[#This Row],[Home Differential]])-Table4[[#This Row],[Away Differential]]</f>
        <v>0.41142634393299804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0.64912153983160059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-0.53356664249341723</v>
      </c>
      <c r="H974" t="s">
        <v>35</v>
      </c>
      <c r="I974">
        <f>VLOOKUP(Table4[[#This Row],[Visitor]],'NHL Model'!$A$6:$B$38,2,FALSE)</f>
        <v>-1.2546198289988155</v>
      </c>
      <c r="J974">
        <f>($B$1+Table4[[#This Row],[Home Differential]])-Table4[[#This Row],[Away Differential]]</f>
        <v>0.74788766524621475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0.62783658442571078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-0.83165982757888468</v>
      </c>
      <c r="H975" t="s">
        <v>25</v>
      </c>
      <c r="I975">
        <f>VLOOKUP(Table4[[#This Row],[Visitor]],'NHL Model'!$A$6:$B$38,2,FALSE)</f>
        <v>0.52315764934699704</v>
      </c>
      <c r="J975">
        <f>($B$1+Table4[[#This Row],[Home Differential]])-Table4[[#This Row],[Away Differential]]</f>
        <v>-1.3279829981850653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0.68858976162758934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-0.45544062464079677</v>
      </c>
      <c r="H976" t="s">
        <v>11</v>
      </c>
      <c r="I976">
        <f>VLOOKUP(Table4[[#This Row],[Visitor]],'NHL Model'!$A$6:$B$38,2,FALSE)</f>
        <v>-0.42252386696344346</v>
      </c>
      <c r="J976">
        <f>($B$1+Table4[[#This Row],[Home Differential]])-Table4[[#This Row],[Away Differential]]</f>
        <v>-6.0822789365367891E-3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0.46071434071202921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-1.0975205179116387</v>
      </c>
      <c r="H977" t="s">
        <v>36</v>
      </c>
      <c r="I977">
        <f>VLOOKUP(Table4[[#This Row],[Visitor]],'NHL Model'!$A$6:$B$38,2,FALSE)</f>
        <v>-0.31206928170612303</v>
      </c>
      <c r="J977">
        <f>($B$1+Table4[[#This Row],[Home Differential]])-Table4[[#This Row],[Away Differential]]</f>
        <v>-0.75861675746469914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0.55267283476519524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-0.27930615658534785</v>
      </c>
      <c r="H978" t="s">
        <v>30</v>
      </c>
      <c r="I978">
        <f>VLOOKUP(Table4[[#This Row],[Visitor]],'NHL Model'!$A$6:$B$38,2,FALSE)</f>
        <v>-2.8228251376645769E-2</v>
      </c>
      <c r="J978">
        <f>($B$1+Table4[[#This Row],[Home Differential]])-Table4[[#This Row],[Away Differential]]</f>
        <v>-0.22424342646788561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0.5589597134528852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-1.1040951755058253</v>
      </c>
      <c r="H979" t="s">
        <v>21</v>
      </c>
      <c r="I979">
        <f>VLOOKUP(Table4[[#This Row],[Visitor]],'NHL Model'!$A$6:$B$38,2,FALSE)</f>
        <v>-0.15717729503670502</v>
      </c>
      <c r="J979">
        <f>($B$1+Table4[[#This Row],[Home Differential]])-Table4[[#This Row],[Away Differential]]</f>
        <v>-0.92008340172830372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0.56806032396322148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-0.10354486814940167</v>
      </c>
      <c r="H980" t="s">
        <v>19</v>
      </c>
      <c r="I980">
        <f>VLOOKUP(Table4[[#This Row],[Visitor]],'NHL Model'!$A$6:$B$38,2,FALSE)</f>
        <v>-0.38335501658895638</v>
      </c>
      <c r="J980">
        <f>($B$1+Table4[[#This Row],[Home Differential]])-Table4[[#This Row],[Away Differential]]</f>
        <v>0.30664462718037122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0.57601425446046373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-0.15216510880280634</v>
      </c>
      <c r="H981" t="s">
        <v>55</v>
      </c>
      <c r="I981">
        <f>VLOOKUP(Table4[[#This Row],[Visitor]],'NHL Model'!$A$6:$B$38,2,FALSE)</f>
        <v>-5.8660643157088771E-2</v>
      </c>
      <c r="J981">
        <f>($B$1+Table4[[#This Row],[Home Differential]])-Table4[[#This Row],[Away Differential]]</f>
        <v>-6.6669986904901085E-2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0.44179240256017294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-1.1494940880477545E-2</v>
      </c>
      <c r="H982" t="s">
        <v>23</v>
      </c>
      <c r="I982">
        <f>VLOOKUP(Table4[[#This Row],[Visitor]],'NHL Model'!$A$6:$B$38,2,FALSE)</f>
        <v>-0.43955182119289299</v>
      </c>
      <c r="J982">
        <f>($B$1+Table4[[#This Row],[Home Differential]])-Table4[[#This Row],[Away Differential]]</f>
        <v>0.45489135905323191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0.59342527376869014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-0.25388173436787664</v>
      </c>
      <c r="H983" t="s">
        <v>37</v>
      </c>
      <c r="I983">
        <f>VLOOKUP(Table4[[#This Row],[Visitor]],'NHL Model'!$A$6:$B$38,2,FALSE)</f>
        <v>0.58787033474453221</v>
      </c>
      <c r="J983">
        <f>($B$1+Table4[[#This Row],[Home Differential]])-Table4[[#This Row],[Away Differential]]</f>
        <v>-0.81491759037159239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0.62582947814856205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6.0998961494444972E-3</v>
      </c>
      <c r="H984" t="s">
        <v>18</v>
      </c>
      <c r="I984">
        <f>VLOOKUP(Table4[[#This Row],[Visitor]],'NHL Model'!$A$6:$B$38,2,FALSE)</f>
        <v>-0.50446035262371991</v>
      </c>
      <c r="J984">
        <f>($B$1+Table4[[#This Row],[Home Differential]])-Table4[[#This Row],[Away Differential]]</f>
        <v>0.53739472751398087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0.60582855093986498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-0.1280954603767317</v>
      </c>
      <c r="H985" t="s">
        <v>38</v>
      </c>
      <c r="I985">
        <f>VLOOKUP(Table4[[#This Row],[Visitor]],'NHL Model'!$A$6:$B$38,2,FALSE)</f>
        <v>-0.83165982757888468</v>
      </c>
      <c r="J985">
        <f>($B$1+Table4[[#This Row],[Home Differential]])-Table4[[#This Row],[Away Differential]]</f>
        <v>0.73039884594296944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0.62578258858566738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0.57663845568176975</v>
      </c>
      <c r="H986" t="s">
        <v>12</v>
      </c>
      <c r="I986">
        <f>VLOOKUP(Table4[[#This Row],[Visitor]],'NHL Model'!$A$6:$B$38,2,FALSE)</f>
        <v>1.7050699520681891</v>
      </c>
      <c r="J986">
        <f>($B$1+Table4[[#This Row],[Home Differential]])-Table4[[#This Row],[Away Differential]]</f>
        <v>-1.1015970176456029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0.62937841328307542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-0.72022444935789065</v>
      </c>
      <c r="H987" t="s">
        <v>11</v>
      </c>
      <c r="I987">
        <f>VLOOKUP(Table4[[#This Row],[Visitor]],'NHL Model'!$A$6:$B$38,2,FALSE)</f>
        <v>-0.42252386696344346</v>
      </c>
      <c r="J987">
        <f>($B$1+Table4[[#This Row],[Home Differential]])-Table4[[#This Row],[Away Differential]]</f>
        <v>-0.27086610365363073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0.48168995247956203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-0.70231133461274453</v>
      </c>
      <c r="H988" t="s">
        <v>25</v>
      </c>
      <c r="I988">
        <f>VLOOKUP(Table4[[#This Row],[Visitor]],'NHL Model'!$A$6:$B$38,2,FALSE)</f>
        <v>0.52315764934699704</v>
      </c>
      <c r="J988">
        <f>($B$1+Table4[[#This Row],[Home Differential]])-Table4[[#This Row],[Away Differential]]</f>
        <v>-1.1986345052189251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0.67339826917394863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-0.51080431935976611</v>
      </c>
      <c r="H989" t="s">
        <v>35</v>
      </c>
      <c r="I989">
        <f>VLOOKUP(Table4[[#This Row],[Visitor]],'NHL Model'!$A$6:$B$38,2,FALSE)</f>
        <v>-1.2546198289988155</v>
      </c>
      <c r="J989">
        <f>($B$1+Table4[[#This Row],[Home Differential]])-Table4[[#This Row],[Away Differential]]</f>
        <v>0.77064998837986587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0.6305099333931603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-0.12684993818444543</v>
      </c>
      <c r="H990" t="s">
        <v>34</v>
      </c>
      <c r="I990">
        <f>VLOOKUP(Table4[[#This Row],[Visitor]],'NHL Model'!$A$6:$B$38,2,FALSE)</f>
        <v>6.3765445873038576E-2</v>
      </c>
      <c r="J990">
        <f>($B$1+Table4[[#This Row],[Home Differential]])-Table4[[#This Row],[Away Differential]]</f>
        <v>-0.1637809053166675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0.53852328319505272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-0.15717729503670502</v>
      </c>
      <c r="H991" t="s">
        <v>22</v>
      </c>
      <c r="I991">
        <f>VLOOKUP(Table4[[#This Row],[Visitor]],'NHL Model'!$A$6:$B$38,2,FALSE)</f>
        <v>0.78208997208538333</v>
      </c>
      <c r="J991">
        <f>($B$1+Table4[[#This Row],[Home Differential]])-Table4[[#This Row],[Away Differential]]</f>
        <v>-0.91243278838127184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0.59624475772448182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-0.43955182119289299</v>
      </c>
      <c r="H992" t="s">
        <v>29</v>
      </c>
      <c r="I992">
        <f>VLOOKUP(Table4[[#This Row],[Visitor]],'NHL Model'!$A$6:$B$38,2,FALSE)</f>
        <v>-1.1040951755058253</v>
      </c>
      <c r="J992">
        <f>($B$1+Table4[[#This Row],[Home Differential]])-Table4[[#This Row],[Away Differential]]</f>
        <v>0.69137783305374878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0.63132196724089606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-0.45544062464079677</v>
      </c>
      <c r="H993" t="s">
        <v>55</v>
      </c>
      <c r="I993">
        <f>VLOOKUP(Table4[[#This Row],[Visitor]],'NHL Model'!$A$6:$B$38,2,FALSE)</f>
        <v>-5.8660643157088771E-2</v>
      </c>
      <c r="J993">
        <f>($B$1+Table4[[#This Row],[Home Differential]])-Table4[[#This Row],[Away Differential]]</f>
        <v>-0.36994550274289151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0.50344870345453596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-1.0975205179116387</v>
      </c>
      <c r="H994" t="s">
        <v>25</v>
      </c>
      <c r="I994">
        <f>VLOOKUP(Table4[[#This Row],[Visitor]],'NHL Model'!$A$6:$B$38,2,FALSE)</f>
        <v>0.52315764934699704</v>
      </c>
      <c r="J994">
        <f>($B$1+Table4[[#This Row],[Home Differential]])-Table4[[#This Row],[Away Differential]]</f>
        <v>-1.5938436885178193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0.71981409658730922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-0.27930615658534785</v>
      </c>
      <c r="H995" t="s">
        <v>18</v>
      </c>
      <c r="I995">
        <f>VLOOKUP(Table4[[#This Row],[Visitor]],'NHL Model'!$A$6:$B$38,2,FALSE)</f>
        <v>-0.50446035262371991</v>
      </c>
      <c r="J995">
        <f>($B$1+Table4[[#This Row],[Home Differential]])-Table4[[#This Row],[Away Differential]]</f>
        <v>0.25198867477918852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0.51030728524560875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1.2368486032251671E-3</v>
      </c>
      <c r="H996" t="s">
        <v>15</v>
      </c>
      <c r="I996">
        <f>VLOOKUP(Table4[[#This Row],[Visitor]],'NHL Model'!$A$6:$B$38,2,FALSE)</f>
        <v>-0.10354486814940167</v>
      </c>
      <c r="J996">
        <f>($B$1+Table4[[#This Row],[Home Differential]])-Table4[[#This Row],[Away Differential]]</f>
        <v>0.13161619549344333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0.51719998583794202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-1.1494940880477545E-2</v>
      </c>
      <c r="H997" t="s">
        <v>27</v>
      </c>
      <c r="I997">
        <f>VLOOKUP(Table4[[#This Row],[Visitor]],'NHL Model'!$A$6:$B$38,2,FALSE)</f>
        <v>-0.15216510880280634</v>
      </c>
      <c r="J997">
        <f>($B$1+Table4[[#This Row],[Home Differential]])-Table4[[#This Row],[Away Differential]]</f>
        <v>0.1675046466631453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0.51716022592417221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-0.53356664249341723</v>
      </c>
      <c r="H998" t="s">
        <v>36</v>
      </c>
      <c r="I998">
        <f>VLOOKUP(Table4[[#This Row],[Visitor]],'NHL Model'!$A$6:$B$38,2,FALSE)</f>
        <v>-0.31206928170612303</v>
      </c>
      <c r="J998">
        <f>($B$1+Table4[[#This Row],[Home Differential]])-Table4[[#This Row],[Away Differential]]</f>
        <v>-0.19466288204647775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0.48643857995358319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-0.51080431935976611</v>
      </c>
      <c r="H999" t="s">
        <v>30</v>
      </c>
      <c r="I999">
        <f>VLOOKUP(Table4[[#This Row],[Visitor]],'NHL Model'!$A$6:$B$38,2,FALSE)</f>
        <v>-2.8228251376645769E-2</v>
      </c>
      <c r="J999">
        <f>($B$1+Table4[[#This Row],[Home Differential]])-Table4[[#This Row],[Away Differential]]</f>
        <v>-0.4557415892423039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0.58614829920424649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-0.38335501658895638</v>
      </c>
      <c r="H1000" t="s">
        <v>37</v>
      </c>
      <c r="I1000">
        <f>VLOOKUP(Table4[[#This Row],[Visitor]],'NHL Model'!$A$6:$B$38,2,FALSE)</f>
        <v>0.58787033474453221</v>
      </c>
      <c r="J1000">
        <f>($B$1+Table4[[#This Row],[Home Differential]])-Table4[[#This Row],[Away Differential]]</f>
        <v>-0.94439087259267207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0.64353831380949789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-0.25388173436787664</v>
      </c>
      <c r="H1001" t="s">
        <v>38</v>
      </c>
      <c r="I1001">
        <f>VLOOKUP(Table4[[#This Row],[Visitor]],'NHL Model'!$A$6:$B$38,2,FALSE)</f>
        <v>-0.83165982757888468</v>
      </c>
      <c r="J1001">
        <f>($B$1+Table4[[#This Row],[Home Differential]])-Table4[[#This Row],[Away Differential]]</f>
        <v>0.6046125719518245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0.61350494451435944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6.0998961494444972E-3</v>
      </c>
      <c r="H1002" t="s">
        <v>35</v>
      </c>
      <c r="I1002">
        <f>VLOOKUP(Table4[[#This Row],[Visitor]],'NHL Model'!$A$6:$B$38,2,FALSE)</f>
        <v>-1.2546198289988155</v>
      </c>
      <c r="J1002">
        <f>($B$1+Table4[[#This Row],[Home Differential]])-Table4[[#This Row],[Away Differential]]</f>
        <v>1.2875542038890766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0.75201945126247627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-0.43955182119289299</v>
      </c>
      <c r="H1003" t="s">
        <v>37</v>
      </c>
      <c r="I1003">
        <f>VLOOKUP(Table4[[#This Row],[Visitor]],'NHL Model'!$A$6:$B$38,2,FALSE)</f>
        <v>0.58787033474453221</v>
      </c>
      <c r="J1003">
        <f>($B$1+Table4[[#This Row],[Home Differential]])-Table4[[#This Row],[Away Differential]]</f>
        <v>-1.0005876771966087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0.63996422695785893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1.7050699520681891</v>
      </c>
      <c r="H1004" t="s">
        <v>34</v>
      </c>
      <c r="I1004">
        <f>VLOOKUP(Table4[[#This Row],[Visitor]],'NHL Model'!$A$6:$B$38,2,FALSE)</f>
        <v>6.3765445873038576E-2</v>
      </c>
      <c r="J1004">
        <f>($B$1+Table4[[#This Row],[Home Differential]])-Table4[[#This Row],[Away Differential]]</f>
        <v>1.6681389849359671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0.78784488084100868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0.57663845568176975</v>
      </c>
      <c r="H1005" t="s">
        <v>10</v>
      </c>
      <c r="I1005">
        <f>VLOOKUP(Table4[[#This Row],[Visitor]],'NHL Model'!$A$6:$B$38,2,FALSE)</f>
        <v>-0.1280954603767317</v>
      </c>
      <c r="J1005">
        <f>($B$1+Table4[[#This Row],[Home Differential]])-Table4[[#This Row],[Away Differential]]</f>
        <v>0.7315683947993179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0.65816601349431436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1.2368486032251671E-3</v>
      </c>
      <c r="H1006" t="s">
        <v>26</v>
      </c>
      <c r="I1006">
        <f>VLOOKUP(Table4[[#This Row],[Visitor]],'NHL Model'!$A$6:$B$38,2,FALSE)</f>
        <v>-0.72022444935789065</v>
      </c>
      <c r="J1006">
        <f>($B$1+Table4[[#This Row],[Home Differential]])-Table4[[#This Row],[Away Differential]]</f>
        <v>0.74829577670193226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0.68868558366712573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-1.1494940880477545E-2</v>
      </c>
      <c r="H1007" t="s">
        <v>21</v>
      </c>
      <c r="I1007">
        <f>VLOOKUP(Table4[[#This Row],[Visitor]],'NHL Model'!$A$6:$B$38,2,FALSE)</f>
        <v>-0.15717729503670502</v>
      </c>
      <c r="J1007">
        <f>($B$1+Table4[[#This Row],[Home Differential]])-Table4[[#This Row],[Away Differential]]</f>
        <v>0.17251683289704398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0.56026145109991721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-0.12684993818444543</v>
      </c>
      <c r="H1008" t="s">
        <v>17</v>
      </c>
      <c r="I1008">
        <f>VLOOKUP(Table4[[#This Row],[Visitor]],'NHL Model'!$A$6:$B$38,2,FALSE)</f>
        <v>-0.70231133461274453</v>
      </c>
      <c r="J1008">
        <f>($B$1+Table4[[#This Row],[Home Differential]])-Table4[[#This Row],[Away Differential]]</f>
        <v>0.60229587516911565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0.61073737801402672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-0.1280954603767317</v>
      </c>
      <c r="H1009" t="s">
        <v>55</v>
      </c>
      <c r="I1009">
        <f>VLOOKUP(Table4[[#This Row],[Visitor]],'NHL Model'!$A$6:$B$38,2,FALSE)</f>
        <v>-5.8660643157088771E-2</v>
      </c>
      <c r="J1009">
        <f>($B$1+Table4[[#This Row],[Home Differential]])-Table4[[#This Row],[Away Differential]]</f>
        <v>-4.2600338478826438E-2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0.46500324901885826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-0.15216510880280634</v>
      </c>
      <c r="H1010" t="s">
        <v>15</v>
      </c>
      <c r="I1010">
        <f>VLOOKUP(Table4[[#This Row],[Visitor]],'NHL Model'!$A$6:$B$38,2,FALSE)</f>
        <v>-0.10354486814940167</v>
      </c>
      <c r="J1010">
        <f>($B$1+Table4[[#This Row],[Home Differential]])-Table4[[#This Row],[Away Differential]]</f>
        <v>-2.1785761912588186E-2</v>
      </c>
      <c r="K1010" t="str">
        <f>IF(Table4[[#This Row],[HomeIce Differential]]&gt;0,Table4[[#This Row],[Home]],Table4[[#This Row],[Visitor]])</f>
        <v>New York Rangers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0.53653923806097403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-0.83165982757888468</v>
      </c>
      <c r="H1011" t="s">
        <v>36</v>
      </c>
      <c r="I1011">
        <f>VLOOKUP(Table4[[#This Row],[Visitor]],'NHL Model'!$A$6:$B$38,2,FALSE)</f>
        <v>-0.31206928170612303</v>
      </c>
      <c r="J1011">
        <f>($B$1+Table4[[#This Row],[Home Differential]])-Table4[[#This Row],[Away Differential]]</f>
        <v>-0.4927560671319452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0.52144849980547525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0.78208997208538333</v>
      </c>
      <c r="H1012" t="s">
        <v>16</v>
      </c>
      <c r="I1012">
        <f>VLOOKUP(Table4[[#This Row],[Visitor]],'NHL Model'!$A$6:$B$38,2,FALSE)</f>
        <v>-1.0975205179116387</v>
      </c>
      <c r="J1012">
        <f>($B$1+Table4[[#This Row],[Home Differential]])-Table4[[#This Row],[Away Differential]]</f>
        <v>1.9064449687378384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0.78994250421341239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-0.15717729503670502</v>
      </c>
      <c r="H1013" t="s">
        <v>13</v>
      </c>
      <c r="I1013">
        <f>VLOOKUP(Table4[[#This Row],[Visitor]],'NHL Model'!$A$6:$B$38,2,FALSE)</f>
        <v>-0.27930615658534785</v>
      </c>
      <c r="J1013">
        <f>($B$1+Table4[[#This Row],[Home Differential]])-Table4[[#This Row],[Away Differential]]</f>
        <v>0.14896334028945932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0.53473656157326321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-0.43955182119289299</v>
      </c>
      <c r="H1014" t="s">
        <v>33</v>
      </c>
      <c r="I1014">
        <f>VLOOKUP(Table4[[#This Row],[Visitor]],'NHL Model'!$A$6:$B$38,2,FALSE)</f>
        <v>-0.51080431935976611</v>
      </c>
      <c r="J1014">
        <f>($B$1+Table4[[#This Row],[Home Differential]])-Table4[[#This Row],[Away Differential]]</f>
        <v>9.8086976907689638E-2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0.5616421947342598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0.52315764934699704</v>
      </c>
      <c r="H1015" t="s">
        <v>14</v>
      </c>
      <c r="I1015">
        <f>VLOOKUP(Table4[[#This Row],[Visitor]],'NHL Model'!$A$6:$B$38,2,FALSE)</f>
        <v>-1.1494940880477545E-2</v>
      </c>
      <c r="J1015">
        <f>($B$1+Table4[[#This Row],[Home Differential]])-Table4[[#This Row],[Away Differential]]</f>
        <v>0.56148706896829104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0.61913602706328552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1.7050699520681891</v>
      </c>
      <c r="H1016" t="s">
        <v>17</v>
      </c>
      <c r="I1016">
        <f>VLOOKUP(Table4[[#This Row],[Visitor]],'NHL Model'!$A$6:$B$38,2,FALSE)</f>
        <v>-0.70231133461274453</v>
      </c>
      <c r="J1016">
        <f>($B$1+Table4[[#This Row],[Home Differential]])-Table4[[#This Row],[Away Differential]]</f>
        <v>2.43421576542175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0.93371042294328599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0.57663845568176975</v>
      </c>
      <c r="H1017" t="s">
        <v>20</v>
      </c>
      <c r="I1017">
        <f>VLOOKUP(Table4[[#This Row],[Visitor]],'NHL Model'!$A$6:$B$38,2,FALSE)</f>
        <v>-0.12684993818444543</v>
      </c>
      <c r="J1017">
        <f>($B$1+Table4[[#This Row],[Home Differential]])-Table4[[#This Row],[Away Differential]]</f>
        <v>0.73032287260703166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0.65801973161231431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-0.42252386696344346</v>
      </c>
      <c r="H1018" t="s">
        <v>26</v>
      </c>
      <c r="I1018">
        <f>VLOOKUP(Table4[[#This Row],[Visitor]],'NHL Model'!$A$6:$B$38,2,FALSE)</f>
        <v>-0.72022444935789065</v>
      </c>
      <c r="J1018">
        <f>($B$1+Table4[[#This Row],[Home Differential]])-Table4[[#This Row],[Away Differential]]</f>
        <v>0.32453506113526365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0.57811541842600955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6.3765445873038576E-2</v>
      </c>
      <c r="H1019" t="s">
        <v>55</v>
      </c>
      <c r="I1019">
        <f>VLOOKUP(Table4[[#This Row],[Visitor]],'NHL Model'!$A$6:$B$38,2,FALSE)</f>
        <v>-5.8660643157088771E-2</v>
      </c>
      <c r="J1019">
        <f>($B$1+Table4[[#This Row],[Home Differential]])-Table4[[#This Row],[Away Differential]]</f>
        <v>0.14926056777094382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0.5575300905091487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-0.50446035262371991</v>
      </c>
      <c r="H1020" t="s">
        <v>19</v>
      </c>
      <c r="I1020">
        <f>VLOOKUP(Table4[[#This Row],[Visitor]],'NHL Model'!$A$6:$B$38,2,FALSE)</f>
        <v>-0.38335501658895638</v>
      </c>
      <c r="J1020">
        <f>($B$1+Table4[[#This Row],[Home Differential]])-Table4[[#This Row],[Away Differential]]</f>
        <v>-9.4270857293947075E-2</v>
      </c>
      <c r="K1020" t="str">
        <f>IF(Table4[[#This Row],[HomeIce Differential]]&gt;0,Table4[[#This Row],[Home]],Table4[[#This Row],[Visitor]])</f>
        <v>Toronto Maple Leafs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0.47107175649548638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-0.10354486814940167</v>
      </c>
      <c r="H1021" t="s">
        <v>16</v>
      </c>
      <c r="I1021">
        <f>VLOOKUP(Table4[[#This Row],[Visitor]],'NHL Model'!$A$6:$B$38,2,FALSE)</f>
        <v>-1.0975205179116387</v>
      </c>
      <c r="J1021">
        <f>($B$1+Table4[[#This Row],[Home Differential]])-Table4[[#This Row],[Away Differential]]</f>
        <v>1.0208101285030535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0.65989029797056531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-0.53356664249341723</v>
      </c>
      <c r="H1022" t="s">
        <v>29</v>
      </c>
      <c r="I1022">
        <f>VLOOKUP(Table4[[#This Row],[Visitor]],'NHL Model'!$A$6:$B$38,2,FALSE)</f>
        <v>-1.1040951755058253</v>
      </c>
      <c r="J1022">
        <f>($B$1+Table4[[#This Row],[Home Differential]])-Table4[[#This Row],[Away Differential]]</f>
        <v>0.59736301175322448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0.61015803181803385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-1.2546198289988155</v>
      </c>
      <c r="H1023" t="s">
        <v>30</v>
      </c>
      <c r="I1023">
        <f>VLOOKUP(Table4[[#This Row],[Visitor]],'NHL Model'!$A$6:$B$38,2,FALSE)</f>
        <v>-2.8228251376645769E-2</v>
      </c>
      <c r="J1023">
        <f>($B$1+Table4[[#This Row],[Home Differential]])-Table4[[#This Row],[Away Differential]]</f>
        <v>-1.1995570988813531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0.67350662431855957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0.58787033474453221</v>
      </c>
      <c r="H1024" t="s">
        <v>28</v>
      </c>
      <c r="I1024">
        <f>VLOOKUP(Table4[[#This Row],[Visitor]],'NHL Model'!$A$6:$B$38,2,FALSE)</f>
        <v>-0.45544062464079677</v>
      </c>
      <c r="J1024">
        <f>($B$1+Table4[[#This Row],[Home Differential]])-Table4[[#This Row],[Away Differential]]</f>
        <v>1.0701454381261455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0.69440492308549473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-0.25388173436787664</v>
      </c>
      <c r="H1025" t="s">
        <v>31</v>
      </c>
      <c r="I1025">
        <f>VLOOKUP(Table4[[#This Row],[Visitor]],'NHL Model'!$A$6:$B$38,2,FALSE)</f>
        <v>6.0998961494444972E-3</v>
      </c>
      <c r="J1025">
        <f>($B$1+Table4[[#This Row],[Home Differential]])-Table4[[#This Row],[Away Differential]]</f>
        <v>-0.23314715177650466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0.50564312285306778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-0.31206928170612303</v>
      </c>
      <c r="H1026" t="s">
        <v>18</v>
      </c>
      <c r="I1026">
        <f>VLOOKUP(Table4[[#This Row],[Visitor]],'NHL Model'!$A$6:$B$38,2,FALSE)</f>
        <v>-0.50446035262371991</v>
      </c>
      <c r="J1026">
        <f>($B$1+Table4[[#This Row],[Home Differential]])-Table4[[#This Row],[Away Differential]]</f>
        <v>0.21922554965841334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0.50896869015679125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-0.15216510880280634</v>
      </c>
      <c r="H1027" t="s">
        <v>22</v>
      </c>
      <c r="I1027">
        <f>VLOOKUP(Table4[[#This Row],[Visitor]],'NHL Model'!$A$6:$B$38,2,FALSE)</f>
        <v>0.78208997208538333</v>
      </c>
      <c r="J1027">
        <f>($B$1+Table4[[#This Row],[Home Differential]])-Table4[[#This Row],[Away Differential]]</f>
        <v>-0.90742060214737319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0.61290223985454328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-0.15717729503670502</v>
      </c>
      <c r="H1028" t="s">
        <v>33</v>
      </c>
      <c r="I1028">
        <f>VLOOKUP(Table4[[#This Row],[Visitor]],'NHL Model'!$A$6:$B$38,2,FALSE)</f>
        <v>-0.51080431935976611</v>
      </c>
      <c r="J1028">
        <f>($B$1+Table4[[#This Row],[Home Differential]])-Table4[[#This Row],[Away Differential]]</f>
        <v>0.3804615030638776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0.62758532241842468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-0.43955182119289299</v>
      </c>
      <c r="H1029" t="s">
        <v>22</v>
      </c>
      <c r="I1029">
        <f>VLOOKUP(Table4[[#This Row],[Visitor]],'NHL Model'!$A$6:$B$38,2,FALSE)</f>
        <v>0.78208997208538333</v>
      </c>
      <c r="J1029">
        <f>($B$1+Table4[[#This Row],[Home Differential]])-Table4[[#This Row],[Away Differential]]</f>
        <v>-1.1948073145374598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0.6627745905527771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0.52315764934699704</v>
      </c>
      <c r="H1030" t="s">
        <v>35</v>
      </c>
      <c r="I1030">
        <f>VLOOKUP(Table4[[#This Row],[Visitor]],'NHL Model'!$A$6:$B$38,2,FALSE)</f>
        <v>-1.2546198289988155</v>
      </c>
      <c r="J1030">
        <f>($B$1+Table4[[#This Row],[Home Differential]])-Table4[[#This Row],[Away Differential]]</f>
        <v>1.804611957086629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0.80366084170375984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0.57663845568176975</v>
      </c>
      <c r="H1031" t="s">
        <v>17</v>
      </c>
      <c r="I1031">
        <f>VLOOKUP(Table4[[#This Row],[Visitor]],'NHL Model'!$A$6:$B$38,2,FALSE)</f>
        <v>-0.70231133461274453</v>
      </c>
      <c r="J1031">
        <f>($B$1+Table4[[#This Row],[Home Differential]])-Table4[[#This Row],[Away Differential]]</f>
        <v>1.3057842690353307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0.7256055013474938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-0.42252386696344346</v>
      </c>
      <c r="H1032" t="s">
        <v>28</v>
      </c>
      <c r="I1032">
        <f>VLOOKUP(Table4[[#This Row],[Visitor]],'NHL Model'!$A$6:$B$38,2,FALSE)</f>
        <v>-0.45544062464079677</v>
      </c>
      <c r="J1032">
        <f>($B$1+Table4[[#This Row],[Home Differential]])-Table4[[#This Row],[Away Differential]]</f>
        <v>5.9751236418169762E-2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0.54344139832932614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6.3765445873038576E-2</v>
      </c>
      <c r="H1033" t="s">
        <v>27</v>
      </c>
      <c r="I1033">
        <f>VLOOKUP(Table4[[#This Row],[Visitor]],'NHL Model'!$A$6:$B$38,2,FALSE)</f>
        <v>-0.15216510880280634</v>
      </c>
      <c r="J1033">
        <f>($B$1+Table4[[#This Row],[Home Differential]])-Table4[[#This Row],[Away Differential]]</f>
        <v>0.24276503341666139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0.52599927438315508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1.2368486032251671E-3</v>
      </c>
      <c r="H1034" t="s">
        <v>16</v>
      </c>
      <c r="I1034">
        <f>VLOOKUP(Table4[[#This Row],[Visitor]],'NHL Model'!$A$6:$B$38,2,FALSE)</f>
        <v>-1.0975205179116387</v>
      </c>
      <c r="J1034">
        <f>($B$1+Table4[[#This Row],[Home Differential]])-Table4[[#This Row],[Away Differential]]</f>
        <v>1.1255918452556803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0.73299758334170229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-0.53356664249341723</v>
      </c>
      <c r="H1035" t="s">
        <v>12</v>
      </c>
      <c r="I1035">
        <f>VLOOKUP(Table4[[#This Row],[Visitor]],'NHL Model'!$A$6:$B$38,2,FALSE)</f>
        <v>1.7050699520681891</v>
      </c>
      <c r="J1035">
        <f>($B$1+Table4[[#This Row],[Home Differential]])-Table4[[#This Row],[Away Differential]]</f>
        <v>-2.2118021158207899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0.79239098225302929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0.58787033474453221</v>
      </c>
      <c r="H1036" t="s">
        <v>26</v>
      </c>
      <c r="I1036">
        <f>VLOOKUP(Table4[[#This Row],[Visitor]],'NHL Model'!$A$6:$B$38,2,FALSE)</f>
        <v>-0.72022444935789065</v>
      </c>
      <c r="J1036">
        <f>($B$1+Table4[[#This Row],[Home Differential]])-Table4[[#This Row],[Away Differential]]</f>
        <v>1.3349292628432394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0.72902847090315881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-0.38335501658895638</v>
      </c>
      <c r="H1037" t="s">
        <v>31</v>
      </c>
      <c r="I1037">
        <f>VLOOKUP(Table4[[#This Row],[Visitor]],'NHL Model'!$A$6:$B$38,2,FALSE)</f>
        <v>6.0998961494444972E-3</v>
      </c>
      <c r="J1037">
        <f>($B$1+Table4[[#This Row],[Home Differential]])-Table4[[#This Row],[Away Differential]]</f>
        <v>-0.36262043399758437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0.52335763253787171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-5.8660643157088771E-2</v>
      </c>
      <c r="H1038" t="s">
        <v>10</v>
      </c>
      <c r="I1038">
        <f>VLOOKUP(Table4[[#This Row],[Visitor]],'NHL Model'!$A$6:$B$38,2,FALSE)</f>
        <v>-0.1280954603767317</v>
      </c>
      <c r="J1038">
        <f>($B$1+Table4[[#This Row],[Home Differential]])-Table4[[#This Row],[Away Differential]]</f>
        <v>9.6269295960459411E-2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0.5917376430226553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-0.83165982757888468</v>
      </c>
      <c r="H1039" t="s">
        <v>29</v>
      </c>
      <c r="I1039">
        <f>VLOOKUP(Table4[[#This Row],[Visitor]],'NHL Model'!$A$6:$B$38,2,FALSE)</f>
        <v>-1.1040951755058253</v>
      </c>
      <c r="J1039">
        <f>($B$1+Table4[[#This Row],[Home Differential]])-Table4[[#This Row],[Away Differential]]</f>
        <v>0.29926982666775703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0.57514811196614168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-0.12684993818444543</v>
      </c>
      <c r="H1040" t="s">
        <v>14</v>
      </c>
      <c r="I1040">
        <f>VLOOKUP(Table4[[#This Row],[Visitor]],'NHL Model'!$A$6:$B$38,2,FALSE)</f>
        <v>-1.1494940880477545E-2</v>
      </c>
      <c r="J1040">
        <f>($B$1+Table4[[#This Row],[Home Differential]])-Table4[[#This Row],[Away Differential]]</f>
        <v>-8.8520518563151393E-2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0.50968313414640787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-0.25388173436787664</v>
      </c>
      <c r="H1041" t="s">
        <v>15</v>
      </c>
      <c r="I1041">
        <f>VLOOKUP(Table4[[#This Row],[Visitor]],'NHL Model'!$A$6:$B$38,2,FALSE)</f>
        <v>-0.10354486814940167</v>
      </c>
      <c r="J1041">
        <f>($B$1+Table4[[#This Row],[Home Differential]])-Table4[[#This Row],[Away Differential]]</f>
        <v>-0.12350238747765849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0.57210857605792342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-2.8228251376645769E-2</v>
      </c>
      <c r="H1042" t="s">
        <v>13</v>
      </c>
      <c r="I1042">
        <f>VLOOKUP(Table4[[#This Row],[Visitor]],'NHL Model'!$A$6:$B$38,2,FALSE)</f>
        <v>-0.27930615658534785</v>
      </c>
      <c r="J1042">
        <f>($B$1+Table4[[#This Row],[Home Differential]])-Table4[[#This Row],[Away Differential]]</f>
        <v>0.27791238394951856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0.50632397142903907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-1.2546198289988155</v>
      </c>
      <c r="H1043" t="s">
        <v>17</v>
      </c>
      <c r="I1043">
        <f>VLOOKUP(Table4[[#This Row],[Visitor]],'NHL Model'!$A$6:$B$38,2,FALSE)</f>
        <v>-0.70231133461274453</v>
      </c>
      <c r="J1043">
        <f>($B$1+Table4[[#This Row],[Home Differential]])-Table4[[#This Row],[Away Differential]]</f>
        <v>-0.52547401564525442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0.52171494046976497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-0.43955182119289299</v>
      </c>
      <c r="H1044" t="s">
        <v>19</v>
      </c>
      <c r="I1044">
        <f>VLOOKUP(Table4[[#This Row],[Visitor]],'NHL Model'!$A$6:$B$38,2,FALSE)</f>
        <v>-0.38335501658895638</v>
      </c>
      <c r="J1044">
        <f>($B$1+Table4[[#This Row],[Home Differential]])-Table4[[#This Row],[Away Differential]]</f>
        <v>-2.9362325863120098E-2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0.45332624499678026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0.57663845568176975</v>
      </c>
      <c r="H1045" t="s">
        <v>26</v>
      </c>
      <c r="I1045">
        <f>VLOOKUP(Table4[[#This Row],[Visitor]],'NHL Model'!$A$6:$B$38,2,FALSE)</f>
        <v>-0.72022444935789065</v>
      </c>
      <c r="J1045">
        <f>($B$1+Table4[[#This Row],[Home Differential]])-Table4[[#This Row],[Away Differential]]</f>
        <v>1.3236973837804769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0.72770932908627795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6.3765445873038576E-2</v>
      </c>
      <c r="H1046" t="s">
        <v>15</v>
      </c>
      <c r="I1046">
        <f>VLOOKUP(Table4[[#This Row],[Visitor]],'NHL Model'!$A$6:$B$38,2,FALSE)</f>
        <v>-0.10354486814940167</v>
      </c>
      <c r="J1046">
        <f>($B$1+Table4[[#This Row],[Home Differential]])-Table4[[#This Row],[Away Differential]]</f>
        <v>0.19414479276325675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0.46272010698656402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-0.50446035262371991</v>
      </c>
      <c r="H1047" t="s">
        <v>33</v>
      </c>
      <c r="I1047">
        <f>VLOOKUP(Table4[[#This Row],[Visitor]],'NHL Model'!$A$6:$B$38,2,FALSE)</f>
        <v>-0.51080431935976611</v>
      </c>
      <c r="J1047">
        <f>($B$1+Table4[[#This Row],[Home Differential]])-Table4[[#This Row],[Away Differential]]</f>
        <v>3.3178445476862661E-2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0.54389668323555374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1.2368486032251671E-3</v>
      </c>
      <c r="H1048" t="s">
        <v>13</v>
      </c>
      <c r="I1048">
        <f>VLOOKUP(Table4[[#This Row],[Visitor]],'NHL Model'!$A$6:$B$38,2,FALSE)</f>
        <v>-0.27930615658534785</v>
      </c>
      <c r="J1048">
        <f>($B$1+Table4[[#This Row],[Home Differential]])-Table4[[#This Row],[Away Differential]]</f>
        <v>0.30737748392938952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0.57181461143477741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-2.8228251376645769E-2</v>
      </c>
      <c r="H1049" t="s">
        <v>16</v>
      </c>
      <c r="I1049">
        <f>VLOOKUP(Table4[[#This Row],[Visitor]],'NHL Model'!$A$6:$B$38,2,FALSE)</f>
        <v>-1.0975205179116387</v>
      </c>
      <c r="J1049">
        <f>($B$1+Table4[[#This Row],[Home Differential]])-Table4[[#This Row],[Away Differential]]</f>
        <v>1.0961267452758094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0.66873595043314626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-0.31206928170612303</v>
      </c>
      <c r="H1050" t="s">
        <v>31</v>
      </c>
      <c r="I1050">
        <f>VLOOKUP(Table4[[#This Row],[Visitor]],'NHL Model'!$A$6:$B$38,2,FALSE)</f>
        <v>6.0998961494444972E-3</v>
      </c>
      <c r="J1050">
        <f>($B$1+Table4[[#This Row],[Home Differential]])-Table4[[#This Row],[Away Differential]]</f>
        <v>-0.29133469911475107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0.51247703074031492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-0.15216510880280634</v>
      </c>
      <c r="H1051" t="s">
        <v>28</v>
      </c>
      <c r="I1051">
        <f>VLOOKUP(Table4[[#This Row],[Visitor]],'NHL Model'!$A$6:$B$38,2,FALSE)</f>
        <v>-0.45544062464079677</v>
      </c>
      <c r="J1051">
        <f>($B$1+Table4[[#This Row],[Home Differential]])-Table4[[#This Row],[Away Differential]]</f>
        <v>0.33010999457880691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0.60127017332415356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0.58787033474453221</v>
      </c>
      <c r="H1052" t="s">
        <v>25</v>
      </c>
      <c r="I1052">
        <f>VLOOKUP(Table4[[#This Row],[Visitor]],'NHL Model'!$A$6:$B$38,2,FALSE)</f>
        <v>0.52315764934699704</v>
      </c>
      <c r="J1052">
        <f>($B$1+Table4[[#This Row],[Home Differential]])-Table4[[#This Row],[Away Differential]]</f>
        <v>9.1547164138351622E-2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0.51075186901113745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-5.8660643157088771E-2</v>
      </c>
      <c r="H1053" t="s">
        <v>14</v>
      </c>
      <c r="I1053">
        <f>VLOOKUP(Table4[[#This Row],[Visitor]],'NHL Model'!$A$6:$B$38,2,FALSE)</f>
        <v>-1.1494940880477545E-2</v>
      </c>
      <c r="J1053">
        <f>($B$1+Table4[[#This Row],[Home Differential]])-Table4[[#This Row],[Away Differential]]</f>
        <v>-2.0331223535794737E-2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0.46072115882580472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-0.83165982757888468</v>
      </c>
      <c r="H1054" t="s">
        <v>32</v>
      </c>
      <c r="I1054">
        <f>VLOOKUP(Table4[[#This Row],[Visitor]],'NHL Model'!$A$6:$B$38,2,FALSE)</f>
        <v>-0.53356664249341723</v>
      </c>
      <c r="J1054">
        <f>($B$1+Table4[[#This Row],[Home Differential]])-Table4[[#This Row],[Away Differential]]</f>
        <v>-0.27125870634465099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0.49185831157304494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-0.12684993818444543</v>
      </c>
      <c r="H1055" t="s">
        <v>10</v>
      </c>
      <c r="I1055">
        <f>VLOOKUP(Table4[[#This Row],[Visitor]],'NHL Model'!$A$6:$B$38,2,FALSE)</f>
        <v>-0.1280954603767317</v>
      </c>
      <c r="J1055">
        <f>($B$1+Table4[[#This Row],[Home Differential]])-Table4[[#This Row],[Away Differential]]</f>
        <v>2.8080000933102756E-2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0.54329789016084729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-0.25388173436787664</v>
      </c>
      <c r="H1056" t="s">
        <v>12</v>
      </c>
      <c r="I1056">
        <f>VLOOKUP(Table4[[#This Row],[Visitor]],'NHL Model'!$A$6:$B$38,2,FALSE)</f>
        <v>1.7050699520681891</v>
      </c>
      <c r="J1056">
        <f>($B$1+Table4[[#This Row],[Home Differential]])-Table4[[#This Row],[Away Differential]]</f>
        <v>-1.9321172076952493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0.7570403578936038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0.78208997208538333</v>
      </c>
      <c r="H1057" t="s">
        <v>21</v>
      </c>
      <c r="I1057">
        <f>VLOOKUP(Table4[[#This Row],[Visitor]],'NHL Model'!$A$6:$B$38,2,FALSE)</f>
        <v>-0.15717729503670502</v>
      </c>
      <c r="J1057">
        <f>($B$1+Table4[[#This Row],[Home Differential]])-Table4[[#This Row],[Away Differential]]</f>
        <v>0.96610174586290487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0.67950274069891836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-0.70231133461274453</v>
      </c>
      <c r="H1058" t="s">
        <v>29</v>
      </c>
      <c r="I1058">
        <f>VLOOKUP(Table4[[#This Row],[Visitor]],'NHL Model'!$A$6:$B$38,2,FALSE)</f>
        <v>-1.1040951755058253</v>
      </c>
      <c r="J1058">
        <f>($B$1+Table4[[#This Row],[Home Differential]])-Table4[[#This Row],[Away Differential]]</f>
        <v>0.42861831963389718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0.59033960441978239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6.3765445873038576E-2</v>
      </c>
      <c r="H1059" t="s">
        <v>19</v>
      </c>
      <c r="I1059">
        <f>VLOOKUP(Table4[[#This Row],[Visitor]],'NHL Model'!$A$6:$B$38,2,FALSE)</f>
        <v>-0.38335501658895638</v>
      </c>
      <c r="J1059">
        <f>($B$1+Table4[[#This Row],[Home Differential]])-Table4[[#This Row],[Away Differential]]</f>
        <v>0.47395494120281145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0.59566421956329252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-0.50446035262371991</v>
      </c>
      <c r="H1060" t="s">
        <v>31</v>
      </c>
      <c r="I1060">
        <f>VLOOKUP(Table4[[#This Row],[Visitor]],'NHL Model'!$A$6:$B$38,2,FALSE)</f>
        <v>6.0998961494444972E-3</v>
      </c>
      <c r="J1060">
        <f>($B$1+Table4[[#This Row],[Home Differential]])-Table4[[#This Row],[Away Differential]]</f>
        <v>-0.48372577003234796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0.53758099731220532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-0.31206928170612303</v>
      </c>
      <c r="H1061" t="s">
        <v>33</v>
      </c>
      <c r="I1061">
        <f>VLOOKUP(Table4[[#This Row],[Visitor]],'NHL Model'!$A$6:$B$38,2,FALSE)</f>
        <v>-0.51080431935976611</v>
      </c>
      <c r="J1061">
        <f>($B$1+Table4[[#This Row],[Home Differential]])-Table4[[#This Row],[Away Differential]]</f>
        <v>0.22556951639445955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0.56898776780777061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-0.53356664249341723</v>
      </c>
      <c r="H1062" t="s">
        <v>11</v>
      </c>
      <c r="I1062">
        <f>VLOOKUP(Table4[[#This Row],[Visitor]],'NHL Model'!$A$6:$B$38,2,FALSE)</f>
        <v>-0.42252386696344346</v>
      </c>
      <c r="J1062">
        <f>($B$1+Table4[[#This Row],[Home Differential]])-Table4[[#This Row],[Away Differential]]</f>
        <v>-8.4208296789157311E-2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0.4698899467312796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-0.25388173436787664</v>
      </c>
      <c r="H1063" t="s">
        <v>35</v>
      </c>
      <c r="I1063">
        <f>VLOOKUP(Table4[[#This Row],[Visitor]],'NHL Model'!$A$6:$B$38,2,FALSE)</f>
        <v>-1.2546198289988155</v>
      </c>
      <c r="J1063">
        <f>($B$1+Table4[[#This Row],[Home Differential]])-Table4[[#This Row],[Away Differential]]</f>
        <v>1.0275725733717553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0.66318000080933093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1.7050699520681891</v>
      </c>
      <c r="H1064" t="s">
        <v>14</v>
      </c>
      <c r="I1064">
        <f>VLOOKUP(Table4[[#This Row],[Visitor]],'NHL Model'!$A$6:$B$38,2,FALSE)</f>
        <v>-1.1494940880477545E-2</v>
      </c>
      <c r="J1064">
        <f>($B$1+Table4[[#This Row],[Home Differential]])-Table4[[#This Row],[Away Differential]]</f>
        <v>1.7433993716894833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0.81586678929002654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0.57663845568176975</v>
      </c>
      <c r="H1065" t="s">
        <v>55</v>
      </c>
      <c r="I1065">
        <f>VLOOKUP(Table4[[#This Row],[Visitor]],'NHL Model'!$A$6:$B$38,2,FALSE)</f>
        <v>-5.8660643157088771E-2</v>
      </c>
      <c r="J1065">
        <f>($B$1+Table4[[#This Row],[Home Differential]])-Table4[[#This Row],[Away Differential]]</f>
        <v>0.66213357757967495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0.65001115619660899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-0.72022444935789065</v>
      </c>
      <c r="H1066" t="s">
        <v>16</v>
      </c>
      <c r="I1066">
        <f>VLOOKUP(Table4[[#This Row],[Visitor]],'NHL Model'!$A$6:$B$38,2,FALSE)</f>
        <v>-1.0975205179116387</v>
      </c>
      <c r="J1066">
        <f>($B$1+Table4[[#This Row],[Home Differential]])-Table4[[#This Row],[Away Differential]]</f>
        <v>0.40413054729456455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0.59758585734217673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1.2368486032251671E-3</v>
      </c>
      <c r="H1067" t="s">
        <v>21</v>
      </c>
      <c r="I1067">
        <f>VLOOKUP(Table4[[#This Row],[Visitor]],'NHL Model'!$A$6:$B$38,2,FALSE)</f>
        <v>-0.15717729503670502</v>
      </c>
      <c r="J1067">
        <f>($B$1+Table4[[#This Row],[Home Differential]])-Table4[[#This Row],[Away Differential]]</f>
        <v>0.18524862238074669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0.62255781982720826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-0.10354486814940167</v>
      </c>
      <c r="H1068" t="s">
        <v>13</v>
      </c>
      <c r="I1068">
        <f>VLOOKUP(Table4[[#This Row],[Visitor]],'NHL Model'!$A$6:$B$38,2,FALSE)</f>
        <v>-0.27930615658534785</v>
      </c>
      <c r="J1068">
        <f>($B$1+Table4[[#This Row],[Home Differential]])-Table4[[#This Row],[Away Differential]]</f>
        <v>0.20259576717676267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0.49747831896645817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-0.45544062464079677</v>
      </c>
      <c r="H1069" t="s">
        <v>25</v>
      </c>
      <c r="I1069">
        <f>VLOOKUP(Table4[[#This Row],[Visitor]],'NHL Model'!$A$6:$B$38,2,FALSE)</f>
        <v>0.52315764934699704</v>
      </c>
      <c r="J1069">
        <f>($B$1+Table4[[#This Row],[Home Differential]])-Table4[[#This Row],[Away Differential]]</f>
        <v>-0.9517637952469773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0.6444042357564469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-0.1280954603767317</v>
      </c>
      <c r="H1070" t="s">
        <v>34</v>
      </c>
      <c r="I1070">
        <f>VLOOKUP(Table4[[#This Row],[Visitor]],'NHL Model'!$A$6:$B$38,2,FALSE)</f>
        <v>6.3765445873038576E-2</v>
      </c>
      <c r="J1070">
        <f>($B$1+Table4[[#This Row],[Home Differential]])-Table4[[#This Row],[Away Differential]]</f>
        <v>-0.1650264275089538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0.53866956507705277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-0.70231133461274453</v>
      </c>
      <c r="H1071" t="s">
        <v>33</v>
      </c>
      <c r="I1071">
        <f>VLOOKUP(Table4[[#This Row],[Visitor]],'NHL Model'!$A$6:$B$38,2,FALSE)</f>
        <v>-0.51080431935976611</v>
      </c>
      <c r="J1071">
        <f>($B$1+Table4[[#This Row],[Home Differential]])-Table4[[#This Row],[Away Differential]]</f>
        <v>-0.16467253651216196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0.47934016808685381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-0.50446035262371991</v>
      </c>
      <c r="H1072" t="s">
        <v>21</v>
      </c>
      <c r="I1072">
        <f>VLOOKUP(Table4[[#This Row],[Visitor]],'NHL Model'!$A$6:$B$38,2,FALSE)</f>
        <v>-0.15717729503670502</v>
      </c>
      <c r="J1072">
        <f>($B$1+Table4[[#This Row],[Home Differential]])-Table4[[#This Row],[Away Differential]]</f>
        <v>-0.32044857884619843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0.49763547649987883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-0.53356664249341723</v>
      </c>
      <c r="H1073" t="s">
        <v>37</v>
      </c>
      <c r="I1073">
        <f>VLOOKUP(Table4[[#This Row],[Visitor]],'NHL Model'!$A$6:$B$38,2,FALSE)</f>
        <v>0.58787033474453221</v>
      </c>
      <c r="J1073">
        <f>($B$1+Table4[[#This Row],[Home Differential]])-Table4[[#This Row],[Away Differential]]</f>
        <v>-1.094602498497133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0.66118010250798753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-0.38335501658895638</v>
      </c>
      <c r="H1074" t="s">
        <v>30</v>
      </c>
      <c r="I1074">
        <f>VLOOKUP(Table4[[#This Row],[Visitor]],'NHL Model'!$A$6:$B$38,2,FALSE)</f>
        <v>-2.8228251376645769E-2</v>
      </c>
      <c r="J1074">
        <f>($B$1+Table4[[#This Row],[Home Differential]])-Table4[[#This Row],[Away Differential]]</f>
        <v>-0.32829228647149411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0.57117985947320649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-0.83165982757888468</v>
      </c>
      <c r="H1075" t="s">
        <v>11</v>
      </c>
      <c r="I1075">
        <f>VLOOKUP(Table4[[#This Row],[Visitor]],'NHL Model'!$A$6:$B$38,2,FALSE)</f>
        <v>-0.42252386696344346</v>
      </c>
      <c r="J1075">
        <f>($B$1+Table4[[#This Row],[Home Differential]])-Table4[[#This Row],[Away Differential]]</f>
        <v>-0.38230148187462476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0.50489986658317165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-0.12684993818444543</v>
      </c>
      <c r="H1076" t="s">
        <v>23</v>
      </c>
      <c r="I1076">
        <f>VLOOKUP(Table4[[#This Row],[Visitor]],'NHL Model'!$A$6:$B$38,2,FALSE)</f>
        <v>-0.43955182119289299</v>
      </c>
      <c r="J1076">
        <f>($B$1+Table4[[#This Row],[Home Differential]])-Table4[[#This Row],[Away Differential]]</f>
        <v>0.33953636174926405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0.57987726458166622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-0.25388173436787664</v>
      </c>
      <c r="H1077" t="s">
        <v>29</v>
      </c>
      <c r="I1077">
        <f>VLOOKUP(Table4[[#This Row],[Visitor]],'NHL Model'!$A$6:$B$38,2,FALSE)</f>
        <v>-1.1040951755058253</v>
      </c>
      <c r="J1077">
        <f>($B$1+Table4[[#This Row],[Home Differential]])-Table4[[#This Row],[Away Differential]]</f>
        <v>0.87704791987876507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0.64550144820165389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6.0998961494444972E-3</v>
      </c>
      <c r="H1078" t="s">
        <v>27</v>
      </c>
      <c r="I1078">
        <f>VLOOKUP(Table4[[#This Row],[Visitor]],'NHL Model'!$A$6:$B$38,2,FALSE)</f>
        <v>-0.15216510880280634</v>
      </c>
      <c r="J1078">
        <f>($B$1+Table4[[#This Row],[Home Differential]])-Table4[[#This Row],[Away Differential]]</f>
        <v>0.18509948369306733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0.58106126985857343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0.52315764934699704</v>
      </c>
      <c r="H1079" t="s">
        <v>14</v>
      </c>
      <c r="I1079">
        <f>VLOOKUP(Table4[[#This Row],[Visitor]],'NHL Model'!$A$6:$B$38,2,FALSE)</f>
        <v>-1.1494940880477545E-2</v>
      </c>
      <c r="J1079">
        <f>($B$1+Table4[[#This Row],[Home Differential]])-Table4[[#This Row],[Away Differential]]</f>
        <v>0.56148706896829104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0.61913602706328552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-1.0975205179116387</v>
      </c>
      <c r="H1080" t="s">
        <v>35</v>
      </c>
      <c r="I1080">
        <f>VLOOKUP(Table4[[#This Row],[Visitor]],'NHL Model'!$A$6:$B$38,2,FALSE)</f>
        <v>-1.2546198289988155</v>
      </c>
      <c r="J1080">
        <f>($B$1+Table4[[#This Row],[Home Differential]])-Table4[[#This Row],[Away Differential]]</f>
        <v>0.18393378982799335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0.56160232961409873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1.7050699520681891</v>
      </c>
      <c r="H1081" t="s">
        <v>39</v>
      </c>
      <c r="I1081">
        <f>VLOOKUP(Table4[[#This Row],[Visitor]],'NHL Model'!$A$6:$B$38,2,FALSE)</f>
        <v>0.57663845568176975</v>
      </c>
      <c r="J1081">
        <f>($B$1+Table4[[#This Row],[Home Differential]])-Table4[[#This Row],[Away Differential]]</f>
        <v>1.1552659751272358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0.69500366373907496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-0.10354486814940167</v>
      </c>
      <c r="H1082" t="s">
        <v>24</v>
      </c>
      <c r="I1082">
        <f>VLOOKUP(Table4[[#This Row],[Visitor]],'NHL Model'!$A$6:$B$38,2,FALSE)</f>
        <v>1.2368486032251671E-3</v>
      </c>
      <c r="J1082">
        <f>($B$1+Table4[[#This Row],[Home Differential]])-Table4[[#This Row],[Away Differential]]</f>
        <v>-7.7947238011810346E-2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0.48992383977073278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0.78208997208538333</v>
      </c>
      <c r="H1083" t="s">
        <v>36</v>
      </c>
      <c r="I1083">
        <f>VLOOKUP(Table4[[#This Row],[Visitor]],'NHL Model'!$A$6:$B$38,2,FALSE)</f>
        <v>-0.31206928170612303</v>
      </c>
      <c r="J1083">
        <f>($B$1+Table4[[#This Row],[Home Differential]])-Table4[[#This Row],[Away Differential]]</f>
        <v>1.1209937325323227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0.69415648426071075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-0.15717729503670502</v>
      </c>
      <c r="H1084" t="s">
        <v>40</v>
      </c>
      <c r="I1084">
        <f>VLOOKUP(Table4[[#This Row],[Visitor]],'NHL Model'!$A$6:$B$38,2,FALSE)</f>
        <v>-0.25388173436787664</v>
      </c>
      <c r="J1084">
        <f>($B$1+Table4[[#This Row],[Home Differential]])-Table4[[#This Row],[Away Differential]]</f>
        <v>0.12353891807198811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0.59390832143335037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-0.45544062464079677</v>
      </c>
      <c r="H1085" t="s">
        <v>15</v>
      </c>
      <c r="I1085">
        <f>VLOOKUP(Table4[[#This Row],[Visitor]],'NHL Model'!$A$6:$B$38,2,FALSE)</f>
        <v>-0.10354486814940167</v>
      </c>
      <c r="J1085">
        <f>($B$1+Table4[[#This Row],[Home Differential]])-Table4[[#This Row],[Away Differential]]</f>
        <v>-0.32506127775057858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0.59825868697712059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-0.72022444935789065</v>
      </c>
      <c r="H1086" t="s">
        <v>18</v>
      </c>
      <c r="I1086">
        <f>VLOOKUP(Table4[[#This Row],[Visitor]],'NHL Model'!$A$6:$B$38,2,FALSE)</f>
        <v>-0.50446035262371991</v>
      </c>
      <c r="J1086">
        <f>($B$1+Table4[[#This Row],[Home Differential]])-Table4[[#This Row],[Away Differential]]</f>
        <v>-0.18892961799335428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0.53127997987325337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-0.70231133461274453</v>
      </c>
      <c r="H1087" t="s">
        <v>11</v>
      </c>
      <c r="I1087">
        <f>VLOOKUP(Table4[[#This Row],[Visitor]],'NHL Model'!$A$6:$B$38,2,FALSE)</f>
        <v>-0.42252386696344346</v>
      </c>
      <c r="J1087">
        <f>($B$1+Table4[[#This Row],[Home Differential]])-Table4[[#This Row],[Away Differential]]</f>
        <v>-0.25295298890848461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0.489708374129531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-0.27930615658534785</v>
      </c>
      <c r="H1088" t="s">
        <v>27</v>
      </c>
      <c r="I1088">
        <f>VLOOKUP(Table4[[#This Row],[Visitor]],'NHL Model'!$A$6:$B$38,2,FALSE)</f>
        <v>-0.15216510880280634</v>
      </c>
      <c r="J1088">
        <f>($B$1+Table4[[#This Row],[Home Differential]])-Table4[[#This Row],[Away Differential]]</f>
        <v>-0.10030656904172505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0.51429319088096892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6.3765445873038576E-2</v>
      </c>
      <c r="H1089" t="s">
        <v>10</v>
      </c>
      <c r="I1089">
        <f>VLOOKUP(Table4[[#This Row],[Visitor]],'NHL Model'!$A$6:$B$38,2,FALSE)</f>
        <v>-0.1280954603767317</v>
      </c>
      <c r="J1089">
        <f>($B$1+Table4[[#This Row],[Home Differential]])-Table4[[#This Row],[Away Differential]]</f>
        <v>0.21869538499058677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0.56568494780685408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-1.1040951755058253</v>
      </c>
      <c r="H1090" t="s">
        <v>32</v>
      </c>
      <c r="I1090">
        <f>VLOOKUP(Table4[[#This Row],[Visitor]],'NHL Model'!$A$6:$B$38,2,FALSE)</f>
        <v>-0.53356664249341723</v>
      </c>
      <c r="J1090">
        <f>($B$1+Table4[[#This Row],[Home Differential]])-Table4[[#This Row],[Away Differential]]</f>
        <v>-0.54369405427159145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0.52385481526033939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-0.31206928170612303</v>
      </c>
      <c r="H1091" t="s">
        <v>30</v>
      </c>
      <c r="I1091">
        <f>VLOOKUP(Table4[[#This Row],[Visitor]],'NHL Model'!$A$6:$B$38,2,FALSE)</f>
        <v>-2.8228251376645769E-2</v>
      </c>
      <c r="J1091">
        <f>($B$1+Table4[[#This Row],[Home Differential]])-Table4[[#This Row],[Away Differential]]</f>
        <v>-0.25700655158866081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0.56030493169951767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-0.51080431935976611</v>
      </c>
      <c r="H1092" t="s">
        <v>23</v>
      </c>
      <c r="I1092">
        <f>VLOOKUP(Table4[[#This Row],[Visitor]],'NHL Model'!$A$6:$B$38,2,FALSE)</f>
        <v>-0.43955182119289299</v>
      </c>
      <c r="J1092">
        <f>($B$1+Table4[[#This Row],[Home Differential]])-Table4[[#This Row],[Away Differential]]</f>
        <v>-4.4418019426056665E-2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0.46521672878781234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-0.83165982757888468</v>
      </c>
      <c r="H1093" t="s">
        <v>37</v>
      </c>
      <c r="I1093">
        <f>VLOOKUP(Table4[[#This Row],[Visitor]],'NHL Model'!$A$6:$B$38,2,FALSE)</f>
        <v>0.58787033474453221</v>
      </c>
      <c r="J1093">
        <f>($B$1+Table4[[#This Row],[Home Differential]])-Table4[[#This Row],[Away Differential]]</f>
        <v>-1.3926956835826005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0.69619002235987959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-0.12684993818444543</v>
      </c>
      <c r="H1094" t="s">
        <v>55</v>
      </c>
      <c r="I1094">
        <f>VLOOKUP(Table4[[#This Row],[Visitor]],'NHL Model'!$A$6:$B$38,2,FALSE)</f>
        <v>-5.8660643157088771E-2</v>
      </c>
      <c r="J1094">
        <f>($B$1+Table4[[#This Row],[Home Differential]])-Table4[[#This Row],[Away Differential]]</f>
        <v>-4.1354816286540169E-2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0.4648569671368582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-1.0975205179116387</v>
      </c>
      <c r="H1095" t="s">
        <v>11</v>
      </c>
      <c r="I1095">
        <f>VLOOKUP(Table4[[#This Row],[Visitor]],'NHL Model'!$A$6:$B$38,2,FALSE)</f>
        <v>-0.42252386696344346</v>
      </c>
      <c r="J1095">
        <f>($B$1+Table4[[#This Row],[Home Differential]])-Table4[[#This Row],[Away Differential]]</f>
        <v>-0.64816217220737871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0.53612420154289164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-0.1280954603767317</v>
      </c>
      <c r="H1096" t="s">
        <v>12</v>
      </c>
      <c r="I1096">
        <f>VLOOKUP(Table4[[#This Row],[Visitor]],'NHL Model'!$A$6:$B$38,2,FALSE)</f>
        <v>1.7050699520681891</v>
      </c>
      <c r="J1096">
        <f>($B$1+Table4[[#This Row],[Home Differential]])-Table4[[#This Row],[Away Differential]]</f>
        <v>-1.8063309337041042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0.7447699217981012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-0.38335501658895638</v>
      </c>
      <c r="H1097" t="s">
        <v>25</v>
      </c>
      <c r="I1097">
        <f>VLOOKUP(Table4[[#This Row],[Visitor]],'NHL Model'!$A$6:$B$38,2,FALSE)</f>
        <v>0.52315764934699704</v>
      </c>
      <c r="J1097">
        <f>($B$1+Table4[[#This Row],[Home Differential]])-Table4[[#This Row],[Away Differential]]</f>
        <v>-0.87967818719513691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0.63593805307720763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-5.8660643157088771E-2</v>
      </c>
      <c r="H1098" t="s">
        <v>31</v>
      </c>
      <c r="I1098">
        <f>VLOOKUP(Table4[[#This Row],[Visitor]],'NHL Model'!$A$6:$B$38,2,FALSE)</f>
        <v>6.0998961494444972E-3</v>
      </c>
      <c r="J1098">
        <f>($B$1+Table4[[#This Row],[Home Differential]])-Table4[[#This Row],[Away Differential]]</f>
        <v>-3.7926060565716783E-2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0.44445427271449722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0.78208997208538333</v>
      </c>
      <c r="H1099" t="s">
        <v>24</v>
      </c>
      <c r="I1099">
        <f>VLOOKUP(Table4[[#This Row],[Visitor]],'NHL Model'!$A$6:$B$38,2,FALSE)</f>
        <v>1.2368486032251671E-3</v>
      </c>
      <c r="J1099">
        <f>($B$1+Table4[[#This Row],[Home Differential]])-Table4[[#This Row],[Away Differential]]</f>
        <v>0.80768760222297464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0.64031440684683394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-0.45544062464079677</v>
      </c>
      <c r="H1100" t="s">
        <v>32</v>
      </c>
      <c r="I1100">
        <f>VLOOKUP(Table4[[#This Row],[Visitor]],'NHL Model'!$A$6:$B$38,2,FALSE)</f>
        <v>-0.53356664249341723</v>
      </c>
      <c r="J1100">
        <f>($B$1+Table4[[#This Row],[Home Differential]])-Table4[[#This Row],[Away Differential]]</f>
        <v>0.10496049659343698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0.55232721429809761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-0.72022444935789065</v>
      </c>
      <c r="H1101" t="s">
        <v>21</v>
      </c>
      <c r="I1101">
        <f>VLOOKUP(Table4[[#This Row],[Visitor]],'NHL Model'!$A$6:$B$38,2,FALSE)</f>
        <v>-0.15717729503670502</v>
      </c>
      <c r="J1101">
        <f>($B$1+Table4[[#This Row],[Home Differential]])-Table4[[#This Row],[Away Differential]]</f>
        <v>-0.53621267558036911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0.5128539061723173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-0.70231133461274453</v>
      </c>
      <c r="H1102" t="s">
        <v>37</v>
      </c>
      <c r="I1102">
        <f>VLOOKUP(Table4[[#This Row],[Visitor]],'NHL Model'!$A$6:$B$38,2,FALSE)</f>
        <v>0.58787033474453221</v>
      </c>
      <c r="J1102">
        <f>($B$1+Table4[[#This Row],[Home Differential]])-Table4[[#This Row],[Away Differential]]</f>
        <v>-1.2633471906164604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0.68099852990623899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-0.27930615658534785</v>
      </c>
      <c r="H1103" t="s">
        <v>23</v>
      </c>
      <c r="I1103">
        <f>VLOOKUP(Table4[[#This Row],[Visitor]],'NHL Model'!$A$6:$B$38,2,FALSE)</f>
        <v>-0.43955182119289299</v>
      </c>
      <c r="J1103">
        <f>($B$1+Table4[[#This Row],[Home Differential]])-Table4[[#This Row],[Away Differential]]</f>
        <v>0.18708014334836159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0.56197185696354901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6.3765445873038576E-2</v>
      </c>
      <c r="H1104" t="s">
        <v>39</v>
      </c>
      <c r="I1104">
        <f>VLOOKUP(Table4[[#This Row],[Visitor]],'NHL Model'!$A$6:$B$38,2,FALSE)</f>
        <v>0.57663845568176975</v>
      </c>
      <c r="J1104">
        <f>($B$1+Table4[[#This Row],[Home Differential]])-Table4[[#This Row],[Away Differential]]</f>
        <v>-0.48603853106791467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0.6095695794456194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-0.50446035262371991</v>
      </c>
      <c r="H1105" t="s">
        <v>30</v>
      </c>
      <c r="I1105">
        <f>VLOOKUP(Table4[[#This Row],[Visitor]],'NHL Model'!$A$6:$B$38,2,FALSE)</f>
        <v>-2.8228251376645769E-2</v>
      </c>
      <c r="J1105">
        <f>($B$1+Table4[[#This Row],[Home Differential]])-Table4[[#This Row],[Away Differential]]</f>
        <v>-0.4493976225062577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0.58540322424753999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-1.1040951755058253</v>
      </c>
      <c r="H1106" t="s">
        <v>20</v>
      </c>
      <c r="I1106">
        <f>VLOOKUP(Table4[[#This Row],[Visitor]],'NHL Model'!$A$6:$B$38,2,FALSE)</f>
        <v>-0.12684993818444543</v>
      </c>
      <c r="J1106">
        <f>($B$1+Table4[[#This Row],[Home Differential]])-Table4[[#This Row],[Away Differential]]</f>
        <v>-0.95041075858056323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0.57162215759726753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-0.31206928170612303</v>
      </c>
      <c r="H1107" t="s">
        <v>19</v>
      </c>
      <c r="I1107">
        <f>VLOOKUP(Table4[[#This Row],[Visitor]],'NHL Model'!$A$6:$B$38,2,FALSE)</f>
        <v>-0.38335501658895638</v>
      </c>
      <c r="J1107">
        <f>($B$1+Table4[[#This Row],[Home Differential]])-Table4[[#This Row],[Away Differential]]</f>
        <v>9.812021362364981E-2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0.5540193280767306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-1.1494940880477545E-2</v>
      </c>
      <c r="H1108" t="s">
        <v>40</v>
      </c>
      <c r="I1108">
        <f>VLOOKUP(Table4[[#This Row],[Visitor]],'NHL Model'!$A$6:$B$38,2,FALSE)</f>
        <v>-0.25388173436787664</v>
      </c>
      <c r="J1108">
        <f>($B$1+Table4[[#This Row],[Home Differential]])-Table4[[#This Row],[Away Differential]]</f>
        <v>0.26922127222821557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0.56804286368312162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-0.51080431935976611</v>
      </c>
      <c r="H1109" t="s">
        <v>27</v>
      </c>
      <c r="I1109">
        <f>VLOOKUP(Table4[[#This Row],[Visitor]],'NHL Model'!$A$6:$B$38,2,FALSE)</f>
        <v>-0.15216510880280634</v>
      </c>
      <c r="J1109">
        <f>($B$1+Table4[[#This Row],[Home Differential]])-Table4[[#This Row],[Away Differential]]</f>
        <v>-0.33180473181614334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0.54148177663233032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-0.83165982757888468</v>
      </c>
      <c r="H1110" t="s">
        <v>35</v>
      </c>
      <c r="I1110">
        <f>VLOOKUP(Table4[[#This Row],[Visitor]],'NHL Model'!$A$6:$B$38,2,FALSE)</f>
        <v>-1.2546198289988155</v>
      </c>
      <c r="J1110">
        <f>($B$1+Table4[[#This Row],[Home Differential]])-Table4[[#This Row],[Away Differential]]</f>
        <v>0.4497944801607473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0.59282666457381872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6.0998961494444972E-3</v>
      </c>
      <c r="H1111" t="s">
        <v>23</v>
      </c>
      <c r="I1111">
        <f>VLOOKUP(Table4[[#This Row],[Visitor]],'NHL Model'!$A$6:$B$38,2,FALSE)</f>
        <v>-0.43955182119289299</v>
      </c>
      <c r="J1111">
        <f>($B$1+Table4[[#This Row],[Home Differential]])-Table4[[#This Row],[Away Differential]]</f>
        <v>0.47248619608315395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0.65629278908150357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-1.0975205179116387</v>
      </c>
      <c r="H1112" t="s">
        <v>37</v>
      </c>
      <c r="I1112">
        <f>VLOOKUP(Table4[[#This Row],[Visitor]],'NHL Model'!$A$6:$B$38,2,FALSE)</f>
        <v>0.58787033474453221</v>
      </c>
      <c r="J1112">
        <f>($B$1+Table4[[#This Row],[Home Differential]])-Table4[[#This Row],[Away Differential]]</f>
        <v>-1.6585563739153544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0.72741435731959958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-0.1280954603767317</v>
      </c>
      <c r="H1113" t="s">
        <v>29</v>
      </c>
      <c r="I1113">
        <f>VLOOKUP(Table4[[#This Row],[Visitor]],'NHL Model'!$A$6:$B$38,2,FALSE)</f>
        <v>-1.1040951755058253</v>
      </c>
      <c r="J1113">
        <f>($B$1+Table4[[#This Row],[Home Differential]])-Table4[[#This Row],[Away Differential]]</f>
        <v>1.0028341938699101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0.65777909227296183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0.57663845568176975</v>
      </c>
      <c r="H1114" t="s">
        <v>20</v>
      </c>
      <c r="I1114">
        <f>VLOOKUP(Table4[[#This Row],[Visitor]],'NHL Model'!$A$6:$B$38,2,FALSE)</f>
        <v>-0.12684993818444543</v>
      </c>
      <c r="J1114">
        <f>($B$1+Table4[[#This Row],[Home Differential]])-Table4[[#This Row],[Away Differential]]</f>
        <v>0.73032287260703166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0.65801973161231431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-2.8228251376645769E-2</v>
      </c>
      <c r="H1115" t="s">
        <v>28</v>
      </c>
      <c r="I1115">
        <f>VLOOKUP(Table4[[#This Row],[Visitor]],'NHL Model'!$A$6:$B$38,2,FALSE)</f>
        <v>-0.45544062464079677</v>
      </c>
      <c r="J1115">
        <f>($B$1+Table4[[#This Row],[Home Differential]])-Table4[[#This Row],[Away Differential]]</f>
        <v>0.45404685200496747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0.58974993066188641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-0.10354486814940167</v>
      </c>
      <c r="H1116" t="s">
        <v>40</v>
      </c>
      <c r="I1116">
        <f>VLOOKUP(Table4[[#This Row],[Visitor]],'NHL Model'!$A$6:$B$38,2,FALSE)</f>
        <v>-0.25388173436787664</v>
      </c>
      <c r="J1116">
        <f>($B$1+Table4[[#This Row],[Home Differential]])-Table4[[#This Row],[Away Differential]]</f>
        <v>0.17717134495929146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0.5572319470392757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-1.1494940880477545E-2</v>
      </c>
      <c r="H1117" t="s">
        <v>25</v>
      </c>
      <c r="I1117">
        <f>VLOOKUP(Table4[[#This Row],[Visitor]],'NHL Model'!$A$6:$B$38,2,FALSE)</f>
        <v>0.52315764934699704</v>
      </c>
      <c r="J1117">
        <f>($B$1+Table4[[#This Row],[Home Differential]])-Table4[[#This Row],[Away Differential]]</f>
        <v>-0.50781811148665812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0.59226449025174521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-5.8660643157088771E-2</v>
      </c>
      <c r="H1118" t="s">
        <v>13</v>
      </c>
      <c r="I1118">
        <f>VLOOKUP(Table4[[#This Row],[Visitor]],'NHL Model'!$A$6:$B$38,2,FALSE)</f>
        <v>-0.27930615658534785</v>
      </c>
      <c r="J1118">
        <f>($B$1+Table4[[#This Row],[Home Differential]])-Table4[[#This Row],[Away Differential]]</f>
        <v>0.24747999216907557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0.54377147366561096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0.78208997208538333</v>
      </c>
      <c r="H1119" t="s">
        <v>12</v>
      </c>
      <c r="I1119">
        <f>VLOOKUP(Table4[[#This Row],[Visitor]],'NHL Model'!$A$6:$B$38,2,FALSE)</f>
        <v>1.7050699520681891</v>
      </c>
      <c r="J1119">
        <f>($B$1+Table4[[#This Row],[Home Differential]])-Table4[[#This Row],[Away Differential]]</f>
        <v>-0.89614550124198933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0.61157802179532694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-0.10354486814940167</v>
      </c>
      <c r="H1120" t="s">
        <v>36</v>
      </c>
      <c r="I1120">
        <f>VLOOKUP(Table4[[#This Row],[Visitor]],'NHL Model'!$A$6:$B$38,2,FALSE)</f>
        <v>-0.31206928170612303</v>
      </c>
      <c r="J1120">
        <f>($B$1+Table4[[#This Row],[Home Differential]])-Table4[[#This Row],[Away Differential]]</f>
        <v>0.23535889229753784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0.56406585492652284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-0.15717729503670502</v>
      </c>
      <c r="H1121" t="s">
        <v>19</v>
      </c>
      <c r="I1121">
        <f>VLOOKUP(Table4[[#This Row],[Visitor]],'NHL Model'!$A$6:$B$38,2,FALSE)</f>
        <v>-0.38335501658895638</v>
      </c>
      <c r="J1121">
        <f>($B$1+Table4[[#This Row],[Home Differential]])-Table4[[#This Row],[Away Differential]]</f>
        <v>0.25301220029306781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0.61261688268738468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-1.0975205179116387</v>
      </c>
      <c r="H1122" t="s">
        <v>13</v>
      </c>
      <c r="I1122">
        <f>VLOOKUP(Table4[[#This Row],[Visitor]],'NHL Model'!$A$6:$B$38,2,FALSE)</f>
        <v>-0.27930615658534785</v>
      </c>
      <c r="J1122">
        <f>($B$1+Table4[[#This Row],[Home Differential]])-Table4[[#This Row],[Away Differential]]</f>
        <v>-0.79137988258547431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0.61926037072525986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0.57663845568176975</v>
      </c>
      <c r="H1123" t="s">
        <v>24</v>
      </c>
      <c r="I1123">
        <f>VLOOKUP(Table4[[#This Row],[Visitor]],'NHL Model'!$A$6:$B$38,2,FALSE)</f>
        <v>1.2368486032251671E-3</v>
      </c>
      <c r="J1123">
        <f>($B$1+Table4[[#This Row],[Home Differential]])-Table4[[#This Row],[Away Differential]]</f>
        <v>0.60223608581936106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0.62245449391152397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-0.72022444935789065</v>
      </c>
      <c r="H1124" t="s">
        <v>36</v>
      </c>
      <c r="I1124">
        <f>VLOOKUP(Table4[[#This Row],[Visitor]],'NHL Model'!$A$6:$B$38,2,FALSE)</f>
        <v>-0.31206928170612303</v>
      </c>
      <c r="J1124">
        <f>($B$1+Table4[[#This Row],[Home Differential]])-Table4[[#This Row],[Away Differential]]</f>
        <v>-0.38132068891095117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0.49822597169678007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-0.42252386696344346</v>
      </c>
      <c r="H1125" t="s">
        <v>32</v>
      </c>
      <c r="I1125">
        <f>VLOOKUP(Table4[[#This Row],[Visitor]],'NHL Model'!$A$6:$B$38,2,FALSE)</f>
        <v>-0.53356664249341723</v>
      </c>
      <c r="J1125">
        <f>($B$1+Table4[[#This Row],[Home Differential]])-Table4[[#This Row],[Away Differential]]</f>
        <v>0.13787725427079023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0.55619316328897395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-0.50446035262371991</v>
      </c>
      <c r="H1126" t="s">
        <v>25</v>
      </c>
      <c r="I1126">
        <f>VLOOKUP(Table4[[#This Row],[Visitor]],'NHL Model'!$A$6:$B$38,2,FALSE)</f>
        <v>0.52315764934699704</v>
      </c>
      <c r="J1126">
        <f>($B$1+Table4[[#This Row],[Home Differential]])-Table4[[#This Row],[Away Differential]]</f>
        <v>-1.0007835232299005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0.65016141785154125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-1.1040951755058253</v>
      </c>
      <c r="H1127" t="s">
        <v>33</v>
      </c>
      <c r="I1127">
        <f>VLOOKUP(Table4[[#This Row],[Visitor]],'NHL Model'!$A$6:$B$38,2,FALSE)</f>
        <v>-0.51080431935976611</v>
      </c>
      <c r="J1127">
        <f>($B$1+Table4[[#This Row],[Home Differential]])-Table4[[#This Row],[Away Differential]]</f>
        <v>-0.56645637740524257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0.52652816422778903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-2.8228251376645769E-2</v>
      </c>
      <c r="H1128" t="s">
        <v>10</v>
      </c>
      <c r="I1128">
        <f>VLOOKUP(Table4[[#This Row],[Visitor]],'NHL Model'!$A$6:$B$38,2,FALSE)</f>
        <v>-0.1280954603767317</v>
      </c>
      <c r="J1128">
        <f>($B$1+Table4[[#This Row],[Home Differential]])-Table4[[#This Row],[Away Differential]]</f>
        <v>0.1267016877409024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0.55488063516660624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-0.15216510880280634</v>
      </c>
      <c r="H1129" t="s">
        <v>28</v>
      </c>
      <c r="I1129">
        <f>VLOOKUP(Table4[[#This Row],[Visitor]],'NHL Model'!$A$6:$B$38,2,FALSE)</f>
        <v>-0.45544062464079677</v>
      </c>
      <c r="J1129">
        <f>($B$1+Table4[[#This Row],[Home Differential]])-Table4[[#This Row],[Away Differential]]</f>
        <v>0.33010999457880691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0.60127017332415356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-1.1494940880477545E-2</v>
      </c>
      <c r="H1130" t="s">
        <v>12</v>
      </c>
      <c r="I1130">
        <f>VLOOKUP(Table4[[#This Row],[Visitor]],'NHL Model'!$A$6:$B$38,2,FALSE)</f>
        <v>1.7050699520681891</v>
      </c>
      <c r="J1130">
        <f>($B$1+Table4[[#This Row],[Home Differential]])-Table4[[#This Row],[Away Differential]]</f>
        <v>-1.6897304142078502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0.73107563072907722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-1.2546198289988155</v>
      </c>
      <c r="H1131" t="s">
        <v>22</v>
      </c>
      <c r="I1131">
        <f>VLOOKUP(Table4[[#This Row],[Visitor]],'NHL Model'!$A$6:$B$38,2,FALSE)</f>
        <v>0.78208997208538333</v>
      </c>
      <c r="J1131">
        <f>($B$1+Table4[[#This Row],[Home Differential]])-Table4[[#This Row],[Away Differential]]</f>
        <v>-2.0098753223433823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0.76867544224976925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0.58787033474453221</v>
      </c>
      <c r="H1132" t="s">
        <v>34</v>
      </c>
      <c r="I1132">
        <f>VLOOKUP(Table4[[#This Row],[Visitor]],'NHL Model'!$A$6:$B$38,2,FALSE)</f>
        <v>6.3765445873038576E-2</v>
      </c>
      <c r="J1132">
        <f>($B$1+Table4[[#This Row],[Home Differential]])-Table4[[#This Row],[Away Differential]]</f>
        <v>0.5509393676123101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0.57807473393210995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-5.8660643157088771E-2</v>
      </c>
      <c r="H1133" t="s">
        <v>17</v>
      </c>
      <c r="I1133">
        <f>VLOOKUP(Table4[[#This Row],[Visitor]],'NHL Model'!$A$6:$B$38,2,FALSE)</f>
        <v>-0.70231133461274453</v>
      </c>
      <c r="J1133">
        <f>($B$1+Table4[[#This Row],[Home Differential]])-Table4[[#This Row],[Away Differential]]</f>
        <v>0.67048517019647225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0.65917713087583474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-0.83165982757888468</v>
      </c>
      <c r="H1134" t="s">
        <v>31</v>
      </c>
      <c r="I1134">
        <f>VLOOKUP(Table4[[#This Row],[Visitor]],'NHL Model'!$A$6:$B$38,2,FALSE)</f>
        <v>6.0998961494444972E-3</v>
      </c>
      <c r="J1134">
        <f>($B$1+Table4[[#This Row],[Home Differential]])-Table4[[#This Row],[Away Differential]]</f>
        <v>-0.81092524498751273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0.57600934108825341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-0.25388173436787664</v>
      </c>
      <c r="H1135" t="s">
        <v>20</v>
      </c>
      <c r="I1135">
        <f>VLOOKUP(Table4[[#This Row],[Visitor]],'NHL Model'!$A$6:$B$38,2,FALSE)</f>
        <v>-0.12684993818444543</v>
      </c>
      <c r="J1135">
        <f>($B$1+Table4[[#This Row],[Home Differential]])-Table4[[#This Row],[Away Differential]]</f>
        <v>-0.10019731744261473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0.46927231767446081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-0.43955182119289299</v>
      </c>
      <c r="H1136" t="s">
        <v>21</v>
      </c>
      <c r="I1136">
        <f>VLOOKUP(Table4[[#This Row],[Visitor]],'NHL Model'!$A$6:$B$38,2,FALSE)</f>
        <v>-0.15717729503670502</v>
      </c>
      <c r="J1136">
        <f>($B$1+Table4[[#This Row],[Home Differential]])-Table4[[#This Row],[Away Differential]]</f>
        <v>-0.25554004741537145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0.4798899650011727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-0.38335501658895638</v>
      </c>
      <c r="H1137" t="s">
        <v>15</v>
      </c>
      <c r="I1137">
        <f>VLOOKUP(Table4[[#This Row],[Visitor]],'NHL Model'!$A$6:$B$38,2,FALSE)</f>
        <v>-0.10354486814940167</v>
      </c>
      <c r="J1137">
        <f>($B$1+Table4[[#This Row],[Home Differential]])-Table4[[#This Row],[Away Differential]]</f>
        <v>-0.25297566969873819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0.58979250429788133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-1.0975205179116387</v>
      </c>
      <c r="H1138" t="s">
        <v>31</v>
      </c>
      <c r="I1138">
        <f>VLOOKUP(Table4[[#This Row],[Visitor]],'NHL Model'!$A$6:$B$38,2,FALSE)</f>
        <v>6.0998961494444972E-3</v>
      </c>
      <c r="J1138">
        <f>($B$1+Table4[[#This Row],[Home Differential]])-Table4[[#This Row],[Away Differential]]</f>
        <v>-1.0767859353202667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0.60723367604797329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-0.42252386696344346</v>
      </c>
      <c r="H1139" t="s">
        <v>34</v>
      </c>
      <c r="I1139">
        <f>VLOOKUP(Table4[[#This Row],[Visitor]],'NHL Model'!$A$6:$B$38,2,FALSE)</f>
        <v>6.3765445873038576E-2</v>
      </c>
      <c r="J1139">
        <f>($B$1+Table4[[#This Row],[Home Differential]])-Table4[[#This Row],[Away Differential]]</f>
        <v>-0.45945483409566557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0.57324907052185414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-0.50446035262371991</v>
      </c>
      <c r="H1140" t="s">
        <v>28</v>
      </c>
      <c r="I1140">
        <f>VLOOKUP(Table4[[#This Row],[Visitor]],'NHL Model'!$A$6:$B$38,2,FALSE)</f>
        <v>-0.45544062464079677</v>
      </c>
      <c r="J1140">
        <f>($B$1+Table4[[#This Row],[Home Differential]])-Table4[[#This Row],[Away Differential]]</f>
        <v>-2.2185249242106686E-2</v>
      </c>
      <c r="K1140" t="str">
        <f>IF(Table4[[#This Row],[HomeIce Differential]]&gt;0,Table4[[#This Row],[Home]],Table4[[#This Row],[Visitor]])</f>
        <v>Columbus Blue Jackets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0.46618173275664443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-1.1040951755058253</v>
      </c>
      <c r="H1141" t="s">
        <v>24</v>
      </c>
      <c r="I1141">
        <f>VLOOKUP(Table4[[#This Row],[Visitor]],'NHL Model'!$A$6:$B$38,2,FALSE)</f>
        <v>1.2368486032251671E-3</v>
      </c>
      <c r="J1141">
        <f>($B$1+Table4[[#This Row],[Home Differential]])-Table4[[#This Row],[Away Differential]]</f>
        <v>-1.0784975453682339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0.60743469819002549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-2.8228251376645769E-2</v>
      </c>
      <c r="H1142" t="s">
        <v>39</v>
      </c>
      <c r="I1142">
        <f>VLOOKUP(Table4[[#This Row],[Visitor]],'NHL Model'!$A$6:$B$38,2,FALSE)</f>
        <v>0.57663845568176975</v>
      </c>
      <c r="J1142">
        <f>($B$1+Table4[[#This Row],[Home Differential]])-Table4[[#This Row],[Away Differential]]</f>
        <v>-0.57803222831759904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0.62037389208586724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-0.31206928170612303</v>
      </c>
      <c r="H1143" t="s">
        <v>14</v>
      </c>
      <c r="I1143">
        <f>VLOOKUP(Table4[[#This Row],[Visitor]],'NHL Model'!$A$6:$B$38,2,FALSE)</f>
        <v>-1.1494940880477545E-2</v>
      </c>
      <c r="J1143">
        <f>($B$1+Table4[[#This Row],[Home Differential]])-Table4[[#This Row],[Away Differential]]</f>
        <v>-0.27373986208482903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0.5289239075014589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-0.15216510880280634</v>
      </c>
      <c r="H1144" t="s">
        <v>10</v>
      </c>
      <c r="I1144">
        <f>VLOOKUP(Table4[[#This Row],[Visitor]],'NHL Model'!$A$6:$B$38,2,FALSE)</f>
        <v>-0.1280954603767317</v>
      </c>
      <c r="J1144">
        <f>($B$1+Table4[[#This Row],[Home Differential]])-Table4[[#This Row],[Away Differential]]</f>
        <v>2.7648303147418396E-3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0.56636245473753244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-1.2546198289988155</v>
      </c>
      <c r="H1145" t="s">
        <v>33</v>
      </c>
      <c r="I1145">
        <f>VLOOKUP(Table4[[#This Row],[Visitor]],'NHL Model'!$A$6:$B$38,2,FALSE)</f>
        <v>-0.51080431935976611</v>
      </c>
      <c r="J1145">
        <f>($B$1+Table4[[#This Row],[Home Differential]])-Table4[[#This Row],[Away Differential]]</f>
        <v>-0.71698103089823284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0.54420671683546595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0.58787033474453221</v>
      </c>
      <c r="H1146" t="s">
        <v>32</v>
      </c>
      <c r="I1146">
        <f>VLOOKUP(Table4[[#This Row],[Visitor]],'NHL Model'!$A$6:$B$38,2,FALSE)</f>
        <v>-0.53356664249341723</v>
      </c>
      <c r="J1146">
        <f>($B$1+Table4[[#This Row],[Home Differential]])-Table4[[#This Row],[Away Differential]]</f>
        <v>1.1482714559787659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0.70710621576612331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-5.8660643157088771E-2</v>
      </c>
      <c r="H1147" t="s">
        <v>22</v>
      </c>
      <c r="I1147">
        <f>VLOOKUP(Table4[[#This Row],[Visitor]],'NHL Model'!$A$6:$B$38,2,FALSE)</f>
        <v>0.78208997208538333</v>
      </c>
      <c r="J1147">
        <f>($B$1+Table4[[#This Row],[Home Differential]])-Table4[[#This Row],[Away Differential]]</f>
        <v>-0.81391613650165562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0.58721149097425962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-0.83165982757888468</v>
      </c>
      <c r="H1148" t="s">
        <v>13</v>
      </c>
      <c r="I1148">
        <f>VLOOKUP(Table4[[#This Row],[Visitor]],'NHL Model'!$A$6:$B$38,2,FALSE)</f>
        <v>-0.27930615658534785</v>
      </c>
      <c r="J1148">
        <f>($B$1+Table4[[#This Row],[Home Differential]])-Table4[[#This Row],[Away Differential]]</f>
        <v>-0.52551919225272037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0.58803603576553998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-0.12684993818444543</v>
      </c>
      <c r="H1149" t="s">
        <v>17</v>
      </c>
      <c r="I1149">
        <f>VLOOKUP(Table4[[#This Row],[Visitor]],'NHL Model'!$A$6:$B$38,2,FALSE)</f>
        <v>-0.70231133461274453</v>
      </c>
      <c r="J1149">
        <f>($B$1+Table4[[#This Row],[Home Differential]])-Table4[[#This Row],[Away Differential]]</f>
        <v>0.60229587516911565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0.61073737801402672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-0.25388173436787664</v>
      </c>
      <c r="H1150" t="s">
        <v>12</v>
      </c>
      <c r="I1150">
        <f>VLOOKUP(Table4[[#This Row],[Visitor]],'NHL Model'!$A$6:$B$38,2,FALSE)</f>
        <v>1.7050699520681891</v>
      </c>
      <c r="J1150">
        <f>($B$1+Table4[[#This Row],[Home Differential]])-Table4[[#This Row],[Away Differential]]</f>
        <v>-1.9321172076952493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0.7570403578936038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-0.43955182119289299</v>
      </c>
      <c r="H1151" t="s">
        <v>26</v>
      </c>
      <c r="I1151">
        <f>VLOOKUP(Table4[[#This Row],[Visitor]],'NHL Model'!$A$6:$B$38,2,FALSE)</f>
        <v>-0.72022444935789065</v>
      </c>
      <c r="J1151">
        <f>($B$1+Table4[[#This Row],[Home Differential]])-Table4[[#This Row],[Away Differential]]</f>
        <v>0.30750710690581418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0.58623779883874494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-0.10354486814940167</v>
      </c>
      <c r="H1152" t="s">
        <v>10</v>
      </c>
      <c r="I1152">
        <f>VLOOKUP(Table4[[#This Row],[Visitor]],'NHL Model'!$A$6:$B$38,2,FALSE)</f>
        <v>-0.1280954603767317</v>
      </c>
      <c r="J1152">
        <f>($B$1+Table4[[#This Row],[Home Differential]])-Table4[[#This Row],[Away Differential]]</f>
        <v>5.1385070968146512E-2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0.54603498270402528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-0.15717729503670502</v>
      </c>
      <c r="H1153" t="s">
        <v>34</v>
      </c>
      <c r="I1153">
        <f>VLOOKUP(Table4[[#This Row],[Visitor]],'NHL Model'!$A$6:$B$38,2,FALSE)</f>
        <v>6.3765445873038576E-2</v>
      </c>
      <c r="J1153">
        <f>($B$1+Table4[[#This Row],[Home Differential]])-Table4[[#This Row],[Away Differential]]</f>
        <v>-0.19410826216892713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0.49852543834101154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-0.43955182119289299</v>
      </c>
      <c r="H1154" t="s">
        <v>32</v>
      </c>
      <c r="I1154">
        <f>VLOOKUP(Table4[[#This Row],[Visitor]],'NHL Model'!$A$6:$B$38,2,FALSE)</f>
        <v>-0.53356664249341723</v>
      </c>
      <c r="J1154">
        <f>($B$1+Table4[[#This Row],[Home Differential]])-Table4[[#This Row],[Away Differential]]</f>
        <v>0.12084930004134076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0.56431554370170944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0.52315764934699704</v>
      </c>
      <c r="H1155" t="s">
        <v>24</v>
      </c>
      <c r="I1155">
        <f>VLOOKUP(Table4[[#This Row],[Visitor]],'NHL Model'!$A$6:$B$38,2,FALSE)</f>
        <v>1.2368486032251671E-3</v>
      </c>
      <c r="J1155">
        <f>($B$1+Table4[[#This Row],[Home Differential]])-Table4[[#This Row],[Away Differential]]</f>
        <v>0.54875527948458835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0.63587780849365161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-0.45544062464079677</v>
      </c>
      <c r="H1156" t="s">
        <v>33</v>
      </c>
      <c r="I1156">
        <f>VLOOKUP(Table4[[#This Row],[Visitor]],'NHL Model'!$A$6:$B$38,2,FALSE)</f>
        <v>-0.51080431935976611</v>
      </c>
      <c r="J1156">
        <f>($B$1+Table4[[#This Row],[Home Differential]])-Table4[[#This Row],[Away Differential]]</f>
        <v>8.2198173459785862E-2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0.54965386533064797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-1.0975205179116387</v>
      </c>
      <c r="H1157" t="s">
        <v>38</v>
      </c>
      <c r="I1157">
        <f>VLOOKUP(Table4[[#This Row],[Visitor]],'NHL Model'!$A$6:$B$38,2,FALSE)</f>
        <v>-0.83165982757888468</v>
      </c>
      <c r="J1157">
        <f>($B$1+Table4[[#This Row],[Home Differential]])-Table4[[#This Row],[Away Differential]]</f>
        <v>-0.23902621159193749</v>
      </c>
      <c r="K1157" t="str">
        <f>IF(Table4[[#This Row],[HomeIce Differential]]&gt;0,Table4[[#This Row],[Home]],Table4[[#This Row],[Visitor]])</f>
        <v>Vancouver Canucks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0.48807272668087276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1.7050699520681891</v>
      </c>
      <c r="H1158" t="s">
        <v>40</v>
      </c>
      <c r="I1158">
        <f>VLOOKUP(Table4[[#This Row],[Visitor]],'NHL Model'!$A$6:$B$38,2,FALSE)</f>
        <v>-0.25388173436787664</v>
      </c>
      <c r="J1158">
        <f>($B$1+Table4[[#This Row],[Home Differential]])-Table4[[#This Row],[Away Differential]]</f>
        <v>1.9857861651768824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0.87775434252358731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-0.72022444935789065</v>
      </c>
      <c r="H1159" t="s">
        <v>27</v>
      </c>
      <c r="I1159">
        <f>VLOOKUP(Table4[[#This Row],[Visitor]],'NHL Model'!$A$6:$B$38,2,FALSE)</f>
        <v>-0.15216510880280634</v>
      </c>
      <c r="J1159">
        <f>($B$1+Table4[[#This Row],[Home Differential]])-Table4[[#This Row],[Away Differential]]</f>
        <v>-0.54122486181426788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0.55587251023043738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-0.70231133461274453</v>
      </c>
      <c r="H1160" t="s">
        <v>31</v>
      </c>
      <c r="I1160">
        <f>VLOOKUP(Table4[[#This Row],[Visitor]],'NHL Model'!$A$6:$B$38,2,FALSE)</f>
        <v>6.0998961494444972E-3</v>
      </c>
      <c r="J1160">
        <f>($B$1+Table4[[#This Row],[Home Differential]])-Table4[[#This Row],[Away Differential]]</f>
        <v>-0.68157675202137258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0.5608178486346127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-0.27930615658534785</v>
      </c>
      <c r="H1161" t="s">
        <v>55</v>
      </c>
      <c r="I1161">
        <f>VLOOKUP(Table4[[#This Row],[Visitor]],'NHL Model'!$A$6:$B$38,2,FALSE)</f>
        <v>-5.8660643157088771E-2</v>
      </c>
      <c r="J1161">
        <f>($B$1+Table4[[#This Row],[Home Differential]])-Table4[[#This Row],[Away Differential]]</f>
        <v>-0.19381103468744262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0.48276237475497541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-1.1040951755058253</v>
      </c>
      <c r="H1162" t="s">
        <v>18</v>
      </c>
      <c r="I1162">
        <f>VLOOKUP(Table4[[#This Row],[Visitor]],'NHL Model'!$A$6:$B$38,2,FALSE)</f>
        <v>-0.50446035262371991</v>
      </c>
      <c r="J1162">
        <f>($B$1+Table4[[#This Row],[Home Differential]])-Table4[[#This Row],[Away Differential]]</f>
        <v>-0.57280034414128878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0.58656107301238858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-2.8228251376645769E-2</v>
      </c>
      <c r="H1163" t="s">
        <v>11</v>
      </c>
      <c r="I1163">
        <f>VLOOKUP(Table4[[#This Row],[Visitor]],'NHL Model'!$A$6:$B$38,2,FALSE)</f>
        <v>-0.42252386696344346</v>
      </c>
      <c r="J1163">
        <f>($B$1+Table4[[#This Row],[Home Differential]])-Table4[[#This Row],[Away Differential]]</f>
        <v>0.42113009432761417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0.5894601406114075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-1.1494940880477545E-2</v>
      </c>
      <c r="H1164" t="s">
        <v>39</v>
      </c>
      <c r="I1164">
        <f>VLOOKUP(Table4[[#This Row],[Visitor]],'NHL Model'!$A$6:$B$38,2,FALSE)</f>
        <v>0.57663845568176975</v>
      </c>
      <c r="J1164">
        <f>($B$1+Table4[[#This Row],[Home Differential]])-Table4[[#This Row],[Away Differential]]</f>
        <v>-0.56129891782143082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0.61840862790460227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-1.2546198289988155</v>
      </c>
      <c r="H1165" t="s">
        <v>19</v>
      </c>
      <c r="I1165">
        <f>VLOOKUP(Table4[[#This Row],[Visitor]],'NHL Model'!$A$6:$B$38,2,FALSE)</f>
        <v>-0.38335501658895638</v>
      </c>
      <c r="J1165">
        <f>($B$1+Table4[[#This Row],[Home Differential]])-Table4[[#This Row],[Away Differential]]</f>
        <v>-0.84443033366904263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0.55917515656650596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0.58787033474453221</v>
      </c>
      <c r="H1166" t="s">
        <v>36</v>
      </c>
      <c r="I1166">
        <f>VLOOKUP(Table4[[#This Row],[Visitor]],'NHL Model'!$A$6:$B$38,2,FALSE)</f>
        <v>-0.31206928170612303</v>
      </c>
      <c r="J1166">
        <f>($B$1+Table4[[#This Row],[Home Differential]])-Table4[[#This Row],[Away Differential]]</f>
        <v>0.92677409519147169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0.677566499812712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-0.12684993818444543</v>
      </c>
      <c r="H1167" t="s">
        <v>22</v>
      </c>
      <c r="I1167">
        <f>VLOOKUP(Table4[[#This Row],[Visitor]],'NHL Model'!$A$6:$B$38,2,FALSE)</f>
        <v>0.78208997208538333</v>
      </c>
      <c r="J1167">
        <f>($B$1+Table4[[#This Row],[Home Differential]])-Table4[[#This Row],[Away Differential]]</f>
        <v>-0.88210543152901222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0.63622312376597756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0.52315764934699704</v>
      </c>
      <c r="H1168" t="s">
        <v>18</v>
      </c>
      <c r="I1168">
        <f>VLOOKUP(Table4[[#This Row],[Visitor]],'NHL Model'!$A$6:$B$38,2,FALSE)</f>
        <v>-0.50446035262371991</v>
      </c>
      <c r="J1168">
        <f>($B$1+Table4[[#This Row],[Home Differential]])-Table4[[#This Row],[Away Differential]]</f>
        <v>1.0544524807115334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0.65717479863471273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-0.45544062464079677</v>
      </c>
      <c r="H1169" t="s">
        <v>21</v>
      </c>
      <c r="I1169">
        <f>VLOOKUP(Table4[[#This Row],[Visitor]],'NHL Model'!$A$6:$B$38,2,FALSE)</f>
        <v>-0.15717729503670502</v>
      </c>
      <c r="J1169">
        <f>($B$1+Table4[[#This Row],[Home Differential]])-Table4[[#This Row],[Away Differential]]</f>
        <v>-0.27142885086327523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0.49187829440478448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1.2368486032251671E-3</v>
      </c>
      <c r="H1170" t="s">
        <v>10</v>
      </c>
      <c r="I1170">
        <f>VLOOKUP(Table4[[#This Row],[Visitor]],'NHL Model'!$A$6:$B$38,2,FALSE)</f>
        <v>-0.1280954603767317</v>
      </c>
      <c r="J1170">
        <f>($B$1+Table4[[#This Row],[Home Differential]])-Table4[[#This Row],[Away Differential]]</f>
        <v>0.15616678772077336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0.61914226807516215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-0.10354486814940167</v>
      </c>
      <c r="H1171" t="s">
        <v>11</v>
      </c>
      <c r="I1171">
        <f>VLOOKUP(Table4[[#This Row],[Visitor]],'NHL Model'!$A$6:$B$38,2,FALSE)</f>
        <v>-0.42252386696344346</v>
      </c>
      <c r="J1171">
        <f>($B$1+Table4[[#This Row],[Home Differential]])-Table4[[#This Row],[Away Differential]]</f>
        <v>0.34581347755485825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0.58061448814882655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-0.15216510880280634</v>
      </c>
      <c r="H1172" t="s">
        <v>39</v>
      </c>
      <c r="I1172">
        <f>VLOOKUP(Table4[[#This Row],[Visitor]],'NHL Model'!$A$6:$B$38,2,FALSE)</f>
        <v>0.57663845568176975</v>
      </c>
      <c r="J1172">
        <f>($B$1+Table4[[#This Row],[Home Differential]])-Table4[[#This Row],[Away Differential]]</f>
        <v>-0.7019690857437596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0.60875940999237788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0.58787033474453221</v>
      </c>
      <c r="H1173" t="s">
        <v>29</v>
      </c>
      <c r="I1173">
        <f>VLOOKUP(Table4[[#This Row],[Visitor]],'NHL Model'!$A$6:$B$38,2,FALSE)</f>
        <v>-1.1040951755058253</v>
      </c>
      <c r="J1173">
        <f>($B$1+Table4[[#This Row],[Home Differential]])-Table4[[#This Row],[Away Differential]]</f>
        <v>1.718799988991174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0.77411263930530994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6.0998961494444972E-3</v>
      </c>
      <c r="H1174" t="s">
        <v>19</v>
      </c>
      <c r="I1174">
        <f>VLOOKUP(Table4[[#This Row],[Visitor]],'NHL Model'!$A$6:$B$38,2,FALSE)</f>
        <v>-0.38335501658895638</v>
      </c>
      <c r="J1174">
        <f>($B$1+Table4[[#This Row],[Home Differential]])-Table4[[#This Row],[Away Differential]]</f>
        <v>0.41628939147921734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0.64969268641712308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1.7050699520681891</v>
      </c>
      <c r="H1175" t="s">
        <v>16</v>
      </c>
      <c r="I1175">
        <f>VLOOKUP(Table4[[#This Row],[Visitor]],'NHL Model'!$A$6:$B$38,2,FALSE)</f>
        <v>-1.0975205179116387</v>
      </c>
      <c r="J1175">
        <f>($B$1+Table4[[#This Row],[Home Differential]])-Table4[[#This Row],[Away Differential]]</f>
        <v>2.8294249487206447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0.98012625035664669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-2.8228251376645769E-2</v>
      </c>
      <c r="H1176" t="s">
        <v>14</v>
      </c>
      <c r="I1176">
        <f>VLOOKUP(Table4[[#This Row],[Visitor]],'NHL Model'!$A$6:$B$38,2,FALSE)</f>
        <v>-1.1494940880477545E-2</v>
      </c>
      <c r="J1176">
        <f>($B$1+Table4[[#This Row],[Home Differential]])-Table4[[#This Row],[Away Differential]]</f>
        <v>1.0101168244648262E-2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0.50189961085935109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-0.51080431935976611</v>
      </c>
      <c r="H1177" t="s">
        <v>35</v>
      </c>
      <c r="I1177">
        <f>VLOOKUP(Table4[[#This Row],[Visitor]],'NHL Model'!$A$6:$B$38,2,FALSE)</f>
        <v>-1.2546198289988155</v>
      </c>
      <c r="J1177">
        <f>($B$1+Table4[[#This Row],[Home Differential]])-Table4[[#This Row],[Away Differential]]</f>
        <v>0.77064998837986587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0.6305099333931603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-0.12684993818444543</v>
      </c>
      <c r="H1178" t="s">
        <v>38</v>
      </c>
      <c r="I1178">
        <f>VLOOKUP(Table4[[#This Row],[Visitor]],'NHL Model'!$A$6:$B$38,2,FALSE)</f>
        <v>-0.83165982757888468</v>
      </c>
      <c r="J1178">
        <f>($B$1+Table4[[#This Row],[Home Differential]])-Table4[[#This Row],[Away Differential]]</f>
        <v>0.7316443681352558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0.62592887046766743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-0.15717729503670502</v>
      </c>
      <c r="H1179" t="s">
        <v>39</v>
      </c>
      <c r="I1179">
        <f>VLOOKUP(Table4[[#This Row],[Visitor]],'NHL Model'!$A$6:$B$38,2,FALSE)</f>
        <v>0.57663845568176975</v>
      </c>
      <c r="J1179">
        <f>($B$1+Table4[[#This Row],[Home Differential]])-Table4[[#This Row],[Away Differential]]</f>
        <v>-0.70698127197765825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0.59212319197127739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-0.43955182119289299</v>
      </c>
      <c r="H1180" t="s">
        <v>30</v>
      </c>
      <c r="I1180">
        <f>VLOOKUP(Table4[[#This Row],[Visitor]],'NHL Model'!$A$6:$B$38,2,FALSE)</f>
        <v>-2.8228251376645769E-2</v>
      </c>
      <c r="J1180">
        <f>($B$1+Table4[[#This Row],[Home Differential]])-Table4[[#This Row],[Away Differential]]</f>
        <v>-0.38448909107543072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0.56760577262156753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-0.45544062464079677</v>
      </c>
      <c r="H1181" t="s">
        <v>25</v>
      </c>
      <c r="I1181">
        <f>VLOOKUP(Table4[[#This Row],[Visitor]],'NHL Model'!$A$6:$B$38,2,FALSE)</f>
        <v>0.52315764934699704</v>
      </c>
      <c r="J1181">
        <f>($B$1+Table4[[#This Row],[Home Differential]])-Table4[[#This Row],[Away Differential]]</f>
        <v>-0.9517637952469773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0.6444042357564469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-0.1280954603767317</v>
      </c>
      <c r="H1182" t="s">
        <v>40</v>
      </c>
      <c r="I1182">
        <f>VLOOKUP(Table4[[#This Row],[Visitor]],'NHL Model'!$A$6:$B$38,2,FALSE)</f>
        <v>-0.25388173436787664</v>
      </c>
      <c r="J1182">
        <f>($B$1+Table4[[#This Row],[Home Differential]])-Table4[[#This Row],[Away Differential]]</f>
        <v>0.15262075273196143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0.55434857261409765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-0.70231133461274453</v>
      </c>
      <c r="H1183" t="s">
        <v>32</v>
      </c>
      <c r="I1183">
        <f>VLOOKUP(Table4[[#This Row],[Visitor]],'NHL Model'!$A$6:$B$38,2,FALSE)</f>
        <v>-0.53356664249341723</v>
      </c>
      <c r="J1183">
        <f>($B$1+Table4[[#This Row],[Home Differential]])-Table4[[#This Row],[Away Differential]]</f>
        <v>-0.14191021337851084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0.47666681911940423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-0.42252386696344346</v>
      </c>
      <c r="H1184" t="s">
        <v>36</v>
      </c>
      <c r="I1184">
        <f>VLOOKUP(Table4[[#This Row],[Visitor]],'NHL Model'!$A$6:$B$38,2,FALSE)</f>
        <v>-0.31206928170612303</v>
      </c>
      <c r="J1184">
        <f>($B$1+Table4[[#This Row],[Home Differential]])-Table4[[#This Row],[Away Differential]]</f>
        <v>-8.3620106516503978E-2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0.47339702494345642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-0.10354486814940167</v>
      </c>
      <c r="H1185" t="s">
        <v>24</v>
      </c>
      <c r="I1185">
        <f>VLOOKUP(Table4[[#This Row],[Visitor]],'NHL Model'!$A$6:$B$38,2,FALSE)</f>
        <v>1.2368486032251671E-3</v>
      </c>
      <c r="J1185">
        <f>($B$1+Table4[[#This Row],[Home Differential]])-Table4[[#This Row],[Away Differential]]</f>
        <v>-7.7947238011810346E-2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0.48992383977073278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-1.1494940880477545E-2</v>
      </c>
      <c r="H1186" t="s">
        <v>26</v>
      </c>
      <c r="I1186">
        <f>VLOOKUP(Table4[[#This Row],[Visitor]],'NHL Model'!$A$6:$B$38,2,FALSE)</f>
        <v>-0.72022444935789065</v>
      </c>
      <c r="J1186">
        <f>($B$1+Table4[[#This Row],[Home Differential]])-Table4[[#This Row],[Away Differential]]</f>
        <v>0.73556398721822958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0.62638921493983479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0.58787033474453221</v>
      </c>
      <c r="H1187" t="s">
        <v>18</v>
      </c>
      <c r="I1187">
        <f>VLOOKUP(Table4[[#This Row],[Visitor]],'NHL Model'!$A$6:$B$38,2,FALSE)</f>
        <v>-0.50446035262371991</v>
      </c>
      <c r="J1187">
        <f>($B$1+Table4[[#This Row],[Home Differential]])-Table4[[#This Row],[Away Differential]]</f>
        <v>1.1191651661090685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0.64481070999088885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0.78208997208538333</v>
      </c>
      <c r="H1188" t="s">
        <v>27</v>
      </c>
      <c r="I1188">
        <f>VLOOKUP(Table4[[#This Row],[Visitor]],'NHL Model'!$A$6:$B$38,2,FALSE)</f>
        <v>-0.15216510880280634</v>
      </c>
      <c r="J1188">
        <f>($B$1+Table4[[#This Row],[Home Differential]])-Table4[[#This Row],[Away Differential]]</f>
        <v>0.96108955962900611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0.63668586629771085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1.7050699520681891</v>
      </c>
      <c r="H1189" t="s">
        <v>38</v>
      </c>
      <c r="I1189">
        <f>VLOOKUP(Table4[[#This Row],[Visitor]],'NHL Model'!$A$6:$B$38,2,FALSE)</f>
        <v>-0.83165982757888468</v>
      </c>
      <c r="J1189">
        <f>($B$1+Table4[[#This Row],[Home Differential]])-Table4[[#This Row],[Away Differential]]</f>
        <v>2.5635642583878901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0.9489019153969267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-0.27930615658534785</v>
      </c>
      <c r="H1190" t="s">
        <v>35</v>
      </c>
      <c r="I1190">
        <f>VLOOKUP(Table4[[#This Row],[Visitor]],'NHL Model'!$A$6:$B$38,2,FALSE)</f>
        <v>-1.2546198289988155</v>
      </c>
      <c r="J1190">
        <f>($B$1+Table4[[#This Row],[Home Differential]])-Table4[[#This Row],[Away Differential]]</f>
        <v>1.0021481511542842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0.65769851914452171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-0.51080431935976611</v>
      </c>
      <c r="H1191" t="s">
        <v>31</v>
      </c>
      <c r="I1191">
        <f>VLOOKUP(Table4[[#This Row],[Visitor]],'NHL Model'!$A$6:$B$38,2,FALSE)</f>
        <v>6.0998961494444972E-3</v>
      </c>
      <c r="J1191">
        <f>($B$1+Table4[[#This Row],[Home Differential]])-Table4[[#This Row],[Away Differential]]</f>
        <v>-0.49006973676839416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0.53832607226891172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0.52315764934699704</v>
      </c>
      <c r="H1192" t="s">
        <v>28</v>
      </c>
      <c r="I1192">
        <f>VLOOKUP(Table4[[#This Row],[Visitor]],'NHL Model'!$A$6:$B$38,2,FALSE)</f>
        <v>-0.45544062464079677</v>
      </c>
      <c r="J1192">
        <f>($B$1+Table4[[#This Row],[Home Differential]])-Table4[[#This Row],[Away Differential]]</f>
        <v>1.0054327527286102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0.70631957732393214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0.57663845568176975</v>
      </c>
      <c r="H1193" t="s">
        <v>40</v>
      </c>
      <c r="I1193">
        <f>VLOOKUP(Table4[[#This Row],[Visitor]],'NHL Model'!$A$6:$B$38,2,FALSE)</f>
        <v>-0.25388173436787664</v>
      </c>
      <c r="J1193">
        <f>($B$1+Table4[[#This Row],[Home Differential]])-Table4[[#This Row],[Away Differential]]</f>
        <v>0.85735466879046285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0.669413450108584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-0.70231133461274453</v>
      </c>
      <c r="H1194" t="s">
        <v>10</v>
      </c>
      <c r="I1194">
        <f>VLOOKUP(Table4[[#This Row],[Visitor]],'NHL Model'!$A$6:$B$38,2,FALSE)</f>
        <v>-0.1280954603767317</v>
      </c>
      <c r="J1194">
        <f>($B$1+Table4[[#This Row],[Home Differential]])-Table4[[#This Row],[Away Differential]]</f>
        <v>-0.54738139549519638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0.52428787957433232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-0.42252386696344346</v>
      </c>
      <c r="H1195" t="s">
        <v>21</v>
      </c>
      <c r="I1195">
        <f>VLOOKUP(Table4[[#This Row],[Visitor]],'NHL Model'!$A$6:$B$38,2,FALSE)</f>
        <v>-0.15717729503670502</v>
      </c>
      <c r="J1195">
        <f>($B$1+Table4[[#This Row],[Home Differential]])-Table4[[#This Row],[Away Differential]]</f>
        <v>-0.23851209318592198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0.48801234541390809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-0.27930615658534785</v>
      </c>
      <c r="H1196" t="s">
        <v>29</v>
      </c>
      <c r="I1196">
        <f>VLOOKUP(Table4[[#This Row],[Visitor]],'NHL Model'!$A$6:$B$38,2,FALSE)</f>
        <v>-1.1040951755058253</v>
      </c>
      <c r="J1196">
        <f>($B$1+Table4[[#This Row],[Home Differential]])-Table4[[#This Row],[Away Differential]]</f>
        <v>0.85162349766129386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0.64001996653684468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6.3765445873038576E-2</v>
      </c>
      <c r="H1197" t="s">
        <v>38</v>
      </c>
      <c r="I1197">
        <f>VLOOKUP(Table4[[#This Row],[Visitor]],'NHL Model'!$A$6:$B$38,2,FALSE)</f>
        <v>-0.83165982757888468</v>
      </c>
      <c r="J1197">
        <f>($B$1+Table4[[#This Row],[Home Differential]])-Table4[[#This Row],[Away Differential]]</f>
        <v>0.9222597521927397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0.64831592811367422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1.2368486032251671E-3</v>
      </c>
      <c r="H1198" t="s">
        <v>22</v>
      </c>
      <c r="I1198">
        <f>VLOOKUP(Table4[[#This Row],[Visitor]],'NHL Model'!$A$6:$B$38,2,FALSE)</f>
        <v>0.78208997208538333</v>
      </c>
      <c r="J1198">
        <f>($B$1+Table4[[#This Row],[Home Differential]])-Table4[[#This Row],[Away Differential]]</f>
        <v>-0.75401864474134173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0.55914488012871177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-0.10354486814940167</v>
      </c>
      <c r="H1199" t="s">
        <v>18</v>
      </c>
      <c r="I1199">
        <f>VLOOKUP(Table4[[#This Row],[Visitor]],'NHL Model'!$A$6:$B$38,2,FALSE)</f>
        <v>-0.50446035262371991</v>
      </c>
      <c r="J1199">
        <f>($B$1+Table4[[#This Row],[Home Differential]])-Table4[[#This Row],[Away Differential]]</f>
        <v>0.4277499632151347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0.53094978540690407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-0.31206928170612303</v>
      </c>
      <c r="H1200" t="s">
        <v>23</v>
      </c>
      <c r="I1200">
        <f>VLOOKUP(Table4[[#This Row],[Visitor]],'NHL Model'!$A$6:$B$38,2,FALSE)</f>
        <v>-0.43955182119289299</v>
      </c>
      <c r="J1200">
        <f>($B$1+Table4[[#This Row],[Home Differential]])-Table4[[#This Row],[Away Differential]]</f>
        <v>0.15431701822758642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0.56061943074111109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-0.15216510880280634</v>
      </c>
      <c r="H1201" t="s">
        <v>26</v>
      </c>
      <c r="I1201">
        <f>VLOOKUP(Table4[[#This Row],[Visitor]],'NHL Model'!$A$6:$B$38,2,FALSE)</f>
        <v>-0.72022444935789065</v>
      </c>
      <c r="J1201">
        <f>($B$1+Table4[[#This Row],[Home Differential]])-Table4[[#This Row],[Away Differential]]</f>
        <v>0.59489381929590079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0.63590577032949602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-0.53356664249341723</v>
      </c>
      <c r="H1202" t="s">
        <v>55</v>
      </c>
      <c r="I1202">
        <f>VLOOKUP(Table4[[#This Row],[Visitor]],'NHL Model'!$A$6:$B$38,2,FALSE)</f>
        <v>-5.8660643157088771E-2</v>
      </c>
      <c r="J1202">
        <f>($B$1+Table4[[#This Row],[Home Differential]])-Table4[[#This Row],[Away Differential]]</f>
        <v>-0.44807152059551203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0.51262430947378634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-0.51080431935976611</v>
      </c>
      <c r="H1203" t="s">
        <v>19</v>
      </c>
      <c r="I1203">
        <f>VLOOKUP(Table4[[#This Row],[Visitor]],'NHL Model'!$A$6:$B$38,2,FALSE)</f>
        <v>-0.38335501658895638</v>
      </c>
      <c r="J1203">
        <f>($B$1+Table4[[#This Row],[Home Differential]])-Table4[[#This Row],[Away Differential]]</f>
        <v>-0.10061482402999328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0.47181683145219283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0.58787033474453221</v>
      </c>
      <c r="H1204" t="s">
        <v>14</v>
      </c>
      <c r="I1204">
        <f>VLOOKUP(Table4[[#This Row],[Visitor]],'NHL Model'!$A$6:$B$38,2,FALSE)</f>
        <v>-1.1494940880477545E-2</v>
      </c>
      <c r="J1204">
        <f>($B$1+Table4[[#This Row],[Home Differential]])-Table4[[#This Row],[Away Differential]]</f>
        <v>0.6261997543658262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0.60687813176720706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-0.12684993818444543</v>
      </c>
      <c r="H1205" t="s">
        <v>16</v>
      </c>
      <c r="I1205">
        <f>VLOOKUP(Table4[[#This Row],[Visitor]],'NHL Model'!$A$6:$B$38,2,FALSE)</f>
        <v>-1.0975205179116387</v>
      </c>
      <c r="J1205">
        <f>($B$1+Table4[[#This Row],[Home Differential]])-Table4[[#This Row],[Away Differential]]</f>
        <v>0.99750505846800985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0.65715320542738731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6.0998961494444972E-3</v>
      </c>
      <c r="H1206" t="s">
        <v>35</v>
      </c>
      <c r="I1206">
        <f>VLOOKUP(Table4[[#This Row],[Visitor]],'NHL Model'!$A$6:$B$38,2,FALSE)</f>
        <v>-1.2546198289988155</v>
      </c>
      <c r="J1206">
        <f>($B$1+Table4[[#This Row],[Home Differential]])-Table4[[#This Row],[Away Differential]]</f>
        <v>1.2875542038890766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0.75201945126247627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-2.8228251376645769E-2</v>
      </c>
      <c r="H1207" t="s">
        <v>27</v>
      </c>
      <c r="I1207">
        <f>VLOOKUP(Table4[[#This Row],[Visitor]],'NHL Model'!$A$6:$B$38,2,FALSE)</f>
        <v>-0.15216510880280634</v>
      </c>
      <c r="J1207">
        <f>($B$1+Table4[[#This Row],[Home Differential]])-Table4[[#This Row],[Away Differential]]</f>
        <v>0.15077133616697705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0.51519496174290713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6.0998961494444972E-3</v>
      </c>
      <c r="H1208" t="s">
        <v>16</v>
      </c>
      <c r="I1208">
        <f>VLOOKUP(Table4[[#This Row],[Visitor]],'NHL Model'!$A$6:$B$38,2,FALSE)</f>
        <v>-1.0975205179116387</v>
      </c>
      <c r="J1208">
        <f>($B$1+Table4[[#This Row],[Home Differential]])-Table4[[#This Row],[Away Differential]]</f>
        <v>1.1304548928018998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0.73356872992722466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0.52315764934699704</v>
      </c>
      <c r="H1209" t="s">
        <v>30</v>
      </c>
      <c r="I1209">
        <f>VLOOKUP(Table4[[#This Row],[Visitor]],'NHL Model'!$A$6:$B$38,2,FALSE)</f>
        <v>-2.8228251376645769E-2</v>
      </c>
      <c r="J1209">
        <f>($B$1+Table4[[#This Row],[Home Differential]])-Table4[[#This Row],[Away Differential]]</f>
        <v>0.57822037946445926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0.58790980188284836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-0.45544062464079677</v>
      </c>
      <c r="H1210" t="s">
        <v>40</v>
      </c>
      <c r="I1210">
        <f>VLOOKUP(Table4[[#This Row],[Visitor]],'NHL Model'!$A$6:$B$38,2,FALSE)</f>
        <v>-0.25388173436787664</v>
      </c>
      <c r="J1210">
        <f>($B$1+Table4[[#This Row],[Home Differential]])-Table4[[#This Row],[Away Differential]]</f>
        <v>-0.17472441153210361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0.48409688182157989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0.57663845568176975</v>
      </c>
      <c r="H1211" t="s">
        <v>12</v>
      </c>
      <c r="I1211">
        <f>VLOOKUP(Table4[[#This Row],[Visitor]],'NHL Model'!$A$6:$B$38,2,FALSE)</f>
        <v>1.7050699520681891</v>
      </c>
      <c r="J1211">
        <f>($B$1+Table4[[#This Row],[Home Differential]])-Table4[[#This Row],[Away Differential]]</f>
        <v>-1.1015970176456029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0.62937841328307542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-0.70231133461274453</v>
      </c>
      <c r="H1212" t="s">
        <v>20</v>
      </c>
      <c r="I1212">
        <f>VLOOKUP(Table4[[#This Row],[Visitor]],'NHL Model'!$A$6:$B$38,2,FALSE)</f>
        <v>-0.12684993818444543</v>
      </c>
      <c r="J1212">
        <f>($B$1+Table4[[#This Row],[Home Differential]])-Table4[[#This Row],[Away Differential]]</f>
        <v>-0.54862691768748262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0.52443416145633237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-0.27930615658534785</v>
      </c>
      <c r="H1213" t="s">
        <v>19</v>
      </c>
      <c r="I1213">
        <f>VLOOKUP(Table4[[#This Row],[Visitor]],'NHL Model'!$A$6:$B$38,2,FALSE)</f>
        <v>-0.38335501658895638</v>
      </c>
      <c r="J1213">
        <f>($B$1+Table4[[#This Row],[Home Differential]])-Table4[[#This Row],[Away Differential]]</f>
        <v>0.13088333874442498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0.55537175429916852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1.2368486032251671E-3</v>
      </c>
      <c r="H1214" t="s">
        <v>18</v>
      </c>
      <c r="I1214">
        <f>VLOOKUP(Table4[[#This Row],[Visitor]],'NHL Model'!$A$6:$B$38,2,FALSE)</f>
        <v>-0.50446035262371991</v>
      </c>
      <c r="J1214">
        <f>($B$1+Table4[[#This Row],[Home Differential]])-Table4[[#This Row],[Away Differential]]</f>
        <v>0.53253167996776152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0.6052574043543425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-0.10354486814940167</v>
      </c>
      <c r="H1215" t="s">
        <v>26</v>
      </c>
      <c r="I1215">
        <f>VLOOKUP(Table4[[#This Row],[Visitor]],'NHL Model'!$A$6:$B$38,2,FALSE)</f>
        <v>-0.72022444935789065</v>
      </c>
      <c r="J1215">
        <f>($B$1+Table4[[#This Row],[Home Differential]])-Table4[[#This Row],[Away Differential]]</f>
        <v>0.64351405994930544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0.61557829829598887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-0.31206928170612303</v>
      </c>
      <c r="H1216" t="s">
        <v>34</v>
      </c>
      <c r="I1216">
        <f>VLOOKUP(Table4[[#This Row],[Visitor]],'NHL Model'!$A$6:$B$38,2,FALSE)</f>
        <v>6.3765445873038576E-2</v>
      </c>
      <c r="J1216">
        <f>($B$1+Table4[[#This Row],[Home Differential]])-Table4[[#This Row],[Away Differential]]</f>
        <v>-0.34900024883834513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0.55776728590198754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-1.1494940880477545E-2</v>
      </c>
      <c r="H1217" t="s">
        <v>11</v>
      </c>
      <c r="I1217">
        <f>VLOOKUP(Table4[[#This Row],[Visitor]],'NHL Model'!$A$6:$B$38,2,FALSE)</f>
        <v>-0.42252386696344346</v>
      </c>
      <c r="J1217">
        <f>($B$1+Table4[[#This Row],[Home Differential]])-Table4[[#This Row],[Away Differential]]</f>
        <v>0.43786340482378239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0.59142540479267247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-0.53356664249341723</v>
      </c>
      <c r="H1218" t="s">
        <v>10</v>
      </c>
      <c r="I1218">
        <f>VLOOKUP(Table4[[#This Row],[Visitor]],'NHL Model'!$A$6:$B$38,2,FALSE)</f>
        <v>-0.1280954603767317</v>
      </c>
      <c r="J1218">
        <f>($B$1+Table4[[#This Row],[Home Differential]])-Table4[[#This Row],[Away Differential]]</f>
        <v>-0.37863670337586908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0.50446945217608086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-0.51080431935976611</v>
      </c>
      <c r="H1219" t="s">
        <v>29</v>
      </c>
      <c r="I1219">
        <f>VLOOKUP(Table4[[#This Row],[Visitor]],'NHL Model'!$A$6:$B$38,2,FALSE)</f>
        <v>-1.1040951755058253</v>
      </c>
      <c r="J1219">
        <f>($B$1+Table4[[#This Row],[Home Differential]])-Table4[[#This Row],[Away Differential]]</f>
        <v>0.6201253348868756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0.61283138078548338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0.58787033474453221</v>
      </c>
      <c r="H1220" t="s">
        <v>21</v>
      </c>
      <c r="I1220">
        <f>VLOOKUP(Table4[[#This Row],[Visitor]],'NHL Model'!$A$6:$B$38,2,FALSE)</f>
        <v>-0.15717729503670502</v>
      </c>
      <c r="J1220">
        <f>($B$1+Table4[[#This Row],[Home Differential]])-Table4[[#This Row],[Away Differential]]</f>
        <v>0.77188210852205374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0.66290070706324133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-0.83165982757888468</v>
      </c>
      <c r="H1221" t="s">
        <v>55</v>
      </c>
      <c r="I1221">
        <f>VLOOKUP(Table4[[#This Row],[Visitor]],'NHL Model'!$A$6:$B$38,2,FALSE)</f>
        <v>-5.8660643157088771E-2</v>
      </c>
      <c r="J1221">
        <f>($B$1+Table4[[#This Row],[Home Differential]])-Table4[[#This Row],[Away Differential]]</f>
        <v>-0.74616470568097948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0.5476342293256784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0.78208997208538333</v>
      </c>
      <c r="H1222" t="s">
        <v>23</v>
      </c>
      <c r="I1222">
        <f>VLOOKUP(Table4[[#This Row],[Visitor]],'NHL Model'!$A$6:$B$38,2,FALSE)</f>
        <v>-0.43955182119289299</v>
      </c>
      <c r="J1222">
        <f>($B$1+Table4[[#This Row],[Home Differential]])-Table4[[#This Row],[Away Differential]]</f>
        <v>1.2484762720190927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0.7126665633676913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1.7050699520681891</v>
      </c>
      <c r="H1223" t="s">
        <v>35</v>
      </c>
      <c r="I1223">
        <f>VLOOKUP(Table4[[#This Row],[Visitor]],'NHL Model'!$A$6:$B$38,2,FALSE)</f>
        <v>-1.2546198289988155</v>
      </c>
      <c r="J1223">
        <f>($B$1+Table4[[#This Row],[Home Differential]])-Table4[[#This Row],[Away Differential]]</f>
        <v>2.9865242598078212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0.99857697169189819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-0.72022444935789065</v>
      </c>
      <c r="H1224" t="s">
        <v>34</v>
      </c>
      <c r="I1224">
        <f>VLOOKUP(Table4[[#This Row],[Visitor]],'NHL Model'!$A$6:$B$38,2,FALSE)</f>
        <v>6.3765445873038576E-2</v>
      </c>
      <c r="J1224">
        <f>($B$1+Table4[[#This Row],[Home Differential]])-Table4[[#This Row],[Away Differential]]</f>
        <v>-0.75715541649011275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0.59801595593203227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-0.50446035262371991</v>
      </c>
      <c r="H1225" t="s">
        <v>24</v>
      </c>
      <c r="I1225">
        <f>VLOOKUP(Table4[[#This Row],[Visitor]],'NHL Model'!$A$6:$B$38,2,FALSE)</f>
        <v>1.2368486032251671E-3</v>
      </c>
      <c r="J1225">
        <f>($B$1+Table4[[#This Row],[Home Differential]])-Table4[[#This Row],[Away Differential]]</f>
        <v>-0.4788627224861286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0.53700985072668284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-0.10354486814940167</v>
      </c>
      <c r="H1226" t="s">
        <v>22</v>
      </c>
      <c r="I1226">
        <f>VLOOKUP(Table4[[#This Row],[Visitor]],'NHL Model'!$A$6:$B$38,2,FALSE)</f>
        <v>0.78208997208538333</v>
      </c>
      <c r="J1226">
        <f>($B$1+Table4[[#This Row],[Home Differential]])-Table4[[#This Row],[Away Differential]]</f>
        <v>-0.85880036149396854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0.63348603122279956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-0.31206928170612303</v>
      </c>
      <c r="H1227" t="s">
        <v>25</v>
      </c>
      <c r="I1227">
        <f>VLOOKUP(Table4[[#This Row],[Visitor]],'NHL Model'!$A$6:$B$38,2,FALSE)</f>
        <v>0.52315764934699704</v>
      </c>
      <c r="J1227">
        <f>($B$1+Table4[[#This Row],[Home Differential]])-Table4[[#This Row],[Away Differential]]</f>
        <v>-0.80839245231230361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0.62506312530351882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-0.15216510880280634</v>
      </c>
      <c r="H1228" t="s">
        <v>21</v>
      </c>
      <c r="I1228">
        <f>VLOOKUP(Table4[[#This Row],[Visitor]],'NHL Model'!$A$6:$B$38,2,FALSE)</f>
        <v>-0.15717729503670502</v>
      </c>
      <c r="J1228">
        <f>($B$1+Table4[[#This Row],[Home Differential]])-Table4[[#This Row],[Away Differential]]</f>
        <v>3.1846664974715166E-2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0.56977800648957855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-1.1494940880477545E-2</v>
      </c>
      <c r="H1229" t="s">
        <v>11</v>
      </c>
      <c r="I1229">
        <f>VLOOKUP(Table4[[#This Row],[Visitor]],'NHL Model'!$A$6:$B$38,2,FALSE)</f>
        <v>-0.42252386696344346</v>
      </c>
      <c r="J1229">
        <f>($B$1+Table4[[#This Row],[Home Differential]])-Table4[[#This Row],[Away Differential]]</f>
        <v>0.43786340482378239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0.59142540479267247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-0.43955182119289299</v>
      </c>
      <c r="H1230" t="s">
        <v>37</v>
      </c>
      <c r="I1230">
        <f>VLOOKUP(Table4[[#This Row],[Visitor]],'NHL Model'!$A$6:$B$38,2,FALSE)</f>
        <v>0.58787033474453221</v>
      </c>
      <c r="J1230">
        <f>($B$1+Table4[[#This Row],[Home Differential]])-Table4[[#This Row],[Away Differential]]</f>
        <v>-1.0005876771966087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0.63996422695785893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-0.27930615658534785</v>
      </c>
      <c r="H1231" t="s">
        <v>29</v>
      </c>
      <c r="I1231">
        <f>VLOOKUP(Table4[[#This Row],[Visitor]],'NHL Model'!$A$6:$B$38,2,FALSE)</f>
        <v>-1.1040951755058253</v>
      </c>
      <c r="J1231">
        <f>($B$1+Table4[[#This Row],[Home Differential]])-Table4[[#This Row],[Away Differential]]</f>
        <v>0.85162349766129386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0.64001996653684468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-0.51080431935976611</v>
      </c>
      <c r="H1232" t="s">
        <v>10</v>
      </c>
      <c r="I1232">
        <f>VLOOKUP(Table4[[#This Row],[Visitor]],'NHL Model'!$A$6:$B$38,2,FALSE)</f>
        <v>-0.1280954603767317</v>
      </c>
      <c r="J1232">
        <f>($B$1+Table4[[#This Row],[Home Differential]])-Table4[[#This Row],[Away Differential]]</f>
        <v>-0.35587438024221796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0.50179610320863133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-0.25388173436787664</v>
      </c>
      <c r="H1233" t="s">
        <v>32</v>
      </c>
      <c r="I1233">
        <f>VLOOKUP(Table4[[#This Row],[Visitor]],'NHL Model'!$A$6:$B$38,2,FALSE)</f>
        <v>-0.53356664249341723</v>
      </c>
      <c r="J1233">
        <f>($B$1+Table4[[#This Row],[Home Differential]])-Table4[[#This Row],[Away Differential]]</f>
        <v>0.30651938686635705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0.57849502466246727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6.0998961494444972E-3</v>
      </c>
      <c r="H1234" t="s">
        <v>29</v>
      </c>
      <c r="I1234">
        <f>VLOOKUP(Table4[[#This Row],[Visitor]],'NHL Model'!$A$6:$B$38,2,FALSE)</f>
        <v>-1.1040951755058253</v>
      </c>
      <c r="J1234">
        <f>($B$1+Table4[[#This Row],[Home Differential]])-Table4[[#This Row],[Away Differential]]</f>
        <v>1.1370295503960863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0.73434089865479935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0.52315764934699704</v>
      </c>
      <c r="H1235" t="s">
        <v>21</v>
      </c>
      <c r="I1235">
        <f>VLOOKUP(Table4[[#This Row],[Visitor]],'NHL Model'!$A$6:$B$38,2,FALSE)</f>
        <v>-0.15717729503670502</v>
      </c>
      <c r="J1235">
        <f>($B$1+Table4[[#This Row],[Home Differential]])-Table4[[#This Row],[Away Differential]]</f>
        <v>0.70716942312451847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0.67477035685401421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0.57663845568176975</v>
      </c>
      <c r="H1236" t="s">
        <v>16</v>
      </c>
      <c r="I1236">
        <f>VLOOKUP(Table4[[#This Row],[Visitor]],'NHL Model'!$A$6:$B$38,2,FALSE)</f>
        <v>-1.0975205179116387</v>
      </c>
      <c r="J1236">
        <f>($B$1+Table4[[#This Row],[Home Differential]])-Table4[[#This Row],[Away Differential]]</f>
        <v>1.7009934523342249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0.77202132876085439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-0.72022444935789065</v>
      </c>
      <c r="H1237" t="s">
        <v>28</v>
      </c>
      <c r="I1237">
        <f>VLOOKUP(Table4[[#This Row],[Visitor]],'NHL Model'!$A$6:$B$38,2,FALSE)</f>
        <v>-0.45544062464079677</v>
      </c>
      <c r="J1237">
        <f>($B$1+Table4[[#This Row],[Home Differential]])-Table4[[#This Row],[Away Differential]]</f>
        <v>-0.23794934597627743</v>
      </c>
      <c r="K1237" t="str">
        <f>IF(Table4[[#This Row],[HomeIce Differential]]&gt;0,Table4[[#This Row],[Home]],Table4[[#This Row],[Visitor]])</f>
        <v>Columbus Blue Jackets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0.48138754842399734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6.3765445873038576E-2</v>
      </c>
      <c r="H1238" t="s">
        <v>32</v>
      </c>
      <c r="I1238">
        <f>VLOOKUP(Table4[[#This Row],[Visitor]],'NHL Model'!$A$6:$B$38,2,FALSE)</f>
        <v>-0.53356664249341723</v>
      </c>
      <c r="J1238">
        <f>($B$1+Table4[[#This Row],[Home Differential]])-Table4[[#This Row],[Away Differential]]</f>
        <v>0.62416656710727225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0.61330600826178217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-0.50446035262371991</v>
      </c>
      <c r="H1239" t="s">
        <v>11</v>
      </c>
      <c r="I1239">
        <f>VLOOKUP(Table4[[#This Row],[Visitor]],'NHL Model'!$A$6:$B$38,2,FALSE)</f>
        <v>-0.42252386696344346</v>
      </c>
      <c r="J1239">
        <f>($B$1+Table4[[#This Row],[Home Differential]])-Table4[[#This Row],[Away Differential]]</f>
        <v>-5.5102006919459989E-2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0.46647152280712356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1.2368486032251671E-3</v>
      </c>
      <c r="H1240" t="s">
        <v>27</v>
      </c>
      <c r="I1240">
        <f>VLOOKUP(Table4[[#This Row],[Visitor]],'NHL Model'!$A$6:$B$38,2,FALSE)</f>
        <v>-0.15216510880280634</v>
      </c>
      <c r="J1240">
        <f>($B$1+Table4[[#This Row],[Home Differential]])-Table4[[#This Row],[Away Differential]]</f>
        <v>0.18023643614684801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0.58049012327305094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-0.31206928170612303</v>
      </c>
      <c r="H1241" t="s">
        <v>37</v>
      </c>
      <c r="I1241">
        <f>VLOOKUP(Table4[[#This Row],[Visitor]],'NHL Model'!$A$6:$B$38,2,FALSE)</f>
        <v>0.58787033474453221</v>
      </c>
      <c r="J1241">
        <f>($B$1+Table4[[#This Row],[Home Differential]])-Table4[[#This Row],[Away Differential]]</f>
        <v>-0.87310513770983877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0.63266338603580907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-1.2546198289988155</v>
      </c>
      <c r="H1242" t="s">
        <v>12</v>
      </c>
      <c r="I1242">
        <f>VLOOKUP(Table4[[#This Row],[Visitor]],'NHL Model'!$A$6:$B$38,2,FALSE)</f>
        <v>1.7050699520681891</v>
      </c>
      <c r="J1242">
        <f>($B$1+Table4[[#This Row],[Home Differential]])-Table4[[#This Row],[Away Differential]]</f>
        <v>-2.9328553023261881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0.87707595839989283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-5.8660643157088771E-2</v>
      </c>
      <c r="H1243" t="s">
        <v>17</v>
      </c>
      <c r="I1243">
        <f>VLOOKUP(Table4[[#This Row],[Visitor]],'NHL Model'!$A$6:$B$38,2,FALSE)</f>
        <v>-0.70231133461274453</v>
      </c>
      <c r="J1243">
        <f>($B$1+Table4[[#This Row],[Home Differential]])-Table4[[#This Row],[Away Differential]]</f>
        <v>0.67048517019647225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0.65917713087583474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-0.83165982757888468</v>
      </c>
      <c r="H1244" t="s">
        <v>20</v>
      </c>
      <c r="I1244">
        <f>VLOOKUP(Table4[[#This Row],[Visitor]],'NHL Model'!$A$6:$B$38,2,FALSE)</f>
        <v>-0.12684993818444543</v>
      </c>
      <c r="J1244">
        <f>($B$1+Table4[[#This Row],[Home Differential]])-Table4[[#This Row],[Away Differential]]</f>
        <v>-0.67797541065362277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0.53962565390997308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-0.10354486814940167</v>
      </c>
      <c r="H1245" t="s">
        <v>23</v>
      </c>
      <c r="I1245">
        <f>VLOOKUP(Table4[[#This Row],[Visitor]],'NHL Model'!$A$6:$B$38,2,FALSE)</f>
        <v>-0.43955182119289299</v>
      </c>
      <c r="J1245">
        <f>($B$1+Table4[[#This Row],[Home Differential]])-Table4[[#This Row],[Away Differential]]</f>
        <v>0.36284143178430783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0.58261435712484422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-0.51080431935976611</v>
      </c>
      <c r="H1246" t="s">
        <v>17</v>
      </c>
      <c r="I1246">
        <f>VLOOKUP(Table4[[#This Row],[Visitor]],'NHL Model'!$A$6:$B$38,2,FALSE)</f>
        <v>-0.70231133461274453</v>
      </c>
      <c r="J1246">
        <f>($B$1+Table4[[#This Row],[Home Differential]])-Table4[[#This Row],[Away Differential]]</f>
        <v>0.21834149399379488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0.56564338464454822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-0.38335501658895638</v>
      </c>
      <c r="H1247" t="s">
        <v>22</v>
      </c>
      <c r="I1247">
        <f>VLOOKUP(Table4[[#This Row],[Visitor]],'NHL Model'!$A$6:$B$38,2,FALSE)</f>
        <v>0.78208997208538333</v>
      </c>
      <c r="J1247">
        <f>($B$1+Table4[[#This Row],[Home Differential]])-Table4[[#This Row],[Away Differential]]</f>
        <v>-1.1386105099335233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0.66634867740441606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6.0998961494444972E-3</v>
      </c>
      <c r="H1248" t="s">
        <v>33</v>
      </c>
      <c r="I1248">
        <f>VLOOKUP(Table4[[#This Row],[Visitor]],'NHL Model'!$A$6:$B$38,2,FALSE)</f>
        <v>-0.51080431935976611</v>
      </c>
      <c r="J1248">
        <f>($B$1+Table4[[#This Row],[Home Differential]])-Table4[[#This Row],[Away Differential]]</f>
        <v>0.54373869425002708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0.66466112614816308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-0.43955182119289299</v>
      </c>
      <c r="H1249" t="s">
        <v>28</v>
      </c>
      <c r="I1249">
        <f>VLOOKUP(Table4[[#This Row],[Visitor]],'NHL Model'!$A$6:$B$38,2,FALSE)</f>
        <v>-0.45544062464079677</v>
      </c>
      <c r="J1249">
        <f>($B$1+Table4[[#This Row],[Home Differential]])-Table4[[#This Row],[Away Differential]]</f>
        <v>4.2723282188720291E-2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0.5515763927471472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-0.1280954603767317</v>
      </c>
      <c r="H1250" t="s">
        <v>25</v>
      </c>
      <c r="I1250">
        <f>VLOOKUP(Table4[[#This Row],[Visitor]],'NHL Model'!$A$6:$B$38,2,FALSE)</f>
        <v>0.52315764934699704</v>
      </c>
      <c r="J1250">
        <f>($B$1+Table4[[#This Row],[Home Differential]])-Table4[[#This Row],[Away Differential]]</f>
        <v>-0.62441863098291228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0.60595878132076919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1.7050699520681891</v>
      </c>
      <c r="H1251" t="s">
        <v>16</v>
      </c>
      <c r="I1251">
        <f>VLOOKUP(Table4[[#This Row],[Visitor]],'NHL Model'!$A$6:$B$38,2,FALSE)</f>
        <v>-1.0975205179116387</v>
      </c>
      <c r="J1251">
        <f>($B$1+Table4[[#This Row],[Home Differential]])-Table4[[#This Row],[Away Differential]]</f>
        <v>2.8294249487206447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0.98012625035664669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0.57663845568176975</v>
      </c>
      <c r="H1252" t="s">
        <v>34</v>
      </c>
      <c r="I1252">
        <f>VLOOKUP(Table4[[#This Row],[Visitor]],'NHL Model'!$A$6:$B$38,2,FALSE)</f>
        <v>6.3765445873038576E-2</v>
      </c>
      <c r="J1252">
        <f>($B$1+Table4[[#This Row],[Home Differential]])-Table4[[#This Row],[Away Differential]]</f>
        <v>0.53970748854954764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0.57675559211522909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-0.72022444935789065</v>
      </c>
      <c r="H1253" t="s">
        <v>27</v>
      </c>
      <c r="I1253">
        <f>VLOOKUP(Table4[[#This Row],[Visitor]],'NHL Model'!$A$6:$B$38,2,FALSE)</f>
        <v>-0.15216510880280634</v>
      </c>
      <c r="J1253">
        <f>($B$1+Table4[[#This Row],[Home Differential]])-Table4[[#This Row],[Away Differential]]</f>
        <v>-0.54122486181426788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0.55587251023043738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-0.27930615658534785</v>
      </c>
      <c r="H1254" t="s">
        <v>38</v>
      </c>
      <c r="I1254">
        <f>VLOOKUP(Table4[[#This Row],[Visitor]],'NHL Model'!$A$6:$B$38,2,FALSE)</f>
        <v>-0.83165982757888468</v>
      </c>
      <c r="J1254">
        <f>($B$1+Table4[[#This Row],[Home Differential]])-Table4[[#This Row],[Away Differential]]</f>
        <v>0.57918814973435329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0.60802346284955022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-0.50446035262371991</v>
      </c>
      <c r="H1255" t="s">
        <v>37</v>
      </c>
      <c r="I1255">
        <f>VLOOKUP(Table4[[#This Row],[Visitor]],'NHL Model'!$A$6:$B$38,2,FALSE)</f>
        <v>0.58787033474453221</v>
      </c>
      <c r="J1255">
        <f>($B$1+Table4[[#This Row],[Home Differential]])-Table4[[#This Row],[Away Differential]]</f>
        <v>-1.0654962086274358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0.6577616785838315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1.2368486032251671E-3</v>
      </c>
      <c r="H1256" t="s">
        <v>14</v>
      </c>
      <c r="I1256">
        <f>VLOOKUP(Table4[[#This Row],[Visitor]],'NHL Model'!$A$6:$B$38,2,FALSE)</f>
        <v>-1.1494940880477545E-2</v>
      </c>
      <c r="J1256">
        <f>($B$1+Table4[[#This Row],[Home Differential]])-Table4[[#This Row],[Away Differential]]</f>
        <v>3.9566268224519197E-2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0.56714690891535047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-2.8228251376645769E-2</v>
      </c>
      <c r="H1257" t="s">
        <v>19</v>
      </c>
      <c r="I1257">
        <f>VLOOKUP(Table4[[#This Row],[Visitor]],'NHL Model'!$A$6:$B$38,2,FALSE)</f>
        <v>-0.38335501658895638</v>
      </c>
      <c r="J1257">
        <f>($B$1+Table4[[#This Row],[Home Differential]])-Table4[[#This Row],[Away Differential]]</f>
        <v>0.38196124395312708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0.58485990692304468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-0.31206928170612303</v>
      </c>
      <c r="H1258" t="s">
        <v>11</v>
      </c>
      <c r="I1258">
        <f>VLOOKUP(Table4[[#This Row],[Visitor]],'NHL Model'!$A$6:$B$38,2,FALSE)</f>
        <v>-0.42252386696344346</v>
      </c>
      <c r="J1258">
        <f>($B$1+Table4[[#This Row],[Home Differential]])-Table4[[#This Row],[Away Differential]]</f>
        <v>0.1372890639981369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0.55861956176509342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-0.53356664249341723</v>
      </c>
      <c r="H1259" t="s">
        <v>20</v>
      </c>
      <c r="I1259">
        <f>VLOOKUP(Table4[[#This Row],[Visitor]],'NHL Model'!$A$6:$B$38,2,FALSE)</f>
        <v>-0.12684993818444543</v>
      </c>
      <c r="J1259">
        <f>($B$1+Table4[[#This Row],[Home Differential]])-Table4[[#This Row],[Away Differential]]</f>
        <v>-0.37988222556815532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0.50461573405808091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-1.2546198289988155</v>
      </c>
      <c r="H1260" t="s">
        <v>40</v>
      </c>
      <c r="I1260">
        <f>VLOOKUP(Table4[[#This Row],[Visitor]],'NHL Model'!$A$6:$B$38,2,FALSE)</f>
        <v>-0.25388173436787664</v>
      </c>
      <c r="J1260">
        <f>($B$1+Table4[[#This Row],[Home Differential]])-Table4[[#This Row],[Away Differential]]</f>
        <v>-0.97390361589012231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0.57795746398769388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-5.8660643157088771E-2</v>
      </c>
      <c r="H1261" t="s">
        <v>29</v>
      </c>
      <c r="I1261">
        <f>VLOOKUP(Table4[[#This Row],[Visitor]],'NHL Model'!$A$6:$B$38,2,FALSE)</f>
        <v>-1.1040951755058253</v>
      </c>
      <c r="J1261">
        <f>($B$1+Table4[[#This Row],[Home Differential]])-Table4[[#This Row],[Away Differential]]</f>
        <v>1.072269011089553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0.70636512701677001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-0.15717729503670502</v>
      </c>
      <c r="H1262" t="s">
        <v>37</v>
      </c>
      <c r="I1262">
        <f>VLOOKUP(Table4[[#This Row],[Visitor]],'NHL Model'!$A$6:$B$38,2,FALSE)</f>
        <v>0.58787033474453221</v>
      </c>
      <c r="J1262">
        <f>($B$1+Table4[[#This Row],[Home Differential]])-Table4[[#This Row],[Away Differential]]</f>
        <v>-0.71821315104042072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0.57343439412956365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-0.1280954603767317</v>
      </c>
      <c r="H1263" t="s">
        <v>35</v>
      </c>
      <c r="I1263">
        <f>VLOOKUP(Table4[[#This Row],[Visitor]],'NHL Model'!$A$6:$B$38,2,FALSE)</f>
        <v>-1.2546198289988155</v>
      </c>
      <c r="J1263">
        <f>($B$1+Table4[[#This Row],[Home Differential]])-Table4[[#This Row],[Away Differential]]</f>
        <v>1.1533588473629004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0.67545764488063886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1.7050699520681891</v>
      </c>
      <c r="H1264" t="s">
        <v>20</v>
      </c>
      <c r="I1264">
        <f>VLOOKUP(Table4[[#This Row],[Visitor]],'NHL Model'!$A$6:$B$38,2,FALSE)</f>
        <v>-0.12684993818444543</v>
      </c>
      <c r="J1264">
        <f>($B$1+Table4[[#This Row],[Home Differential]])-Table4[[#This Row],[Away Differential]]</f>
        <v>1.8587543689934511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0.8661246532081065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0.57663845568176975</v>
      </c>
      <c r="H1265" t="s">
        <v>15</v>
      </c>
      <c r="I1265">
        <f>VLOOKUP(Table4[[#This Row],[Visitor]],'NHL Model'!$A$6:$B$38,2,FALSE)</f>
        <v>-0.10354486814940167</v>
      </c>
      <c r="J1265">
        <f>($B$1+Table4[[#This Row],[Home Differential]])-Table4[[#This Row],[Away Differential]]</f>
        <v>0.70701780257198787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0.55536129650807109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-0.72022444935789065</v>
      </c>
      <c r="H1266" t="s">
        <v>24</v>
      </c>
      <c r="I1266">
        <f>VLOOKUP(Table4[[#This Row],[Visitor]],'NHL Model'!$A$6:$B$38,2,FALSE)</f>
        <v>1.2368486032251671E-3</v>
      </c>
      <c r="J1266">
        <f>($B$1+Table4[[#This Row],[Home Differential]])-Table4[[#This Row],[Away Differential]]</f>
        <v>-0.69462681922029934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0.55216953431276128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-0.27930615658534785</v>
      </c>
      <c r="H1267" t="s">
        <v>17</v>
      </c>
      <c r="I1267">
        <f>VLOOKUP(Table4[[#This Row],[Visitor]],'NHL Model'!$A$6:$B$38,2,FALSE)</f>
        <v>-0.70231133461274453</v>
      </c>
      <c r="J1267">
        <f>($B$1+Table4[[#This Row],[Home Differential]])-Table4[[#This Row],[Away Differential]]</f>
        <v>0.44983965676821314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0.59283197039590951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-0.50446035262371991</v>
      </c>
      <c r="H1268" t="s">
        <v>28</v>
      </c>
      <c r="I1268">
        <f>VLOOKUP(Table4[[#This Row],[Visitor]],'NHL Model'!$A$6:$B$38,2,FALSE)</f>
        <v>-0.45544062464079677</v>
      </c>
      <c r="J1268">
        <f>($B$1+Table4[[#This Row],[Home Differential]])-Table4[[#This Row],[Away Differential]]</f>
        <v>-2.2185249242106686E-2</v>
      </c>
      <c r="K1268" t="str">
        <f>IF(Table4[[#This Row],[HomeIce Differential]]&gt;0,Table4[[#This Row],[Home]],Table4[[#This Row],[Visitor]])</f>
        <v>Columbus Blue Jackets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0.46618173275664443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-1.1040951755058253</v>
      </c>
      <c r="H1269" t="s">
        <v>34</v>
      </c>
      <c r="I1269">
        <f>VLOOKUP(Table4[[#This Row],[Visitor]],'NHL Model'!$A$6:$B$38,2,FALSE)</f>
        <v>6.3765445873038576E-2</v>
      </c>
      <c r="J1269">
        <f>($B$1+Table4[[#This Row],[Home Differential]])-Table4[[#This Row],[Away Differential]]</f>
        <v>-1.1410261426380472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0.65329704907116748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-2.8228251376645769E-2</v>
      </c>
      <c r="H1270" t="s">
        <v>36</v>
      </c>
      <c r="I1270">
        <f>VLOOKUP(Table4[[#This Row],[Visitor]],'NHL Model'!$A$6:$B$38,2,FALSE)</f>
        <v>-0.31206928170612303</v>
      </c>
      <c r="J1270">
        <f>($B$1+Table4[[#This Row],[Home Differential]])-Table4[[#This Row],[Away Differential]]</f>
        <v>0.31067550907029373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0.57291150738910379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-1.1494940880477545E-2</v>
      </c>
      <c r="H1271" t="s">
        <v>22</v>
      </c>
      <c r="I1271">
        <f>VLOOKUP(Table4[[#This Row],[Visitor]],'NHL Model'!$A$6:$B$38,2,FALSE)</f>
        <v>0.78208997208538333</v>
      </c>
      <c r="J1271">
        <f>($B$1+Table4[[#This Row],[Home Differential]])-Table4[[#This Row],[Away Differential]]</f>
        <v>-0.76675043422504441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0.62267511457895364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-0.53356664249341723</v>
      </c>
      <c r="H1272" t="s">
        <v>16</v>
      </c>
      <c r="I1272">
        <f>VLOOKUP(Table4[[#This Row],[Visitor]],'NHL Model'!$A$6:$B$38,2,FALSE)</f>
        <v>-1.0975205179116387</v>
      </c>
      <c r="J1272">
        <f>($B$1+Table4[[#This Row],[Home Differential]])-Table4[[#This Row],[Away Differential]]</f>
        <v>0.59078835415903797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0.60938586309045928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-0.51080431935976611</v>
      </c>
      <c r="H1273" t="s">
        <v>38</v>
      </c>
      <c r="I1273">
        <f>VLOOKUP(Table4[[#This Row],[Visitor]],'NHL Model'!$A$6:$B$38,2,FALSE)</f>
        <v>-0.83165982757888468</v>
      </c>
      <c r="J1273">
        <f>($B$1+Table4[[#This Row],[Home Differential]])-Table4[[#This Row],[Away Differential]]</f>
        <v>0.34768998695993503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0.58083487709818893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-0.38335501658895638</v>
      </c>
      <c r="H1274" t="s">
        <v>11</v>
      </c>
      <c r="I1274">
        <f>VLOOKUP(Table4[[#This Row],[Visitor]],'NHL Model'!$A$6:$B$38,2,FALSE)</f>
        <v>-0.42252386696344346</v>
      </c>
      <c r="J1274">
        <f>($B$1+Table4[[#This Row],[Home Differential]])-Table4[[#This Row],[Away Differential]]</f>
        <v>6.6003329115303599E-2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0.54775184196721005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-5.8660643157088771E-2</v>
      </c>
      <c r="H1275" t="s">
        <v>25</v>
      </c>
      <c r="I1275">
        <f>VLOOKUP(Table4[[#This Row],[Visitor]],'NHL Model'!$A$6:$B$38,2,FALSE)</f>
        <v>0.52315764934699704</v>
      </c>
      <c r="J1275">
        <f>($B$1+Table4[[#This Row],[Home Differential]])-Table4[[#This Row],[Away Differential]]</f>
        <v>-0.55498381376326933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0.5568008666470512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-0.25388173436787664</v>
      </c>
      <c r="H1276" t="s">
        <v>27</v>
      </c>
      <c r="I1276">
        <f>VLOOKUP(Table4[[#This Row],[Visitor]],'NHL Model'!$A$6:$B$38,2,FALSE)</f>
        <v>-0.15216510880280634</v>
      </c>
      <c r="J1276">
        <f>($B$1+Table4[[#This Row],[Home Differential]])-Table4[[#This Row],[Away Differential]]</f>
        <v>-7.4882146824253815E-2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0.50879462560642941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6.0998961494444972E-3</v>
      </c>
      <c r="H1277" t="s">
        <v>38</v>
      </c>
      <c r="I1277">
        <f>VLOOKUP(Table4[[#This Row],[Visitor]],'NHL Model'!$A$6:$B$38,2,FALSE)</f>
        <v>-0.83165982757888468</v>
      </c>
      <c r="J1277">
        <f>($B$1+Table4[[#This Row],[Home Differential]])-Table4[[#This Row],[Away Differential]]</f>
        <v>0.86459420246914565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0.70234439496750478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-0.45544062464079677</v>
      </c>
      <c r="H1278" t="s">
        <v>21</v>
      </c>
      <c r="I1278">
        <f>VLOOKUP(Table4[[#This Row],[Visitor]],'NHL Model'!$A$6:$B$38,2,FALSE)</f>
        <v>-0.15717729503670502</v>
      </c>
      <c r="J1278">
        <f>($B$1+Table4[[#This Row],[Home Differential]])-Table4[[#This Row],[Away Differential]]</f>
        <v>-0.27142885086327523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0.49187829440478448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-1.0975205179116387</v>
      </c>
      <c r="H1279" t="s">
        <v>55</v>
      </c>
      <c r="I1279">
        <f>VLOOKUP(Table4[[#This Row],[Visitor]],'NHL Model'!$A$6:$B$38,2,FALSE)</f>
        <v>-5.8660643157088771E-2</v>
      </c>
      <c r="J1279">
        <f>($B$1+Table4[[#This Row],[Home Differential]])-Table4[[#This Row],[Away Differential]]</f>
        <v>-1.0120253960137333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0.57885856428539828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1.2368486032251671E-3</v>
      </c>
      <c r="H1280" t="s">
        <v>36</v>
      </c>
      <c r="I1280">
        <f>VLOOKUP(Table4[[#This Row],[Visitor]],'NHL Model'!$A$6:$B$38,2,FALSE)</f>
        <v>-0.31206928170612303</v>
      </c>
      <c r="J1280">
        <f>($B$1+Table4[[#This Row],[Home Differential]])-Table4[[#This Row],[Away Differential]]</f>
        <v>0.34014060905016469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0.63729336389063229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-2.8228251376645769E-2</v>
      </c>
      <c r="H1281" t="s">
        <v>18</v>
      </c>
      <c r="I1281">
        <f>VLOOKUP(Table4[[#This Row],[Visitor]],'NHL Model'!$A$6:$B$38,2,FALSE)</f>
        <v>-0.50446035262371991</v>
      </c>
      <c r="J1281">
        <f>($B$1+Table4[[#This Row],[Home Differential]])-Table4[[#This Row],[Away Differential]]</f>
        <v>0.50306657998789062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0.53979543786948492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0.78208997208538333</v>
      </c>
      <c r="H1282" t="s">
        <v>14</v>
      </c>
      <c r="I1282">
        <f>VLOOKUP(Table4[[#This Row],[Visitor]],'NHL Model'!$A$6:$B$38,2,FALSE)</f>
        <v>-1.1494940880477545E-2</v>
      </c>
      <c r="J1282">
        <f>($B$1+Table4[[#This Row],[Home Differential]])-Table4[[#This Row],[Away Differential]]</f>
        <v>0.82041939170667733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0.62338218905581888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-0.1280954603767317</v>
      </c>
      <c r="H1283" t="s">
        <v>23</v>
      </c>
      <c r="I1283">
        <f>VLOOKUP(Table4[[#This Row],[Visitor]],'NHL Model'!$A$6:$B$38,2,FALSE)</f>
        <v>-0.43955182119289299</v>
      </c>
      <c r="J1283">
        <f>($B$1+Table4[[#This Row],[Home Differential]])-Table4[[#This Row],[Away Differential]]</f>
        <v>0.33829083955697781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0.57973098269966616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-0.70231133461274453</v>
      </c>
      <c r="H1284" t="s">
        <v>12</v>
      </c>
      <c r="I1284">
        <f>VLOOKUP(Table4[[#This Row],[Visitor]],'NHL Model'!$A$6:$B$38,2,FALSE)</f>
        <v>1.7050699520681891</v>
      </c>
      <c r="J1284">
        <f>($B$1+Table4[[#This Row],[Home Differential]])-Table4[[#This Row],[Away Differential]]</f>
        <v>-2.3805468079401173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0.81220940965128063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-0.42252386696344346</v>
      </c>
      <c r="H1285" t="s">
        <v>15</v>
      </c>
      <c r="I1285">
        <f>VLOOKUP(Table4[[#This Row],[Visitor]],'NHL Model'!$A$6:$B$38,2,FALSE)</f>
        <v>-0.10354486814940167</v>
      </c>
      <c r="J1285">
        <f>($B$1+Table4[[#This Row],[Home Differential]])-Table4[[#This Row],[Away Differential]]</f>
        <v>-0.29214452007322533</v>
      </c>
      <c r="K1285" t="str">
        <f>IF(Table4[[#This Row],[HomeIce Differential]]&gt;0,Table4[[#This Row],[Home]],Table4[[#This Row],[Visitor]])</f>
        <v>New York Rangers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0.59439273798624415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-1.1040951755058253</v>
      </c>
      <c r="H1286" t="s">
        <v>33</v>
      </c>
      <c r="I1286">
        <f>VLOOKUP(Table4[[#This Row],[Visitor]],'NHL Model'!$A$6:$B$38,2,FALSE)</f>
        <v>-0.51080431935976611</v>
      </c>
      <c r="J1286">
        <f>($B$1+Table4[[#This Row],[Home Differential]])-Table4[[#This Row],[Away Differential]]</f>
        <v>-0.56645637740524257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0.52652816422778903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-0.15216510880280634</v>
      </c>
      <c r="H1287" t="s">
        <v>25</v>
      </c>
      <c r="I1287">
        <f>VLOOKUP(Table4[[#This Row],[Visitor]],'NHL Model'!$A$6:$B$38,2,FALSE)</f>
        <v>0.52315764934699704</v>
      </c>
      <c r="J1287">
        <f>($B$1+Table4[[#This Row],[Home Differential]])-Table4[[#This Row],[Away Differential]]</f>
        <v>-0.6484882794089869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0.58249161552733486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-0.53356664249341723</v>
      </c>
      <c r="H1288" t="s">
        <v>13</v>
      </c>
      <c r="I1288">
        <f>VLOOKUP(Table4[[#This Row],[Visitor]],'NHL Model'!$A$6:$B$38,2,FALSE)</f>
        <v>-0.27930615658534785</v>
      </c>
      <c r="J1288">
        <f>($B$1+Table4[[#This Row],[Home Differential]])-Table4[[#This Row],[Away Differential]]</f>
        <v>-0.22742600716725292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0.55302611591364792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-1.2546198289988155</v>
      </c>
      <c r="H1289" t="s">
        <v>34</v>
      </c>
      <c r="I1289">
        <f>VLOOKUP(Table4[[#This Row],[Visitor]],'NHL Model'!$A$6:$B$38,2,FALSE)</f>
        <v>6.3765445873038576E-2</v>
      </c>
      <c r="J1289">
        <f>($B$1+Table4[[#This Row],[Home Differential]])-Table4[[#This Row],[Away Differential]]</f>
        <v>-1.2915507961310375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0.6709756016788444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0.58787033474453221</v>
      </c>
      <c r="H1290" t="s">
        <v>26</v>
      </c>
      <c r="I1290">
        <f>VLOOKUP(Table4[[#This Row],[Visitor]],'NHL Model'!$A$6:$B$38,2,FALSE)</f>
        <v>-0.72022444935789065</v>
      </c>
      <c r="J1290">
        <f>($B$1+Table4[[#This Row],[Home Differential]])-Table4[[#This Row],[Away Differential]]</f>
        <v>1.3349292628432394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0.72902847090315881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-0.38335501658895638</v>
      </c>
      <c r="H1291" t="s">
        <v>39</v>
      </c>
      <c r="I1291">
        <f>VLOOKUP(Table4[[#This Row],[Visitor]],'NHL Model'!$A$6:$B$38,2,FALSE)</f>
        <v>0.57663845568176975</v>
      </c>
      <c r="J1291">
        <f>($B$1+Table4[[#This Row],[Home Differential]])-Table4[[#This Row],[Away Differential]]</f>
        <v>-0.93315899352990961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0.66208219073006469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-0.12684993818444543</v>
      </c>
      <c r="H1292" t="s">
        <v>40</v>
      </c>
      <c r="I1292">
        <f>VLOOKUP(Table4[[#This Row],[Visitor]],'NHL Model'!$A$6:$B$38,2,FALSE)</f>
        <v>-0.25388173436787664</v>
      </c>
      <c r="J1292">
        <f>($B$1+Table4[[#This Row],[Home Differential]])-Table4[[#This Row],[Away Differential]]</f>
        <v>0.1538662749242477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0.5544948544960977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-0.15717729503670502</v>
      </c>
      <c r="H1293" t="s">
        <v>24</v>
      </c>
      <c r="I1293">
        <f>VLOOKUP(Table4[[#This Row],[Visitor]],'NHL Model'!$A$6:$B$38,2,FALSE)</f>
        <v>1.2368486032251671E-3</v>
      </c>
      <c r="J1293">
        <f>($B$1+Table4[[#This Row],[Home Differential]])-Table4[[#This Row],[Away Differential]]</f>
        <v>-0.13157966489911371</v>
      </c>
      <c r="K1293" t="str">
        <f>IF(Table4[[#This Row],[HomeIce Differential]]&gt;0,Table4[[#This Row],[Home]],Table4[[#This Row],[Visitor]])</f>
        <v>New Jersey Devils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0.45295353517872611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-0.45544062464079677</v>
      </c>
      <c r="H1294" t="s">
        <v>22</v>
      </c>
      <c r="I1294">
        <f>VLOOKUP(Table4[[#This Row],[Visitor]],'NHL Model'!$A$6:$B$38,2,FALSE)</f>
        <v>0.78208997208538333</v>
      </c>
      <c r="J1294">
        <f>($B$1+Table4[[#This Row],[Home Differential]])-Table4[[#This Row],[Away Differential]]</f>
        <v>-1.2106961179853637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0.67481486008365532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-1.0975205179116387</v>
      </c>
      <c r="H1295" t="s">
        <v>12</v>
      </c>
      <c r="I1295">
        <f>VLOOKUP(Table4[[#This Row],[Visitor]],'NHL Model'!$A$6:$B$38,2,FALSE)</f>
        <v>1.7050699520681891</v>
      </c>
      <c r="J1295">
        <f>($B$1+Table4[[#This Row],[Home Differential]])-Table4[[#This Row],[Away Differential]]</f>
        <v>-2.7757559912390111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0.85862523706464122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6.3765445873038576E-2</v>
      </c>
      <c r="H1296" t="s">
        <v>31</v>
      </c>
      <c r="I1296">
        <f>VLOOKUP(Table4[[#This Row],[Visitor]],'NHL Model'!$A$6:$B$38,2,FALSE)</f>
        <v>6.0998961494444972E-3</v>
      </c>
      <c r="J1296">
        <f>($B$1+Table4[[#This Row],[Home Differential]])-Table4[[#This Row],[Away Differential]]</f>
        <v>8.450002846441057E-2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0.52915497874657358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-2.8228251376645769E-2</v>
      </c>
      <c r="H1297" t="s">
        <v>25</v>
      </c>
      <c r="I1297">
        <f>VLOOKUP(Table4[[#This Row],[Visitor]],'NHL Model'!$A$6:$B$38,2,FALSE)</f>
        <v>0.52315764934699704</v>
      </c>
      <c r="J1297">
        <f>($B$1+Table4[[#This Row],[Home Differential]])-Table4[[#This Row],[Away Differential]]</f>
        <v>-0.52455142198282634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0.59422975443301018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-0.15216510880280634</v>
      </c>
      <c r="H1298" t="s">
        <v>18</v>
      </c>
      <c r="I1298">
        <f>VLOOKUP(Table4[[#This Row],[Visitor]],'NHL Model'!$A$6:$B$38,2,FALSE)</f>
        <v>-0.50446035262371991</v>
      </c>
      <c r="J1298">
        <f>($B$1+Table4[[#This Row],[Home Differential]])-Table4[[#This Row],[Away Differential]]</f>
        <v>0.37912972256173005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0.55156960894037466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-1.2546198289988155</v>
      </c>
      <c r="H1299" t="s">
        <v>14</v>
      </c>
      <c r="I1299">
        <f>VLOOKUP(Table4[[#This Row],[Visitor]],'NHL Model'!$A$6:$B$38,2,FALSE)</f>
        <v>-1.1494940880477545E-2</v>
      </c>
      <c r="J1299">
        <f>($B$1+Table4[[#This Row],[Home Differential]])-Table4[[#This Row],[Away Differential]]</f>
        <v>-1.2162904093775213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0.64213545263019955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-5.8660643157088771E-2</v>
      </c>
      <c r="H1300" t="s">
        <v>40</v>
      </c>
      <c r="I1300">
        <f>VLOOKUP(Table4[[#This Row],[Visitor]],'NHL Model'!$A$6:$B$38,2,FALSE)</f>
        <v>-0.25388173436787664</v>
      </c>
      <c r="J1300">
        <f>($B$1+Table4[[#This Row],[Home Differential]])-Table4[[#This Row],[Away Differential]]</f>
        <v>0.22205556995160436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0.60300266577527728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-0.83165982757888468</v>
      </c>
      <c r="H1301" t="s">
        <v>13</v>
      </c>
      <c r="I1301">
        <f>VLOOKUP(Table4[[#This Row],[Visitor]],'NHL Model'!$A$6:$B$38,2,FALSE)</f>
        <v>-0.27930615658534785</v>
      </c>
      <c r="J1301">
        <f>($B$1+Table4[[#This Row],[Home Differential]])-Table4[[#This Row],[Away Differential]]</f>
        <v>-0.52551919225272037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0.58803603576553998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-0.43955182119289299</v>
      </c>
      <c r="H1302" t="s">
        <v>39</v>
      </c>
      <c r="I1302">
        <f>VLOOKUP(Table4[[#This Row],[Visitor]],'NHL Model'!$A$6:$B$38,2,FALSE)</f>
        <v>0.57663845568176975</v>
      </c>
      <c r="J1302">
        <f>($B$1+Table4[[#This Row],[Home Differential]])-Table4[[#This Row],[Away Differential]]</f>
        <v>-0.98935579813384622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0.65856898690507348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-0.1280954603767317</v>
      </c>
      <c r="H1303" t="s">
        <v>33</v>
      </c>
      <c r="I1303">
        <f>VLOOKUP(Table4[[#This Row],[Visitor]],'NHL Model'!$A$6:$B$38,2,FALSE)</f>
        <v>-0.51080431935976611</v>
      </c>
      <c r="J1303">
        <f>($B$1+Table4[[#This Row],[Home Differential]])-Table4[[#This Row],[Away Differential]]</f>
        <v>0.40954333772385088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0.58809931976632568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-0.42252386696344346</v>
      </c>
      <c r="H1304" t="s">
        <v>26</v>
      </c>
      <c r="I1304">
        <f>VLOOKUP(Table4[[#This Row],[Visitor]],'NHL Model'!$A$6:$B$38,2,FALSE)</f>
        <v>-0.72022444935789065</v>
      </c>
      <c r="J1304">
        <f>($B$1+Table4[[#This Row],[Home Differential]])-Table4[[#This Row],[Away Differential]]</f>
        <v>0.32453506113526365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0.57811541842600955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-0.31206928170612303</v>
      </c>
      <c r="H1305" t="s">
        <v>19</v>
      </c>
      <c r="I1305">
        <f>VLOOKUP(Table4[[#This Row],[Visitor]],'NHL Model'!$A$6:$B$38,2,FALSE)</f>
        <v>-0.38335501658895638</v>
      </c>
      <c r="J1305">
        <f>($B$1+Table4[[#This Row],[Home Differential]])-Table4[[#This Row],[Away Differential]]</f>
        <v>9.812021362364981E-2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0.5540193280767306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0.58787033474453221</v>
      </c>
      <c r="H1306" t="s">
        <v>15</v>
      </c>
      <c r="I1306">
        <f>VLOOKUP(Table4[[#This Row],[Visitor]],'NHL Model'!$A$6:$B$38,2,FALSE)</f>
        <v>-0.10354486814940167</v>
      </c>
      <c r="J1306">
        <f>($B$1+Table4[[#This Row],[Home Differential]])-Table4[[#This Row],[Away Differential]]</f>
        <v>0.71824968163475034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0.55668043832495206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-0.12684993818444543</v>
      </c>
      <c r="H1307" t="s">
        <v>32</v>
      </c>
      <c r="I1307">
        <f>VLOOKUP(Table4[[#This Row],[Visitor]],'NHL Model'!$A$6:$B$38,2,FALSE)</f>
        <v>-0.53356664249341723</v>
      </c>
      <c r="J1307">
        <f>($B$1+Table4[[#This Row],[Home Differential]])-Table4[[#This Row],[Away Differential]]</f>
        <v>0.43355118304978829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0.59091895061577537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-1.0975205179116387</v>
      </c>
      <c r="H1308" t="s">
        <v>13</v>
      </c>
      <c r="I1308">
        <f>VLOOKUP(Table4[[#This Row],[Visitor]],'NHL Model'!$A$6:$B$38,2,FALSE)</f>
        <v>-0.27930615658534785</v>
      </c>
      <c r="J1308">
        <f>($B$1+Table4[[#This Row],[Home Differential]])-Table4[[#This Row],[Away Differential]]</f>
        <v>-0.79137988258547431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0.61926037072525986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1.7050699520681891</v>
      </c>
      <c r="H1309" t="s">
        <v>32</v>
      </c>
      <c r="I1309">
        <f>VLOOKUP(Table4[[#This Row],[Visitor]],'NHL Model'!$A$6:$B$38,2,FALSE)</f>
        <v>-0.53356664249341723</v>
      </c>
      <c r="J1309">
        <f>($B$1+Table4[[#This Row],[Home Differential]])-Table4[[#This Row],[Away Differential]]</f>
        <v>2.265471073302423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0.91389199554503464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-0.70231133461274453</v>
      </c>
      <c r="H1310" t="s">
        <v>38</v>
      </c>
      <c r="I1310">
        <f>VLOOKUP(Table4[[#This Row],[Visitor]],'NHL Model'!$A$6:$B$38,2,FALSE)</f>
        <v>-0.83165982757888468</v>
      </c>
      <c r="J1310">
        <f>($B$1+Table4[[#This Row],[Home Differential]])-Table4[[#This Row],[Away Differential]]</f>
        <v>0.15618297170695661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0.55834310073248794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-1.1040951755058253</v>
      </c>
      <c r="H1311" t="s">
        <v>31</v>
      </c>
      <c r="I1311">
        <f>VLOOKUP(Table4[[#This Row],[Visitor]],'NHL Model'!$A$6:$B$38,2,FALSE)</f>
        <v>6.0998961494444972E-3</v>
      </c>
      <c r="J1311">
        <f>($B$1+Table4[[#This Row],[Home Differential]])-Table4[[#This Row],[Away Differential]]</f>
        <v>-1.0833605929144532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0.60800584477554798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-5.8660643157088771E-2</v>
      </c>
      <c r="H1312" t="s">
        <v>35</v>
      </c>
      <c r="I1312">
        <f>VLOOKUP(Table4[[#This Row],[Visitor]],'NHL Model'!$A$6:$B$38,2,FALSE)</f>
        <v>-1.2546198289988155</v>
      </c>
      <c r="J1312">
        <f>($B$1+Table4[[#This Row],[Home Differential]])-Table4[[#This Row],[Away Differential]]</f>
        <v>1.2227936645825432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0.72404367962444693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-0.25388173436787664</v>
      </c>
      <c r="H1313" t="s">
        <v>33</v>
      </c>
      <c r="I1313">
        <f>VLOOKUP(Table4[[#This Row],[Visitor]],'NHL Model'!$A$6:$B$38,2,FALSE)</f>
        <v>-0.51080431935976611</v>
      </c>
      <c r="J1313">
        <f>($B$1+Table4[[#This Row],[Home Differential]])-Table4[[#This Row],[Away Differential]]</f>
        <v>0.28375706373270593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0.57582167569501774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R437:R1313 Q427:Q436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K37" sqref="K37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27</v>
      </c>
      <c r="C2">
        <f>COUNTIF(NHL2025_26Results[Winning Team],Standings!A2)</f>
        <v>16</v>
      </c>
      <c r="D2">
        <f>COUNTIFS('NHL2025-26Results'!$H:$H,A2,'NHL2025-26Results'!$F:$F,"")</f>
        <v>10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33</v>
      </c>
      <c r="G2">
        <f>COUNTIFS('NHL2025-26Results'!$D:$D,A2,'NHL2025-26Results'!$G:$G,A2)</f>
        <v>9</v>
      </c>
      <c r="H2">
        <f>COUNTIFS('NHL2025-26Results'!$D:$D,A2,'NHL2025-26Results'!$H:$H,A2,'NHL2025-26Results'!$F:$F,"")</f>
        <v>4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7</v>
      </c>
      <c r="K2">
        <f>COUNTIFS('NHL2025-26Results'!$B:$B,A2,'NHL2025-26Results'!$H:$H,A2,'NHL2025-26Results'!$F:$F,"")</f>
        <v>6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0.69230769230769229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3.9166666666666665</v>
      </c>
      <c r="P2" s="15">
        <f>SUMIFS('NHL2025-26Results'!$C:$C,'NHL2025-26Results'!$B:$B,A2,'NHL2025-26Results'!$C:$C,"&gt;0")/COUNTIFS('NHL2025-26Results'!$B:$B,A2,'NHL2025-26Results'!$C:$C,"&gt;0")</f>
        <v>3.7692307692307692</v>
      </c>
      <c r="Q2" s="14">
        <f>SUMIFS('NHL2025-26Results'!$C:$C,'NHL2025-26Results'!$D:$D,A2,'NHL2025-26Results'!$C:$C,"&gt;0")/COUNTIFS('NHL2025-26Results'!$D:$D,A2,'NHL2025-26Results'!$C:$C,"&gt;0")</f>
        <v>3.1538461538461537</v>
      </c>
      <c r="R2" s="14">
        <f>SUMIFS('NHL2025-26Results'!$E:$E,'NHL2025-26Results'!$B:$B,A2,'NHL2025-26Results'!$E:$E,"&gt;0")/COUNTIFS('NHL2025-26Results'!$B:$B,A2,'NHL2025-26Results'!$E:$E,"&gt;0")</f>
        <v>3.5714285714285716</v>
      </c>
    </row>
    <row r="3" spans="1:18" x14ac:dyDescent="0.2">
      <c r="A3" s="4" t="s">
        <v>21</v>
      </c>
      <c r="B3">
        <f>SUM(Table1[[#This Row],[W]:[OTL]])</f>
        <v>28</v>
      </c>
      <c r="C3">
        <f>COUNTIF(NHL2025_26Results[Winning Team],Standings!A3)</f>
        <v>15</v>
      </c>
      <c r="D3">
        <f>COUNTIFS('NHL2025-26Results'!$H:$H,A3,'NHL2025-26Results'!$F:$F,"")</f>
        <v>13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30</v>
      </c>
      <c r="G3">
        <f>COUNTIFS('NHL2025-26Results'!$D:$D,A3,'NHL2025-26Results'!$G:$G,A3)</f>
        <v>9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6</v>
      </c>
      <c r="K3">
        <f>COUNTIFS('NHL2025-26Results'!$B:$B,A3,'NHL2025-26Results'!$H:$H,A3,'NHL2025-26Results'!$F:$F,"")</f>
        <v>8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0.6428571428571429</v>
      </c>
      <c r="N3" s="11">
        <f>Table1[[#This Row],[AwayWins]]/SUM(Table1[[#This Row],[AwayWins]:[AwayOTL]])</f>
        <v>0.42857142857142855</v>
      </c>
      <c r="O3" s="14">
        <f>SUMIFS('NHL2025-26Results'!$E:$E,'NHL2025-26Results'!$D:$D,A3,'NHL2025-26Results'!$E:$E,"&gt;0")/COUNTIFS('NHL2025-26Results'!$D:$D,A3,'NHL2025-26Results'!$E:$E,"&gt;0")</f>
        <v>3.2857142857142856</v>
      </c>
      <c r="P3" s="14">
        <f>SUMIFS('NHL2025-26Results'!$C:$C,'NHL2025-26Results'!$B:$B,A3,'NHL2025-26Results'!$C:$C,"&gt;0")/COUNTIFS('NHL2025-26Results'!$B:$B,A3,'NHL2025-26Results'!$C:$C,"&gt;0")</f>
        <v>2.9285714285714284</v>
      </c>
      <c r="Q3" s="14">
        <f>SUMIFS('NHL2025-26Results'!$C:$C,'NHL2025-26Results'!$D:$D,A3,'NHL2025-26Results'!$C:$C,"&gt;0")/COUNTIFS('NHL2025-26Results'!$D:$D,A3,'NHL2025-26Results'!$C:$C,"&gt;0")</f>
        <v>3.0714285714285716</v>
      </c>
      <c r="R3" s="14">
        <f>SUMIFS('NHL2025-26Results'!$E:$E,'NHL2025-26Results'!$B:$B,A3,'NHL2025-26Results'!$E:$E,"&gt;0")/COUNTIFS('NHL2025-26Results'!$B:$B,A3,'NHL2025-26Results'!$E:$E,"&gt;0")</f>
        <v>3.4285714285714284</v>
      </c>
    </row>
    <row r="4" spans="1:18" x14ac:dyDescent="0.2">
      <c r="A4" s="4" t="s">
        <v>23</v>
      </c>
      <c r="B4">
        <f>SUM(Table1[[#This Row],[W]:[OTL]])</f>
        <v>27</v>
      </c>
      <c r="C4">
        <f>COUNTIF(NHL2025_26Results[Winning Team],Standings!A4)</f>
        <v>11</v>
      </c>
      <c r="D4">
        <f>COUNTIFS('NHL2025-26Results'!$H:$H,A4,'NHL2025-26Results'!$F:$F,"")</f>
        <v>12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26</v>
      </c>
      <c r="G4">
        <f>COUNTIFS('NHL2025-26Results'!$D:$D,A4,'NHL2025-26Results'!$G:$G,A4)</f>
        <v>9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2</v>
      </c>
      <c r="K4">
        <f>COUNTIFS('NHL2025-26Results'!$B:$B,A4,'NHL2025-26Results'!$H:$H,A4,'NHL2025-26Results'!$F:$F,"")</f>
        <v>7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0.5625</v>
      </c>
      <c r="N4" s="11">
        <f>Table1[[#This Row],[AwayWins]]/SUM(Table1[[#This Row],[AwayWins]:[AwayOTL]])</f>
        <v>0.18181818181818182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2.6363636363636362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4.2727272727272725</v>
      </c>
    </row>
    <row r="5" spans="1:18" x14ac:dyDescent="0.2">
      <c r="A5" s="4" t="s">
        <v>16</v>
      </c>
      <c r="B5">
        <f>SUM(Table1[[#This Row],[W]:[OTL]])</f>
        <v>28</v>
      </c>
      <c r="C5">
        <f>COUNTIF(NHL2025_26Results[Winning Team],Standings!A5)</f>
        <v>9</v>
      </c>
      <c r="D5">
        <f>COUNTIFS('NHL2025-26Results'!$H:$H,A5,'NHL2025-26Results'!$F:$F,"")</f>
        <v>15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22</v>
      </c>
      <c r="G5">
        <f>COUNTIFS('NHL2025-26Results'!$D:$D,A5,'NHL2025-26Results'!$G:$G,A5)</f>
        <v>4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5</v>
      </c>
      <c r="K5">
        <f>COUNTIFS('NHL2025-26Results'!$B:$B,A5,'NHL2025-26Results'!$H:$H,A5,'NHL2025-26Results'!$F:$F,"")</f>
        <v>11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0.4</v>
      </c>
      <c r="N5" s="11">
        <f>Table1[[#This Row],[AwayWins]]/SUM(Table1[[#This Row],[AwayWins]:[AwayOTL]])</f>
        <v>0.27777777777777779</v>
      </c>
      <c r="O5" s="14">
        <f>SUMIFS('NHL2025-26Results'!$E:$E,'NHL2025-26Results'!$D:$D,A5,'NHL2025-26Results'!$E:$E,"&gt;0")/COUNTIFS('NHL2025-26Results'!$D:$D,A5,'NHL2025-26Results'!$E:$E,"&gt;0")</f>
        <v>2.6666666666666665</v>
      </c>
      <c r="P5" s="14">
        <f>SUMIFS('NHL2025-26Results'!$C:$C,'NHL2025-26Results'!$B:$B,A5,'NHL2025-26Results'!$C:$C,"&gt;0")/COUNTIFS('NHL2025-26Results'!$B:$B,A5,'NHL2025-26Results'!$C:$C,"&gt;0")</f>
        <v>2.625</v>
      </c>
      <c r="Q5" s="14">
        <f>SUMIFS('NHL2025-26Results'!$C:$C,'NHL2025-26Results'!$D:$D,A5,'NHL2025-26Results'!$C:$C,"&gt;0")/COUNTIFS('NHL2025-26Results'!$D:$D,A5,'NHL2025-26Results'!$C:$C,"&gt;0")</f>
        <v>2.6666666666666665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25</v>
      </c>
      <c r="C6">
        <f>COUNTIF(NHL2025_26Results[Winning Team],Standings!A6)</f>
        <v>16</v>
      </c>
      <c r="D6">
        <f>COUNTIFS('NHL2025-26Results'!$H:$H,A6,'NHL2025-26Results'!$F:$F,"")</f>
        <v>7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34</v>
      </c>
      <c r="G6">
        <f>COUNTIFS('NHL2025-26Results'!$D:$D,A6,'NHL2025-26Results'!$G:$G,A6)</f>
        <v>8</v>
      </c>
      <c r="H6">
        <f>COUNTIFS('NHL2025-26Results'!$D:$D,A6,'NHL2025-26Results'!$H:$H,A6,'NHL2025-26Results'!$F:$F,"")</f>
        <v>3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3.75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3.2727272727272729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26</v>
      </c>
      <c r="C7">
        <f>COUNTIF(NHL2025_26Results[Winning Team],Standings!A7)</f>
        <v>11</v>
      </c>
      <c r="D7">
        <f>COUNTIFS('NHL2025-26Results'!$H:$H,A7,'NHL2025-26Results'!$F:$F,"")</f>
        <v>9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28</v>
      </c>
      <c r="G7">
        <f>COUNTIFS('NHL2025-26Results'!$D:$D,A7,'NHL2025-26Results'!$G:$G,A7)</f>
        <v>6</v>
      </c>
      <c r="H7">
        <f>COUNTIFS('NHL2025-26Results'!$D:$D,A7,'NHL2025-26Results'!$H:$H,A7,'NHL2025-26Results'!$F:$F,"")</f>
        <v>5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4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0.42857142857142855</v>
      </c>
      <c r="N7" s="11">
        <f>Table1[[#This Row],[AwayWins]]/SUM(Table1[[#This Row],[AwayWins]:[AwayOTL]])</f>
        <v>0.41666666666666669</v>
      </c>
      <c r="O7" s="14">
        <f>SUMIFS('NHL2025-26Results'!$E:$E,'NHL2025-26Results'!$D:$D,A7,'NHL2025-26Results'!$E:$E,"&gt;0")/COUNTIFS('NHL2025-26Results'!$D:$D,A7,'NHL2025-26Results'!$E:$E,"&gt;0")</f>
        <v>3.1538461538461537</v>
      </c>
      <c r="P7" s="14">
        <f>SUMIFS('NHL2025-26Results'!$C:$C,'NHL2025-26Results'!$B:$B,A7,'NHL2025-26Results'!$C:$C,"&gt;0")/COUNTIFS('NHL2025-26Results'!$B:$B,A7,'NHL2025-26Results'!$C:$C,"&gt;0")</f>
        <v>3.5</v>
      </c>
      <c r="Q7" s="14">
        <f>SUMIFS('NHL2025-26Results'!$C:$C,'NHL2025-26Results'!$D:$D,A7,'NHL2025-26Results'!$C:$C,"&gt;0")/COUNTIFS('NHL2025-26Results'!$D:$D,A7,'NHL2025-26Results'!$C:$C,"&gt;0")</f>
        <v>2.6428571428571428</v>
      </c>
      <c r="R7" s="14">
        <f>SUMIFS('NHL2025-26Results'!$E:$E,'NHL2025-26Results'!$B:$B,A7,'NHL2025-26Results'!$E:$E,"&gt;0")/COUNTIFS('NHL2025-26Results'!$B:$B,A7,'NHL2025-26Results'!$E:$E,"&gt;0")</f>
        <v>3.6363636363636362</v>
      </c>
    </row>
    <row r="8" spans="1:18" x14ac:dyDescent="0.2">
      <c r="A8" s="4" t="s">
        <v>12</v>
      </c>
      <c r="B8">
        <f>SUM(Table1[[#This Row],[W]:[OTL]])</f>
        <v>26</v>
      </c>
      <c r="C8">
        <f>COUNTIF(NHL2025_26Results[Winning Team],Standings!A8)</f>
        <v>19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6</v>
      </c>
      <c r="F8" s="3">
        <f>(Table1[[#This Row],[W]]*2)+Table1[[#This Row],[OTL]]</f>
        <v>44</v>
      </c>
      <c r="G8">
        <f>COUNTIFS('NHL2025-26Results'!$D:$D,A8,'NHL2025-26Results'!$G:$G,A8)</f>
        <v>11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8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4</v>
      </c>
      <c r="M8" s="11">
        <f>Table1[[#This Row],[HomeWins]]/SUM(Table1[[#This Row],[HomeWins]:[HomeOTL]])</f>
        <v>0.84615384615384615</v>
      </c>
      <c r="N8" s="11">
        <f>Table1[[#This Row],[AwayWins]]/SUM(Table1[[#This Row],[AwayWins]:[AwayOTL]])</f>
        <v>0.61538461538461542</v>
      </c>
      <c r="O8" s="14">
        <f>SUMIFS('NHL2025-26Results'!$E:$E,'NHL2025-26Results'!$D:$D,A8,'NHL2025-26Results'!$E:$E,"&gt;0")/COUNTIFS('NHL2025-26Results'!$D:$D,A8,'NHL2025-26Results'!$E:$E,"&gt;0")</f>
        <v>4.6923076923076925</v>
      </c>
      <c r="P8" s="14">
        <f>SUMIFS('NHL2025-26Results'!$C:$C,'NHL2025-26Results'!$B:$B,A8,'NHL2025-26Results'!$C:$C,"&gt;0")/COUNTIFS('NHL2025-26Results'!$B:$B,A8,'NHL2025-26Results'!$C:$C,"&gt;0")</f>
        <v>3.4615384615384617</v>
      </c>
      <c r="Q8" s="14">
        <f>SUMIFS('NHL2025-26Results'!$C:$C,'NHL2025-26Results'!$D:$D,A8,'NHL2025-26Results'!$C:$C,"&gt;0")/COUNTIFS('NHL2025-26Results'!$D:$D,A8,'NHL2025-26Results'!$C:$C,"&gt;0")</f>
        <v>2.4166666666666665</v>
      </c>
      <c r="R8" s="14">
        <f>SUMIFS('NHL2025-26Results'!$E:$E,'NHL2025-26Results'!$B:$B,A8,'NHL2025-26Results'!$E:$E,"&gt;0")/COUNTIFS('NHL2025-26Results'!$B:$B,A8,'NHL2025-26Results'!$E:$E,"&gt;0")</f>
        <v>2.4545454545454546</v>
      </c>
    </row>
    <row r="9" spans="1:18" x14ac:dyDescent="0.2">
      <c r="A9" s="4" t="s">
        <v>28</v>
      </c>
      <c r="B9">
        <f>SUM(Table1[[#This Row],[W]:[OTL]])</f>
        <v>26</v>
      </c>
      <c r="C9">
        <f>COUNTIF(NHL2025_26Results[Winning Team],Standings!A9)</f>
        <v>12</v>
      </c>
      <c r="D9">
        <f>COUNTIFS('NHL2025-26Results'!$H:$H,A9,'NHL2025-26Results'!$F:$F,"")</f>
        <v>9</v>
      </c>
      <c r="E9">
        <f>COUNTIFS('NHL2025-26Results'!$F:$F,"OT",'NHL2025-26Results'!$H:$H,A9) + COUNTIFS('NHL2025-26Results'!$F:$F,"SO",'NHL2025-26Results'!$H:$H,A9)</f>
        <v>5</v>
      </c>
      <c r="F9" s="3">
        <f>(Table1[[#This Row],[W]]*2)+Table1[[#This Row],[OTL]]</f>
        <v>29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6</v>
      </c>
      <c r="L9">
        <f>COUNTIFS('NHL2025-26Results'!$B:$B,A9,'NHL2025-26Results'!$H:$H,A9,'NHL2025-26Results'!$F:$F,"OT") + COUNTIFS('NHL2025-26Results'!$B:$B,A9,'NHL2025-26Results'!$H:$H,A9,'NHL2025-26Results'!$F:$F,"SO")</f>
        <v>2</v>
      </c>
      <c r="M9" s="11">
        <f>Table1[[#This Row],[HomeWins]]/SUM(Table1[[#This Row],[HomeWins]:[HomeOTL]])</f>
        <v>0.45454545454545453</v>
      </c>
      <c r="N9" s="11">
        <f>Table1[[#This Row],[AwayWins]]/SUM(Table1[[#This Row],[AwayWins]:[AwayOTL]])</f>
        <v>0.46666666666666667</v>
      </c>
      <c r="O9" s="14">
        <f>SUMIFS('NHL2025-26Results'!$E:$E,'NHL2025-26Results'!$D:$D,A9,'NHL2025-26Results'!$E:$E,"&gt;0")/COUNTIFS('NHL2025-26Results'!$D:$D,A9,'NHL2025-26Results'!$E:$E,"&gt;0")</f>
        <v>2.7272727272727271</v>
      </c>
      <c r="P9" s="14">
        <f>SUMIFS('NHL2025-26Results'!$C:$C,'NHL2025-26Results'!$B:$B,A9,'NHL2025-26Results'!$C:$C,"&gt;0")/COUNTIFS('NHL2025-26Results'!$B:$B,A9,'NHL2025-26Results'!$C:$C,"&gt;0")</f>
        <v>3.2</v>
      </c>
      <c r="Q9" s="14">
        <f>SUMIFS('NHL2025-26Results'!$C:$C,'NHL2025-26Results'!$D:$D,A9,'NHL2025-26Results'!$C:$C,"&gt;0")/COUNTIFS('NHL2025-26Results'!$D:$D,A9,'NHL2025-26Results'!$C:$C,"&gt;0")</f>
        <v>3.0909090909090908</v>
      </c>
      <c r="R9" s="14">
        <f>SUMIFS('NHL2025-26Results'!$E:$E,'NHL2025-26Results'!$B:$B,A9,'NHL2025-26Results'!$E:$E,"&gt;0")/COUNTIFS('NHL2025-26Results'!$B:$B,A9,'NHL2025-26Results'!$E:$E,"&gt;0")</f>
        <v>3.4</v>
      </c>
    </row>
    <row r="10" spans="1:18" x14ac:dyDescent="0.2">
      <c r="A10" s="4" t="s">
        <v>39</v>
      </c>
      <c r="B10">
        <f>SUM(Table1[[#This Row],[W]:[OTL]])</f>
        <v>28</v>
      </c>
      <c r="C10">
        <f>COUNTIF(NHL2025_26Results[Winning Team],Standings!A10)</f>
        <v>18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41</v>
      </c>
      <c r="G10">
        <f>COUNTIFS('NHL2025-26Results'!$D:$D,A10,'NHL2025-26Results'!$G:$G,A10)</f>
        <v>8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10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0.61538461538461542</v>
      </c>
      <c r="N10" s="11">
        <f>Table1[[#This Row],[AwayWins]]/SUM(Table1[[#This Row],[AwayWins]:[AwayOTL]])</f>
        <v>0.66666666666666663</v>
      </c>
      <c r="O10" s="14">
        <f>SUMIFS('NHL2025-26Results'!$E:$E,'NHL2025-26Results'!$D:$D,A10,'NHL2025-26Results'!$E:$E,"&gt;0")/COUNTIFS('NHL2025-26Results'!$D:$D,A10,'NHL2025-26Results'!$E:$E,"&gt;0")</f>
        <v>3.3076923076923075</v>
      </c>
      <c r="P10" s="14">
        <f>SUMIFS('NHL2025-26Results'!$C:$C,'NHL2025-26Results'!$B:$B,A10,'NHL2025-26Results'!$C:$C,"&gt;0")/COUNTIFS('NHL2025-26Results'!$B:$B,A10,'NHL2025-26Results'!$C:$C,"&gt;0")</f>
        <v>3.6666666666666665</v>
      </c>
      <c r="Q10" s="14">
        <f>SUMIFS('NHL2025-26Results'!$C:$C,'NHL2025-26Results'!$D:$D,A10,'NHL2025-26Results'!$C:$C,"&gt;0")/COUNTIFS('NHL2025-26Results'!$D:$D,A10,'NHL2025-26Results'!$C:$C,"&gt;0")</f>
        <v>3</v>
      </c>
      <c r="R10" s="14">
        <f>SUMIFS('NHL2025-26Results'!$E:$E,'NHL2025-26Results'!$B:$B,A10,'NHL2025-26Results'!$E:$E,"&gt;0")/COUNTIFS('NHL2025-26Results'!$B:$B,A10,'NHL2025-26Results'!$E:$E,"&gt;0")</f>
        <v>2.9230769230769229</v>
      </c>
    </row>
    <row r="11" spans="1:18" x14ac:dyDescent="0.2">
      <c r="A11" s="4" t="s">
        <v>26</v>
      </c>
      <c r="B11">
        <f>SUM(Table1[[#This Row],[W]:[OTL]])</f>
        <v>27</v>
      </c>
      <c r="C11">
        <f>COUNTIF(NHL2025_26Results[Winning Team],Standings!A11)</f>
        <v>14</v>
      </c>
      <c r="D11">
        <f>COUNTIFS('NHL2025-26Results'!$H:$H,A11,'NHL2025-26Results'!$F:$F,"")</f>
        <v>11</v>
      </c>
      <c r="E11">
        <f>COUNTIFS('NHL2025-26Results'!$F:$F,"OT",'NHL2025-26Results'!$H:$H,A11) + COUNTIFS('NHL2025-26Results'!$F:$F,"SO",'NHL2025-26Results'!$H:$H,A11)</f>
        <v>2</v>
      </c>
      <c r="F11" s="3">
        <f>(Table1[[#This Row],[W]]*2)+Table1[[#This Row],[OTL]]</f>
        <v>30</v>
      </c>
      <c r="G11">
        <f>COUNTIFS('NHL2025-26Results'!$D:$D,A11,'NHL2025-26Results'!$G:$G,A11)</f>
        <v>9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1</v>
      </c>
      <c r="M11" s="11">
        <f>Table1[[#This Row],[HomeWins]]/SUM(Table1[[#This Row],[HomeWins]:[HomeOTL]])</f>
        <v>0.5625</v>
      </c>
      <c r="N11" s="11">
        <f>Table1[[#This Row],[AwayWins]]/SUM(Table1[[#This Row],[AwayWins]:[AwayOTL]])</f>
        <v>0.45454545454545453</v>
      </c>
      <c r="O11" s="14">
        <f>SUMIFS('NHL2025-26Results'!$E:$E,'NHL2025-26Results'!$D:$D,A11,'NHL2025-26Results'!$E:$E,"&gt;0")/COUNTIFS('NHL2025-26Results'!$D:$D,A11,'NHL2025-26Results'!$E:$E,"&gt;0")</f>
        <v>3.6</v>
      </c>
      <c r="P11" s="14">
        <f>SUMIFS('NHL2025-26Results'!$C:$C,'NHL2025-26Results'!$B:$B,A11,'NHL2025-26Results'!$C:$C,"&gt;0")/COUNTIFS('NHL2025-26Results'!$B:$B,A11,'NHL2025-26Results'!$C:$C,"&gt;0")</f>
        <v>2.8</v>
      </c>
      <c r="Q11" s="14">
        <f>SUMIFS('NHL2025-26Results'!$C:$C,'NHL2025-26Results'!$D:$D,A11,'NHL2025-26Results'!$C:$C,"&gt;0")/COUNTIFS('NHL2025-26Results'!$D:$D,A11,'NHL2025-26Results'!$C:$C,"&gt;0")</f>
        <v>3.6875</v>
      </c>
      <c r="R11" s="14">
        <f>SUMIFS('NHL2025-26Results'!$E:$E,'NHL2025-26Results'!$B:$B,A11,'NHL2025-26Results'!$E:$E,"&gt;0")/COUNTIFS('NHL2025-26Results'!$B:$B,A11,'NHL2025-26Results'!$E:$E,"&gt;0")</f>
        <v>3.0909090909090908</v>
      </c>
    </row>
    <row r="12" spans="1:18" x14ac:dyDescent="0.2">
      <c r="A12" s="4" t="s">
        <v>17</v>
      </c>
      <c r="B12">
        <f>SUM(Table1[[#This Row],[W]:[OTL]])</f>
        <v>27</v>
      </c>
      <c r="C12">
        <f>COUNTIF(NHL2025_26Results[Winning Team],Standings!A12)</f>
        <v>11</v>
      </c>
      <c r="D12">
        <f>COUNTIFS('NHL2025-26Results'!$H:$H,A12,'NHL2025-26Results'!$F:$F,"")</f>
        <v>11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27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6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</v>
      </c>
      <c r="N12" s="11">
        <f>Table1[[#This Row],[AwayWins]]/SUM(Table1[[#This Row],[AwayWins]:[AwayOTL]])</f>
        <v>0.35294117647058826</v>
      </c>
      <c r="O12" s="14">
        <f>SUMIFS('NHL2025-26Results'!$E:$E,'NHL2025-26Results'!$D:$D,A12,'NHL2025-26Results'!$E:$E,"&gt;0")/COUNTIFS('NHL2025-26Results'!$D:$D,A12,'NHL2025-26Results'!$E:$E,"&gt;0")</f>
        <v>3.6666666666666665</v>
      </c>
      <c r="P12" s="14">
        <f>SUMIFS('NHL2025-26Results'!$C:$C,'NHL2025-26Results'!$B:$B,A12,'NHL2025-26Results'!$C:$C,"&gt;0")/COUNTIFS('NHL2025-26Results'!$B:$B,A12,'NHL2025-26Results'!$C:$C,"&gt;0")</f>
        <v>2.8235294117647061</v>
      </c>
      <c r="Q12" s="14">
        <f>SUMIFS('NHL2025-26Results'!$C:$C,'NHL2025-26Results'!$D:$D,A12,'NHL2025-26Results'!$C:$C,"&gt;0")/COUNTIFS('NHL2025-26Results'!$D:$D,A12,'NHL2025-26Results'!$C:$C,"&gt;0")</f>
        <v>4.0999999999999996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25</v>
      </c>
      <c r="C13">
        <f>COUNTIF(NHL2025_26Results[Winning Team],Standings!A13)</f>
        <v>12</v>
      </c>
      <c r="D13">
        <f>COUNTIFS('NHL2025-26Results'!$H:$H,A13,'NHL2025-26Results'!$F:$F,"")</f>
        <v>12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25</v>
      </c>
      <c r="G13">
        <f>COUNTIFS('NHL2025-26Results'!$D:$D,A13,'NHL2025-26Results'!$G:$G,A13)</f>
        <v>8</v>
      </c>
      <c r="H13">
        <f>COUNTIFS('NHL2025-26Results'!$D:$D,A13,'NHL2025-26Results'!$H:$H,A13,'NHL2025-26Results'!$F:$F,"")</f>
        <v>6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0.53333333333333333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3.2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3.5384615384615383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26</v>
      </c>
      <c r="C14">
        <f>COUNTIF(NHL2025_26Results[Winning Team],Standings!A14)</f>
        <v>12</v>
      </c>
      <c r="D14">
        <f>COUNTIFS('NHL2025-26Results'!$H:$H,A14,'NHL2025-26Results'!$F:$F,"")</f>
        <v>7</v>
      </c>
      <c r="E14">
        <f>COUNTIFS('NHL2025-26Results'!$F:$F,"OT",'NHL2025-26Results'!$H:$H,A14) + COUNTIFS('NHL2025-26Results'!$F:$F,"SO",'NHL2025-26Results'!$H:$H,A14)</f>
        <v>7</v>
      </c>
      <c r="F14" s="3">
        <f>(Table1[[#This Row],[W]]*2)+Table1[[#This Row],[OTL]]</f>
        <v>31</v>
      </c>
      <c r="G14">
        <f>COUNTIFS('NHL2025-26Results'!$D:$D,A14,'NHL2025-26Results'!$G:$G,A14)</f>
        <v>3</v>
      </c>
      <c r="H14">
        <f>COUNTIFS('NHL2025-26Results'!$D:$D,A14,'NHL2025-26Results'!$H:$H,A14,'NHL2025-26Results'!$F:$F,"")</f>
        <v>5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4</v>
      </c>
      <c r="M14" s="11">
        <f>Table1[[#This Row],[HomeWins]]/SUM(Table1[[#This Row],[HomeWins]:[HomeOTL]])</f>
        <v>0.27272727272727271</v>
      </c>
      <c r="N14" s="11">
        <f>Table1[[#This Row],[AwayWins]]/SUM(Table1[[#This Row],[AwayWins]:[AwayOTL]])</f>
        <v>0.6</v>
      </c>
      <c r="O14" s="14">
        <f>SUMIFS('NHL2025-26Results'!$E:$E,'NHL2025-26Results'!$D:$D,A14,'NHL2025-26Results'!$E:$E,"&gt;0")/COUNTIFS('NHL2025-26Results'!$D:$D,A14,'NHL2025-26Results'!$E:$E,"&gt;0")</f>
        <v>1.9090909090909092</v>
      </c>
      <c r="P14" s="14">
        <f>SUMIFS('NHL2025-26Results'!$C:$C,'NHL2025-26Results'!$B:$B,A14,'NHL2025-26Results'!$C:$C,"&gt;0")/COUNTIFS('NHL2025-26Results'!$B:$B,A14,'NHL2025-26Results'!$C:$C,"&gt;0")</f>
        <v>3.2</v>
      </c>
      <c r="Q14" s="14">
        <f>SUMIFS('NHL2025-26Results'!$C:$C,'NHL2025-26Results'!$D:$D,A14,'NHL2025-26Results'!$C:$C,"&gt;0")/COUNTIFS('NHL2025-26Results'!$D:$D,A14,'NHL2025-26Results'!$C:$C,"&gt;0")</f>
        <v>3.2</v>
      </c>
      <c r="R14" s="14">
        <f>SUMIFS('NHL2025-26Results'!$E:$E,'NHL2025-26Results'!$B:$B,A14,'NHL2025-26Results'!$E:$E,"&gt;0")/COUNTIFS('NHL2025-26Results'!$B:$B,A14,'NHL2025-26Results'!$E:$E,"&gt;0")</f>
        <v>2.9285714285714284</v>
      </c>
    </row>
    <row r="15" spans="1:18" x14ac:dyDescent="0.2">
      <c r="A15" s="4" t="s">
        <v>34</v>
      </c>
      <c r="B15">
        <f>SUM(Table1[[#This Row],[W]:[OTL]])</f>
        <v>27</v>
      </c>
      <c r="C15">
        <f>COUNTIF(NHL2025_26Results[Winning Team],Standings!A15)</f>
        <v>15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35</v>
      </c>
      <c r="G15">
        <f>COUNTIFS('NHL2025-26Results'!$D:$D,A15,'NHL2025-26Results'!$G:$G,A15)</f>
        <v>8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7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0.53333333333333333</v>
      </c>
      <c r="N15" s="11">
        <f>Table1[[#This Row],[AwayWins]]/SUM(Table1[[#This Row],[AwayWins]:[AwayOTL]])</f>
        <v>0.58333333333333337</v>
      </c>
      <c r="O15" s="14">
        <f>SUMIFS('NHL2025-26Results'!$E:$E,'NHL2025-26Results'!$D:$D,A15,'NHL2025-26Results'!$E:$E,"&gt;0")/COUNTIFS('NHL2025-26Results'!$D:$D,A15,'NHL2025-26Results'!$E:$E,"&gt;0")</f>
        <v>2.9333333333333331</v>
      </c>
      <c r="P15" s="14">
        <f>SUMIFS('NHL2025-26Results'!$C:$C,'NHL2025-26Results'!$B:$B,A15,'NHL2025-26Results'!$C:$C,"&gt;0")/COUNTIFS('NHL2025-26Results'!$B:$B,A15,'NHL2025-26Results'!$C:$C,"&gt;0")</f>
        <v>2.8333333333333335</v>
      </c>
      <c r="Q15" s="14">
        <f>SUMIFS('NHL2025-26Results'!$C:$C,'NHL2025-26Results'!$D:$D,A15,'NHL2025-26Results'!$C:$C,"&gt;0")/COUNTIFS('NHL2025-26Results'!$D:$D,A15,'NHL2025-26Results'!$C:$C,"&gt;0")</f>
        <v>3.5384615384615383</v>
      </c>
      <c r="R15" s="14">
        <f>SUMIFS('NHL2025-26Results'!$E:$E,'NHL2025-26Results'!$B:$B,A15,'NHL2025-26Results'!$E:$E,"&gt;0")/COUNTIFS('NHL2025-26Results'!$B:$B,A15,'NHL2025-26Results'!$E:$E,"&gt;0")</f>
        <v>3.25</v>
      </c>
    </row>
    <row r="16" spans="1:18" x14ac:dyDescent="0.2">
      <c r="A16" s="4" t="s">
        <v>18</v>
      </c>
      <c r="B16">
        <f>SUM(Table1[[#This Row],[W]:[OTL]])</f>
        <v>26</v>
      </c>
      <c r="C16">
        <f>COUNTIF(NHL2025_26Results[Winning Team],Standings!A16)</f>
        <v>14</v>
      </c>
      <c r="D16">
        <f>COUNTIFS('NHL2025-26Results'!$H:$H,A16,'NHL2025-26Results'!$F:$F,"")</f>
        <v>9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31</v>
      </c>
      <c r="G16">
        <f>COUNTIFS('NHL2025-26Results'!$D:$D,A16,'NHL2025-26Results'!$G:$G,A16)</f>
        <v>7</v>
      </c>
      <c r="H16">
        <f>COUNTIFS('NHL2025-26Results'!$D:$D,A16,'NHL2025-26Results'!$H:$H,A16,'NHL2025-26Results'!$F:$F,"")</f>
        <v>6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7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0.58333333333333337</v>
      </c>
      <c r="O16" s="14">
        <f>SUMIFS('NHL2025-26Results'!$E:$E,'NHL2025-26Results'!$D:$D,A16,'NHL2025-26Results'!$E:$E,"&gt;0")/COUNTIFS('NHL2025-26Results'!$D:$D,A16,'NHL2025-26Results'!$E:$E,"&gt;0")</f>
        <v>3.5384615384615383</v>
      </c>
      <c r="P16" s="14">
        <f>SUMIFS('NHL2025-26Results'!$C:$C,'NHL2025-26Results'!$B:$B,A16,'NHL2025-26Results'!$C:$C,"&gt;0")/COUNTIFS('NHL2025-26Results'!$B:$B,A16,'NHL2025-26Results'!$C:$C,"&gt;0")</f>
        <v>3.4166666666666665</v>
      </c>
      <c r="Q16" s="14">
        <f>SUMIFS('NHL2025-26Results'!$C:$C,'NHL2025-26Results'!$D:$D,A16,'NHL2025-26Results'!$C:$C,"&gt;0")/COUNTIFS('NHL2025-26Results'!$D:$D,A16,'NHL2025-26Results'!$C:$C,"&gt;0")</f>
        <v>3.8571428571428572</v>
      </c>
      <c r="R16" s="14">
        <f>SUMIFS('NHL2025-26Results'!$E:$E,'NHL2025-26Results'!$B:$B,A16,'NHL2025-26Results'!$E:$E,"&gt;0")/COUNTIFS('NHL2025-26Results'!$B:$B,A16,'NHL2025-26Results'!$E:$E,"&gt;0")</f>
        <v>3.3333333333333335</v>
      </c>
    </row>
    <row r="17" spans="1:18" x14ac:dyDescent="0.2">
      <c r="A17" s="4" t="s">
        <v>29</v>
      </c>
      <c r="B17">
        <f>SUM(Table1[[#This Row],[W]:[OTL]])</f>
        <v>26</v>
      </c>
      <c r="C17">
        <f>COUNTIF(NHL2025_26Results[Winning Team],Standings!A17)</f>
        <v>9</v>
      </c>
      <c r="D17">
        <f>COUNTIFS('NHL2025-26Results'!$H:$H,A17,'NHL2025-26Results'!$F:$F,"")</f>
        <v>13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22</v>
      </c>
      <c r="G17">
        <f>COUNTIFS('NHL2025-26Results'!$D:$D,A17,'NHL2025-26Results'!$G:$G,A17)</f>
        <v>6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3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0.375</v>
      </c>
      <c r="N17" s="11">
        <f>Table1[[#This Row],[AwayWins]]/SUM(Table1[[#This Row],[AwayWins]:[AwayOTL]])</f>
        <v>0.3</v>
      </c>
      <c r="O17" s="14">
        <f>SUMIFS('NHL2025-26Results'!$E:$E,'NHL2025-26Results'!$D:$D,A17,'NHL2025-26Results'!$E:$E,"&gt;0")/COUNTIFS('NHL2025-26Results'!$D:$D,A17,'NHL2025-26Results'!$E:$E,"&gt;0")</f>
        <v>2.8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3.4375</v>
      </c>
      <c r="R17" s="14">
        <f>SUMIFS('NHL2025-26Results'!$E:$E,'NHL2025-26Results'!$B:$B,A17,'NHL2025-26Results'!$E:$E,"&gt;0")/COUNTIFS('NHL2025-26Results'!$B:$B,A17,'NHL2025-26Results'!$E:$E,"&gt;0")</f>
        <v>3.8</v>
      </c>
    </row>
    <row r="18" spans="1:18" x14ac:dyDescent="0.2">
      <c r="A18" s="4" t="s">
        <v>24</v>
      </c>
      <c r="B18">
        <f>SUM(Table1[[#This Row],[W]:[OTL]])</f>
        <v>27</v>
      </c>
      <c r="C18">
        <f>COUNTIF(NHL2025_26Results[Winning Team],Standings!A18)</f>
        <v>16</v>
      </c>
      <c r="D18">
        <f>COUNTIFS('NHL2025-26Results'!$H:$H,A18,'NHL2025-26Results'!$F:$F,"")</f>
        <v>10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33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3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7</v>
      </c>
      <c r="K18">
        <f>COUNTIFS('NHL2025-26Results'!$B:$B,A18,'NHL2025-26Results'!$H:$H,A18,'NHL2025-26Results'!$F:$F,"")</f>
        <v>7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0.69230769230769229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3.3333333333333335</v>
      </c>
      <c r="P18" s="14">
        <f>SUMIFS('NHL2025-26Results'!$C:$C,'NHL2025-26Results'!$B:$B,A18,'NHL2025-26Results'!$C:$C,"&gt;0")/COUNTIFS('NHL2025-26Results'!$B:$B,A18,'NHL2025-26Results'!$C:$C,"&gt;0")</f>
        <v>3.3076923076923075</v>
      </c>
      <c r="Q18" s="14">
        <f>SUMIFS('NHL2025-26Results'!$C:$C,'NHL2025-26Results'!$D:$D,A18,'NHL2025-26Results'!$C:$C,"&gt;0")/COUNTIFS('NHL2025-26Results'!$D:$D,A18,'NHL2025-26Results'!$C:$C,"&gt;0")</f>
        <v>2.6153846153846154</v>
      </c>
      <c r="R18" s="14">
        <f>SUMIFS('NHL2025-26Results'!$E:$E,'NHL2025-26Results'!$B:$B,A18,'NHL2025-26Results'!$E:$E,"&gt;0")/COUNTIFS('NHL2025-26Results'!$B:$B,A18,'NHL2025-26Results'!$E:$E,"&gt;0")</f>
        <v>3.6923076923076925</v>
      </c>
    </row>
    <row r="19" spans="1:18" x14ac:dyDescent="0.2">
      <c r="A19" s="4" t="s">
        <v>30</v>
      </c>
      <c r="B19">
        <f>SUM(Table1[[#This Row],[W]:[OTL]])</f>
        <v>27</v>
      </c>
      <c r="C19">
        <f>COUNTIF(NHL2025_26Results[Winning Team],Standings!A19)</f>
        <v>14</v>
      </c>
      <c r="D19">
        <f>COUNTIFS('NHL2025-26Results'!$H:$H,A19,'NHL2025-26Results'!$F:$F,"")</f>
        <v>10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31</v>
      </c>
      <c r="G19">
        <f>COUNTIFS('NHL2025-26Results'!$D:$D,A19,'NHL2025-26Results'!$G:$G,A19)</f>
        <v>6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8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0.42857142857142855</v>
      </c>
      <c r="N19" s="11">
        <f>Table1[[#This Row],[AwayWins]]/SUM(Table1[[#This Row],[AwayWins]:[AwayOTL]])</f>
        <v>0.61538461538461542</v>
      </c>
      <c r="O19" s="14">
        <f>SUMIFS('NHL2025-26Results'!$E:$E,'NHL2025-26Results'!$D:$D,A19,'NHL2025-26Results'!$E:$E,"&gt;0")/COUNTIFS('NHL2025-26Results'!$D:$D,A19,'NHL2025-26Results'!$E:$E,"&gt;0")</f>
        <v>2.5714285714285716</v>
      </c>
      <c r="P19" s="14">
        <f>SUMIFS('NHL2025-26Results'!$C:$C,'NHL2025-26Results'!$B:$B,A19,'NHL2025-26Results'!$C:$C,"&gt;0")/COUNTIFS('NHL2025-26Results'!$B:$B,A19,'NHL2025-26Results'!$C:$C,"&gt;0")</f>
        <v>3.2307692307692308</v>
      </c>
      <c r="Q19" s="14">
        <f>SUMIFS('NHL2025-26Results'!$C:$C,'NHL2025-26Results'!$D:$D,A19,'NHL2025-26Results'!$C:$C,"&gt;0")/COUNTIFS('NHL2025-26Results'!$D:$D,A19,'NHL2025-26Results'!$C:$C,"&gt;0")</f>
        <v>3.1538461538461537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28</v>
      </c>
      <c r="C20">
        <f>COUNTIF(NHL2025_26Results[Winning Team],Standings!A20)</f>
        <v>14</v>
      </c>
      <c r="D20">
        <f>COUNTIFS('NHL2025-26Results'!$H:$H,A20,'NHL2025-26Results'!$F:$F,"")</f>
        <v>12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30</v>
      </c>
      <c r="G20">
        <f>COUNTIFS('NHL2025-26Results'!$D:$D,A20,'NHL2025-26Results'!$G:$G,A20)</f>
        <v>3</v>
      </c>
      <c r="H20">
        <f>COUNTIFS('NHL2025-26Results'!$D:$D,A20,'NHL2025-26Results'!$H:$H,A20,'NHL2025-26Results'!$F:$F,"")</f>
        <v>8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11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0.25</v>
      </c>
      <c r="N20" s="11">
        <f>Table1[[#This Row],[AwayWins]]/SUM(Table1[[#This Row],[AwayWins]:[AwayOTL]])</f>
        <v>0.6875</v>
      </c>
      <c r="O20" s="14">
        <f>SUMIFS('NHL2025-26Results'!$E:$E,'NHL2025-26Results'!$D:$D,A20,'NHL2025-26Results'!$E:$E,"&gt;0")/COUNTIFS('NHL2025-26Results'!$D:$D,A20,'NHL2025-26Results'!$E:$E,"&gt;0")</f>
        <v>2.8571428571428572</v>
      </c>
      <c r="P20" s="14">
        <f>SUMIFS('NHL2025-26Results'!$C:$C,'NHL2025-26Results'!$B:$B,A20,'NHL2025-26Results'!$C:$C,"&gt;0")/COUNTIFS('NHL2025-26Results'!$B:$B,A20,'NHL2025-26Results'!$C:$C,"&gt;0")</f>
        <v>3.4375</v>
      </c>
      <c r="Q20" s="14">
        <f>SUMIFS('NHL2025-26Results'!$C:$C,'NHL2025-26Results'!$D:$D,A20,'NHL2025-26Results'!$C:$C,"&gt;0")/COUNTIFS('NHL2025-26Results'!$D:$D,A20,'NHL2025-26Results'!$C:$C,"&gt;0")</f>
        <v>3</v>
      </c>
      <c r="R20" s="14">
        <f>SUMIFS('NHL2025-26Results'!$E:$E,'NHL2025-26Results'!$B:$B,A20,'NHL2025-26Results'!$E:$E,"&gt;0")/COUNTIFS('NHL2025-26Results'!$B:$B,A20,'NHL2025-26Results'!$E:$E,"&gt;0")</f>
        <v>2.6428571428571428</v>
      </c>
    </row>
    <row r="21" spans="1:18" x14ac:dyDescent="0.2">
      <c r="A21" s="4" t="s">
        <v>36</v>
      </c>
      <c r="B21">
        <f>SUM(Table1[[#This Row],[W]:[OTL]])</f>
        <v>26</v>
      </c>
      <c r="C21">
        <f>COUNTIF(NHL2025_26Results[Winning Team],Standings!A21)</f>
        <v>13</v>
      </c>
      <c r="D21">
        <f>COUNTIFS('NHL2025-26Results'!$H:$H,A21,'NHL2025-26Results'!$F:$F,"")</f>
        <v>9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30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7</v>
      </c>
      <c r="K21">
        <f>COUNTIFS('NHL2025-26Results'!$B:$B,A21,'NHL2025-26Results'!$H:$H,A21,'NHL2025-26Results'!$F:$F,"")</f>
        <v>6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0.46666666666666667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3.2666666666666666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3.7333333333333334</v>
      </c>
    </row>
    <row r="22" spans="1:18" x14ac:dyDescent="0.2">
      <c r="A22" s="4" t="s">
        <v>27</v>
      </c>
      <c r="B22">
        <f>SUM(Table1[[#This Row],[W]:[OTL]])</f>
        <v>26</v>
      </c>
      <c r="C22">
        <f>COUNTIF(NHL2025_26Results[Winning Team],Standings!A22)</f>
        <v>15</v>
      </c>
      <c r="D22">
        <f>COUNTIFS('NHL2025-26Results'!$H:$H,A22,'NHL2025-26Results'!$F:$F,"")</f>
        <v>8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33</v>
      </c>
      <c r="G22">
        <f>COUNTIFS('NHL2025-26Results'!$D:$D,A22,'NHL2025-26Results'!$G:$G,A22)</f>
        <v>9</v>
      </c>
      <c r="H22">
        <f>COUNTIFS('NHL2025-26Results'!$D:$D,A22,'NHL2025-26Results'!$H:$H,A22,'NHL2025-26Results'!$F:$F,"")</f>
        <v>4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0.6</v>
      </c>
      <c r="N22" s="11">
        <f>Table1[[#This Row],[AwayWins]]/SUM(Table1[[#This Row],[AwayWins]:[AwayOTL]])</f>
        <v>0.54545454545454541</v>
      </c>
      <c r="O22" s="14">
        <f>SUMIFS('NHL2025-26Results'!$E:$E,'NHL2025-26Results'!$D:$D,A22,'NHL2025-26Results'!$E:$E,"&gt;0")/COUNTIFS('NHL2025-26Results'!$D:$D,A22,'NHL2025-26Results'!$E:$E,"&gt;0")</f>
        <v>3.0666666666666669</v>
      </c>
      <c r="P22" s="14">
        <f>SUMIFS('NHL2025-26Results'!$C:$C,'NHL2025-26Results'!$B:$B,A22,'NHL2025-26Results'!$C:$C,"&gt;0")/COUNTIFS('NHL2025-26Results'!$B:$B,A22,'NHL2025-26Results'!$C:$C,"&gt;0")</f>
        <v>3.3</v>
      </c>
      <c r="Q22" s="14">
        <f>SUMIFS('NHL2025-26Results'!$C:$C,'NHL2025-26Results'!$D:$D,A22,'NHL2025-26Results'!$C:$C,"&gt;0")/COUNTIFS('NHL2025-26Results'!$D:$D,A22,'NHL2025-26Results'!$C:$C,"&gt;0")</f>
        <v>2.6666666666666665</v>
      </c>
      <c r="R22" s="14">
        <f>SUMIFS('NHL2025-26Results'!$E:$E,'NHL2025-26Results'!$B:$B,A22,'NHL2025-26Results'!$E:$E,"&gt;0")/COUNTIFS('NHL2025-26Results'!$B:$B,A22,'NHL2025-26Results'!$E:$E,"&gt;0")</f>
        <v>3.0909090909090908</v>
      </c>
    </row>
    <row r="23" spans="1:18" x14ac:dyDescent="0.2">
      <c r="A23" s="4" t="s">
        <v>14</v>
      </c>
      <c r="B23">
        <f>SUM(Table1[[#This Row],[W]:[OTL]])</f>
        <v>25</v>
      </c>
      <c r="C23">
        <f>COUNTIF(NHL2025_26Results[Winning Team],Standings!A23)</f>
        <v>13</v>
      </c>
      <c r="D23">
        <f>COUNTIFS('NHL2025-26Results'!$H:$H,A23,'NHL2025-26Results'!$F:$F,"")</f>
        <v>7</v>
      </c>
      <c r="E23">
        <f>COUNTIFS('NHL2025-26Results'!$F:$F,"OT",'NHL2025-26Results'!$H:$H,A23) + COUNTIFS('NHL2025-26Results'!$F:$F,"SO",'NHL2025-26Results'!$H:$H,A23)</f>
        <v>5</v>
      </c>
      <c r="F23" s="3">
        <f>(Table1[[#This Row],[W]]*2)+Table1[[#This Row],[OTL]]</f>
        <v>31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4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7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0.5</v>
      </c>
      <c r="N23" s="11">
        <f>Table1[[#This Row],[AwayWins]]/SUM(Table1[[#This Row],[AwayWins]:[AwayOTL]])</f>
        <v>0.53846153846153844</v>
      </c>
      <c r="O23" s="14">
        <f>SUMIFS('NHL2025-26Results'!$E:$E,'NHL2025-26Results'!$D:$D,A23,'NHL2025-26Results'!$E:$E,"&gt;0")/COUNTIFS('NHL2025-26Results'!$D:$D,A23,'NHL2025-26Results'!$E:$E,"&gt;0")</f>
        <v>3.5454545454545454</v>
      </c>
      <c r="P23" s="14">
        <f>SUMIFS('NHL2025-26Results'!$C:$C,'NHL2025-26Results'!$B:$B,A23,'NHL2025-26Results'!$C:$C,"&gt;0")/COUNTIFS('NHL2025-26Results'!$B:$B,A23,'NHL2025-26Results'!$C:$C,"&gt;0")</f>
        <v>3.0769230769230771</v>
      </c>
      <c r="Q23" s="14">
        <f>SUMIFS('NHL2025-26Results'!$C:$C,'NHL2025-26Results'!$D:$D,A23,'NHL2025-26Results'!$C:$C,"&gt;0")/COUNTIFS('NHL2025-26Results'!$D:$D,A23,'NHL2025-26Results'!$C:$C,"&gt;0")</f>
        <v>3.7272727272727271</v>
      </c>
      <c r="R23" s="14">
        <f>SUMIFS('NHL2025-26Results'!$E:$E,'NHL2025-26Results'!$B:$B,A23,'NHL2025-26Results'!$E:$E,"&gt;0")/COUNTIFS('NHL2025-26Results'!$B:$B,A23,'NHL2025-26Results'!$E:$E,"&gt;0")</f>
        <v>2.7272727272727271</v>
      </c>
    </row>
    <row r="24" spans="1:18" x14ac:dyDescent="0.2">
      <c r="A24" s="4" t="s">
        <v>33</v>
      </c>
      <c r="B24">
        <f>SUM(Table1[[#This Row],[W]:[OTL]])</f>
        <v>28</v>
      </c>
      <c r="C24">
        <f>COUNTIF(NHL2025_26Results[Winning Team],Standings!A24)</f>
        <v>13</v>
      </c>
      <c r="D24">
        <f>COUNTIFS('NHL2025-26Results'!$H:$H,A24,'NHL2025-26Results'!$F:$F,"")</f>
        <v>12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29</v>
      </c>
      <c r="G24">
        <f>COUNTIFS('NHL2025-26Results'!$D:$D,A24,'NHL2025-26Results'!$G:$G,A24)</f>
        <v>9</v>
      </c>
      <c r="H24">
        <f>COUNTIFS('NHL2025-26Results'!$D:$D,A24,'NHL2025-26Results'!$H:$H,A24,'NHL2025-26Results'!$F:$F,"")</f>
        <v>5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7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0.52941176470588236</v>
      </c>
      <c r="N24" s="11">
        <f>Table1[[#This Row],[AwayWins]]/SUM(Table1[[#This Row],[AwayWins]:[AwayOTL]])</f>
        <v>0.36363636363636365</v>
      </c>
      <c r="O24" s="14">
        <f>SUMIFS('NHL2025-26Results'!$E:$E,'NHL2025-26Results'!$D:$D,A24,'NHL2025-26Results'!$E:$E,"&gt;0")/COUNTIFS('NHL2025-26Results'!$D:$D,A24,'NHL2025-26Results'!$E:$E,"&gt;0")</f>
        <v>3.125</v>
      </c>
      <c r="P24" s="14">
        <f>SUMIFS('NHL2025-26Results'!$C:$C,'NHL2025-26Results'!$B:$B,A24,'NHL2025-26Results'!$C:$C,"&gt;0")/COUNTIFS('NHL2025-26Results'!$B:$B,A24,'NHL2025-26Results'!$C:$C,"&gt;0")</f>
        <v>3.4444444444444446</v>
      </c>
      <c r="Q24" s="14">
        <f>SUMIFS('NHL2025-26Results'!$C:$C,'NHL2025-26Results'!$D:$D,A24,'NHL2025-26Results'!$C:$C,"&gt;0")/COUNTIFS('NHL2025-26Results'!$D:$D,A24,'NHL2025-26Results'!$C:$C,"&gt;0")</f>
        <v>3.1176470588235294</v>
      </c>
      <c r="R24" s="14">
        <f>SUMIFS('NHL2025-26Results'!$E:$E,'NHL2025-26Results'!$B:$B,A24,'NHL2025-26Results'!$E:$E,"&gt;0")/COUNTIFS('NHL2025-26Results'!$B:$B,A24,'NHL2025-26Results'!$E:$E,"&gt;0")</f>
        <v>3.7272727272727271</v>
      </c>
    </row>
    <row r="25" spans="1:18" x14ac:dyDescent="0.2">
      <c r="A25" s="4" t="s">
        <v>32</v>
      </c>
      <c r="B25">
        <f>SUM(Table1[[#This Row],[W]:[OTL]])</f>
        <v>24</v>
      </c>
      <c r="C25">
        <f>COUNTIF(NHL2025_26Results[Winning Team],Standings!A25)</f>
        <v>11</v>
      </c>
      <c r="D25">
        <f>COUNTIFS('NHL2025-26Results'!$H:$H,A25,'NHL2025-26Results'!$F:$F,"")</f>
        <v>7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3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4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0.5</v>
      </c>
      <c r="N25" s="11">
        <f>Table1[[#This Row],[AwayWins]]/SUM(Table1[[#This Row],[AwayWins]:[AwayOTL]])</f>
        <v>0.41666666666666669</v>
      </c>
      <c r="O25" s="14">
        <f>SUMIFS('NHL2025-26Results'!$E:$E,'NHL2025-26Results'!$D:$D,A25,'NHL2025-26Results'!$E:$E,"&gt;0")/COUNTIFS('NHL2025-26Results'!$D:$D,A25,'NHL2025-26Results'!$E:$E,"&gt;0")</f>
        <v>2.6363636363636362</v>
      </c>
      <c r="P25" s="14">
        <f>SUMIFS('NHL2025-26Results'!$C:$C,'NHL2025-26Results'!$B:$B,A25,'NHL2025-26Results'!$C:$C,"&gt;0")/COUNTIFS('NHL2025-26Results'!$B:$B,A25,'NHL2025-26Results'!$C:$C,"&gt;0")</f>
        <v>2.7272727272727271</v>
      </c>
      <c r="Q25" s="14">
        <f>SUMIFS('NHL2025-26Results'!$C:$C,'NHL2025-26Results'!$D:$D,A25,'NHL2025-26Results'!$C:$C,"&gt;0")/COUNTIFS('NHL2025-26Results'!$D:$D,A25,'NHL2025-26Results'!$C:$C,"&gt;0")</f>
        <v>2.5833333333333335</v>
      </c>
      <c r="R25" s="14">
        <f>SUMIFS('NHL2025-26Results'!$E:$E,'NHL2025-26Results'!$B:$B,A25,'NHL2025-26Results'!$E:$E,"&gt;0")/COUNTIFS('NHL2025-26Results'!$B:$B,A25,'NHL2025-26Results'!$E:$E,"&gt;0")</f>
        <v>3.1818181818181817</v>
      </c>
    </row>
    <row r="26" spans="1:18" x14ac:dyDescent="0.2">
      <c r="A26" s="4" t="s">
        <v>35</v>
      </c>
      <c r="B26">
        <f>SUM(Table1[[#This Row],[W]:[OTL]])</f>
        <v>27</v>
      </c>
      <c r="C26">
        <f>COUNTIF(NHL2025_26Results[Winning Team],Standings!A26)</f>
        <v>9</v>
      </c>
      <c r="D26">
        <f>COUNTIFS('NHL2025-26Results'!$H:$H,A26,'NHL2025-26Results'!$F:$F,"")</f>
        <v>11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25</v>
      </c>
      <c r="G26">
        <f>COUNTIFS('NHL2025-26Results'!$D:$D,A26,'NHL2025-26Results'!$G:$G,A26)</f>
        <v>5</v>
      </c>
      <c r="H26">
        <f>COUNTIFS('NHL2025-26Results'!$D:$D,A26,'NHL2025-26Results'!$H:$H,A26,'NHL2025-26Results'!$F:$F,"")</f>
        <v>6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4</v>
      </c>
      <c r="K26">
        <f>COUNTIFS('NHL2025-26Results'!$B:$B,A26,'NHL2025-26Results'!$H:$H,A26,'NHL2025-26Results'!$F:$F,"")</f>
        <v>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0.33333333333333331</v>
      </c>
      <c r="N26" s="11">
        <f>Table1[[#This Row],[AwayWins]]/SUM(Table1[[#This Row],[AwayWins]:[AwayOTL]])</f>
        <v>0.33333333333333331</v>
      </c>
      <c r="O26" s="14">
        <f>SUMIFS('NHL2025-26Results'!$E:$E,'NHL2025-26Results'!$D:$D,A26,'NHL2025-26Results'!$E:$E,"&gt;0")/COUNTIFS('NHL2025-26Results'!$D:$D,A26,'NHL2025-26Results'!$E:$E,"&gt;0")</f>
        <v>2.6428571428571428</v>
      </c>
      <c r="P26" s="14">
        <f>SUMIFS('NHL2025-26Results'!$C:$C,'NHL2025-26Results'!$B:$B,A26,'NHL2025-26Results'!$C:$C,"&gt;0")/COUNTIFS('NHL2025-26Results'!$B:$B,A26,'NHL2025-26Results'!$C:$C,"&gt;0")</f>
        <v>2.6666666666666665</v>
      </c>
      <c r="Q26" s="14">
        <f>SUMIFS('NHL2025-26Results'!$C:$C,'NHL2025-26Results'!$D:$D,A26,'NHL2025-26Results'!$C:$C,"&gt;0")/COUNTIFS('NHL2025-26Results'!$D:$D,A26,'NHL2025-26Results'!$C:$C,"&gt;0")</f>
        <v>4.0714285714285712</v>
      </c>
      <c r="R26" s="14">
        <f>SUMIFS('NHL2025-26Results'!$E:$E,'NHL2025-26Results'!$B:$B,A26,'NHL2025-26Results'!$E:$E,"&gt;0")/COUNTIFS('NHL2025-26Results'!$B:$B,A26,'NHL2025-26Results'!$E:$E,"&gt;0")</f>
        <v>3.4545454545454546</v>
      </c>
    </row>
    <row r="27" spans="1:18" x14ac:dyDescent="0.2">
      <c r="A27" s="4" t="s">
        <v>37</v>
      </c>
      <c r="B27">
        <f>SUM(Table1[[#This Row],[W]:[OTL]])</f>
        <v>26</v>
      </c>
      <c r="C27">
        <f>COUNTIF(NHL2025_26Results[Winning Team],Standings!A27)</f>
        <v>16</v>
      </c>
      <c r="D27">
        <f>COUNTIFS('NHL2025-26Results'!$H:$H,A27,'NHL2025-26Results'!$F:$F,"")</f>
        <v>8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34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8</v>
      </c>
      <c r="K27">
        <f>COUNTIFS('NHL2025-26Results'!$B:$B,A27,'NHL2025-26Results'!$H:$H,A27,'NHL2025-26Results'!$F:$F,"")</f>
        <v>3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0.61538461538461542</v>
      </c>
      <c r="N27" s="11">
        <f>Table1[[#This Row],[AwayWins]]/SUM(Table1[[#This Row],[AwayWins]:[AwayOTL]])</f>
        <v>0.61538461538461542</v>
      </c>
      <c r="O27" s="14">
        <f>SUMIFS('NHL2025-26Results'!$E:$E,'NHL2025-26Results'!$D:$D,A27,'NHL2025-26Results'!$E:$E,"&gt;0")/COUNTIFS('NHL2025-26Results'!$D:$D,A27,'NHL2025-26Results'!$E:$E,"&gt;0")</f>
        <v>3.0769230769230771</v>
      </c>
      <c r="P27" s="14">
        <f>SUMIFS('NHL2025-26Results'!$C:$C,'NHL2025-26Results'!$B:$B,A27,'NHL2025-26Results'!$C:$C,"&gt;0")/COUNTIFS('NHL2025-26Results'!$B:$B,A27,'NHL2025-26Results'!$C:$C,"&gt;0")</f>
        <v>3.4615384615384617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2.3846153846153846</v>
      </c>
    </row>
    <row r="28" spans="1:18" x14ac:dyDescent="0.2">
      <c r="A28" s="4" t="s">
        <v>19</v>
      </c>
      <c r="B28">
        <f>SUM(Table1[[#This Row],[W]:[OTL]])</f>
        <v>26</v>
      </c>
      <c r="C28">
        <f>COUNTIF(NHL2025_26Results[Winning Team],Standings!A28)</f>
        <v>12</v>
      </c>
      <c r="D28">
        <f>COUNTIFS('NHL2025-26Results'!$H:$H,A28,'NHL2025-26Results'!$F:$F,"")</f>
        <v>11</v>
      </c>
      <c r="E28">
        <f>COUNTIFS('NHL2025-26Results'!$F:$F,"OT",'NHL2025-26Results'!$H:$H,A28) + COUNTIFS('NHL2025-26Results'!$F:$F,"SO",'NHL2025-26Results'!$H:$H,A28)</f>
        <v>3</v>
      </c>
      <c r="F28" s="3">
        <f>(Table1[[#This Row],[W]]*2)+Table1[[#This Row],[OTL]]</f>
        <v>27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3</v>
      </c>
      <c r="J28">
        <f>COUNTIFS('NHL2025-26Results'!$B:$B,A28,'NHL2025-26Results'!$G:$G,A28)</f>
        <v>4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0.36363636363636365</v>
      </c>
      <c r="O28" s="14">
        <f>SUMIFS('NHL2025-26Results'!$E:$E,'NHL2025-26Results'!$D:$D,A28,'NHL2025-26Results'!$E:$E,"&gt;0")/COUNTIFS('NHL2025-26Results'!$D:$D,A28,'NHL2025-26Results'!$E:$E,"&gt;0")</f>
        <v>3.5333333333333332</v>
      </c>
      <c r="P28" s="14">
        <f>SUMIFS('NHL2025-26Results'!$C:$C,'NHL2025-26Results'!$B:$B,A28,'NHL2025-26Results'!$C:$C,"&gt;0")/COUNTIFS('NHL2025-26Results'!$B:$B,A28,'NHL2025-26Results'!$C:$C,"&gt;0")</f>
        <v>3.2727272727272729</v>
      </c>
      <c r="Q28" s="14">
        <f>SUMIFS('NHL2025-26Results'!$C:$C,'NHL2025-26Results'!$D:$D,A28,'NHL2025-26Results'!$C:$C,"&gt;0")/COUNTIFS('NHL2025-26Results'!$D:$D,A28,'NHL2025-26Results'!$C:$C,"&gt;0")</f>
        <v>3.3333333333333335</v>
      </c>
      <c r="R28" s="14">
        <f>SUMIFS('NHL2025-26Results'!$E:$E,'NHL2025-26Results'!$B:$B,A28,'NHL2025-26Results'!$E:$E,"&gt;0")/COUNTIFS('NHL2025-26Results'!$B:$B,A28,'NHL2025-26Results'!$E:$E,"&gt;0")</f>
        <v>3.6363636363636362</v>
      </c>
    </row>
    <row r="29" spans="1:18" x14ac:dyDescent="0.2">
      <c r="A29" t="s">
        <v>55</v>
      </c>
      <c r="B29">
        <f>SUM(Table1[[#This Row],[W]:[OTL]])</f>
        <v>28</v>
      </c>
      <c r="C29">
        <f>COUNTIF(NHL2025_26Results[Winning Team],Standings!A29)</f>
        <v>13</v>
      </c>
      <c r="D29">
        <f>COUNTIFS('NHL2025-26Results'!$H:$H,A29,'NHL2025-26Results'!$F:$F,"")</f>
        <v>12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29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3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6</v>
      </c>
      <c r="K29">
        <f>COUNTIFS('NHL2025-26Results'!$B:$B,A29,'NHL2025-26Results'!$H:$H,A29,'NHL2025-26Results'!$F:$F,"")</f>
        <v>9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0.63636363636363635</v>
      </c>
      <c r="N29" s="11">
        <f>Table1[[#This Row],[AwayWins]]/SUM(Table1[[#This Row],[AwayWins]:[AwayOTL]])</f>
        <v>0.35294117647058826</v>
      </c>
      <c r="O29" s="14">
        <f>SUMIFS('NHL2025-26Results'!$E:$E,'NHL2025-26Results'!$D:$D,A29,'NHL2025-26Results'!$E:$E,"&gt;0")/COUNTIFS('NHL2025-26Results'!$D:$D,A29,'NHL2025-26Results'!$E:$E,"&gt;0")</f>
        <v>3.3636363636363638</v>
      </c>
      <c r="P29" s="14">
        <f>SUMIFS('NHL2025-26Results'!$C:$C,'NHL2025-26Results'!$B:$B,A29,'NHL2025-26Results'!$C:$C,"&gt;0")/COUNTIFS('NHL2025-26Results'!$B:$B,A29,'NHL2025-26Results'!$C:$C,"&gt;0")</f>
        <v>3.125</v>
      </c>
      <c r="Q29" s="14">
        <f>SUMIFS('NHL2025-26Results'!$C:$C,'NHL2025-26Results'!$D:$D,A29,'NHL2025-26Results'!$C:$C,"&gt;0")/COUNTIFS('NHL2025-26Results'!$D:$D,A29,'NHL2025-26Results'!$C:$C,"&gt;0")</f>
        <v>2.6363636363636362</v>
      </c>
      <c r="R29" s="14">
        <f>SUMIFS('NHL2025-26Results'!$E:$E,'NHL2025-26Results'!$B:$B,A29,'NHL2025-26Results'!$E:$E,"&gt;0")/COUNTIFS('NHL2025-26Results'!$B:$B,A29,'NHL2025-26Results'!$E:$E,"&gt;0")</f>
        <v>3.375</v>
      </c>
    </row>
    <row r="30" spans="1:18" x14ac:dyDescent="0.2">
      <c r="A30" s="4" t="s">
        <v>38</v>
      </c>
      <c r="B30">
        <f>SUM(Table1[[#This Row],[W]:[OTL]])</f>
        <v>27</v>
      </c>
      <c r="C30">
        <f>COUNTIF(NHL2025_26Results[Winning Team],Standings!A30)</f>
        <v>10</v>
      </c>
      <c r="D30">
        <f>COUNTIFS('NHL2025-26Results'!$H:$H,A30,'NHL2025-26Results'!$F:$F,"")</f>
        <v>14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23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7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0.27272727272727271</v>
      </c>
      <c r="N30" s="11">
        <f>Table1[[#This Row],[AwayWins]]/SUM(Table1[[#This Row],[AwayWins]:[AwayOTL]])</f>
        <v>0.4375</v>
      </c>
      <c r="O30" s="14">
        <f>SUMIFS('NHL2025-26Results'!$E:$E,'NHL2025-26Results'!$D:$D,A30,'NHL2025-26Results'!$E:$E,"&gt;0")/COUNTIFS('NHL2025-26Results'!$D:$D,A30,'NHL2025-26Results'!$E:$E,"&gt;0")</f>
        <v>3.1</v>
      </c>
      <c r="P30" s="14">
        <f>SUMIFS('NHL2025-26Results'!$C:$C,'NHL2025-26Results'!$B:$B,A30,'NHL2025-26Results'!$C:$C,"&gt;0")/COUNTIFS('NHL2025-26Results'!$B:$B,A30,'NHL2025-26Results'!$C:$C,"&gt;0")</f>
        <v>3.0625</v>
      </c>
      <c r="Q30" s="14">
        <f>SUMIFS('NHL2025-26Results'!$C:$C,'NHL2025-26Results'!$D:$D,A30,'NHL2025-26Results'!$C:$C,"&gt;0")/COUNTIFS('NHL2025-26Results'!$D:$D,A30,'NHL2025-26Results'!$C:$C,"&gt;0")</f>
        <v>3.8181818181818183</v>
      </c>
      <c r="R30" s="14">
        <f>SUMIFS('NHL2025-26Results'!$E:$E,'NHL2025-26Results'!$B:$B,A30,'NHL2025-26Results'!$E:$E,"&gt;0")/COUNTIFS('NHL2025-26Results'!$B:$B,A30,'NHL2025-26Results'!$E:$E,"&gt;0")</f>
        <v>3.5</v>
      </c>
    </row>
    <row r="31" spans="1:18" x14ac:dyDescent="0.2">
      <c r="A31" s="4" t="s">
        <v>20</v>
      </c>
      <c r="B31">
        <f>SUM(Table1[[#This Row],[W]:[OTL]])</f>
        <v>26</v>
      </c>
      <c r="C31">
        <f>COUNTIF(NHL2025_26Results[Winning Team],Standings!A31)</f>
        <v>12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8</v>
      </c>
      <c r="F31" s="3">
        <f>(Table1[[#This Row],[W]]*2)+Table1[[#This Row],[OTL]]</f>
        <v>32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5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0.46666666666666667</v>
      </c>
      <c r="N31" s="11">
        <f>Table1[[#This Row],[AwayWins]]/SUM(Table1[[#This Row],[AwayWins]:[AwayOTL]])</f>
        <v>0.45454545454545453</v>
      </c>
      <c r="O31" s="14">
        <f>SUMIFS('NHL2025-26Results'!$E:$E,'NHL2025-26Results'!$D:$D,A31,'NHL2025-26Results'!$E:$E,"&gt;0")/COUNTIFS('NHL2025-26Results'!$D:$D,A31,'NHL2025-26Results'!$E:$E,"&gt;0")</f>
        <v>3.3333333333333335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3.5714285714285716</v>
      </c>
      <c r="R31" s="14">
        <f>SUMIFS('NHL2025-26Results'!$E:$E,'NHL2025-26Results'!$B:$B,A31,'NHL2025-26Results'!$E:$E,"&gt;0")/COUNTIFS('NHL2025-26Results'!$B:$B,A31,'NHL2025-26Results'!$E:$E,"&gt;0")</f>
        <v>2.6363636363636362</v>
      </c>
    </row>
    <row r="32" spans="1:18" x14ac:dyDescent="0.2">
      <c r="A32" s="4" t="s">
        <v>22</v>
      </c>
      <c r="B32">
        <f>SUM(Table1[[#This Row],[W]:[OTL]])</f>
        <v>28</v>
      </c>
      <c r="C32">
        <f>COUNTIF(NHL2025_26Results[Winning Team],Standings!A32)</f>
        <v>17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36</v>
      </c>
      <c r="G32">
        <f>COUNTIFS('NHL2025-26Results'!$D:$D,A32,'NHL2025-26Results'!$G:$G,A32)</f>
        <v>9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0.6</v>
      </c>
      <c r="N32" s="11">
        <f>Table1[[#This Row],[AwayWins]]/SUM(Table1[[#This Row],[AwayWins]:[AwayOTL]])</f>
        <v>0.61538461538461542</v>
      </c>
      <c r="O32" s="14">
        <f>SUMIFS('NHL2025-26Results'!$E:$E,'NHL2025-26Results'!$D:$D,A32,'NHL2025-26Results'!$E:$E,"&gt;0")/COUNTIFS('NHL2025-26Results'!$D:$D,A32,'NHL2025-26Results'!$E:$E,"&gt;0")</f>
        <v>3.4</v>
      </c>
      <c r="P32" s="14">
        <f>SUMIFS('NHL2025-26Results'!$C:$C,'NHL2025-26Results'!$B:$B,A32,'NHL2025-26Results'!$C:$C,"&gt;0")/COUNTIFS('NHL2025-26Results'!$B:$B,A32,'NHL2025-26Results'!$C:$C,"&gt;0")</f>
        <v>3.9166666666666665</v>
      </c>
      <c r="Q32" s="14">
        <f>SUMIFS('NHL2025-26Results'!$C:$C,'NHL2025-26Results'!$D:$D,A32,'NHL2025-26Results'!$C:$C,"&gt;0")/COUNTIFS('NHL2025-26Results'!$D:$D,A32,'NHL2025-26Results'!$C:$C,"&gt;0")</f>
        <v>2.7333333333333334</v>
      </c>
      <c r="R32" s="14">
        <f>SUMIFS('NHL2025-26Results'!$E:$E,'NHL2025-26Results'!$B:$B,A32,'NHL2025-26Results'!$E:$E,"&gt;0")/COUNTIFS('NHL2025-26Results'!$B:$B,A32,'NHL2025-26Results'!$E:$E,"&gt;0")</f>
        <v>2.5</v>
      </c>
    </row>
    <row r="33" spans="1:18" x14ac:dyDescent="0.2">
      <c r="A33" s="4" t="s">
        <v>40</v>
      </c>
      <c r="B33">
        <f>SUM(Table1[[#This Row],[W]:[OTL]])</f>
        <v>26</v>
      </c>
      <c r="C33">
        <f>COUNTIF(NHL2025_26Results[Winning Team],Standings!A33)</f>
        <v>13</v>
      </c>
      <c r="D33">
        <f>COUNTIFS('NHL2025-26Results'!$H:$H,A33,'NHL2025-26Results'!$F:$F,"")</f>
        <v>12</v>
      </c>
      <c r="E33">
        <f>COUNTIFS('NHL2025-26Results'!$F:$F,"OT",'NHL2025-26Results'!$H:$H,A33) + COUNTIFS('NHL2025-26Results'!$F:$F,"SO",'NHL2025-26Results'!$H:$H,A33)</f>
        <v>1</v>
      </c>
      <c r="F33" s="3">
        <f>(Table1[[#This Row],[W]]*2)+Table1[[#This Row],[OTL]]</f>
        <v>27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7</v>
      </c>
      <c r="L33">
        <f>COUNTIFS('NHL2025-26Results'!$B:$B,A33,'NHL2025-26Results'!$H:$H,A33,'NHL2025-26Results'!$F:$F,"OT") + COUNTIFS('NHL2025-26Results'!$B:$B,A33,'NHL2025-26Results'!$H:$H,A33,'NHL2025-26Results'!$F:$F,"SO")</f>
        <v>1</v>
      </c>
      <c r="M33" s="11">
        <f>Table1[[#This Row],[HomeWins]]/SUM(Table1[[#This Row],[HomeWins]:[HomeOTL]])</f>
        <v>0.54545454545454541</v>
      </c>
      <c r="N33" s="11">
        <f>Table1[[#This Row],[AwayWins]]/SUM(Table1[[#This Row],[AwayWins]:[AwayOTL]])</f>
        <v>0.46666666666666667</v>
      </c>
      <c r="O33" s="14">
        <f>SUMIFS('NHL2025-26Results'!$E:$E,'NHL2025-26Results'!$D:$D,A33,'NHL2025-26Results'!$E:$E,"&gt;0")/COUNTIFS('NHL2025-26Results'!$D:$D,A33,'NHL2025-26Results'!$E:$E,"&gt;0")</f>
        <v>4.1111111111111107</v>
      </c>
      <c r="P33" s="14">
        <f>SUMIFS('NHL2025-26Results'!$C:$C,'NHL2025-26Results'!$B:$B,A33,'NHL2025-26Results'!$C:$C,"&gt;0")/COUNTIFS('NHL2025-26Results'!$B:$B,A33,'NHL2025-26Results'!$C:$C,"&gt;0")</f>
        <v>3</v>
      </c>
      <c r="Q33" s="14">
        <f>SUMIFS('NHL2025-26Results'!$C:$C,'NHL2025-26Results'!$D:$D,A33,'NHL2025-26Results'!$C:$C,"&gt;0")/COUNTIFS('NHL2025-26Results'!$D:$D,A33,'NHL2025-26Results'!$C:$C,"&gt;0")</f>
        <v>2.8181818181818183</v>
      </c>
      <c r="R33" s="14">
        <f>SUMIFS('NHL2025-26Results'!$E:$E,'NHL2025-26Results'!$B:$B,A33,'NHL2025-26Results'!$E:$E,"&gt;0")/COUNTIFS('NHL2025-26Results'!$B:$B,A33,'NHL2025-26Results'!$E:$E,"&gt;0")</f>
        <v>3.1333333333333333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11"/>
  <sheetViews>
    <sheetView tabSelected="1" zoomScale="83" workbookViewId="0">
      <selection activeCell="H23" sqref="H23"/>
    </sheetView>
  </sheetViews>
  <sheetFormatPr baseColWidth="10" defaultRowHeight="16" x14ac:dyDescent="0.2"/>
  <cols>
    <col min="1" max="1" width="12.83203125" bestFit="1" customWidth="1"/>
    <col min="2" max="2" width="13" bestFit="1" customWidth="1"/>
    <col min="3" max="3" width="19.83203125" bestFit="1" customWidth="1"/>
    <col min="4" max="5" width="17.83203125" bestFit="1" customWidth="1"/>
    <col min="6" max="6" width="16.83203125" bestFit="1" customWidth="1"/>
    <col min="7" max="7" width="16.33203125" bestFit="1" customWidth="1"/>
    <col min="8" max="8" width="15.83203125" bestFit="1" customWidth="1"/>
    <col min="9" max="9" width="8.33203125" bestFit="1" customWidth="1"/>
    <col min="10" max="10" width="19.83203125" bestFit="1" customWidth="1"/>
    <col min="11" max="11" width="19.1640625" bestFit="1" customWidth="1"/>
    <col min="12" max="12" width="18.5" bestFit="1" customWidth="1"/>
    <col min="13" max="13" width="16" bestFit="1" customWidth="1"/>
    <col min="14" max="14" width="15.1640625" bestFit="1" customWidth="1"/>
    <col min="15" max="15" width="20" bestFit="1" customWidth="1"/>
    <col min="16" max="16" width="19.5" bestFit="1" customWidth="1"/>
    <col min="17" max="17" width="11.33203125" bestFit="1" customWidth="1"/>
    <col min="18" max="18" width="12.6640625" bestFit="1" customWidth="1"/>
    <col min="19" max="19" width="14.83203125" bestFit="1" customWidth="1"/>
    <col min="20" max="20" width="9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20" t="s">
        <v>21</v>
      </c>
      <c r="D2" s="20" t="s">
        <v>35</v>
      </c>
      <c r="E2" s="20" t="s">
        <v>21</v>
      </c>
      <c r="F2">
        <v>4</v>
      </c>
      <c r="G2">
        <v>3</v>
      </c>
      <c r="H2">
        <v>0.80659999999999998</v>
      </c>
      <c r="I2" s="20" t="s">
        <v>249</v>
      </c>
      <c r="J2" s="20" t="s">
        <v>21</v>
      </c>
      <c r="K2">
        <v>3</v>
      </c>
      <c r="L2">
        <v>2</v>
      </c>
      <c r="M2">
        <v>1.1200000000000001</v>
      </c>
      <c r="N2" s="20" t="s">
        <v>60</v>
      </c>
      <c r="O2" s="20" t="s">
        <v>60</v>
      </c>
      <c r="P2" s="20" t="s">
        <v>60</v>
      </c>
      <c r="Q2" s="20" t="s">
        <v>60</v>
      </c>
      <c r="R2" s="20" t="s">
        <v>60</v>
      </c>
      <c r="S2" s="20" t="s">
        <v>60</v>
      </c>
      <c r="T2" s="20" t="s">
        <v>281</v>
      </c>
    </row>
    <row r="3" spans="1:20" x14ac:dyDescent="0.2">
      <c r="A3" s="1">
        <v>45995</v>
      </c>
      <c r="B3" s="2">
        <v>0.8125</v>
      </c>
      <c r="C3" s="20" t="s">
        <v>25</v>
      </c>
      <c r="D3" s="20" t="s">
        <v>19</v>
      </c>
      <c r="E3" s="20" t="s">
        <v>25</v>
      </c>
      <c r="F3">
        <v>4</v>
      </c>
      <c r="G3">
        <v>3</v>
      </c>
      <c r="H3">
        <v>0.59550000000000003</v>
      </c>
      <c r="I3" s="20" t="s">
        <v>249</v>
      </c>
      <c r="J3" s="20" t="s">
        <v>25</v>
      </c>
      <c r="K3">
        <v>3</v>
      </c>
      <c r="L3">
        <v>2</v>
      </c>
      <c r="M3">
        <v>0.93</v>
      </c>
      <c r="N3" s="20" t="s">
        <v>60</v>
      </c>
      <c r="O3" s="20" t="s">
        <v>60</v>
      </c>
      <c r="P3" s="20" t="s">
        <v>60</v>
      </c>
      <c r="Q3" s="20" t="s">
        <v>60</v>
      </c>
      <c r="R3" s="20" t="s">
        <v>60</v>
      </c>
      <c r="S3" s="20" t="s">
        <v>60</v>
      </c>
      <c r="T3" s="20" t="s">
        <v>281</v>
      </c>
    </row>
    <row r="4" spans="1:20" x14ac:dyDescent="0.2">
      <c r="A4" s="1">
        <v>45995</v>
      </c>
      <c r="B4" s="2">
        <v>0.79166666666666663</v>
      </c>
      <c r="C4" s="20" t="s">
        <v>28</v>
      </c>
      <c r="D4" s="20" t="s">
        <v>26</v>
      </c>
      <c r="E4" s="20" t="s">
        <v>26</v>
      </c>
      <c r="F4">
        <v>2</v>
      </c>
      <c r="G4">
        <v>3</v>
      </c>
      <c r="H4">
        <v>0.67810000000000004</v>
      </c>
      <c r="I4" s="20" t="s">
        <v>249</v>
      </c>
      <c r="J4" s="20" t="s">
        <v>28</v>
      </c>
      <c r="K4">
        <v>3</v>
      </c>
      <c r="L4">
        <v>2</v>
      </c>
      <c r="M4">
        <v>0.28999999999999998</v>
      </c>
      <c r="N4" s="20" t="s">
        <v>60</v>
      </c>
      <c r="O4" s="20" t="s">
        <v>60</v>
      </c>
      <c r="P4" s="20" t="s">
        <v>60</v>
      </c>
      <c r="Q4" s="20" t="s">
        <v>60</v>
      </c>
      <c r="R4" s="20" t="s">
        <v>60</v>
      </c>
      <c r="S4" s="20" t="s">
        <v>60</v>
      </c>
      <c r="T4" s="20" t="s">
        <v>281</v>
      </c>
    </row>
    <row r="5" spans="1:20" x14ac:dyDescent="0.2">
      <c r="A5" s="1">
        <v>45995</v>
      </c>
      <c r="B5" s="2">
        <v>0.875</v>
      </c>
      <c r="C5" s="20" t="s">
        <v>16</v>
      </c>
      <c r="D5" s="20" t="s">
        <v>34</v>
      </c>
      <c r="E5" s="20" t="s">
        <v>34</v>
      </c>
      <c r="F5">
        <v>2</v>
      </c>
      <c r="G5">
        <v>3</v>
      </c>
      <c r="H5">
        <v>0.77159999999999995</v>
      </c>
      <c r="I5" s="20" t="s">
        <v>248</v>
      </c>
      <c r="J5" s="20" t="s">
        <v>34</v>
      </c>
      <c r="K5">
        <v>3</v>
      </c>
      <c r="L5">
        <v>2</v>
      </c>
      <c r="M5">
        <v>-1.1299999999999999</v>
      </c>
      <c r="N5" s="20" t="s">
        <v>60</v>
      </c>
      <c r="O5" s="20" t="s">
        <v>60</v>
      </c>
      <c r="P5" s="20" t="s">
        <v>60</v>
      </c>
      <c r="Q5" s="20" t="s">
        <v>60</v>
      </c>
      <c r="R5" s="20" t="s">
        <v>60</v>
      </c>
      <c r="S5" s="20" t="s">
        <v>60</v>
      </c>
      <c r="T5" s="20" t="s">
        <v>281</v>
      </c>
    </row>
    <row r="6" spans="1:20" x14ac:dyDescent="0.2">
      <c r="A6" s="1">
        <v>45995</v>
      </c>
      <c r="B6" s="2">
        <v>0.875</v>
      </c>
      <c r="C6" s="20" t="s">
        <v>17</v>
      </c>
      <c r="D6" s="20" t="s">
        <v>32</v>
      </c>
      <c r="E6" s="20" t="s">
        <v>17</v>
      </c>
      <c r="F6">
        <v>4</v>
      </c>
      <c r="G6">
        <v>3</v>
      </c>
      <c r="H6">
        <v>0.56730000000000003</v>
      </c>
      <c r="I6" s="20" t="s">
        <v>248</v>
      </c>
      <c r="J6" s="20" t="s">
        <v>32</v>
      </c>
      <c r="K6">
        <v>3</v>
      </c>
      <c r="L6">
        <v>2</v>
      </c>
      <c r="M6">
        <v>-0.14000000000000001</v>
      </c>
      <c r="N6" s="20" t="s">
        <v>60</v>
      </c>
      <c r="O6" s="20" t="s">
        <v>60</v>
      </c>
      <c r="P6" s="20" t="s">
        <v>60</v>
      </c>
      <c r="Q6" s="20" t="s">
        <v>60</v>
      </c>
      <c r="R6" s="20" t="s">
        <v>60</v>
      </c>
      <c r="S6" s="20" t="s">
        <v>60</v>
      </c>
      <c r="T6" s="20" t="s">
        <v>281</v>
      </c>
    </row>
    <row r="7" spans="1:20" x14ac:dyDescent="0.2">
      <c r="A7" s="1">
        <v>45995</v>
      </c>
      <c r="B7" s="2">
        <v>0.79166666666666663</v>
      </c>
      <c r="C7" s="20" t="s">
        <v>11</v>
      </c>
      <c r="D7" s="20" t="s">
        <v>29</v>
      </c>
      <c r="E7" s="20" t="s">
        <v>11</v>
      </c>
      <c r="F7">
        <v>5</v>
      </c>
      <c r="G7">
        <v>4</v>
      </c>
      <c r="H7">
        <v>0.54590000000000005</v>
      </c>
      <c r="I7" s="20" t="s">
        <v>249</v>
      </c>
      <c r="J7" s="20" t="s">
        <v>11</v>
      </c>
      <c r="K7">
        <v>3</v>
      </c>
      <c r="L7">
        <v>2</v>
      </c>
      <c r="M7">
        <v>0.71</v>
      </c>
      <c r="N7" s="20" t="s">
        <v>60</v>
      </c>
      <c r="O7" s="20" t="s">
        <v>60</v>
      </c>
      <c r="P7" s="20" t="s">
        <v>60</v>
      </c>
      <c r="Q7" s="20" t="s">
        <v>60</v>
      </c>
      <c r="R7" s="20" t="s">
        <v>60</v>
      </c>
      <c r="S7" s="20" t="s">
        <v>60</v>
      </c>
      <c r="T7" s="20" t="s">
        <v>281</v>
      </c>
    </row>
    <row r="8" spans="1:20" x14ac:dyDescent="0.2">
      <c r="A8" s="1">
        <v>45995</v>
      </c>
      <c r="B8" s="2">
        <v>0.91666666666666663</v>
      </c>
      <c r="C8" s="20" t="s">
        <v>13</v>
      </c>
      <c r="D8" s="20" t="s">
        <v>10</v>
      </c>
      <c r="E8" s="20" t="s">
        <v>10</v>
      </c>
      <c r="F8">
        <v>2</v>
      </c>
      <c r="G8">
        <v>4</v>
      </c>
      <c r="H8">
        <v>0.61099999999999999</v>
      </c>
      <c r="I8" s="20" t="s">
        <v>249</v>
      </c>
      <c r="J8" s="20" t="s">
        <v>10</v>
      </c>
      <c r="K8">
        <v>3</v>
      </c>
      <c r="L8">
        <v>2</v>
      </c>
      <c r="M8">
        <v>-0.12</v>
      </c>
      <c r="N8" s="20" t="s">
        <v>60</v>
      </c>
      <c r="O8" s="20" t="s">
        <v>60</v>
      </c>
      <c r="P8" s="20" t="s">
        <v>60</v>
      </c>
      <c r="Q8" s="20" t="s">
        <v>60</v>
      </c>
      <c r="R8" s="20" t="s">
        <v>60</v>
      </c>
      <c r="S8" s="20" t="s">
        <v>60</v>
      </c>
      <c r="T8" s="20" t="s">
        <v>281</v>
      </c>
    </row>
    <row r="9" spans="1:20" x14ac:dyDescent="0.2">
      <c r="A9" s="1">
        <v>45995</v>
      </c>
      <c r="B9" s="2">
        <v>0.79166666666666663</v>
      </c>
      <c r="C9" s="20" t="s">
        <v>30</v>
      </c>
      <c r="D9" s="20" t="s">
        <v>12</v>
      </c>
      <c r="E9" s="20" t="s">
        <v>12</v>
      </c>
      <c r="F9">
        <v>1</v>
      </c>
      <c r="G9">
        <v>4</v>
      </c>
      <c r="H9">
        <v>0.89329999999999998</v>
      </c>
      <c r="I9" s="20" t="s">
        <v>249</v>
      </c>
      <c r="J9" s="20" t="s">
        <v>12</v>
      </c>
      <c r="K9">
        <v>3</v>
      </c>
      <c r="L9">
        <v>2</v>
      </c>
      <c r="M9">
        <v>-1.71</v>
      </c>
      <c r="N9" s="20" t="s">
        <v>60</v>
      </c>
      <c r="O9" s="20" t="s">
        <v>60</v>
      </c>
      <c r="P9" s="20" t="s">
        <v>60</v>
      </c>
      <c r="Q9" s="20" t="s">
        <v>60</v>
      </c>
      <c r="R9" s="20" t="s">
        <v>60</v>
      </c>
      <c r="S9" s="20" t="s">
        <v>60</v>
      </c>
      <c r="T9" s="20" t="s">
        <v>281</v>
      </c>
    </row>
    <row r="10" spans="1:20" x14ac:dyDescent="0.2">
      <c r="A10" s="1">
        <v>45995</v>
      </c>
      <c r="B10" s="2">
        <v>0.79166666666666663</v>
      </c>
      <c r="C10" s="20" t="s">
        <v>36</v>
      </c>
      <c r="D10" s="20" t="s">
        <v>15</v>
      </c>
      <c r="E10" s="20" t="s">
        <v>15</v>
      </c>
      <c r="F10">
        <v>3</v>
      </c>
      <c r="G10">
        <v>4</v>
      </c>
      <c r="H10">
        <v>0.69310000000000005</v>
      </c>
      <c r="I10" s="20" t="s">
        <v>249</v>
      </c>
      <c r="J10" s="20" t="s">
        <v>15</v>
      </c>
      <c r="K10">
        <v>3</v>
      </c>
      <c r="L10">
        <v>2</v>
      </c>
      <c r="M10">
        <v>-0.18</v>
      </c>
      <c r="N10" s="20" t="s">
        <v>60</v>
      </c>
      <c r="O10" s="20" t="s">
        <v>60</v>
      </c>
      <c r="P10" s="20" t="s">
        <v>60</v>
      </c>
      <c r="Q10" s="20" t="s">
        <v>60</v>
      </c>
      <c r="R10" s="20" t="s">
        <v>60</v>
      </c>
      <c r="S10" s="20" t="s">
        <v>60</v>
      </c>
      <c r="T10" s="20" t="s">
        <v>281</v>
      </c>
    </row>
    <row r="11" spans="1:20" x14ac:dyDescent="0.2">
      <c r="A11" s="1">
        <v>45995</v>
      </c>
      <c r="B11" s="2">
        <v>0.79166666666666663</v>
      </c>
      <c r="C11" s="20" t="s">
        <v>37</v>
      </c>
      <c r="D11" s="20" t="s">
        <v>14</v>
      </c>
      <c r="E11" s="20" t="s">
        <v>37</v>
      </c>
      <c r="F11">
        <v>3</v>
      </c>
      <c r="G11">
        <v>2</v>
      </c>
      <c r="H11">
        <v>0.73029999999999995</v>
      </c>
      <c r="I11" s="20" t="s">
        <v>249</v>
      </c>
      <c r="J11" s="20" t="s">
        <v>37</v>
      </c>
      <c r="K11">
        <v>3</v>
      </c>
      <c r="L11">
        <v>2</v>
      </c>
      <c r="M11">
        <v>0.63</v>
      </c>
      <c r="N11" s="20" t="s">
        <v>60</v>
      </c>
      <c r="O11" s="20" t="s">
        <v>60</v>
      </c>
      <c r="P11" s="20" t="s">
        <v>60</v>
      </c>
      <c r="Q11" s="20" t="s">
        <v>60</v>
      </c>
      <c r="R11" s="20" t="s">
        <v>60</v>
      </c>
      <c r="S11" s="20" t="s">
        <v>60</v>
      </c>
      <c r="T11" s="20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2025-12-04T19:37:59Z</dcterms:modified>
</cp:coreProperties>
</file>