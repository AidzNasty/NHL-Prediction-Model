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128" documentId="14_{BC0C37BD-5950-BD49-823D-87212FE79B51}" xr6:coauthVersionLast="47" xr6:coauthVersionMax="47" xr10:uidLastSave="{8284D84E-2B27-9049-8301-5BB0E9A894EF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Model'!$A$1:$AA$120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4" r:id="rId7"/>
    <pivotCache cacheId="15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2" i="1" l="1"/>
  <c r="H412" i="1" s="1"/>
  <c r="I412" i="1"/>
  <c r="G413" i="1"/>
  <c r="H413" i="1" s="1"/>
  <c r="I413" i="1"/>
  <c r="G414" i="1"/>
  <c r="H414" i="1" s="1"/>
  <c r="I414" i="1"/>
  <c r="G415" i="1"/>
  <c r="H415" i="1" s="1"/>
  <c r="I415" i="1"/>
  <c r="G416" i="1"/>
  <c r="H416" i="1" s="1"/>
  <c r="I416" i="1"/>
  <c r="E412" i="1"/>
  <c r="E413" i="1"/>
  <c r="E414" i="1"/>
  <c r="E415" i="1"/>
  <c r="E416" i="1"/>
  <c r="G408" i="1"/>
  <c r="I408" i="1"/>
  <c r="G409" i="1"/>
  <c r="H409" i="1" s="1"/>
  <c r="I409" i="1"/>
  <c r="G410" i="1"/>
  <c r="H410" i="1" s="1"/>
  <c r="I410" i="1"/>
  <c r="G411" i="1"/>
  <c r="I411" i="1"/>
  <c r="E408" i="1"/>
  <c r="E409" i="1"/>
  <c r="E410" i="1"/>
  <c r="E411" i="1"/>
  <c r="G397" i="1"/>
  <c r="H397" i="1" s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V3" i="4"/>
  <c r="V4" i="4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H377" i="1" s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15" i="1" l="1"/>
  <c r="J414" i="1"/>
  <c r="J413" i="1"/>
  <c r="J416" i="1"/>
  <c r="J412" i="1"/>
  <c r="H406" i="1"/>
  <c r="H402" i="1"/>
  <c r="H398" i="1"/>
  <c r="H411" i="1"/>
  <c r="H408" i="1"/>
  <c r="J408" i="1" s="1"/>
  <c r="J410" i="1"/>
  <c r="J409" i="1"/>
  <c r="H401" i="1"/>
  <c r="H405" i="1"/>
  <c r="J405" i="1" s="1"/>
  <c r="H404" i="1"/>
  <c r="H407" i="1"/>
  <c r="J407" i="1" s="1"/>
  <c r="H370" i="1"/>
  <c r="J370" i="1" s="1"/>
  <c r="J411" i="1"/>
  <c r="J406" i="1"/>
  <c r="H403" i="1"/>
  <c r="J403" i="1" s="1"/>
  <c r="H399" i="1"/>
  <c r="J399" i="1" s="1"/>
  <c r="H400" i="1"/>
  <c r="J400" i="1" s="1"/>
  <c r="J398" i="1"/>
  <c r="J404" i="1"/>
  <c r="J401" i="1"/>
  <c r="H378" i="1"/>
  <c r="J378" i="1" s="1"/>
  <c r="J402" i="1"/>
  <c r="H376" i="1"/>
  <c r="J376" i="1" s="1"/>
  <c r="H392" i="1"/>
  <c r="J392" i="1" s="1"/>
  <c r="H388" i="1"/>
  <c r="J388" i="1" s="1"/>
  <c r="H384" i="1"/>
  <c r="J384" i="1" s="1"/>
  <c r="J397" i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V5" i="4"/>
  <c r="V6" i="4" s="1"/>
  <c r="J377" i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07" i="1" l="1"/>
  <c r="H314" i="1"/>
  <c r="H334" i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5" i="1"/>
  <c r="H111" i="1"/>
  <c r="H101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16" i="1" l="1"/>
  <c r="H83" i="1"/>
  <c r="F4" i="5"/>
  <c r="H223" i="1"/>
  <c r="J223" i="1" s="1"/>
  <c r="H85" i="1"/>
  <c r="H92" i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85" i="1"/>
  <c r="J123" i="1"/>
  <c r="J125" i="1"/>
  <c r="J126" i="1"/>
  <c r="J109" i="1"/>
  <c r="J166" i="1"/>
  <c r="J87" i="1"/>
  <c r="J96" i="1"/>
  <c r="J111" i="1"/>
  <c r="J95" i="1"/>
  <c r="J78" i="1"/>
  <c r="J92" i="1"/>
  <c r="J91" i="1"/>
  <c r="J88" i="1"/>
  <c r="J121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L341" i="4" l="1"/>
  <c r="J3" i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57" i="4" l="1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<sst xmlns="http://schemas.openxmlformats.org/spreadsheetml/2006/main" count="14379" uniqueCount="513">
  <si>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</si>
  <si>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</si>
  <si>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</si>
  <si>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</si>
  <si>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</si>
  <si>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</si>
  <si>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</si>
  <si>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</si>
  <si>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</si>
  <si>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</si>
  <si>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</si>
  <si>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</si>
  <si>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</si>
  <si>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</si>
  <si>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</si>
  <si>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</si>
  <si>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</si>
  <si>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</si>
  <si>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</si>
  <si>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</si>
  <si>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</si>
  <si>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</si>
  <si>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</si>
  <si>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</si>
  <si>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</si>
  <si>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</si>
  <si>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</si>
  <si>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</si>
  <si>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</si>
  <si>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</si>
  <si>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</si>
  <si>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</si>
  <si>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</si>
  <si>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</si>
  <si>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</si>
  <si>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</si>
  <si>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</si>
  <si>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</si>
  <si>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</si>
  <si>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</si>
  <si>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</si>
  <si>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</si>
  <si>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</si>
  <si>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</si>
  <si>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</si>
  <si>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</si>
  <si>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</si>
  <si>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</si>
  <si>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</si>
  <si>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</si>
  <si>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</si>
  <si>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</si>
  <si>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</si>
  <si>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</si>
  <si>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</si>
  <si>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</si>
  <si>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</si>
  <si>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</si>
  <si>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</si>
  <si>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</si>
  <si>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</si>
  <si>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</si>
  <si>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</si>
  <si>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</si>
  <si>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</si>
  <si>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</si>
  <si>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</si>
  <si>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</si>
  <si>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</si>
  <si>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</si>
  <si>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</si>
  <si>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</si>
  <si>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</si>
  <si>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</si>
  <si>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</si>
  <si>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</si>
  <si>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</si>
  <si>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</si>
  <si>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</si>
  <si>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</si>
  <si>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</si>
  <si>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</si>
  <si>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</si>
  <si>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</si>
  <si>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</si>
  <si>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</si>
  <si>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</si>
  <si>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</si>
  <si>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</si>
  <si>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</si>
  <si>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</si>
  <si>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</si>
  <si>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</si>
  <si>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</si>
  <si>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</si>
  <si>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</si>
  <si>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</si>
  <si>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</si>
  <si>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</si>
  <si>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</si>
  <si>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</si>
  <si>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</si>
  <si>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</si>
  <si>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</si>
  <si>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</si>
  <si>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</si>
  <si>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</si>
  <si>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</si>
  <si>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</si>
  <si>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</si>
  <si>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</si>
  <si>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</si>
  <si>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</si>
  <si>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</si>
  <si>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</si>
  <si>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</si>
  <si>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</si>
  <si>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</si>
  <si>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</si>
  <si>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</si>
  <si>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</si>
  <si>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</si>
  <si>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</si>
  <si>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</si>
  <si>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</si>
  <si>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</si>
  <si>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</si>
  <si>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</si>
  <si>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</si>
  <si>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</si>
  <si>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</si>
  <si>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</si>
  <si>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</si>
  <si>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</si>
  <si>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</si>
  <si>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</si>
  <si>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</si>
  <si>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</si>
  <si>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</si>
  <si>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</si>
  <si>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</si>
  <si>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</si>
  <si>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</si>
  <si>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</si>
  <si>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</si>
  <si>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</si>
  <si>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</si>
  <si>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</si>
  <si>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</si>
  <si>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</si>
  <si>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</si>
  <si>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</si>
  <si>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</si>
  <si>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</si>
  <si>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</si>
  <si>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</si>
  <si>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</si>
  <si>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</si>
  <si>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</si>
  <si>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</si>
  <si>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</si>
  <si>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</si>
  <si>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</si>
  <si>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</si>
  <si>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</si>
  <si>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</si>
  <si>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</si>
  <si>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</si>
  <si>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</si>
  <si>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</si>
  <si>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</si>
  <si>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</si>
  <si>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</si>
  <si>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</si>
  <si>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</si>
  <si>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</si>
  <si>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</si>
  <si>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</si>
  <si>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</si>
  <si>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</si>
  <si>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</si>
  <si>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</si>
  <si>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</si>
  <si>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</si>
  <si>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</si>
  <si>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</si>
  <si>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</si>
  <si>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</si>
  <si>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</si>
  <si>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</si>
  <si>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</si>
  <si>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</si>
  <si>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</si>
  <si>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</si>
  <si>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</si>
  <si>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</si>
  <si>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</si>
  <si>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</si>
  <si>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</si>
  <si>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</si>
  <si>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</si>
  <si>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</si>
  <si>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</si>
  <si>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</si>
  <si>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</si>
  <si>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</si>
  <si>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</si>
  <si>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</si>
  <si>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</si>
  <si>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</si>
  <si>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</si>
  <si>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</si>
  <si>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</si>
  <si>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</si>
  <si>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</si>
  <si>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</si>
  <si>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</si>
  <si>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</si>
  <si>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</si>
  <si>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</si>
  <si>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</si>
  <si>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</si>
  <si>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</si>
  <si>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</si>
  <si>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</si>
  <si>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</si>
  <si>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</si>
  <si>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</si>
  <si>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</si>
  <si>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</si>
  <si>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</si>
  <si>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</si>
  <si>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</si>
  <si>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</si>
  <si>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</si>
  <si>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</si>
  <si>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</si>
  <si>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</si>
  <si>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</si>
  <si>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</si>
  <si>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</si>
  <si>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</si>
  <si>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</si>
  <si>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</si>
  <si>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</si>
  <si>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</si>
  <si>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</si>
  <si>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</si>
  <si>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</si>
  <si>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</si>
  <si>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</si>
  <si>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</si>
  <si>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</si>
  <si>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</si>
  <si>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</si>
  <si>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</si>
  <si>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</si>
  <si>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</si>
  <si>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</si>
  <si>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</si>
  <si>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</si>
  <si>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</si>
  <si>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</si>
  <si>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</si>
  <si>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</si>
  <si>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</si>
  <si>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</si>
  <si>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</si>
  <si>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</si>
  <si>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</si>
  <si>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</si>
  <si>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</si>
  <si>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</si>
  <si>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</si>
  <si>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</si>
  <si>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</si>
  <si>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</si>
  <si>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</si>
  <si>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</si>
  <si>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</si>
  <si>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</si>
  <si>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</si>
  <si>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</si>
  <si>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</si>
  <si>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</si>
  <si>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</si>
  <si>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</si>
  <si>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</si>
  <si>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</si>
  <si>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</si>
  <si>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</si>
  <si>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</si>
  <si>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</si>
  <si>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</si>
  <si>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</si>
  <si>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</si>
  <si>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</si>
  <si>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</si>
  <si>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</si>
  <si>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</si>
  <si>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</si>
  <si>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</si>
  <si>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</si>
  <si>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</si>
  <si>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</si>
  <si>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</si>
  <si>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</si>
  <si>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</si>
  <si>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</si>
  <si>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</si>
  <si>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</si>
  <si>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</si>
  <si>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</si>
  <si>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</si>
  <si>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</si>
  <si>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</si>
  <si>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</si>
  <si>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</si>
  <si>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</si>
  <si>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</si>
  <si>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</si>
  <si>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</si>
  <si>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</si>
  <si>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</si>
  <si>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</si>
  <si>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</si>
  <si>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</si>
  <si>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</si>
  <si>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</si>
  <si>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</si>
  <si>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</si>
  <si>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</si>
  <si>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</si>
  <si>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</si>
  <si>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</si>
  <si>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</si>
  <si>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</si>
  <si>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</si>
  <si>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</si>
  <si>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</si>
  <si>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</si>
  <si>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</si>
  <si>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</si>
  <si>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</si>
  <si>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</si>
  <si>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</si>
  <si>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</si>
  <si>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</si>
  <si>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</si>
  <si>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</si>
  <si>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</si>
  <si>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</si>
  <si>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</si>
  <si>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</si>
  <si>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</si>
  <si>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</si>
  <si>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</si>
  <si>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</si>
  <si>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</si>
  <si>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</si>
  <si>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</si>
  <si>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</si>
  <si>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</si>
  <si>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</si>
  <si>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</si>
  <si>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</si>
  <si>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</si>
  <si>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</si>
  <si>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</si>
  <si>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</si>
  <si>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</si>
  <si>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</si>
  <si>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</si>
  <si>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</si>
  <si>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</si>
  <si>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</si>
  <si>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</si>
  <si>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</si>
  <si>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</si>
  <si>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False</t>
  </si>
  <si>
    <t>2025-11-24 11:23:07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</si>
  <si>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</si>
  <si>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</si>
  <si>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</si>
  <si>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</si>
  <si>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</si>
  <si>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</si>
  <si>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</si>
  <si>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</si>
  <si>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</si>
  <si>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</si>
  <si>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</si>
  <si>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</si>
  <si>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</si>
  <si>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</si>
  <si>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</si>
  <si>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</si>
  <si>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</si>
  <si>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</si>
  <si>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</si>
  <si>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</si>
  <si>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</si>
  <si>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</si>
  <si>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</si>
  <si>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</si>
  <si>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</si>
  <si>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</si>
  <si>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</si>
  <si>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</si>
  <si>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</si>
  <si>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</si>
  <si>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</si>
  <si>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</si>
  <si>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</si>
  <si>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✗ Lost (predicted Ottawa Senators, actual nan)</t>
  </si>
  <si>
    <t>✗ Lost (predicted New Jersey Devils, actual nan)</t>
  </si>
  <si>
    <t>✗ Lost (predicted Florida Panthers, actual nan)</t>
  </si>
  <si>
    <t>✗ Lost (predicted New York Rangers, actual nan)</t>
  </si>
  <si>
    <t>✗ Lost (predicted Tampa Bay Lightning, actual nan)</t>
  </si>
  <si>
    <t>✗ Lost (predicted Utah Mammoth, actual nan)</t>
  </si>
  <si>
    <t>✗ Lost (predicted Washington Capitals, actual nan)</t>
  </si>
  <si>
    <t>PENDING</t>
  </si>
  <si>
    <t>Vancouver Canucks @ Anaheim Ducks</t>
  </si>
  <si>
    <t>New York Rangers @ Carolina Hurricanes</t>
  </si>
  <si>
    <t>Toronto Maple Leafs @ Columbus Blue Jackets</t>
  </si>
  <si>
    <t>20:30:00</t>
  </si>
  <si>
    <t>Minnesota Wild @ Chicago Blackhawks</t>
  </si>
  <si>
    <t>San Jose Sharks @ Colorado Avalanche</t>
  </si>
  <si>
    <t>Nashville Predators @ Detroit Red Wings</t>
  </si>
  <si>
    <t>Philadelphia Flyers @ Florida Panthers</t>
  </si>
  <si>
    <t>St. Louis Blues @ New Jersey Devils</t>
  </si>
  <si>
    <t>Boston Bruins @ New York Islanders</t>
  </si>
  <si>
    <t>Buffalo Sabres @ Pittsburgh Penguins</t>
  </si>
  <si>
    <t>Dallas Stars @ Seattle Kraken</t>
  </si>
  <si>
    <t>Calgary Flames @ Tampa Bay Lightning</t>
  </si>
  <si>
    <t>21:30:00</t>
  </si>
  <si>
    <t>Montreal Canadiens @ Utah Mammoth</t>
  </si>
  <si>
    <t>Ottawa Senators @ Vegas Golden Knights</t>
  </si>
  <si>
    <t>Winnipeg Jets @ Washington Capitals</t>
  </si>
  <si>
    <t>2025-11-26 15:57:41</t>
  </si>
  <si>
    <t>Los Angeles Kings @ Anaheim Ducks</t>
  </si>
  <si>
    <t>2025-11-28 12:06:59</t>
  </si>
  <si>
    <t>New York Rangers @ Boston Bruins</t>
  </si>
  <si>
    <t>New Jersey Devils @ Buffalo Sabres</t>
  </si>
  <si>
    <t>Winnipeg Jets @ Carolina Hurricanes</t>
  </si>
  <si>
    <t>Pittsburgh Penguins @ Columbus Blue Jackets</t>
  </si>
  <si>
    <t>Nashville Predators @ Chicago Blackhawks</t>
  </si>
  <si>
    <t>Utah Mammoth @ Dallas Stars</t>
  </si>
  <si>
    <t>12:00:00</t>
  </si>
  <si>
    <t>Tampa Bay Lightning @ Detroit Red Wings</t>
  </si>
  <si>
    <t>Calgary Flames @ Florida Panthers</t>
  </si>
  <si>
    <t>Colorado Avalanche @ Minnesota Wild</t>
  </si>
  <si>
    <t>Philadelphia Flyers @ New York Islanders</t>
  </si>
  <si>
    <t>Vancouver Canucks @ San Jose Sharks</t>
  </si>
  <si>
    <t>Ottawa Senators @ St. Louis Blues</t>
  </si>
  <si>
    <t>Montreal Canadiens @ Vegas Golden Knights</t>
  </si>
  <si>
    <t>Toronto Maple Leafs @ Washington Capitals</t>
  </si>
  <si>
    <t>2025-11-29 12:05:06</t>
  </si>
  <si>
    <t>✗ Predicted Boston Bruins, was New York Rangers</t>
  </si>
  <si>
    <t>✓ Won by New Jersey Devils</t>
  </si>
  <si>
    <t>✓ Won by Carolina Hurricanes</t>
  </si>
  <si>
    <t>✓ Won by Pittsburgh Penguins</t>
  </si>
  <si>
    <t>✗ Predicted Chicago Blackhawks, was Nashville Predators</t>
  </si>
  <si>
    <t>✗ Predicted Florida Panthers, was Calgary Flames</t>
  </si>
  <si>
    <t>✗ Predicted Colorado Avalanche, was Minnesota Wild</t>
  </si>
  <si>
    <t>✗ Predicted Ottawa Senators, was St. Louis Blues</t>
  </si>
  <si>
    <t>Detroit Red Wings @ Boston Bruins</t>
  </si>
  <si>
    <t>15:00:00</t>
  </si>
  <si>
    <t>Montreal Canadiens @ Colorado Avalanche</t>
  </si>
  <si>
    <t>Vancouver Canucks @ Los Angeles Kings</t>
  </si>
  <si>
    <t>Buffalo Sabres @ Minnesota Wild</t>
  </si>
  <si>
    <t>Philadelphia Flyers @ New Jersey Devils</t>
  </si>
  <si>
    <t>Winnipeg Jets @ Nashville Predators</t>
  </si>
  <si>
    <t>14:00:00</t>
  </si>
  <si>
    <t>Tampa Bay Lightning @ New York Rangers</t>
  </si>
  <si>
    <t>Toronto Maple Leafs @ Pittsburgh Penguins</t>
  </si>
  <si>
    <t>Edmonton Oilers @ Seattle Kraken</t>
  </si>
  <si>
    <t>Utah Mammoth @ St. Louis Blues</t>
  </si>
  <si>
    <t>San Jose Sharks @ Vegas Golden Knights</t>
  </si>
  <si>
    <t>✓ Won by Boston Bruins</t>
  </si>
  <si>
    <t>2025-11-30 13:20:48</t>
  </si>
  <si>
    <t>✗ Predicted Vancouver Canucks, was Los Angeles Kings</t>
  </si>
  <si>
    <t>✗ Predicted Minnesota Wild, was Buffalo Sabres</t>
  </si>
  <si>
    <t>✗ Predicted New Jersey Devils, was Philadelphia Flyers</t>
  </si>
  <si>
    <t>✗ Predicted Pittsburgh Penguins, was Toronto Maple Leafs</t>
  </si>
  <si>
    <t>✗ Predicted Seattle Kraken, was Edmonton Oilers</t>
  </si>
  <si>
    <t>✗ Predicted Utah Mammoth, was St. Louis Blues</t>
  </si>
  <si>
    <t>✗ Predicted San Jose Sharks, was Vegas Golden Knights</t>
  </si>
  <si>
    <t>Calgary Flames @ Carolina Hurricanes</t>
  </si>
  <si>
    <t>Anaheim Ducks @ Chicago Blackhawks</t>
  </si>
  <si>
    <t>18:00:00</t>
  </si>
  <si>
    <t>Ottawa Senators @ Dallas Stars</t>
  </si>
  <si>
    <t>Washington Capitals @ New York Islanders</t>
  </si>
  <si>
    <t>2025-12-01 18:51:39</t>
  </si>
  <si>
    <t>✗ Predicted Anaheim Ducks, was Chicago Blackhawks</t>
  </si>
  <si>
    <t>Winnipeg Jets @ Buffalo Sabres</t>
  </si>
  <si>
    <t>2025-12-01 18:51:40</t>
  </si>
  <si>
    <t>Columbus Blue Jackets @ New Jersey Devils</t>
  </si>
  <si>
    <t>Pittsburgh Penguins @ Philadelphia Flyers</t>
  </si>
  <si>
    <t>Anaheim Ducks @ St. Louis Blues</t>
  </si>
  <si>
    <t>2025-12-02 17:56:17</t>
  </si>
  <si>
    <t>✗ Predicted New Jersey Devils, was Columbus Blue Jackets</t>
  </si>
  <si>
    <t>✗ Predicted San Jose Sharks, was Utah Mammoth</t>
  </si>
  <si>
    <t>Vancouver Canucks @ Colorado Avalanche</t>
  </si>
  <si>
    <t>Boston Bruins @ Detroit Red Wings</t>
  </si>
  <si>
    <t>Minnesota Wild @ Edmonton Oilers</t>
  </si>
  <si>
    <t>Toronto Maple Leafs @ Florida Panthers</t>
  </si>
  <si>
    <t>Washington Capitals @ Los Angeles Kings</t>
  </si>
  <si>
    <t>Ottawa Senators @ Montreal Canadiens</t>
  </si>
  <si>
    <t>Calgary Flames @ Nashville Predators</t>
  </si>
  <si>
    <t>Tampa Bay Lightning @ New York Islanders</t>
  </si>
  <si>
    <t>Dallas Stars @ New York Rangers</t>
  </si>
  <si>
    <t>Chicago Blackhawks @ Vegas Golden Knights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</si>
</sst>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120" tableType="queryTable" totalsRowShown="0">
  <autoFilter ref="A1:AA120" xr:uid="{F2332789-251B-774B-AB2B-8BB4F3AFC4B8}"/>
  <tableColumns count="27">
    <tableColumn id="1" xr3:uid="{A82D8364-7061-A147-9648-1020427F222D}" uniqueName="1" name="game_date" queryTableFieldId="1" dataDxfId="26"/>
    <tableColumn id="2" xr3:uid="{2F0B0F85-AE68-C84D-ABF4-9C9BD4BCDE1A}" uniqueName="2" name="game_time" queryTableFieldId="2" dataDxfId="25"/>
    <tableColumn id="3" xr3:uid="{E190D701-E48A-4849-B026-83F6843A3F7C}" uniqueName="3" name="away_team" queryTableFieldId="3" dataDxfId="24"/>
    <tableColumn id="4" xr3:uid="{D8A87A5E-45E9-434D-B896-A1AC29AE2193}" uniqueName="4" name="home_team" queryTableFieldId="4" dataDxfId="23"/>
    <tableColumn id="5" xr3:uid="{F866A432-CB2E-1344-BB8E-B02DE09CEE39}" uniqueName="5" name="matchup" queryTableFieldId="5" dataDxfId="22"/>
    <tableColumn id="6" xr3:uid="{321205EB-FCDC-FF42-A5BC-028328229DA9}" uniqueName="6" name="ml_winner" queryTableFieldId="6" dataDxfId="21"/>
    <tableColumn id="7" xr3:uid="{1146F8DC-3374-2845-B506-3428513D1030}" uniqueName="7" name="ml_away_score" queryTableFieldId="7" dataDxfId="20"/>
    <tableColumn id="8" xr3:uid="{04F6AA09-904F-E441-9223-5D3EABA2C9DE}" uniqueName="8" name="ml_home_score" queryTableFieldId="8" dataDxfId="19"/>
    <tableColumn id="9" xr3:uid="{A52E9546-F206-504B-B50C-DE483A5979F1}" uniqueName="9" name="ml_confidence" queryTableFieldId="9" dataDxfId="18" dataCellStyle="Percent"/>
    <tableColumn id="10" xr3:uid="{B0863A61-8896-F94A-9BD1-877DA74E944C}" uniqueName="10" name="ml_ot" queryTableFieldId="10" dataDxfId="17"/>
    <tableColumn id="11" xr3:uid="{0CEF2C0B-AEAC-D24C-B808-9E65DA36D85B}" uniqueName="11" name="ml_ot_prob" queryTableFieldId="11" dataDxfId="16"/>
    <tableColumn id="12" xr3:uid="{953F4783-1A2A-2049-B662-B96EC4C98B47}" uniqueName="12" name="ml_correct" queryTableFieldId="12" dataDxfId="15"/>
    <tableColumn id="13" xr3:uid="{01F9271B-BF28-974D-9DD2-7B2DE98B6F67}" uniqueName="13" name="ml_result" queryTableFieldId="13" dataDxfId="14"/>
    <tableColumn id="14" xr3:uid="{53D10B71-CBA8-8D4A-96BA-CDF21FB393EA}" uniqueName="14" name="excel_winner" queryTableFieldId="14" dataDxfId="13"/>
    <tableColumn id="15" xr3:uid="{BFE057F3-C344-6344-BBC6-D1E83F6B5653}" uniqueName="15" name="excel_away_score" queryTableFieldId="15" dataDxfId="12"/>
    <tableColumn id="16" xr3:uid="{95A37C51-0AFC-4B48-BDBD-9F547D067C1A}" uniqueName="16" name="excel_home_score" queryTableFieldId="16" dataDxfId="11"/>
    <tableColumn id="17" xr3:uid="{21361EAA-D669-0647-AB36-316C9A355B06}" uniqueName="17" name="excel_confidence" queryTableFieldId="17" dataDxfId="10" dataCellStyle="Percent"/>
    <tableColumn id="18" xr3:uid="{C0D4B874-D9A3-F047-9F50-E1FD6B0B1717}" uniqueName="18" name="excel_ot" queryTableFieldId="18" dataDxfId="9"/>
    <tableColumn id="19" xr3:uid="{B5C6CD51-366A-5E4F-9D9D-FCD85DB91334}" uniqueName="19" name="excel_homeice" queryTableFieldId="19" dataDxfId="8"/>
    <tableColumn id="20" xr3:uid="{8A0C0F6C-7907-0B40-9DDC-02333190C939}" uniqueName="20" name="excel_correct" queryTableFieldId="20" dataDxfId="7"/>
    <tableColumn id="21" xr3:uid="{4F720508-4E4B-1843-AE1F-4E2016CC6849}" uniqueName="21" name="actual_winner" queryTableFieldId="21" dataDxfId="6"/>
    <tableColumn id="22" xr3:uid="{DF1197C5-5856-EF4D-BC04-6C080F1AD21B}" uniqueName="22" name="actual_away_score" queryTableFieldId="22" dataDxfId="5"/>
    <tableColumn id="23" xr3:uid="{521AC888-C59A-E842-8AF4-8F313E19B6CE}" uniqueName="23" name="actual_home_score" queryTableFieldId="23" dataDxfId="4"/>
    <tableColumn id="24" xr3:uid="{BBF8FDF8-3558-D043-9E29-97FCC0E90C92}" uniqueName="24" name="actual_ot" queryTableFieldId="24" dataDxfId="3"/>
    <tableColumn id="25" xr3:uid="{B3C51976-5727-A24B-9842-AC69798A596C}" uniqueName="25" name="game_status" queryTableFieldId="25" dataDxfId="2"/>
    <tableColumn id="26" xr3:uid="{C7B8AFAB-46A9-D04C-A7AF-56BEE52383BA}" uniqueName="26" name="recorded_at" queryTableFieldId="26" dataDxfId="1"/>
    <tableColumn id="27" xr3:uid="{0C0062D0-5688-D346-83F6-DF5908F6B02E}" uniqueName="27" name="updated_at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94" workbookViewId="0">
      <selection activeCell="G412" sqref="G412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10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10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10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10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4.9900748923162465E-2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2225.0822896183831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0.17870302183926629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-0.17102128695663044</v>
      </c>
      <c r="J7">
        <f>(Table3[[#This Row],[HomeMargin]]-Table3[[#This Row],[HomeForecast]])^2</f>
        <v>1.3712908545055633</v>
      </c>
    </row>
    <row r="8" spans="1:10" x14ac:dyDescent="0.2">
      <c r="A8" s="4" t="s">
        <v>21</v>
      </c>
      <c r="B8">
        <v>-0.21976976044773161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-1.9202865081810274</v>
      </c>
      <c r="J8">
        <f>(Table3[[#This Row],[HomeMargin]]-Table3[[#This Row],[HomeForecast]])^2</f>
        <v>1.1657812244159185</v>
      </c>
    </row>
    <row r="9" spans="1:10" x14ac:dyDescent="0.2">
      <c r="A9" s="4" t="s">
        <v>23</v>
      </c>
      <c r="B9">
        <v>-0.4761104357405897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-9.7869013995290133E-2</v>
      </c>
      <c r="J9">
        <f>(Table3[[#This Row],[HomeMargin]]-Table3[[#This Row],[HomeForecast]])^2</f>
        <v>8.4223642599286705</v>
      </c>
    </row>
    <row r="10" spans="1:10" x14ac:dyDescent="0.2">
      <c r="A10" s="4" t="s">
        <v>16</v>
      </c>
      <c r="B10">
        <v>-1.0657812790446208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0.29793536373026153</v>
      </c>
      <c r="J10">
        <f>(Table3[[#This Row],[HomeMargin]]-Table3[[#This Row],[HomeForecast]])^2</f>
        <v>1.6846362084216062</v>
      </c>
    </row>
    <row r="11" spans="1:10" x14ac:dyDescent="0.2">
      <c r="A11" s="4" t="s">
        <v>25</v>
      </c>
      <c r="B11">
        <v>0.42567513732855267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8.3117858780070719E-3</v>
      </c>
      <c r="J11">
        <f>(Table3[[#This Row],[HomeMargin]]-Table3[[#This Row],[HomeForecast]])^2</f>
        <v>8.9501983705164392</v>
      </c>
    </row>
    <row r="12" spans="1:10" x14ac:dyDescent="0.2">
      <c r="A12" s="4" t="s">
        <v>10</v>
      </c>
      <c r="B12">
        <v>-0.17619625518431364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0.14374351727973972</v>
      </c>
      <c r="J12">
        <f>(Table3[[#This Row],[HomeMargin]]-Table3[[#This Row],[HomeForecast]])^2</f>
        <v>1.3081492333194302</v>
      </c>
    </row>
    <row r="13" spans="1:10" x14ac:dyDescent="0.2">
      <c r="A13" s="4" t="s">
        <v>12</v>
      </c>
      <c r="B13">
        <v>1.6319036584269762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0.710377742224651</v>
      </c>
      <c r="J13">
        <f>(Table3[[#This Row],[HomeMargin]]-Table3[[#This Row],[HomeForecast]])^2</f>
        <v>7.3461475055467957</v>
      </c>
    </row>
    <row r="14" spans="1:10" x14ac:dyDescent="0.2">
      <c r="A14" s="4" t="s">
        <v>28</v>
      </c>
      <c r="B14">
        <v>-0.59498940435054026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6.3272436597444914E-3</v>
      </c>
      <c r="J14">
        <f>(Table3[[#This Row],[HomeMargin]]-Table3[[#This Row],[HomeForecast]])^2</f>
        <v>0.98738554669284084</v>
      </c>
    </row>
    <row r="15" spans="1:10" x14ac:dyDescent="0.2">
      <c r="A15" s="4" t="s">
        <v>39</v>
      </c>
      <c r="B15">
        <v>0.41344250185511977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-0.13617570233348458</v>
      </c>
      <c r="J15">
        <f>(Table3[[#This Row],[HomeMargin]]-Table3[[#This Row],[HomeForecast]])^2</f>
        <v>14.929138203238143</v>
      </c>
    </row>
    <row r="16" spans="1:10" x14ac:dyDescent="0.2">
      <c r="A16" s="4" t="s">
        <v>26</v>
      </c>
      <c r="B16">
        <v>-0.87533956503230947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0.47404563548711087</v>
      </c>
      <c r="J16">
        <f>(Table3[[#This Row],[HomeMargin]]-Table3[[#This Row],[HomeForecast]])^2</f>
        <v>6.3804454516017142</v>
      </c>
    </row>
    <row r="17" spans="1:10" x14ac:dyDescent="0.2">
      <c r="A17" s="4" t="s">
        <v>17</v>
      </c>
      <c r="B17">
        <v>-0.81774666423752174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2.084927696371321</v>
      </c>
      <c r="J17">
        <f>(Table3[[#This Row],[HomeMargin]]-Table3[[#This Row],[HomeForecast]])^2</f>
        <v>1.1770681063535813</v>
      </c>
    </row>
    <row r="18" spans="1:10" x14ac:dyDescent="0.2">
      <c r="A18" s="4" t="s">
        <v>11</v>
      </c>
      <c r="B18">
        <v>-0.39711829106410657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-0.23254918783532186</v>
      </c>
      <c r="J18">
        <f>(Table3[[#This Row],[HomeMargin]]-Table3[[#This Row],[HomeForecast]])^2</f>
        <v>14.193685622080292</v>
      </c>
    </row>
    <row r="19" spans="1:10" x14ac:dyDescent="0.2">
      <c r="A19" s="4" t="s">
        <v>13</v>
      </c>
      <c r="B19">
        <v>-0.33828359867721369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3.3022041365371957E-2</v>
      </c>
      <c r="J19">
        <f>(Table3[[#This Row],[HomeMargin]]-Table3[[#This Row],[HomeForecast]])^2</f>
        <v>0.93504637248519251</v>
      </c>
    </row>
    <row r="20" spans="1:10" x14ac:dyDescent="0.2">
      <c r="A20" s="4" t="s">
        <v>34</v>
      </c>
      <c r="B20">
        <v>-5.5124787449478845E-2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-0.74002713053635827</v>
      </c>
      <c r="J20">
        <f>(Table3[[#This Row],[HomeMargin]]-Table3[[#This Row],[HomeForecast]])^2</f>
        <v>3.0276944150025922</v>
      </c>
    </row>
    <row r="21" spans="1:10" x14ac:dyDescent="0.2">
      <c r="A21" s="4" t="s">
        <v>18</v>
      </c>
      <c r="B21">
        <v>-0.59288962827382519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0.14856852479900506</v>
      </c>
      <c r="J21">
        <f>(Table3[[#This Row],[HomeMargin]]-Table3[[#This Row],[HomeForecast]])^2</f>
        <v>0.72493555696294243</v>
      </c>
    </row>
    <row r="22" spans="1:10" x14ac:dyDescent="0.2">
      <c r="A22" s="4" t="s">
        <v>29</v>
      </c>
      <c r="B22">
        <v>-1.384917283810061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-0.77817950819419379</v>
      </c>
      <c r="J22">
        <f>(Table3[[#This Row],[HomeMargin]]-Table3[[#This Row],[HomeForecast]])^2</f>
        <v>7.7182813797501337</v>
      </c>
    </row>
    <row r="23" spans="1:10" x14ac:dyDescent="0.2">
      <c r="A23" s="4" t="s">
        <v>24</v>
      </c>
      <c r="B23">
        <v>1.5302507646042616E-3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-0.15698941313844447</v>
      </c>
      <c r="J23">
        <f>(Table3[[#This Row],[HomeMargin]]-Table3[[#This Row],[HomeForecast]])^2</f>
        <v>0.71066684956066417</v>
      </c>
    </row>
    <row r="24" spans="1:10" x14ac:dyDescent="0.2">
      <c r="A24" s="4" t="s">
        <v>30</v>
      </c>
      <c r="B24">
        <v>-0.24093199744133265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-1.2894528355750812</v>
      </c>
      <c r="J24">
        <f>(Table3[[#This Row],[HomeMargin]]-Table3[[#This Row],[HomeForecast]])^2</f>
        <v>13.768160259421807</v>
      </c>
    </row>
    <row r="25" spans="1:10" x14ac:dyDescent="0.2">
      <c r="A25" s="4" t="s">
        <v>15</v>
      </c>
      <c r="B25">
        <v>-0.29003398448394263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1.0917817465346054</v>
      </c>
      <c r="J25">
        <f>(Table3[[#This Row],[HomeMargin]]-Table3[[#This Row],[HomeForecast]])^2</f>
        <v>4.3755508751353638</v>
      </c>
    </row>
    <row r="26" spans="1:10" x14ac:dyDescent="0.2">
      <c r="A26" s="4" t="s">
        <v>36</v>
      </c>
      <c r="B26">
        <v>-0.53137605086483863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0.16800427285697916</v>
      </c>
      <c r="J26">
        <f>(Table3[[#This Row],[HomeMargin]]-Table3[[#This Row],[HomeForecast]])^2</f>
        <v>14.684191252842369</v>
      </c>
    </row>
    <row r="27" spans="1:10" x14ac:dyDescent="0.2">
      <c r="A27" s="4" t="s">
        <v>27</v>
      </c>
      <c r="B27">
        <v>-0.38023958350631604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-0.67678357671474887</v>
      </c>
      <c r="J27">
        <f>(Table3[[#This Row],[HomeMargin]]-Table3[[#This Row],[HomeForecast]])^2</f>
        <v>0.10446885628131063</v>
      </c>
    </row>
    <row r="28" spans="1:10" x14ac:dyDescent="0.2">
      <c r="A28" s="4" t="s">
        <v>14</v>
      </c>
      <c r="B28">
        <v>-0.14226422156549004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0.30624142421602052</v>
      </c>
      <c r="J28">
        <f>(Table3[[#This Row],[HomeMargin]]-Table3[[#This Row],[HomeForecast]])^2</f>
        <v>2.8688181130417747</v>
      </c>
    </row>
    <row r="29" spans="1:10" x14ac:dyDescent="0.2">
      <c r="A29" s="4" t="s">
        <v>33</v>
      </c>
      <c r="B29">
        <v>-0.45133099238224339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0.85581546975803113</v>
      </c>
      <c r="J29">
        <f>(Table3[[#This Row],[HomeMargin]]-Table3[[#This Row],[HomeForecast]])^2</f>
        <v>2.0789178761097236E-2</v>
      </c>
    </row>
    <row r="30" spans="1:10" x14ac:dyDescent="0.2">
      <c r="A30" s="4" t="s">
        <v>32</v>
      </c>
      <c r="B30">
        <v>-0.64937723527808999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0.3785978418262641</v>
      </c>
      <c r="J30">
        <f>(Table3[[#This Row],[HomeMargin]]-Table3[[#This Row],[HomeForecast]])^2</f>
        <v>5.6577276931405605</v>
      </c>
    </row>
    <row r="31" spans="1:10" x14ac:dyDescent="0.2">
      <c r="A31" s="4" t="s">
        <v>35</v>
      </c>
      <c r="B31">
        <v>-1.3944783719477225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0.46659412201267403</v>
      </c>
      <c r="J31">
        <f>(Table3[[#This Row],[HomeMargin]]-Table3[[#This Row],[HomeForecast]])^2</f>
        <v>2.1508983187221258</v>
      </c>
    </row>
    <row r="32" spans="1:10" x14ac:dyDescent="0.2">
      <c r="A32" s="4" t="s">
        <v>37</v>
      </c>
      <c r="B32">
        <v>0.51050494674660429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1.2683619054950188</v>
      </c>
      <c r="J32">
        <f>(Table3[[#This Row],[HomeMargin]]-Table3[[#This Row],[HomeForecast]])^2</f>
        <v>5.145465734300994</v>
      </c>
    </row>
    <row r="33" spans="1:10" x14ac:dyDescent="0.2">
      <c r="A33" s="4" t="s">
        <v>19</v>
      </c>
      <c r="B33">
        <v>-0.63447859131898054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-0.1909602247901665</v>
      </c>
      <c r="J33">
        <f>(Table3[[#This Row],[HomeMargin]]-Table3[[#This Row],[HomeForecast]])^2</f>
        <v>10.18222715619291</v>
      </c>
    </row>
    <row r="34" spans="1:10" x14ac:dyDescent="0.2">
      <c r="A34" t="s">
        <v>55</v>
      </c>
      <c r="B34">
        <v>-0.4031232890211825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0.17983183979644479</v>
      </c>
      <c r="J34">
        <f>(Table3[[#This Row],[HomeMargin]]-Table3[[#This Row],[HomeForecast]])^2</f>
        <v>3.3130121314187946</v>
      </c>
    </row>
    <row r="35" spans="1:10" x14ac:dyDescent="0.2">
      <c r="A35" s="4" t="s">
        <v>38</v>
      </c>
      <c r="B35">
        <v>-0.9476777551108041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0.18415850872389455</v>
      </c>
      <c r="J35">
        <f>(Table3[[#This Row],[HomeMargin]]-Table3[[#This Row],[HomeForecast]])^2</f>
        <v>14.560646286544252</v>
      </c>
    </row>
    <row r="36" spans="1:10" x14ac:dyDescent="0.2">
      <c r="A36" s="4" t="s">
        <v>20</v>
      </c>
      <c r="B36">
        <v>-0.24444083032063643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0.5897653658242239</v>
      </c>
      <c r="J36">
        <f>(Table3[[#This Row],[HomeMargin]]-Table3[[#This Row],[HomeForecast]])^2</f>
        <v>12.886415381671126</v>
      </c>
    </row>
    <row r="37" spans="1:10" x14ac:dyDescent="0.2">
      <c r="A37" s="4" t="s">
        <v>22</v>
      </c>
      <c r="B37">
        <v>0.4407072328537569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-0.93189324586571609</v>
      </c>
      <c r="J37">
        <f>(Table3[[#This Row],[HomeMargin]]-Table3[[#This Row],[HomeForecast]])^2</f>
        <v>4.6385299587077987E-3</v>
      </c>
    </row>
    <row r="38" spans="1:10" x14ac:dyDescent="0.2">
      <c r="A38" s="4" t="s">
        <v>40</v>
      </c>
      <c r="B38">
        <v>-0.31324182378279158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-0.63173848137192712</v>
      </c>
      <c r="J38">
        <f>(Table3[[#This Row],[HomeMargin]]-Table3[[#This Row],[HomeForecast]])^2</f>
        <v>1.8721395833584002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0.19767051184161505</v>
      </c>
      <c r="J39">
        <f>(Table3[[#This Row],[HomeMargin]]-Table3[[#This Row],[HomeForecast]])^2</f>
        <v>27.015778749667874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-0.3550356560342911</v>
      </c>
      <c r="J40">
        <f>(Table3[[#This Row],[HomeMargin]]-Table3[[#This Row],[HomeForecast]])^2</f>
        <v>1.8361216291242817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-0.58013326529834719</v>
      </c>
      <c r="J41">
        <f>(Table3[[#This Row],[HomeMargin]]-Table3[[#This Row],[HomeForecast]])^2</f>
        <v>0.17628807490902809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0.5588754449051625</v>
      </c>
      <c r="J42">
        <f>(Table3[[#This Row],[HomeMargin]]-Table3[[#This Row],[HomeForecast]])^2</f>
        <v>6.547843542538593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7.4942523817584594E-2</v>
      </c>
      <c r="J43">
        <f>(Table3[[#This Row],[HomeMargin]]-Table3[[#This Row],[HomeForecast]])^2</f>
        <v>0.85573133424098002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-0.68084046841453705</v>
      </c>
      <c r="J44">
        <f>(Table3[[#This Row],[HomeMargin]]-Table3[[#This Row],[HomeForecast]])^2</f>
        <v>0.10186280660185212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-0.68037395827117342</v>
      </c>
      <c r="J45">
        <f>(Table3[[#This Row],[HomeMargin]]-Table3[[#This Row],[HomeForecast]])^2</f>
        <v>0.10216080655123759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-2.0581133452444034</v>
      </c>
      <c r="J46">
        <f>(Table3[[#This Row],[HomeMargin]]-Table3[[#This Row],[HomeForecast]])^2</f>
        <v>3.3771608954952198E-3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-0.54661890619198206</v>
      </c>
      <c r="J47">
        <f>(Table3[[#This Row],[HomeMargin]]-Table3[[#This Row],[HomeForecast]])^2</f>
        <v>0.20555441622255477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0.27682778276003128</v>
      </c>
      <c r="J48">
        <f>(Table3[[#This Row],[HomeMargin]]-Table3[[#This Row],[HomeForecast]])^2</f>
        <v>2.9693224902677096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0.33305956015089733</v>
      </c>
      <c r="J49">
        <f>(Table3[[#This Row],[HomeMargin]]-Table3[[#This Row],[HomeForecast]])^2</f>
        <v>0.44480955030611452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0.1222105752646214</v>
      </c>
      <c r="J50">
        <f>(Table3[[#This Row],[HomeMargin]]-Table3[[#This Row],[HomeForecast]])^2</f>
        <v>9.7481988762942375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0.90344198186838476</v>
      </c>
      <c r="J51">
        <f>(Table3[[#This Row],[HomeMargin]]-Table3[[#This Row],[HomeForecast]])^2</f>
        <v>15.236859305812583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6.6779456480953014E-2</v>
      </c>
      <c r="J52">
        <f>(Table3[[#This Row],[HomeMargin]]-Table3[[#This Row],[HomeForecast]])^2</f>
        <v>8.6037827569221736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0.29076172263649136</v>
      </c>
      <c r="J53">
        <f>(Table3[[#This Row],[HomeMargin]]-Table3[[#This Row],[HomeForecast]])^2</f>
        <v>1.6660658246235227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0.49670136576008084</v>
      </c>
      <c r="J54">
        <f>(Table3[[#This Row],[HomeMargin]]-Table3[[#This Row],[HomeForecast]])^2</f>
        <v>12.226920441308414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0.37086799232791878</v>
      </c>
      <c r="J55">
        <f>(Table3[[#This Row],[HomeMargin]]-Table3[[#This Row],[HomeForecast]])^2</f>
        <v>0.39580708307750367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-0.77143969980082194</v>
      </c>
      <c r="J56">
        <f>(Table3[[#This Row],[HomeMargin]]-Table3[[#This Row],[HomeForecast]])^2</f>
        <v>1.5093604112254946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0.51846803822776111</v>
      </c>
      <c r="J57">
        <f>(Table3[[#This Row],[HomeMargin]]-Table3[[#This Row],[HomeForecast]])^2</f>
        <v>6.1580008772971775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0.10638835592742724</v>
      </c>
      <c r="J58">
        <f>(Table3[[#This Row],[HomeMargin]]-Table3[[#This Row],[HomeForecast]])^2</f>
        <v>0.79854177042208652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0.57761342867674159</v>
      </c>
      <c r="J59">
        <f>(Table3[[#This Row],[HomeMargin]]-Table3[[#This Row],[HomeForecast]])^2</f>
        <v>6.6440909876946677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-0.82710538078763363</v>
      </c>
      <c r="J60">
        <f>(Table3[[#This Row],[HomeMargin]]-Table3[[#This Row],[HomeForecast]])^2</f>
        <v>10.067260264626785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0.80033944141424285</v>
      </c>
      <c r="J61">
        <f>(Table3[[#This Row],[HomeMargin]]-Table3[[#This Row],[HomeForecast]])^2</f>
        <v>4.8385065729978045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-1.9896964969684905E-2</v>
      </c>
      <c r="J62">
        <f>(Table3[[#This Row],[HomeMargin]]-Table3[[#This Row],[HomeForecast]])^2</f>
        <v>1.0401898191543748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0.10516636404741142</v>
      </c>
      <c r="J63">
        <f>(Table3[[#This Row],[HomeMargin]]-Table3[[#This Row],[HomeForecast]])^2</f>
        <v>15.169729051747661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-0.42832052504504048</v>
      </c>
      <c r="J64">
        <f>(Table3[[#This Row],[HomeMargin]]-Table3[[#This Row],[HomeForecast]])^2</f>
        <v>11.753381622445103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-1.1683813678402464</v>
      </c>
      <c r="J65">
        <f>(Table3[[#This Row],[HomeMargin]]-Table3[[#This Row],[HomeForecast]])^2</f>
        <v>14.681301342313782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0.71255873894660082</v>
      </c>
      <c r="J66">
        <f>(Table3[[#This Row],[HomeMargin]]-Table3[[#This Row],[HomeForecast]])^2</f>
        <v>1.6575050006627667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-0.19707136656612392</v>
      </c>
      <c r="J67">
        <f>(Table3[[#This Row],[HomeMargin]]-Table3[[#This Row],[HomeForecast]])^2</f>
        <v>7.856408924123496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-2.1769923138543539</v>
      </c>
      <c r="J68">
        <f>(Table3[[#This Row],[HomeMargin]]-Table3[[#This Row],[HomeForecast]])^2</f>
        <v>0.6773416514548104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1.4110210058890864</v>
      </c>
      <c r="J69">
        <f>(Table3[[#This Row],[HomeMargin]]-Table3[[#This Row],[HomeForecast]])^2</f>
        <v>11.635064302616595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-0.14611862818856117</v>
      </c>
      <c r="J70">
        <f>(Table3[[#This Row],[HomeMargin]]-Table3[[#This Row],[HomeForecast]])^2</f>
        <v>3.4368761407494626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0.84192840445939821</v>
      </c>
      <c r="J71">
        <f>(Table3[[#This Row],[HomeMargin]]-Table3[[#This Row],[HomeForecast]])^2</f>
        <v>2.49866293167516E-2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0.44854929075187328</v>
      </c>
      <c r="J72">
        <f>(Table3[[#This Row],[HomeMargin]]-Table3[[#This Row],[HomeForecast]])^2</f>
        <v>2.4069993032265153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0.62671541571935152</v>
      </c>
      <c r="J73">
        <f>(Table3[[#This Row],[HomeMargin]]-Table3[[#This Row],[HomeForecast]])^2</f>
        <v>1.8859105494228736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0.16790193333641384</v>
      </c>
      <c r="J74">
        <f>(Table3[[#This Row],[HomeMargin]]-Table3[[#This Row],[HomeForecast]])^2</f>
        <v>0.69238719254527792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-1.7097010800361967E-2</v>
      </c>
      <c r="J75">
        <f>(Table3[[#This Row],[HomeMargin]]-Table3[[#This Row],[HomeForecast]])^2</f>
        <v>8.8977102429761352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-0.29454385791187548</v>
      </c>
      <c r="J76">
        <f>(Table3[[#This Row],[HomeMargin]]-Table3[[#This Row],[HomeForecast]])^2</f>
        <v>1.6758438000573621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2.5229679050257636E-2</v>
      </c>
      <c r="J77">
        <f>(Table3[[#This Row],[HomeMargin]]-Table3[[#This Row],[HomeForecast]])^2</f>
        <v>0.95017717860446371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0.82138224884965294</v>
      </c>
      <c r="J78">
        <f>(Table3[[#This Row],[HomeMargin]]-Table3[[#This Row],[HomeForecast]])^2</f>
        <v>3.3174332964246189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-1.3359437628557513</v>
      </c>
      <c r="J79">
        <f>(Table3[[#This Row],[HomeMargin]]-Table3[[#This Row],[HomeForecast]])^2</f>
        <v>5.4566332632246866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9.810845228422338E-2</v>
      </c>
      <c r="J80">
        <f>(Table3[[#This Row],[HomeMargin]]-Table3[[#This Row],[HomeForecast]])^2</f>
        <v>8.4209745547042658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0.54573276922639824</v>
      </c>
      <c r="J81">
        <f>(Table3[[#This Row],[HomeMargin]]-Table3[[#This Row],[HomeForecast]])^2</f>
        <v>11.931962101596328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-2.9091395753320648E-2</v>
      </c>
      <c r="J82">
        <f>(Table3[[#This Row],[HomeMargin]]-Table3[[#This Row],[HomeForecast]])^2</f>
        <v>9.1753946838268003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-1.0555936021739822</v>
      </c>
      <c r="J83">
        <f>(Table3[[#This Row],[HomeMargin]]-Table3[[#This Row],[HomeForecast]])^2</f>
        <v>4.2254650572986083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1.9015741677978701</v>
      </c>
      <c r="J84">
        <f>(Table3[[#This Row],[HomeMargin]]-Table3[[#This Row],[HomeForecast]])^2</f>
        <v>1.2065393088489416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-0.71405798708260382</v>
      </c>
      <c r="J85">
        <f>(Table3[[#This Row],[HomeMargin]]-Table3[[#This Row],[HomeForecast]])^2</f>
        <v>8.1762834751252358E-2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-0.25295489486672013</v>
      </c>
      <c r="J86">
        <f>(Table3[[#This Row],[HomeMargin]]-Table3[[#This Row],[HomeForecast]])^2</f>
        <v>0.55807638910359314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0.8691776639252885</v>
      </c>
      <c r="J87">
        <f>(Table3[[#This Row],[HomeMargin]]-Table3[[#This Row],[HomeForecast]])^2</f>
        <v>1.2787591557654676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-0.2405433045003435</v>
      </c>
      <c r="J88">
        <f>(Table3[[#This Row],[HomeMargin]]-Table3[[#This Row],[HomeForecast]])^2</f>
        <v>0.57677447233925794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-0.2752140471336747</v>
      </c>
      <c r="J89">
        <f>(Table3[[#This Row],[HomeMargin]]-Table3[[#This Row],[HomeForecast]])^2</f>
        <v>1.6261708660070462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-0.25916602189359084</v>
      </c>
      <c r="J90">
        <f>(Table3[[#This Row],[HomeMargin]]-Table3[[#This Row],[HomeForecast]])^2</f>
        <v>7.5121708955426039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-1.7580201248796798</v>
      </c>
      <c r="J91">
        <f>(Table3[[#This Row],[HomeMargin]]-Table3[[#This Row],[HomeForecast]])^2</f>
        <v>14.122715259000687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6.4799392882271878E-2</v>
      </c>
      <c r="J92">
        <f>(Table3[[#This Row],[HomeMargin]]-Table3[[#This Row],[HomeForecast]])^2</f>
        <v>1.1337977470824547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0.8712411976471468</v>
      </c>
      <c r="J93">
        <f>(Table3[[#This Row],[HomeMargin]]-Table3[[#This Row],[HomeForecast]])^2</f>
        <v>17.046649248006165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1.1215762089504318</v>
      </c>
      <c r="J94">
        <f>(Table3[[#This Row],[HomeMargin]]-Table3[[#This Row],[HomeForecast]])^2</f>
        <v>3.5284759387810318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-0.3049985281004175</v>
      </c>
      <c r="J95">
        <f>(Table3[[#This Row],[HomeMargin]]-Table3[[#This Row],[HomeForecast]])^2</f>
        <v>1.7030211583442563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-7.6921518716253079E-3</v>
      </c>
      <c r="J96">
        <f>(Table3[[#This Row],[HomeMargin]]-Table3[[#This Row],[HomeForecast]])^2</f>
        <v>4.0308277766869161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-0.1334527796502884</v>
      </c>
      <c r="J97">
        <f>(Table3[[#This Row],[HomeMargin]]-Table3[[#This Row],[HomeForecast]])^2</f>
        <v>1.2847152036969653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1.4382857368877235</v>
      </c>
      <c r="J98">
        <f>(Table3[[#This Row],[HomeMargin]]-Table3[[#This Row],[HomeForecast]])^2</f>
        <v>5.94523733471011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-0.70263870633866676</v>
      </c>
      <c r="J99">
        <f>(Table3[[#This Row],[HomeMargin]]-Table3[[#This Row],[HomeForecast]])^2</f>
        <v>8.8423738967941659E-2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-6.6878443610073057E-2</v>
      </c>
      <c r="J100">
        <f>(Table3[[#This Row],[HomeMargin]]-Table3[[#This Row],[HomeForecast]])^2</f>
        <v>4.271986500659998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-0.18500844811130132</v>
      </c>
      <c r="J101">
        <f>(Table3[[#This Row],[HomeMargin]]-Table3[[#This Row],[HomeForecast]])^2</f>
        <v>3.2941943334273471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0.31903840069493644</v>
      </c>
      <c r="J102">
        <f>(Table3[[#This Row],[HomeMargin]]-Table3[[#This Row],[HomeForecast]])^2</f>
        <v>7.1875550969483655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-0.62021521872602658</v>
      </c>
      <c r="J103">
        <f>(Table3[[#This Row],[HomeMargin]]-Table3[[#This Row],[HomeForecast]])^2</f>
        <v>13.105958229895533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0.22724927953953741</v>
      </c>
      <c r="J104">
        <f>(Table3[[#This Row],[HomeMargin]]-Table3[[#This Row],[HomeForecast]])^2</f>
        <v>1.5061407941303135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1.0583326551288226</v>
      </c>
      <c r="J105">
        <f>(Table3[[#This Row],[HomeMargin]]-Table3[[#This Row],[HomeForecast]])^2</f>
        <v>25.5867292499426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-1.5137195567261648</v>
      </c>
      <c r="J106">
        <f>(Table3[[#This Row],[HomeMargin]]-Table3[[#This Row],[HomeForecast]])^2</f>
        <v>2.209029556058268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0.26029974386407317</v>
      </c>
      <c r="J107">
        <f>(Table3[[#This Row],[HomeMargin]]-Table3[[#This Row],[HomeForecast]])^2</f>
        <v>0.54715646892755576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0.33627136229584559</v>
      </c>
      <c r="J108">
        <f>(Table3[[#This Row],[HomeMargin]]-Table3[[#This Row],[HomeForecast]])^2</f>
        <v>1.7856211536919948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0.85531428246847652</v>
      </c>
      <c r="J109">
        <f>(Table3[[#This Row],[HomeMargin]]-Table3[[#This Row],[HomeForecast]])^2</f>
        <v>9.889048262046753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-1.0062940243473464</v>
      </c>
      <c r="J110">
        <f>(Table3[[#This Row],[HomeMargin]]-Table3[[#This Row],[HomeForecast]])^2</f>
        <v>3.9614742484989063E-5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-0.58610809316042234</v>
      </c>
      <c r="J111">
        <f>(Table3[[#This Row],[HomeMargin]]-Table3[[#This Row],[HomeForecast]])^2</f>
        <v>5.8268741379056124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-1.9851261985249962</v>
      </c>
      <c r="J112">
        <f>(Table3[[#This Row],[HomeMargin]]-Table3[[#This Row],[HomeForecast]])^2</f>
        <v>8.9109784211202943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1.1399852170550093</v>
      </c>
      <c r="J113">
        <f>(Table3[[#This Row],[HomeMargin]]-Table3[[#This Row],[HomeForecast]])^2</f>
        <v>3.4596549927739009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0.44912987821488226</v>
      </c>
      <c r="J114">
        <f>(Table3[[#This Row],[HomeMargin]]-Table3[[#This Row],[HomeForecast]])^2</f>
        <v>2.405198134645786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-0.42299090184763322</v>
      </c>
      <c r="J115">
        <f>(Table3[[#This Row],[HomeMargin]]-Table3[[#This Row],[HomeForecast]])^2</f>
        <v>0.33293949935060763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0.10655578713724556</v>
      </c>
      <c r="J116">
        <f>(Table3[[#This Row],[HomeMargin]]-Table3[[#This Row],[HomeForecast]])^2</f>
        <v>8.3720194129489656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-0.34857203336383547</v>
      </c>
      <c r="J117">
        <f>(Table3[[#This Row],[HomeMargin]]-Table3[[#This Row],[HomeForecast]])^2</f>
        <v>2.7272143289880564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1.256129270021586</v>
      </c>
      <c r="J118">
        <f>(Table3[[#This Row],[HomeMargin]]-Table3[[#This Row],[HomeForecast]])^2</f>
        <v>5.0901192830481348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0.80162684945549589</v>
      </c>
      <c r="J119">
        <f>(Table3[[#This Row],[HomeMargin]]-Table3[[#This Row],[HomeForecast]])^2</f>
        <v>3.2458593046789361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-0.17495628704053412</v>
      </c>
      <c r="J120">
        <f>(Table3[[#This Row],[HomeMargin]]-Table3[[#This Row],[HomeForecast]])^2</f>
        <v>1.3805222764560781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-0.20495332057545404</v>
      </c>
      <c r="J121">
        <f>(Table3[[#This Row],[HomeMargin]]-Table3[[#This Row],[HomeForecast]])^2</f>
        <v>3.2221925813130885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-0.38733877977609443</v>
      </c>
      <c r="J122">
        <f>(Table3[[#This Row],[HomeMargin]]-Table3[[#This Row],[HomeForecast]])^2</f>
        <v>1.9247088898706231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0.68430831651413926</v>
      </c>
      <c r="J123">
        <f>(Table3[[#This Row],[HomeMargin]]-Table3[[#This Row],[HomeForecast]])^2</f>
        <v>18.625194706909024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0.21119775682146322</v>
      </c>
      <c r="J124">
        <f>(Table3[[#This Row],[HomeMargin]]-Table3[[#This Row],[HomeForecast]])^2</f>
        <v>1.4670000061293442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-0.10123571843536011</v>
      </c>
      <c r="J125">
        <f>(Table3[[#This Row],[HomeMargin]]-Table3[[#This Row],[HomeForecast]])^2</f>
        <v>1.2127201075578435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-0.94145433400337764</v>
      </c>
      <c r="J126">
        <f>(Table3[[#This Row],[HomeMargin]]-Table3[[#This Row],[HomeForecast]])^2</f>
        <v>4.2376102589934774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0.73660195085408042</v>
      </c>
      <c r="J127">
        <f>(Table3[[#This Row],[HomeMargin]]-Table3[[#This Row],[HomeForecast]])^2</f>
        <v>3.0157863357101982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0.38603616041846089</v>
      </c>
      <c r="J128">
        <f>(Table3[[#This Row],[HomeMargin]]-Table3[[#This Row],[HomeForecast]])^2</f>
        <v>11.465240879661394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0.20826890450155333</v>
      </c>
      <c r="J129">
        <f>(Table3[[#This Row],[HomeMargin]]-Table3[[#This Row],[HomeForecast]])^2</f>
        <v>3.2103003185760639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-0.98579588828113474</v>
      </c>
      <c r="J130">
        <f>(Table3[[#This Row],[HomeMargin]]-Table3[[#This Row],[HomeForecast]])^2</f>
        <v>9.085426427102913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0.50276199207001016</v>
      </c>
      <c r="J131">
        <f>(Table3[[#This Row],[HomeMargin]]-Table3[[#This Row],[HomeForecast]])^2</f>
        <v>2.2417216523901642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0.80244020418499173</v>
      </c>
      <c r="J132">
        <f>(Table3[[#This Row],[HomeMargin]]-Table3[[#This Row],[HomeForecast]])^2</f>
        <v>1.4341494645524839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-1.8017726699515453</v>
      </c>
      <c r="J133">
        <f>(Table3[[#This Row],[HomeMargin]]-Table3[[#This Row],[HomeForecast]])^2</f>
        <v>7.8499300940874122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3.766811344972959E-2</v>
      </c>
      <c r="J134">
        <f>(Table3[[#This Row],[HomeMargin]]-Table3[[#This Row],[HomeForecast]])^2</f>
        <v>0.92608265987140237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0.56903955583857546</v>
      </c>
      <c r="J135">
        <f>(Table3[[#This Row],[HomeMargin]]-Table3[[#This Row],[HomeForecast]])^2</f>
        <v>2.0476477927546615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-0.10277671182030765</v>
      </c>
      <c r="J136">
        <f>(Table3[[#This Row],[HomeMargin]]-Table3[[#This Row],[HomeForecast]])^2</f>
        <v>9.6272233234144391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0.39789925049486613</v>
      </c>
      <c r="J137">
        <f>(Table3[[#This Row],[HomeMargin]]-Table3[[#This Row],[HomeForecast]])^2</f>
        <v>19.341517817503309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-0.99673293620968484</v>
      </c>
      <c r="J138">
        <f>(Table3[[#This Row],[HomeMargin]]-Table3[[#This Row],[HomeForecast]])^2</f>
        <v>3.9869424185445492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-8.9406837141820905E-2</v>
      </c>
      <c r="J139">
        <f>(Table3[[#This Row],[HomeMargin]]-Table3[[#This Row],[HomeForecast]])^2</f>
        <v>1.1868072568113457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0.50262593170821268</v>
      </c>
      <c r="J140">
        <f>(Table3[[#This Row],[HomeMargin]]-Table3[[#This Row],[HomeForecast]])^2</f>
        <v>2.2578846906419741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0.21827017788259417</v>
      </c>
      <c r="J141">
        <f>(Table3[[#This Row],[HomeMargin]]-Table3[[#This Row],[HomeForecast]])^2</f>
        <v>0.61110151478771091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0.38170267383050044</v>
      </c>
      <c r="J142">
        <f>(Table3[[#This Row],[HomeMargin]]-Table3[[#This Row],[HomeForecast]])^2</f>
        <v>0.38229158354835246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-0.10846740665522842</v>
      </c>
      <c r="J143">
        <f>(Table3[[#This Row],[HomeMargin]]-Table3[[#This Row],[HomeForecast]])^2</f>
        <v>1.2286999916169676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-0.30488737791381648</v>
      </c>
      <c r="J144">
        <f>(Table3[[#This Row],[HomeMargin]]-Table3[[#This Row],[HomeForecast]])^2</f>
        <v>0.48318155738352941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1.021984032641758</v>
      </c>
      <c r="J145">
        <f>(Table3[[#This Row],[HomeMargin]]-Table3[[#This Row],[HomeForecast]])^2</f>
        <v>49.308259754675802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-0.72584654563751583</v>
      </c>
      <c r="J146">
        <f>(Table3[[#This Row],[HomeMargin]]-Table3[[#This Row],[HomeForecast]])^2</f>
        <v>22.333625572914045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0.21198809241606251</v>
      </c>
      <c r="J147">
        <f>(Table3[[#This Row],[HomeMargin]]-Table3[[#This Row],[HomeForecast]])^2</f>
        <v>4.8928913209904517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0.44610695385592702</v>
      </c>
      <c r="J148">
        <f>(Table3[[#This Row],[HomeMargin]]-Table3[[#This Row],[HomeForecast]])^2</f>
        <v>2.0912253219904682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-1.5804726587392095</v>
      </c>
      <c r="J149">
        <f>(Table3[[#This Row],[HomeMargin]]-Table3[[#This Row],[HomeForecast]])^2</f>
        <v>6.6588391425006037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-1.7484590367420183</v>
      </c>
      <c r="J150">
        <f>(Table3[[#This Row],[HomeMargin]]-Table3[[#This Row],[HomeForecast]])^2</f>
        <v>0.56019092968078987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0.80484652599040318</v>
      </c>
      <c r="J151">
        <f>(Table3[[#This Row],[HomeMargin]]-Table3[[#This Row],[HomeForecast]])^2</f>
        <v>3.8084878418014383E-2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-8.0030341950119932E-2</v>
      </c>
      <c r="J152">
        <f>(Table3[[#This Row],[HomeMargin]]-Table3[[#This Row],[HomeForecast]])^2</f>
        <v>1.1664655395328933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0.1397822141615534</v>
      </c>
      <c r="J153">
        <f>(Table3[[#This Row],[HomeMargin]]-Table3[[#This Row],[HomeForecast]])^2</f>
        <v>1.2991034957190133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-0.26170554149394454</v>
      </c>
      <c r="J154">
        <f>(Table3[[#This Row],[HomeMargin]]-Table3[[#This Row],[HomeForecast]])^2</f>
        <v>27.685545205388088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1.302114899305395</v>
      </c>
      <c r="J155">
        <f>(Table3[[#This Row],[HomeMargin]]-Table3[[#This Row],[HomeForecast]])^2</f>
        <v>2.8828138151607288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7.1062985916763494E-2</v>
      </c>
      <c r="J156">
        <f>(Table3[[#This Row],[HomeMargin]]-Table3[[#This Row],[HomeForecast]])^2</f>
        <v>8.5786720324668266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0.16877971753311305</v>
      </c>
      <c r="J157">
        <f>(Table3[[#This Row],[HomeMargin]]-Table3[[#This Row],[HomeForecast]])^2</f>
        <v>1.3660460281167839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0.72001671657235156</v>
      </c>
      <c r="J158">
        <f>(Table3[[#This Row],[HomeMargin]]-Table3[[#This Row],[HomeForecast]])^2</f>
        <v>13.838524371577739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0.40508054460368748</v>
      </c>
      <c r="J159">
        <f>(Table3[[#This Row],[HomeMargin]]-Table3[[#This Row],[HomeForecast]])^2</f>
        <v>12.923445890786921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1.6802741565855344</v>
      </c>
      <c r="J160">
        <f>(Table3[[#This Row],[HomeMargin]]-Table3[[#This Row],[HomeForecast]])^2</f>
        <v>5.3811279886049528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2.2636017924525353E-2</v>
      </c>
      <c r="J161">
        <f>(Table3[[#This Row],[HomeMargin]]-Table3[[#This Row],[HomeForecast]])^2</f>
        <v>0.95524035345842884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-0.36472262629317681</v>
      </c>
      <c r="J162">
        <f>(Table3[[#This Row],[HomeMargin]]-Table3[[#This Row],[HomeForecast]])^2</f>
        <v>11.321358351889254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-0.52592056398021036</v>
      </c>
      <c r="J163">
        <f>(Table3[[#This Row],[HomeMargin]]-Table3[[#This Row],[HomeForecast]])^2</f>
        <v>0.22475131165684181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0.30801778525647522</v>
      </c>
      <c r="J164">
        <f>(Table3[[#This Row],[HomeMargin]]-Table3[[#This Row],[HomeForecast]])^2</f>
        <v>1.7109105265472544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-1.8455214816335028</v>
      </c>
      <c r="J165">
        <f>(Table3[[#This Row],[HomeMargin]]-Table3[[#This Row],[HomeForecast]])^2</f>
        <v>1.3328206493697026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-0.18807461301766351</v>
      </c>
      <c r="J166">
        <f>(Table3[[#This Row],[HomeMargin]]-Table3[[#This Row],[HomeForecast]])^2</f>
        <v>1.4115212860970712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-6.5868580811023758E-3</v>
      </c>
      <c r="J167">
        <f>(Table3[[#This Row],[HomeMargin]]-Table3[[#This Row],[HomeForecast]])^2</f>
        <v>0.98686967053717578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-6.3146644781867212E-2</v>
      </c>
      <c r="J168">
        <f>(Table3[[#This Row],[HomeMargin]]-Table3[[#This Row],[HomeForecast]])^2</f>
        <v>0.87769420918347296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-0.4692380579922506</v>
      </c>
      <c r="J169">
        <f>(Table3[[#This Row],[HomeMargin]]-Table3[[#This Row],[HomeForecast]])^2</f>
        <v>6.4047560071148339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0.48120343664880272</v>
      </c>
      <c r="J170">
        <f>(Table3[[#This Row],[HomeMargin]]-Table3[[#This Row],[HomeForecast]])^2</f>
        <v>0.26914987414501285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-0.60774302170369898</v>
      </c>
      <c r="J171">
        <f>(Table3[[#This Row],[HomeMargin]]-Table3[[#This Row],[HomeForecast]])^2</f>
        <v>1.9383794936147467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8.9389935891602712E-2</v>
      </c>
      <c r="J172">
        <f>(Table3[[#This Row],[HomeMargin]]-Table3[[#This Row],[HomeForecast]])^2</f>
        <v>8.47165094528909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0.30624142421602052</v>
      </c>
      <c r="J173">
        <f>(Table3[[#This Row],[HomeMargin]]-Table3[[#This Row],[HomeForecast]])^2</f>
        <v>0.48130096147381562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0.71650788369304785</v>
      </c>
      <c r="J174">
        <f>(Table3[[#This Row],[HomeMargin]]-Table3[[#This Row],[HomeForecast]])^2</f>
        <v>10.781320477849908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-0.47781193083041668</v>
      </c>
      <c r="J175">
        <f>(Table3[[#This Row],[HomeMargin]]-Table3[[#This Row],[HomeForecast]])^2</f>
        <v>0.27268037958305746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0.58695671527825821</v>
      </c>
      <c r="J176">
        <f>(Table3[[#This Row],[HomeMargin]]-Table3[[#This Row],[HomeForecast]])^2</f>
        <v>2.5184316161667586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0.13704018303917365</v>
      </c>
      <c r="J177">
        <f>(Table3[[#This Row],[HomeMargin]]-Table3[[#This Row],[HomeForecast]])^2</f>
        <v>9.8410211100024529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0.58430597710294463</v>
      </c>
      <c r="J178">
        <f>(Table3[[#This Row],[HomeMargin]]-Table3[[#This Row],[HomeForecast]])^2</f>
        <v>0.17280152067233759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1.0545784492269075</v>
      </c>
      <c r="J179">
        <f>(Table3[[#This Row],[HomeMargin]]-Table3[[#This Row],[HomeForecast]])^2</f>
        <v>3.7846650102123842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-0.40296049422368518</v>
      </c>
      <c r="J180">
        <f>(Table3[[#This Row],[HomeMargin]]-Table3[[#This Row],[HomeForecast]])^2</f>
        <v>11.580140125247109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-0.39689986791375598</v>
      </c>
      <c r="J181">
        <f>(Table3[[#This Row],[HomeMargin]]-Table3[[#This Row],[HomeForecast]])^2</f>
        <v>0.363729769322445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0.14696319381464695</v>
      </c>
      <c r="J182">
        <f>(Table3[[#This Row],[HomeMargin]]-Table3[[#This Row],[HomeForecast]])^2</f>
        <v>0.72767179270690763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-8.7144819675315455E-2</v>
      </c>
      <c r="J183">
        <f>(Table3[[#This Row],[HomeMargin]]-Table3[[#This Row],[HomeForecast]])^2</f>
        <v>9.5304631376481357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1.1039433357947381</v>
      </c>
      <c r="J184">
        <f>(Table3[[#This Row],[HomeMargin]]-Table3[[#This Row],[HomeForecast]])^2</f>
        <v>3.5950308738771852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-1.8264437398244502</v>
      </c>
      <c r="J185">
        <f>(Table3[[#This Row],[HomeMargin]]-Table3[[#This Row],[HomeForecast]])^2</f>
        <v>3.0121775446123138E-2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0.73153997921825198</v>
      </c>
      <c r="J186">
        <f>(Table3[[#This Row],[HomeMargin]]-Table3[[#This Row],[HomeForecast]])^2</f>
        <v>7.4613106580676485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-0.59554414885312179</v>
      </c>
      <c r="J187">
        <f>(Table3[[#This Row],[HomeMargin]]-Table3[[#This Row],[HomeForecast]])^2</f>
        <v>2.5457611309394323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-0.86691691967118412</v>
      </c>
      <c r="J188">
        <f>(Table3[[#This Row],[HomeMargin]]-Table3[[#This Row],[HomeForecast]])^2</f>
        <v>3.4853787849545426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0.84938971652034467</v>
      </c>
      <c r="J189">
        <f>(Table3[[#This Row],[HomeMargin]]-Table3[[#This Row],[HomeForecast]])^2</f>
        <v>2.2683457489822138E-2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-0.59164966013004561</v>
      </c>
      <c r="J190">
        <f>(Table3[[#This Row],[HomeMargin]]-Table3[[#This Row],[HomeForecast]])^2</f>
        <v>2.5333486405920898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-0.76066004399606379</v>
      </c>
      <c r="J191">
        <f>(Table3[[#This Row],[HomeMargin]]-Table3[[#This Row],[HomeForecast]])^2</f>
        <v>3.0999237905242212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-0.28991310051865549</v>
      </c>
      <c r="J192">
        <f>(Table3[[#This Row],[HomeMargin]]-Table3[[#This Row],[HomeForecast]])^2</f>
        <v>7.3445710027404072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0.94245371658448773</v>
      </c>
      <c r="J193">
        <f>(Table3[[#This Row],[HomeMargin]]-Table3[[#This Row],[HomeForecast]])^2</f>
        <v>4.2334967083969879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-1.1612828485824123E-2</v>
      </c>
      <c r="J194">
        <f>(Table3[[#This Row],[HomeMargin]]-Table3[[#This Row],[HomeForecast]])^2</f>
        <v>1.0233605147570894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-0.2692352558422777</v>
      </c>
      <c r="J195">
        <f>(Table3[[#This Row],[HomeMargin]]-Table3[[#This Row],[HomeForecast]])^2</f>
        <v>5.1494286463575678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0.30413975673582699</v>
      </c>
      <c r="J196">
        <f>(Table3[[#This Row],[HomeMargin]]-Table3[[#This Row],[HomeForecast]])^2</f>
        <v>10.917339532042289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-0.30944250187098493</v>
      </c>
      <c r="J197">
        <f>(Table3[[#This Row],[HomeMargin]]-Table3[[#This Row],[HomeForecast]])^2</f>
        <v>0.47686965822220456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-2.0333339018860572</v>
      </c>
      <c r="J198">
        <f>(Table3[[#This Row],[HomeMargin]]-Table3[[#This Row],[HomeForecast]])^2</f>
        <v>9.2011145603312929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-0.12107685329413906</v>
      </c>
      <c r="J199">
        <f>(Table3[[#This Row],[HomeMargin]]-Table3[[#This Row],[HomeForecast]])^2</f>
        <v>9.741120724168443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0.22707351999782449</v>
      </c>
      <c r="J200">
        <f>(Table3[[#This Row],[HomeMargin]]-Table3[[#This Row],[HomeForecast]])^2</f>
        <v>7.6891212634972543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0.40395815583237005</v>
      </c>
      <c r="J201">
        <f>(Table3[[#This Row],[HomeMargin]]-Table3[[#This Row],[HomeForecast]])^2</f>
        <v>0.35526587999874926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0.73544244446146734</v>
      </c>
      <c r="J202">
        <f>(Table3[[#This Row],[HomeMargin]]-Table3[[#This Row],[HomeForecast]])^2</f>
        <v>3.0117604780383931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0.47390932157322857</v>
      </c>
      <c r="J203">
        <f>(Table3[[#This Row],[HomeMargin]]-Table3[[#This Row],[HomeForecast]])^2</f>
        <v>2.1724086882204552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-0.8637274868446243</v>
      </c>
      <c r="J204">
        <f>(Table3[[#This Row],[HomeMargin]]-Table3[[#This Row],[HomeForecast]])^2</f>
        <v>1.2911152241524335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-0.38733877977609443</v>
      </c>
      <c r="J205">
        <f>(Table3[[#This Row],[HomeMargin]]-Table3[[#This Row],[HomeForecast]])^2</f>
        <v>0.37535377076624493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-0.42328023117061392</v>
      </c>
      <c r="J206">
        <f>(Table3[[#This Row],[HomeMargin]]-Table3[[#This Row],[HomeForecast]])^2</f>
        <v>5.8722870787823034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-0.52683095878703834</v>
      </c>
      <c r="J207">
        <f>(Table3[[#This Row],[HomeMargin]]-Table3[[#This Row],[HomeForecast]])^2</f>
        <v>2.3312127767105468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-0.4423136208303281</v>
      </c>
      <c r="J208">
        <f>(Table3[[#This Row],[HomeMargin]]-Table3[[#This Row],[HomeForecast]])^2</f>
        <v>2.0802685808326911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0.62572206182653534</v>
      </c>
      <c r="J209">
        <f>(Table3[[#This Row],[HomeMargin]]-Table3[[#This Row],[HomeForecast]])^2</f>
        <v>11.385751604044167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-2.3086397796244718E-2</v>
      </c>
      <c r="J210">
        <f>(Table3[[#This Row],[HomeMargin]]-Table3[[#This Row],[HomeForecast]])^2</f>
        <v>0.95436018617071694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1.1712994606035343</v>
      </c>
      <c r="J211">
        <f>(Table3[[#This Row],[HomeMargin]]-Table3[[#This Row],[HomeForecast]])^2</f>
        <v>2.9343505203061799E-2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1.2810899150158039</v>
      </c>
      <c r="J212">
        <f>(Table3[[#This Row],[HomeMargin]]-Table3[[#This Row],[HomeForecast]])^2</f>
        <v>7.9011540323591881E-2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2.4858974028740377E-2</v>
      </c>
      <c r="J213">
        <f>(Table3[[#This Row],[HomeMargin]]-Table3[[#This Row],[HomeForecast]])^2</f>
        <v>8.8514641244173191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1.3796932452837445</v>
      </c>
      <c r="J214">
        <f>(Table3[[#This Row],[HomeMargin]]-Table3[[#This Row],[HomeForecast]])^2</f>
        <v>0.14416696051410174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-0.16274929584434672</v>
      </c>
      <c r="J215">
        <f>(Table3[[#This Row],[HomeMargin]]-Table3[[#This Row],[HomeForecast]])^2</f>
        <v>0.70098874160913727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2.8738511929561422E-2</v>
      </c>
      <c r="J216">
        <f>(Table3[[#This Row],[HomeMargin]]-Table3[[#This Row],[HomeForecast]])^2</f>
        <v>1.0583029259270482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-0.66580837288933281</v>
      </c>
      <c r="J217">
        <f>(Table3[[#This Row],[HomeMargin]]-Table3[[#This Row],[HomeForecast]])^2</f>
        <v>5.4484505520735436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0.68079948363483545</v>
      </c>
      <c r="J218">
        <f>(Table3[[#This Row],[HomeMargin]]-Table3[[#This Row],[HomeForecast]])^2</f>
        <v>0.10188896964778768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-0.42089112577091814</v>
      </c>
      <c r="J219">
        <f>(Table3[[#This Row],[HomeMargin]]-Table3[[#This Row],[HomeForecast]])^2</f>
        <v>19.544278345920056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-0.14814549397268417</v>
      </c>
      <c r="J220">
        <f>(Table3[[#This Row],[HomeMargin]]-Table3[[#This Row],[HomeForecast]])^2</f>
        <v>23.540492147657567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-0.18145455337463562</v>
      </c>
      <c r="J221">
        <f>(Table3[[#This Row],[HomeMargin]]-Table3[[#This Row],[HomeForecast]])^2</f>
        <v>4.7587439684389299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-0.72158075100332808</v>
      </c>
      <c r="J222">
        <f>(Table3[[#This Row],[HomeMargin]]-Table3[[#This Row],[HomeForecast]])^2</f>
        <v>5.1911942741985575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1.8850863537246418</v>
      </c>
      <c r="J223">
        <f>(Table3[[#This Row],[HomeMargin]]-Table3[[#This Row],[HomeForecast]])^2</f>
        <v>9.7026870237524463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0.36150703934026951</v>
      </c>
      <c r="J224">
        <f>(Table3[[#This Row],[HomeMargin]]-Table3[[#This Row],[HomeForecast]])^2</f>
        <v>0.40767326081202815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0.96826868513029529</v>
      </c>
      <c r="J225">
        <f>(Table3[[#This Row],[HomeMargin]]-Table3[[#This Row],[HomeForecast]])^2</f>
        <v>15.747156357385723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0.530700673701194</v>
      </c>
      <c r="J226">
        <f>(Table3[[#This Row],[HomeMargin]]-Table3[[#This Row],[HomeForecast]])^2</f>
        <v>0.22024185766451318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0.28464022893901597</v>
      </c>
      <c r="J227">
        <f>(Table3[[#This Row],[HomeMargin]]-Table3[[#This Row],[HomeForecast]])^2</f>
        <v>5.2195809756865179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0.10873544131005536</v>
      </c>
      <c r="J228">
        <f>(Table3[[#This Row],[HomeMargin]]-Table3[[#This Row],[HomeForecast]])^2</f>
        <v>9.6642360440572244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0.64432062796159195</v>
      </c>
      <c r="J229">
        <f>(Table3[[#This Row],[HomeMargin]]-Table3[[#This Row],[HomeForecast]])^2</f>
        <v>0.12650781569363628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-0.95477695138058249</v>
      </c>
      <c r="J230">
        <f>(Table3[[#This Row],[HomeMargin]]-Table3[[#This Row],[HomeForecast]])^2</f>
        <v>1.0924912213652689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-0.53307070549608448</v>
      </c>
      <c r="J231">
        <f>(Table3[[#This Row],[HomeMargin]]-Table3[[#This Row],[HomeForecast]])^2</f>
        <v>6.4164471990424321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-0.70504502814407832</v>
      </c>
      <c r="J232">
        <f>(Table3[[#This Row],[HomeMargin]]-Table3[[#This Row],[HomeForecast]])^2</f>
        <v>5.2668183228462144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-0.8396842749371447</v>
      </c>
      <c r="J233">
        <f>(Table3[[#This Row],[HomeMargin]]-Table3[[#This Row],[HomeForecast]])^2</f>
        <v>9.9875954820795609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-0.53540483162520447</v>
      </c>
      <c r="J234">
        <f>(Table3[[#This Row],[HomeMargin]]-Table3[[#This Row],[HomeForecast]])^2</f>
        <v>6.0742293439763868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-0.13590646106869134</v>
      </c>
      <c r="J235">
        <f>(Table3[[#This Row],[HomeMargin]]-Table3[[#This Row],[HomeForecast]])^2</f>
        <v>8.2030317997480662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-8.818841967628932E-2</v>
      </c>
      <c r="J236">
        <f>(Table3[[#This Row],[HomeMargin]]-Table3[[#This Row],[HomeForecast]])^2</f>
        <v>1.1841540367175802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0.95168632199230485</v>
      </c>
      <c r="J237">
        <f>(Table3[[#This Row],[HomeMargin]]-Table3[[#This Row],[HomeForecast]])^2</f>
        <v>4.1955889235134123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-2.3997495737413352</v>
      </c>
      <c r="J238">
        <f>(Table3[[#This Row],[HomeMargin]]-Table3[[#This Row],[HomeForecast]])^2</f>
        <v>31.362804836810355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-0.13986559032948026</v>
      </c>
      <c r="J239">
        <f>(Table3[[#This Row],[HomeMargin]]-Table3[[#This Row],[HomeForecast]])^2</f>
        <v>17.138487105994052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0.19369522125325678</v>
      </c>
      <c r="J240">
        <f>(Table3[[#This Row],[HomeMargin]]-Table3[[#This Row],[HomeForecast]])^2</f>
        <v>0.65012739622983451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-1.7484590367420183</v>
      </c>
      <c r="J241">
        <f>(Table3[[#This Row],[HomeMargin]]-Table3[[#This Row],[HomeForecast]])^2</f>
        <v>0.56019092968078987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7.9876188055247321E-4</v>
      </c>
      <c r="J242">
        <f>(Table3[[#This Row],[HomeMargin]]-Table3[[#This Row],[HomeForecast]])^2</f>
        <v>25.007988256826064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0.20103721628168508</v>
      </c>
      <c r="J243">
        <f>(Table3[[#This Row],[HomeMargin]]-Table3[[#This Row],[HomeForecast]])^2</f>
        <v>1.4424903948936594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-4.3119523949743388E-3</v>
      </c>
      <c r="J244">
        <f>(Table3[[#This Row],[HomeMargin]]-Table3[[#This Row],[HomeForecast]])^2</f>
        <v>4.0172664025133544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-0.69520038774647008</v>
      </c>
      <c r="J245">
        <f>(Table3[[#This Row],[HomeMargin]]-Table3[[#This Row],[HomeForecast]])^2</f>
        <v>9.2902803629902178E-2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0.11969846281600982</v>
      </c>
      <c r="J246">
        <f>(Table3[[#This Row],[HomeMargin]]-Table3[[#This Row],[HomeForecast]])^2</f>
        <v>0.77493079636849604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-0.3648080819480865</v>
      </c>
      <c r="J247">
        <f>(Table3[[#This Row],[HomeMargin]]-Table3[[#This Row],[HomeForecast]])^2</f>
        <v>2.6738526088622958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-0.30278760183710141</v>
      </c>
      <c r="J248">
        <f>(Table3[[#This Row],[HomeMargin]]-Table3[[#This Row],[HomeForecast]])^2</f>
        <v>1.6972555355004659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-0.37324310323674026</v>
      </c>
      <c r="J249">
        <f>(Table3[[#This Row],[HomeMargin]]-Table3[[#This Row],[HomeForecast]])^2</f>
        <v>0.39282420764031145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0.5418455945452203</v>
      </c>
      <c r="J250">
        <f>(Table3[[#This Row],[HomeMargin]]-Table3[[#This Row],[HomeForecast]])^2</f>
        <v>6.0425230810567401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1.1127204860563722</v>
      </c>
      <c r="J251">
        <f>(Table3[[#This Row],[HomeMargin]]-Table3[[#This Row],[HomeForecast]])^2</f>
        <v>1.2705907976784798E-2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-0.64924256092483335</v>
      </c>
      <c r="J252">
        <f>(Table3[[#This Row],[HomeMargin]]-Table3[[#This Row],[HomeForecast]])^2</f>
        <v>11.227575415517569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1.0605572405183044</v>
      </c>
      <c r="J253">
        <f>(Table3[[#This Row],[HomeMargin]]-Table3[[#This Row],[HomeForecast]])^2</f>
        <v>0.8825526983425831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-7.8352012920493652E-2</v>
      </c>
      <c r="J254">
        <f>(Table3[[#This Row],[HomeMargin]]-Table3[[#This Row],[HomeForecast]])^2</f>
        <v>4.3195470896106682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0.24592012603488611</v>
      </c>
      <c r="J255">
        <f>(Table3[[#This Row],[HomeMargin]]-Table3[[#This Row],[HomeForecast]])^2</f>
        <v>1.5523169604587863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-1.0102529797243709</v>
      </c>
      <c r="J256">
        <f>(Table3[[#This Row],[HomeMargin]]-Table3[[#This Row],[HomeForecast]])^2</f>
        <v>1.0512359322836062E-4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-2.5296806646146179</v>
      </c>
      <c r="J257">
        <f>(Table3[[#This Row],[HomeMargin]]-Table3[[#This Row],[HomeForecast]])^2</f>
        <v>2.3399229356958191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-0.17285651096381904</v>
      </c>
      <c r="J258">
        <f>(Table3[[#This Row],[HomeMargin]]-Table3[[#This Row],[HomeForecast]])^2</f>
        <v>1.3755923953102231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0.29236299712909936</v>
      </c>
      <c r="J259">
        <f>(Table3[[#This Row],[HomeMargin]]-Table3[[#This Row],[HomeForecast]])^2</f>
        <v>1.6702021163485083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1.1447840482492808</v>
      </c>
      <c r="J260">
        <f>(Table3[[#This Row],[HomeMargin]]-Table3[[#This Row],[HomeForecast]])^2</f>
        <v>3.4418262276303269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0.20257820966663259</v>
      </c>
      <c r="J261">
        <f>(Table3[[#This Row],[HomeMargin]]-Table3[[#This Row],[HomeForecast]])^2</f>
        <v>1.4461943503650034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0.46460957979441142</v>
      </c>
      <c r="J262">
        <f>(Table3[[#This Row],[HomeMargin]]-Table3[[#This Row],[HomeForecast]])^2</f>
        <v>2.357423742459094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3.4868653397958249E-2</v>
      </c>
      <c r="J263">
        <f>(Table3[[#This Row],[HomeMargin]]-Table3[[#This Row],[HomeForecast]])^2</f>
        <v>9.2104277433775366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1.5031013855108724</v>
      </c>
      <c r="J264">
        <f>(Table3[[#This Row],[HomeMargin]]-Table3[[#This Row],[HomeForecast]])^2</f>
        <v>2.24070546205947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0.44610695385592702</v>
      </c>
      <c r="J265">
        <f>(Table3[[#This Row],[HomeMargin]]-Table3[[#This Row],[HomeForecast]])^2</f>
        <v>2.0912253219904682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-0.20470528067344906</v>
      </c>
      <c r="J266">
        <f>(Table3[[#This Row],[HomeMargin]]-Table3[[#This Row],[HomeForecast]])^2</f>
        <v>14.404262006548002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-0.89491780379679597</v>
      </c>
      <c r="J267">
        <f>(Table3[[#This Row],[HomeMargin]]-Table3[[#This Row],[HomeForecast]])^2</f>
        <v>1.1042267958888666E-2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-4.4870820043872994E-3</v>
      </c>
      <c r="J268">
        <f>(Table3[[#This Row],[HomeMargin]]-Table3[[#This Row],[HomeForecast]])^2</f>
        <v>0.99104596989613947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-0.27879634397993924</v>
      </c>
      <c r="J269">
        <f>(Table3[[#This Row],[HomeMargin]]-Table3[[#This Row],[HomeForecast]])^2</f>
        <v>1.635320089376459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-0.58453518240485014</v>
      </c>
      <c r="J270">
        <f>(Table3[[#This Row],[HomeMargin]]-Table3[[#This Row],[HomeForecast]])^2</f>
        <v>2.0035406498496711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-0.12782575702575544</v>
      </c>
      <c r="J271">
        <f>(Table3[[#This Row],[HomeMargin]]-Table3[[#This Row],[HomeForecast]])^2</f>
        <v>0.76068791010769654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0.48740782965436819</v>
      </c>
      <c r="J272">
        <f>(Table3[[#This Row],[HomeMargin]]-Table3[[#This Row],[HomeForecast]])^2</f>
        <v>2.212382051717118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0.8504396801537093</v>
      </c>
      <c r="J273">
        <f>(Table3[[#This Row],[HomeMargin]]-Table3[[#This Row],[HomeForecast]])^2</f>
        <v>23.526765090809615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0.12288789564256969</v>
      </c>
      <c r="J274">
        <f>(Table3[[#This Row],[HomeMargin]]-Table3[[#This Row],[HomeForecast]])^2</f>
        <v>8.2777740610400397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0.2726580088101439</v>
      </c>
      <c r="J275">
        <f>(Table3[[#This Row],[HomeMargin]]-Table3[[#This Row],[HomeForecast]])^2</f>
        <v>0.52902637214802473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-0.56454953773921501</v>
      </c>
      <c r="J276">
        <f>(Table3[[#This Row],[HomeMargin]]-Table3[[#This Row],[HomeForecast]])^2</f>
        <v>6.5769143315184211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2.1579148430907282</v>
      </c>
      <c r="J277">
        <f>(Table3[[#This Row],[HomeMargin]]-Table3[[#This Row],[HomeForecast]])^2</f>
        <v>0.70910741148691281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-1.0041418379484133</v>
      </c>
      <c r="J278">
        <f>(Table3[[#This Row],[HomeMargin]]-Table3[[#This Row],[HomeForecast]])^2</f>
        <v>16.0331518584089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-0.78792477499470093</v>
      </c>
      <c r="J279">
        <f>(Table3[[#This Row],[HomeMargin]]-Table3[[#This Row],[HomeForecast]])^2</f>
        <v>14.348374101018655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-0.95643138120578253</v>
      </c>
      <c r="J280">
        <f>(Table3[[#This Row],[HomeMargin]]-Table3[[#This Row],[HomeForecast]])^2</f>
        <v>36.524721650074241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-0.26170554149394454</v>
      </c>
      <c r="J281">
        <f>(Table3[[#This Row],[HomeMargin]]-Table3[[#This Row],[HomeForecast]])^2</f>
        <v>5.1153119564244163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-0.28623466257213598</v>
      </c>
      <c r="J282">
        <f>(Table3[[#This Row],[HomeMargin]]-Table3[[#This Row],[HomeForecast]])^2</f>
        <v>5.2268689323463295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-0.24629424371860442</v>
      </c>
      <c r="J283">
        <f>(Table3[[#This Row],[HomeMargin]]-Table3[[#This Row],[HomeForecast]])^2</f>
        <v>0.56807236705171049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4.6391916043858672E-2</v>
      </c>
      <c r="J284">
        <f>(Table3[[#This Row],[HomeMargin]]-Table3[[#This Row],[HomeForecast]])^2</f>
        <v>1.0949360419619376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1.4232536413625192</v>
      </c>
      <c r="J285">
        <f>(Table3[[#This Row],[HomeMargin]]-Table3[[#This Row],[HomeForecast]])^2</f>
        <v>0.17914364492663201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-1.1927523133214084</v>
      </c>
      <c r="J286">
        <f>(Table3[[#This Row],[HomeMargin]]-Table3[[#This Row],[HomeForecast]])^2</f>
        <v>4.808162707576388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-0.96433803951824404</v>
      </c>
      <c r="J287">
        <f>(Table3[[#This Row],[HomeMargin]]-Table3[[#This Row],[HomeForecast]])^2</f>
        <v>1.2717754254023238E-3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-0.11229054265668736</v>
      </c>
      <c r="J288">
        <f>(Table3[[#This Row],[HomeMargin]]-Table3[[#This Row],[HomeForecast]])^2</f>
        <v>0.78802808065675856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1.2933225504892369</v>
      </c>
      <c r="J289">
        <f>(Table3[[#This Row],[HomeMargin]]-Table3[[#This Row],[HomeForecast]])^2</f>
        <v>5.2593283205824601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-0.2550546709434352</v>
      </c>
      <c r="J290">
        <f>(Table3[[#This Row],[HomeMargin]]-Table3[[#This Row],[HomeForecast]])^2</f>
        <v>0.55494354328319373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-0.70263870633866676</v>
      </c>
      <c r="J291">
        <f>(Table3[[#This Row],[HomeMargin]]-Table3[[#This Row],[HomeForecast]])^2</f>
        <v>8.8423738967941659E-2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0.50818308505782939</v>
      </c>
      <c r="J292">
        <f>(Table3[[#This Row],[HomeMargin]]-Table3[[#This Row],[HomeForecast]])^2</f>
        <v>0.24188387782323428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0.84358283428459835</v>
      </c>
      <c r="J293">
        <f>(Table3[[#This Row],[HomeMargin]]-Table3[[#This Row],[HomeForecast]])^2</f>
        <v>9.9629693240228487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-0.34932838036855735</v>
      </c>
      <c r="J294">
        <f>(Table3[[#This Row],[HomeMargin]]-Table3[[#This Row],[HomeForecast]])^2</f>
        <v>0.42337355659380471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-0.85772248888754832</v>
      </c>
      <c r="J295">
        <f>(Table3[[#This Row],[HomeMargin]]-Table3[[#This Row],[HomeForecast]])^2</f>
        <v>1.3047979123932572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-0.18392706036558265</v>
      </c>
      <c r="J296">
        <f>(Table3[[#This Row],[HomeMargin]]-Table3[[#This Row],[HomeForecast]])^2</f>
        <v>4.7695374049970543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-0.32321911890293115</v>
      </c>
      <c r="J297">
        <f>(Table3[[#This Row],[HomeMargin]]-Table3[[#This Row],[HomeForecast]])^2</f>
        <v>0.45803236101852479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-0.14319170326446246</v>
      </c>
      <c r="J298">
        <f>(Table3[[#This Row],[HomeMargin]]-Table3[[#This Row],[HomeForecast]])^2</f>
        <v>0.73412045735485287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-0.14814549397268417</v>
      </c>
      <c r="J299">
        <f>(Table3[[#This Row],[HomeMargin]]-Table3[[#This Row],[HomeForecast]])^2</f>
        <v>9.9108200512205151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-1.1001367927039236</v>
      </c>
      <c r="J300">
        <f>(Table3[[#This Row],[HomeMargin]]-Table3[[#This Row],[HomeForecast]])^2</f>
        <v>3.6094802064373339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0.48907773101231511</v>
      </c>
      <c r="J301">
        <f>(Table3[[#This Row],[HomeMargin]]-Table3[[#This Row],[HomeForecast]])^2</f>
        <v>2.2173524889967848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1.9227364047914712</v>
      </c>
      <c r="J302">
        <f>(Table3[[#This Row],[HomeMargin]]-Table3[[#This Row],[HomeForecast]])^2</f>
        <v>1.1604968535616049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0.23921679179432004</v>
      </c>
      <c r="J303">
        <f>(Table3[[#This Row],[HomeMargin]]-Table3[[#This Row],[HomeForecast]])^2</f>
        <v>0.57879108988772709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0.63520632947152933</v>
      </c>
      <c r="J304">
        <f>(Table3[[#This Row],[HomeMargin]]-Table3[[#This Row],[HomeForecast]])^2</f>
        <v>2.6738997399437516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1.2925538111677333</v>
      </c>
      <c r="J305">
        <f>(Table3[[#This Row],[HomeMargin]]-Table3[[#This Row],[HomeForecast]])^2</f>
        <v>7.3302648654223663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1.5080834507805707</v>
      </c>
      <c r="J306">
        <f>(Table3[[#This Row],[HomeMargin]]-Table3[[#This Row],[HomeForecast]])^2</f>
        <v>30.338983300762806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0.63172705978361121</v>
      </c>
      <c r="J307">
        <f>(Table3[[#This Row],[HomeMargin]]-Table3[[#This Row],[HomeForecast]])^2</f>
        <v>0.13562495849562387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-0.59554414885312179</v>
      </c>
      <c r="J308">
        <f>(Table3[[#This Row],[HomeMargin]]-Table3[[#This Row],[HomeForecast]])^2</f>
        <v>1.9724962378207025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0.39153697742009452</v>
      </c>
      <c r="J309">
        <f>(Table3[[#This Row],[HomeMargin]]-Table3[[#This Row],[HomeForecast]])^2</f>
        <v>13.021005385326507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4.7800972846447354E-2</v>
      </c>
      <c r="J310">
        <f>(Table3[[#This Row],[HomeMargin]]-Table3[[#This Row],[HomeForecast]])^2</f>
        <v>0.90668298731217212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0.60046021296985996</v>
      </c>
      <c r="J311">
        <f>(Table3[[#This Row],[HomeMargin]]-Table3[[#This Row],[HomeForecast]])^2</f>
        <v>5.7577911895406499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0.82889158045413303</v>
      </c>
      <c r="J312">
        <f>(Table3[[#This Row],[HomeMargin]]-Table3[[#This Row],[HomeForecast]])^2</f>
        <v>2.9278091239484431E-2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0.93948577278346967</v>
      </c>
      <c r="J313">
        <f>(Table3[[#This Row],[HomeMargin]]-Table3[[#This Row],[HomeForecast]])^2</f>
        <v>4.2457188805617356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0.70427524821961485</v>
      </c>
      <c r="J314">
        <f>(Table3[[#This Row],[HomeMargin]]-Table3[[#This Row],[HomeForecast]])^2</f>
        <v>2.9045541216940296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-0.17606158083105705</v>
      </c>
      <c r="J315">
        <f>(Table3[[#This Row],[HomeMargin]]-Table3[[#This Row],[HomeForecast]])^2</f>
        <v>4.7352440035689582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1.6930455621015916E-3</v>
      </c>
      <c r="J316">
        <f>(Table3[[#This Row],[HomeMargin]]-Table3[[#This Row],[HomeForecast]])^2</f>
        <v>0.99661677527907222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0.5588754449051625</v>
      </c>
      <c r="J317">
        <f>(Table3[[#This Row],[HomeMargin]]-Table3[[#This Row],[HomeForecast]])^2</f>
        <v>11.841338203676644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0.80990052955190439</v>
      </c>
      <c r="J318">
        <f>(Table3[[#This Row],[HomeMargin]]-Table3[[#This Row],[HomeForecast]])^2</f>
        <v>3.6137808664646373E-2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9.5493903086468657E-2</v>
      </c>
      <c r="J319">
        <f>(Table3[[#This Row],[HomeMargin]]-Table3[[#This Row],[HomeForecast]])^2</f>
        <v>0.81813127935375052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0.33164832949091116</v>
      </c>
      <c r="J320">
        <f>(Table3[[#This Row],[HomeMargin]]-Table3[[#This Row],[HomeForecast]])^2</f>
        <v>7.120100637508644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0.44837353121016033</v>
      </c>
      <c r="J321">
        <f>(Table3[[#This Row],[HomeMargin]]-Table3[[#This Row],[HomeForecast]])^2</f>
        <v>0.30429176106954797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0.63957159222719362</v>
      </c>
      <c r="J322">
        <f>(Table3[[#This Row],[HomeMargin]]-Table3[[#This Row],[HomeForecast]])^2</f>
        <v>21.525624559401578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-0.43089917585486903</v>
      </c>
      <c r="J323">
        <f>(Table3[[#This Row],[HomeMargin]]-Table3[[#This Row],[HomeForecast]])^2</f>
        <v>2.0474724514621436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1.3083546460144411</v>
      </c>
      <c r="J324">
        <f>(Table3[[#This Row],[HomeMargin]]-Table3[[#This Row],[HomeForecast]])^2</f>
        <v>2.8616640036609269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0.7599798216272674</v>
      </c>
      <c r="J325">
        <f>(Table3[[#This Row],[HomeMargin]]-Table3[[#This Row],[HomeForecast]])^2</f>
        <v>3.0975289725351485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0.52308172901693883</v>
      </c>
      <c r="J326">
        <f>(Table3[[#This Row],[HomeMargin]]-Table3[[#This Row],[HomeForecast]])^2</f>
        <v>2.3197779532652274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1.9718383918340812</v>
      </c>
      <c r="J327">
        <f>(Table3[[#This Row],[HomeMargin]]-Table3[[#This Row],[HomeForecast]])^2</f>
        <v>1.0571162925063284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-0.5845068186678144</v>
      </c>
      <c r="J328">
        <f>(Table3[[#This Row],[HomeMargin]]-Table3[[#This Row],[HomeForecast]])^2</f>
        <v>19.496580034391023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-0.34874779290554836</v>
      </c>
      <c r="J329">
        <f>(Table3[[#This Row],[HomeMargin]]-Table3[[#This Row],[HomeForecast]])^2</f>
        <v>1.8191206088675878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-0.98369611220441966</v>
      </c>
      <c r="J330">
        <f>(Table3[[#This Row],[HomeMargin]]-Table3[[#This Row],[HomeForecast]])^2</f>
        <v>9.0980891435307321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1.064139537364569</v>
      </c>
      <c r="J331">
        <f>(Table3[[#This Row],[HomeMargin]]-Table3[[#This Row],[HomeForecast]])^2</f>
        <v>4.113880253340944E-3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-6.3146644781867212E-2</v>
      </c>
      <c r="J332">
        <f>(Table3[[#This Row],[HomeMargin]]-Table3[[#This Row],[HomeForecast]])^2</f>
        <v>1.1302807883109416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1.3781523599072885</v>
      </c>
      <c r="J333">
        <f>(Table3[[#This Row],[HomeMargin]]-Table3[[#This Row],[HomeForecast]])^2</f>
        <v>0.14299920730345142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1.0411561954722148E-2</v>
      </c>
      <c r="J334">
        <f>(Table3[[#This Row],[HomeMargin]]-Table3[[#This Row],[HomeForecast]])^2</f>
        <v>1.0209315245317816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-0.10878170977738358</v>
      </c>
      <c r="J335">
        <f>(Table3[[#This Row],[HomeMargin]]-Table3[[#This Row],[HomeForecast]])^2</f>
        <v>8.3591432017177905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-1.3112195080427616</v>
      </c>
      <c r="J336">
        <f>(Table3[[#This Row],[HomeMargin]]-Table3[[#This Row],[HomeForecast]])^2</f>
        <v>0.47441856610085542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-0.25001343163311357</v>
      </c>
      <c r="J337">
        <f>(Table3[[#This Row],[HomeMargin]]-Table3[[#This Row],[HomeForecast]])^2</f>
        <v>39.062667895594323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-6.8613089306319597E-2</v>
      </c>
      <c r="J338">
        <f>(Table3[[#This Row],[HomeMargin]]-Table3[[#This Row],[HomeForecast]])^2</f>
        <v>0.86748157741151777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-3.7238685192848738E-2</v>
      </c>
      <c r="J339">
        <f>(Table3[[#This Row],[HomeMargin]]-Table3[[#This Row],[HomeForecast]])^2</f>
        <v>24.628999867746405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-0.68901621218818176</v>
      </c>
      <c r="J340">
        <f>(Table3[[#This Row],[HomeMargin]]-Table3[[#This Row],[HomeForecast]])^2</f>
        <v>9.6710916281785991E-2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0.47304460108306517</v>
      </c>
      <c r="J341">
        <f>(Table3[[#This Row],[HomeMargin]]-Table3[[#This Row],[HomeForecast]])^2</f>
        <v>0.27768199244770597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-1.4293230319765782</v>
      </c>
      <c r="J342">
        <f>(Table3[[#This Row],[HomeMargin]]-Table3[[#This Row],[HomeForecast]])^2</f>
        <v>5.9016103936918736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-0.23044941175860678</v>
      </c>
      <c r="J343">
        <f>(Table3[[#This Row],[HomeMargin]]-Table3[[#This Row],[HomeForecast]])^2</f>
        <v>1.5140057548971018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0.47052912209657766</v>
      </c>
      <c r="J344">
        <f>(Table3[[#This Row],[HomeMargin]]-Table3[[#This Row],[HomeForecast]])^2</f>
        <v>12.044572387320443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9.1489711968317788E-2</v>
      </c>
      <c r="J345">
        <f>(Table3[[#This Row],[HomeMargin]]-Table3[[#This Row],[HomeForecast]])^2</f>
        <v>8.4594320955861395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-2.9669201933138747</v>
      </c>
      <c r="J346">
        <f>(Table3[[#This Row],[HomeMargin]]-Table3[[#This Row],[HomeForecast]])^2</f>
        <v>1.094273610391421E-3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1.2034471234295523</v>
      </c>
      <c r="J347">
        <f>(Table3[[#This Row],[HomeMargin]]-Table3[[#This Row],[HomeForecast]])^2</f>
        <v>4.8551792257499695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-0.33186908534775783</v>
      </c>
      <c r="J348">
        <f>(Table3[[#This Row],[HomeMargin]]-Table3[[#This Row],[HomeForecast]])^2</f>
        <v>11.101351601896106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0.55701376263576241</v>
      </c>
      <c r="J349">
        <f>(Table3[[#This Row],[HomeMargin]]-Table3[[#This Row],[HomeForecast]])^2</f>
        <v>2.4242918570371748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0.12994580740575773</v>
      </c>
      <c r="J350">
        <f>(Table3[[#This Row],[HomeMargin]]-Table3[[#This Row],[HomeForecast]])^2</f>
        <v>1.2767775276738498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-6.318855561407738E-2</v>
      </c>
      <c r="J351">
        <f>(Table3[[#This Row],[HomeMargin]]-Table3[[#This Row],[HomeForecast]])^2</f>
        <v>1.1303699047887483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-1.9896964969684905E-2</v>
      </c>
      <c r="J352">
        <f>(Table3[[#This Row],[HomeMargin]]-Table3[[#This Row],[HomeForecast]])^2</f>
        <v>3.920808029336265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-0.85188482414597988</v>
      </c>
      <c r="J353">
        <f>(Table3[[#This Row],[HomeMargin]]-Table3[[#This Row],[HomeForecast]])^2</f>
        <v>14.837016698486106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-1.7581991646881274</v>
      </c>
      <c r="J354">
        <f>(Table3[[#This Row],[HomeMargin]]-Table3[[#This Row],[HomeForecast]])^2</f>
        <v>0.57486597333377421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0.45834598675991978</v>
      </c>
      <c r="J355">
        <f>(Table3[[#This Row],[HomeMargin]]-Table3[[#This Row],[HomeForecast]])^2</f>
        <v>0.29338907005908499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-0.18166048301134929</v>
      </c>
      <c r="J356">
        <f>(Table3[[#This Row],[HomeMargin]]-Table3[[#This Row],[HomeForecast]])^2</f>
        <v>4.7596424631333125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0.16800427285697916</v>
      </c>
      <c r="J357">
        <f>(Table3[[#This Row],[HomeMargin]]-Table3[[#This Row],[HomeForecast]])^2</f>
        <v>10.036251072840077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-0.20821628741015025</v>
      </c>
      <c r="J358">
        <f>(Table3[[#This Row],[HomeMargin]]-Table3[[#This Row],[HomeForecast]])^2</f>
        <v>7.7940562978819656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0.24299320111078743</v>
      </c>
      <c r="J359">
        <f>(Table3[[#This Row],[HomeMargin]]-Table3[[#This Row],[HomeForecast]])^2</f>
        <v>0.57305929356449281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0.92677056472007624</v>
      </c>
      <c r="J360">
        <f>(Table3[[#This Row],[HomeMargin]]-Table3[[#This Row],[HomeForecast]])^2</f>
        <v>5.362550191416543E-3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-0.93789824382279197</v>
      </c>
      <c r="J361">
        <f>(Table3[[#This Row],[HomeMargin]]-Table3[[#This Row],[HomeForecast]])^2</f>
        <v>16.500670677537958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1.1543451363869424</v>
      </c>
      <c r="J362">
        <f>(Table3[[#This Row],[HomeMargin]]-Table3[[#This Row],[HomeForecast]])^2</f>
        <v>2.3822421126303839E-2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0.94064527917608276</v>
      </c>
      <c r="J363">
        <f>(Table3[[#This Row],[HomeMargin]]-Table3[[#This Row],[HomeForecast]])^2</f>
        <v>4.2409418661797549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-0.10878170977738358</v>
      </c>
      <c r="J364">
        <f>(Table3[[#This Row],[HomeMargin]]-Table3[[#This Row],[HomeForecast]])^2</f>
        <v>16.882087138601165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1.0855973861274597</v>
      </c>
      <c r="J365">
        <f>(Table3[[#This Row],[HomeMargin]]-Table3[[#This Row],[HomeForecast]])^2</f>
        <v>8.4937425957470953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-1.1812884171694791</v>
      </c>
      <c r="J366">
        <f>(Table3[[#This Row],[HomeMargin]]-Table3[[#This Row],[HomeForecast]])^2</f>
        <v>14.582558152843983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1.1762815258732329</v>
      </c>
      <c r="J367">
        <f>(Table3[[#This Row],[HomeMargin]]-Table3[[#This Row],[HomeForecast]])^2</f>
        <v>4.7362012798571271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0.76560987073565778</v>
      </c>
      <c r="J368">
        <f>(Table3[[#This Row],[HomeMargin]]-Table3[[#This Row],[HomeForecast]])^2</f>
        <v>7.6485979571105016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8.9389935891602712E-2</v>
      </c>
      <c r="J369">
        <f>(Table3[[#This Row],[HomeMargin]]-Table3[[#This Row],[HomeForecast]])^2</f>
        <v>1.1867704324219099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-7.1170718811672334E-2</v>
      </c>
      <c r="J370">
        <f>(Table3[[#This Row],[HomeMargin]]-Table3[[#This Row],[HomeForecast]])^2</f>
        <v>0.86272383359282545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2.1331353997323821</v>
      </c>
      <c r="J371">
        <f>(Table3[[#This Row],[HomeMargin]]-Table3[[#This Row],[HomeForecast]])^2</f>
        <v>14.952641836802844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0.55947846770091392</v>
      </c>
      <c r="J372">
        <f>(Table3[[#This Row],[HomeMargin]]-Table3[[#This Row],[HomeForecast]])^2</f>
        <v>12.669886962026446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3.3022041365371957E-2</v>
      </c>
      <c r="J373">
        <f>(Table3[[#This Row],[HomeMargin]]-Table3[[#This Row],[HomeForecast]])^2</f>
        <v>4.1331786206774241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1.4459093716354892</v>
      </c>
      <c r="J374">
        <f>(Table3[[#This Row],[HomeMargin]]-Table3[[#This Row],[HomeForecast]])^2</f>
        <v>0.19883516771235679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2.8738511929561422E-2</v>
      </c>
      <c r="J375">
        <f>(Table3[[#This Row],[HomeMargin]]-Table3[[#This Row],[HomeForecast]])^2</f>
        <v>4.1157799497861722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0.38374696309826212</v>
      </c>
      <c r="J376">
        <f>(Table3[[#This Row],[HomeMargin]]-Table3[[#This Row],[HomeForecast]])^2</f>
        <v>2.6122738792940905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-1.0129189882100473</v>
      </c>
      <c r="J377">
        <f>(Table3[[#This Row],[HomeMargin]]-Table3[[#This Row],[HomeForecast]])^2</f>
        <v>1.6690025637134198E-4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1.6261869747143876</v>
      </c>
      <c r="J378">
        <f>(Table3[[#This Row],[HomeMargin]]-Table3[[#This Row],[HomeForecast]])^2</f>
        <v>5.6349882790156318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0.23966708817580518</v>
      </c>
      <c r="J379">
        <f>(Table3[[#This Row],[HomeMargin]]-Table3[[#This Row],[HomeForecast]])^2</f>
        <v>1.5367744895062796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0.33683596946736466</v>
      </c>
      <c r="J380">
        <f>(Table3[[#This Row],[HomeMargin]]-Table3[[#This Row],[HomeForecast]])^2</f>
        <v>1.7871304092617486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0.80384980555971097</v>
      </c>
      <c r="J381">
        <f>(Table3[[#This Row],[HomeMargin]]-Table3[[#This Row],[HomeForecast]])^2</f>
        <v>3.8474898778963193E-2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0.56688736943964246</v>
      </c>
      <c r="J382">
        <f>(Table3[[#This Row],[HomeMargin]]-Table3[[#This Row],[HomeForecast]])^2</f>
        <v>0.18758655075091274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0.12016497295937348</v>
      </c>
      <c r="J383">
        <f>(Table3[[#This Row],[HomeMargin]]-Table3[[#This Row],[HomeForecast]])^2</f>
        <v>16.975759404401316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-0.42773993758203149</v>
      </c>
      <c r="J384">
        <f>(Table3[[#This Row],[HomeMargin]]-Table3[[#This Row],[HomeForecast]])^2</f>
        <v>20.905562078382367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0.78881771003450674</v>
      </c>
      <c r="J385">
        <f>(Table3[[#This Row],[HomeMargin]]-Table3[[#This Row],[HomeForecast]])^2</f>
        <v>10.31169169938803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-0.40282443386188782</v>
      </c>
      <c r="J386">
        <f>(Table3[[#This Row],[HomeMargin]]-Table3[[#This Row],[HomeForecast]])^2</f>
        <v>0.35661865679237481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1.2586217775489097</v>
      </c>
      <c r="J387">
        <f>(Table3[[#This Row],[HomeMargin]]-Table3[[#This Row],[HomeForecast]])^2</f>
        <v>5.1013723340181958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0.86646653979946475</v>
      </c>
      <c r="J388">
        <f>(Table3[[#This Row],[HomeMargin]]-Table3[[#This Row],[HomeForecast]])^2</f>
        <v>1.7831184993127931E-2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-1.3359437628557513</v>
      </c>
      <c r="J389">
        <f>(Table3[[#This Row],[HomeMargin]]-Table3[[#This Row],[HomeForecast]])^2</f>
        <v>2.7690831603786759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0.71856373690367681</v>
      </c>
      <c r="J390">
        <f>(Table3[[#This Row],[HomeMargin]]-Table3[[#This Row],[HomeForecast]])^2</f>
        <v>7.3905887916076836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-1.6371276969532926</v>
      </c>
      <c r="J391">
        <f>(Table3[[#This Row],[HomeMargin]]-Table3[[#This Row],[HomeForecast]])^2</f>
        <v>6.9544424900381783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0.18920833498814585</v>
      </c>
      <c r="J392">
        <f>(Table3[[#This Row],[HomeMargin]]-Table3[[#This Row],[HomeForecast]])^2</f>
        <v>1.4142164640052783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0.54624751165172314</v>
      </c>
      <c r="J393">
        <f>(Table3[[#This Row],[HomeMargin]]-Table3[[#This Row],[HomeForecast]])^2</f>
        <v>0.20589132068225313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-0.81320157215972144</v>
      </c>
      <c r="J394">
        <f>(Table3[[#This Row],[HomeMargin]]-Table3[[#This Row],[HomeForecast]])^2</f>
        <v>3.2876999412824857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0.39834954687635121</v>
      </c>
      <c r="J395">
        <f>(Table3[[#This Row],[HomeMargin]]-Table3[[#This Row],[HomeForecast]])^2</f>
        <v>11.548779642754702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1.1250865730958999</v>
      </c>
      <c r="J396">
        <f>(Table3[[#This Row],[HomeMargin]]-Table3[[#This Row],[HomeForecast]])^2</f>
        <v>0.76547350457707619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0.70547055350774035</v>
      </c>
      <c r="J397">
        <f>(Table3[[#This Row],[HomeMargin]]-Table3[[#This Row],[HomeForecast]])^2</f>
        <v>8.6747594851036836E-2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2.2746940356239636</v>
      </c>
      <c r="J398">
        <f>(Table3[[#This Row],[HomeMargin]]-Table3[[#This Row],[HomeForecast]])^2</f>
        <v>7.4272925994635983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0.65929490535675295</v>
      </c>
      <c r="J399">
        <f>(Table3[[#This Row],[HomeMargin]]-Table3[[#This Row],[HomeForecast]])^2</f>
        <v>0.11607996151586393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0.47088639721427333</v>
      </c>
      <c r="J400">
        <f>(Table3[[#This Row],[HomeMargin]]-Table3[[#This Row],[HomeForecast]])^2</f>
        <v>2.1635067935099852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0.43167058319408275</v>
      </c>
      <c r="J401">
        <f>(Table3[[#This Row],[HomeMargin]]-Table3[[#This Row],[HomeForecast]])^2</f>
        <v>5.9130218251714508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-1.0217747111041069</v>
      </c>
      <c r="J402">
        <f>(Table3[[#This Row],[HomeMargin]]-Table3[[#This Row],[HomeForecast]])^2</f>
        <v>3.9133752936272397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-0.75063818230738444</v>
      </c>
      <c r="J403">
        <f>(Table3[[#This Row],[HomeMargin]]-Table3[[#This Row],[HomeForecast]])^2</f>
        <v>5.0596285868934263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0.54211511867665296</v>
      </c>
      <c r="J404">
        <f>(Table3[[#This Row],[HomeMargin]]-Table3[[#This Row],[HomeForecast]])^2</f>
        <v>30.715039988664333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0.21827017788259417</v>
      </c>
      <c r="J405">
        <f>(Table3[[#This Row],[HomeMargin]]-Table3[[#This Row],[HomeForecast]])^2</f>
        <v>17.793803293613653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-0.94145433400337764</v>
      </c>
      <c r="J406">
        <f>(Table3[[#This Row],[HomeMargin]]-Table3[[#This Row],[HomeForecast]])^2</f>
        <v>3.7692449310204985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0.25679091098476942</v>
      </c>
      <c r="J407">
        <f>(Table3[[#This Row],[HomeMargin]]-Table3[[#This Row],[HomeForecast]])^2</f>
        <v>0.55235974999484883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1.541357165296336</v>
      </c>
      <c r="J408">
        <f>(Table3[[#This Row],[HomeMargin]]-Table3[[#This Row],[HomeForecast]])^2</f>
        <v>0.29306758041768449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-0.3049985281004175</v>
      </c>
      <c r="J409">
        <f>(Table3[[#This Row],[HomeMargin]]-Table3[[#This Row],[HomeForecast]])^2</f>
        <v>5.3130182145450915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0.99471930164312083</v>
      </c>
      <c r="J410">
        <f>(Table3[[#This Row],[HomeMargin]]-Table3[[#This Row],[HomeForecast]])^2</f>
        <v>16.042273472630168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-0.63173848137192712</v>
      </c>
      <c r="J411">
        <f>(Table3[[#This Row],[HomeMargin]]-Table3[[#This Row],[HomeForecast]])^2</f>
        <v>5.6086626206145462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-0.11296786303463563</v>
      </c>
      <c r="J412">
        <f>(Table3[[#This Row],[HomeMargin]]-Table3[[#This Row],[HomeForecast]])^2</f>
        <v>16.916504642355701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0.64642040403830703</v>
      </c>
      <c r="J413">
        <f>(Table3[[#This Row],[HomeMargin]]-Table3[[#This Row],[HomeForecast]])^2</f>
        <v>7.0035409549102754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-0.18807461301766351</v>
      </c>
      <c r="J414">
        <f>(Table3[[#This Row],[HomeMargin]]-Table3[[#This Row],[HomeForecast]])^2</f>
        <v>14.530775155920436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1.6930455621015916E-3</v>
      </c>
      <c r="J415">
        <f>(Table3[[#This Row],[HomeMargin]]-Table3[[#This Row],[HomeForecast]])^2</f>
        <v>8.9898445930306661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-1.5232806448638263</v>
      </c>
      <c r="J416">
        <f>(Table3[[#This Row],[HomeMargin]]-Table3[[#This Row],[HomeForecast]])^2</f>
        <v>2.1807000538337968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85" zoomScaleNormal="70" workbookViewId="0">
      <pane ySplit="1" topLeftCell="A403" activePane="bottomLeft" state="frozen"/>
      <selection activeCell="I1" sqref="I1"/>
      <selection pane="bottomLeft" activeCell="O426" sqref="O426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4.9900748923162465E-2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-0.39711829106410657</v>
      </c>
      <c r="H2" t="s">
        <v>10</v>
      </c>
      <c r="I2">
        <f>VLOOKUP(Table4[[#This Row],[Visitor]],'NHL Model'!$A$6:$B$38,2,FALSE)</f>
        <v>-0.17619625518431364</v>
      </c>
      <c r="J2">
        <f>($B$1+Table4[[#This Row],[Home Differential]])-Table4[[#This Row],[Away Differential]]</f>
        <v>-0.17102128695663044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0.46595263884762023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0.21711186164906079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-0.33828359867721369</v>
      </c>
      <c r="H3" t="s">
        <v>12</v>
      </c>
      <c r="I3">
        <f>VLOOKUP(Table4[[#This Row],[Visitor]],'NHL Model'!$A$6:$B$38,2,FALSE)</f>
        <v>1.6319036584269762</v>
      </c>
      <c r="J3">
        <f>($B$1+Table4[[#This Row],[Home Differential]])-Table4[[#This Row],[Away Differential]]</f>
        <v>-1.9202865081810274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0.7568449603440992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5.9124373310062692E-2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241</v>
      </c>
      <c r="V3">
        <f>COUNTIF(Table4[Locked Correct],"YES")</f>
        <v>245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-0.29003398448394263</v>
      </c>
      <c r="H4" t="s">
        <v>14</v>
      </c>
      <c r="I4">
        <f>VLOOKUP(Table4[[#This Row],[Visitor]],'NHL Model'!$A$6:$B$38,2,FALSE)</f>
        <v>-0.14226422156549004</v>
      </c>
      <c r="J4">
        <f>($B$1+Table4[[#This Row],[Home Differential]])-Table4[[#This Row],[Away Differential]]</f>
        <v>-9.7869013995290133E-2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0.51071438506573652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0.23940041298160036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169</v>
      </c>
      <c r="V4">
        <f>COUNTIF(Table4[Locked Correct],"NO")</f>
        <v>165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-0.81774666423752174</v>
      </c>
      <c r="H5" t="s">
        <v>16</v>
      </c>
      <c r="I5">
        <f>VLOOKUP(Table4[[#This Row],[Visitor]],'NHL Model'!$A$6:$B$38,2,FALSE)</f>
        <v>-1.0657812790446208</v>
      </c>
      <c r="J5">
        <f>($B$1+Table4[[#This Row],[Home Differential]])-Table4[[#This Row],[Away Differential]]</f>
        <v>0.29793536373026153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0.58183430278759984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0.33853115590033239</v>
      </c>
      <c r="O5">
        <v>-4.1674767740132361E-3</v>
      </c>
      <c r="P5" s="11"/>
      <c r="Q5" t="s">
        <v>16</v>
      </c>
      <c r="R5" t="s">
        <v>248</v>
      </c>
      <c r="T5">
        <f>SUM(T3:T4)</f>
        <v>410</v>
      </c>
      <c r="V5">
        <f>SUM(V3:V4)</f>
        <v>410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-0.63447859131898054</v>
      </c>
      <c r="H6" t="s">
        <v>18</v>
      </c>
      <c r="I6">
        <f>VLOOKUP(Table4[[#This Row],[Visitor]],'NHL Model'!$A$6:$B$38,2,FALSE)</f>
        <v>-0.59288962827382519</v>
      </c>
      <c r="J6">
        <f>($B$1+Table4[[#This Row],[Home Differential]])-Table4[[#This Row],[Away Differential]]</f>
        <v>8.3117858780070719E-3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0.48168268984656837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0.26865283400468865</v>
      </c>
      <c r="O6">
        <v>-4.4363714293103977E-3</v>
      </c>
      <c r="P6" s="11"/>
      <c r="Q6" t="s">
        <v>18</v>
      </c>
      <c r="R6" t="s">
        <v>249</v>
      </c>
      <c r="T6" s="13">
        <f>T3/T5</f>
        <v>0.58780487804878045</v>
      </c>
      <c r="V6" s="13">
        <f>V3/V5</f>
        <v>0.59756097560975607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-0.24444083032063643</v>
      </c>
      <c r="H7" t="s">
        <v>13</v>
      </c>
      <c r="I7">
        <f>VLOOKUP(Table4[[#This Row],[Visitor]],'NHL Model'!$A$6:$B$38,2,FALSE)</f>
        <v>-0.33828359867721369</v>
      </c>
      <c r="J7">
        <f>($B$1+Table4[[#This Row],[Home Differential]])-Table4[[#This Row],[Away Differential]]</f>
        <v>0.14374351727973972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0.49046838767162676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0.24055923930520515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0.4407072328537569</v>
      </c>
      <c r="H8" t="s">
        <v>21</v>
      </c>
      <c r="I8">
        <f>VLOOKUP(Table4[[#This Row],[Visitor]],'NHL Model'!$A$6:$B$38,2,FALSE)</f>
        <v>-0.21976976044773161</v>
      </c>
      <c r="J8">
        <f>($B$1+Table4[[#This Row],[Home Differential]])-Table4[[#This Row],[Away Differential]]</f>
        <v>0.710377742224651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0.64816447713626768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0.42011718942133125</v>
      </c>
      <c r="O8">
        <v>-4.9858230986448791E-3</v>
      </c>
      <c r="P8" s="11"/>
      <c r="Q8" t="s">
        <v>21</v>
      </c>
      <c r="R8" t="s">
        <v>248</v>
      </c>
      <c r="T8">
        <f>SUM(Table4[Error])</f>
        <v>93.893696092886202</v>
      </c>
      <c r="V8">
        <f>COUNTIF(Table4[Locked Correct],"")</f>
        <v>902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-0.21976976044773161</v>
      </c>
      <c r="H9" t="s">
        <v>10</v>
      </c>
      <c r="I9">
        <f>VLOOKUP(Table4[[#This Row],[Visitor]],'NHL Model'!$A$6:$B$38,2,FALSE)</f>
        <v>-0.17619625518431364</v>
      </c>
      <c r="J9">
        <f>($B$1+Table4[[#This Row],[Home Differential]])-Table4[[#This Row],[Away Differential]]</f>
        <v>6.3272436597444914E-3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0.58364035348487175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0.17335535524620255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-0.4761104357405897</v>
      </c>
      <c r="H10" t="s">
        <v>15</v>
      </c>
      <c r="I10">
        <f>VLOOKUP(Table4[[#This Row],[Visitor]],'NHL Model'!$A$6:$B$38,2,FALSE)</f>
        <v>-0.29003398448394263</v>
      </c>
      <c r="J10">
        <f>($B$1+Table4[[#This Row],[Home Differential]])-Table4[[#This Row],[Away Differential]]</f>
        <v>-0.13617570233348458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0.56590052305735883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0.18844235588187466</v>
      </c>
      <c r="O10">
        <v>2.893763878885032E-2</v>
      </c>
      <c r="P10" s="11"/>
      <c r="Q10" t="s">
        <v>23</v>
      </c>
      <c r="R10" t="s">
        <v>249</v>
      </c>
      <c r="T10">
        <v>0.11676475894664017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0.42567513732855267</v>
      </c>
      <c r="H11" t="s">
        <v>24</v>
      </c>
      <c r="I11">
        <f>VLOOKUP(Table4[[#This Row],[Visitor]],'NHL Model'!$A$6:$B$38,2,FALSE)</f>
        <v>1.5302507646042616E-3</v>
      </c>
      <c r="J11">
        <f>($B$1+Table4[[#This Row],[Home Differential]])-Table4[[#This Row],[Away Differential]]</f>
        <v>0.47404563548711087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0.62678039578593081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0.13929287296970647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1.6319036584269762</v>
      </c>
      <c r="H12" t="s">
        <v>55</v>
      </c>
      <c r="I12">
        <f>VLOOKUP(Table4[[#This Row],[Visitor]],'NHL Model'!$A$6:$B$38,2,FALSE)</f>
        <v>-0.4031232890211825</v>
      </c>
      <c r="J12">
        <f>($B$1+Table4[[#This Row],[Home Differential]])-Table4[[#This Row],[Away Differential]]</f>
        <v>2.084927696371321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0.88777597679518749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1.2594231384274296E-2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-0.87533956503230947</v>
      </c>
      <c r="H13" t="s">
        <v>18</v>
      </c>
      <c r="I13">
        <f>VLOOKUP(Table4[[#This Row],[Visitor]],'NHL Model'!$A$6:$B$38,2,FALSE)</f>
        <v>-0.59288962827382519</v>
      </c>
      <c r="J13">
        <f>($B$1+Table4[[#This Row],[Home Differential]])-Table4[[#This Row],[Away Differential]]</f>
        <v>-0.23254918783532186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0.54644138368872142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0.20571541843020164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-0.39711829106410657</v>
      </c>
      <c r="H14" t="s">
        <v>27</v>
      </c>
      <c r="I14">
        <f>VLOOKUP(Table4[[#This Row],[Visitor]],'NHL Model'!$A$6:$B$38,2,FALSE)</f>
        <v>-0.38023958350631604</v>
      </c>
      <c r="J14">
        <f>($B$1+Table4[[#This Row],[Home Differential]])-Table4[[#This Row],[Away Differential]]</f>
        <v>3.3022041365371957E-2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0.51548371767669787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0.23475602783639382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-1.384917283810061</v>
      </c>
      <c r="H15" t="s">
        <v>28</v>
      </c>
      <c r="I15">
        <f>VLOOKUP(Table4[[#This Row],[Visitor]],'NHL Model'!$A$6:$B$38,2,FALSE)</f>
        <v>-0.59498940435054026</v>
      </c>
      <c r="J15">
        <f>($B$1+Table4[[#This Row],[Home Differential]])-Table4[[#This Row],[Away Differential]]</f>
        <v>-0.74002713053635827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0.54998524845144892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0.30248377351420197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-0.14226422156549004</v>
      </c>
      <c r="H16" t="s">
        <v>30</v>
      </c>
      <c r="I16">
        <f>VLOOKUP(Table4[[#This Row],[Visitor]],'NHL Model'!$A$6:$B$38,2,FALSE)</f>
        <v>-0.24093199744133265</v>
      </c>
      <c r="J16">
        <f>($B$1+Table4[[#This Row],[Home Differential]])-Table4[[#This Row],[Away Differential]]</f>
        <v>0.14856852479900506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0.48472439887735758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0.26550894511230055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-0.64937723527808999</v>
      </c>
      <c r="H17" t="s">
        <v>31</v>
      </c>
      <c r="I17">
        <f>VLOOKUP(Table4[[#This Row],[Visitor]],'NHL Model'!$A$6:$B$38,2,FALSE)</f>
        <v>0.17870302183926629</v>
      </c>
      <c r="J17">
        <f>($B$1+Table4[[#This Row],[Home Differential]])-Table4[[#This Row],[Away Differential]]</f>
        <v>-0.77817950819419379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0.57163317346074072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0.3267644850007973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-0.45133099238224339</v>
      </c>
      <c r="H18" t="s">
        <v>20</v>
      </c>
      <c r="I18">
        <f>VLOOKUP(Table4[[#This Row],[Visitor]],'NHL Model'!$A$6:$B$38,2,FALSE)</f>
        <v>-0.24444083032063643</v>
      </c>
      <c r="J18">
        <f>($B$1+Table4[[#This Row],[Home Differential]])-Table4[[#This Row],[Away Differential]]</f>
        <v>-0.15698941313844447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0.46820858159353196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0.28280211269076316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-1.3944783719477225</v>
      </c>
      <c r="H19" t="s">
        <v>34</v>
      </c>
      <c r="I19">
        <f>VLOOKUP(Table4[[#This Row],[Visitor]],'NHL Model'!$A$6:$B$38,2,FALSE)</f>
        <v>-5.5124787449478845E-2</v>
      </c>
      <c r="J19">
        <f>($B$1+Table4[[#This Row],[Home Differential]])-Table4[[#This Row],[Away Differential]]</f>
        <v>-1.2894528355750812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0.65307521233305632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0.12035680829775396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0.51050494674660429</v>
      </c>
      <c r="H20" t="s">
        <v>36</v>
      </c>
      <c r="I20">
        <f>VLOOKUP(Table4[[#This Row],[Visitor]],'NHL Model'!$A$6:$B$38,2,FALSE)</f>
        <v>-0.53137605086483863</v>
      </c>
      <c r="J20">
        <f>($B$1+Table4[[#This Row],[Home Differential]])-Table4[[#This Row],[Away Differential]]</f>
        <v>1.0917817465346054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0.69972769826475267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0.48961885171888875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-0.9476777551108041</v>
      </c>
      <c r="H21" t="s">
        <v>16</v>
      </c>
      <c r="I21">
        <f>VLOOKUP(Table4[[#This Row],[Visitor]],'NHL Model'!$A$6:$B$38,2,FALSE)</f>
        <v>-1.0657812790446208</v>
      </c>
      <c r="J21">
        <f>($B$1+Table4[[#This Row],[Home Differential]])-Table4[[#This Row],[Away Differential]]</f>
        <v>0.16800427285697916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0.55961697842215075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0.19393720569403644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-0.31324182378279158</v>
      </c>
      <c r="H22" t="s">
        <v>39</v>
      </c>
      <c r="I22">
        <f>VLOOKUP(Table4[[#This Row],[Visitor]],'NHL Model'!$A$6:$B$38,2,FALSE)</f>
        <v>0.41344250185511977</v>
      </c>
      <c r="J22">
        <f>($B$1+Table4[[#This Row],[Home Differential]])-Table4[[#This Row],[Away Differential]]</f>
        <v>-0.67678357671474887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0.63834650509244772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0.13079325037884693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-0.21976976044773161</v>
      </c>
      <c r="H23" t="s">
        <v>23</v>
      </c>
      <c r="I23">
        <f>VLOOKUP(Table4[[#This Row],[Visitor]],'NHL Model'!$A$6:$B$38,2,FALSE)</f>
        <v>-0.4761104357405897</v>
      </c>
      <c r="J23">
        <f>($B$1+Table4[[#This Row],[Home Differential]])-Table4[[#This Row],[Away Differential]]</f>
        <v>0.30624142421602052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0.61865976048220439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0.14542037827548973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0.42567513732855267</v>
      </c>
      <c r="H24" t="s">
        <v>27</v>
      </c>
      <c r="I24">
        <f>VLOOKUP(Table4[[#This Row],[Visitor]],'NHL Model'!$A$6:$B$38,2,FALSE)</f>
        <v>-0.38023958350631604</v>
      </c>
      <c r="J24">
        <f>($B$1+Table4[[#This Row],[Home Differential]])-Table4[[#This Row],[Away Differential]]</f>
        <v>0.85581546975803113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0.64992908702910213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0.12254964410827796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-1.0657812790446208</v>
      </c>
      <c r="H25" t="s">
        <v>35</v>
      </c>
      <c r="I25">
        <f>VLOOKUP(Table4[[#This Row],[Visitor]],'NHL Model'!$A$6:$B$38,2,FALSE)</f>
        <v>-1.3944783719477225</v>
      </c>
      <c r="J25">
        <f>($B$1+Table4[[#This Row],[Home Differential]])-Table4[[#This Row],[Away Differential]]</f>
        <v>0.3785978418262641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0.58420688573856194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0.34129768534434918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-0.17619625518431364</v>
      </c>
      <c r="H26" t="s">
        <v>18</v>
      </c>
      <c r="I26">
        <f>VLOOKUP(Table4[[#This Row],[Visitor]],'NHL Model'!$A$6:$B$38,2,FALSE)</f>
        <v>-0.59288962827382519</v>
      </c>
      <c r="J26">
        <f>($B$1+Table4[[#This Row],[Home Differential]])-Table4[[#This Row],[Away Differential]]</f>
        <v>0.46659412201267403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0.53519391635483582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0.286432528103227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1.6319036584269762</v>
      </c>
      <c r="H27" t="s">
        <v>39</v>
      </c>
      <c r="I27">
        <f>VLOOKUP(Table4[[#This Row],[Visitor]],'NHL Model'!$A$6:$B$38,2,FALSE)</f>
        <v>0.41344250185511977</v>
      </c>
      <c r="J27">
        <f>($B$1+Table4[[#This Row],[Home Differential]])-Table4[[#This Row],[Away Differential]]</f>
        <v>1.2683619054950188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0.69431845954718507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0.48207812326797606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-0.87533956503230947</v>
      </c>
      <c r="H28" t="s">
        <v>19</v>
      </c>
      <c r="I28">
        <f>VLOOKUP(Table4[[#This Row],[Visitor]],'NHL Model'!$A$6:$B$38,2,FALSE)</f>
        <v>-0.63447859131898054</v>
      </c>
      <c r="J28">
        <f>($B$1+Table4[[#This Row],[Home Differential]])-Table4[[#This Row],[Away Differential]]</f>
        <v>-0.1909602247901665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0.48229742461602004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0.23261080579124555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-0.81774666423752174</v>
      </c>
      <c r="H29" t="s">
        <v>38</v>
      </c>
      <c r="I29">
        <f>VLOOKUP(Table4[[#This Row],[Visitor]],'NHL Model'!$A$6:$B$38,2,FALSE)</f>
        <v>-0.9476777551108041</v>
      </c>
      <c r="J29">
        <f>($B$1+Table4[[#This Row],[Home Differential]])-Table4[[#This Row],[Away Differential]]</f>
        <v>0.17983183979644479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0.564476282294328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0.18968090868416987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-0.39711829106410657</v>
      </c>
      <c r="H30" t="s">
        <v>36</v>
      </c>
      <c r="I30">
        <f>VLOOKUP(Table4[[#This Row],[Visitor]],'NHL Model'!$A$6:$B$38,2,FALSE)</f>
        <v>-0.53137605086483863</v>
      </c>
      <c r="J30">
        <f>($B$1+Table4[[#This Row],[Home Differential]])-Table4[[#This Row],[Away Differential]]</f>
        <v>0.18415850872389455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0.57551984437773329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0.18018340251710377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-5.5124787449478845E-2</v>
      </c>
      <c r="H31" t="s">
        <v>28</v>
      </c>
      <c r="I31">
        <f>VLOOKUP(Table4[[#This Row],[Visitor]],'NHL Model'!$A$6:$B$38,2,FALSE)</f>
        <v>-0.59498940435054026</v>
      </c>
      <c r="J31">
        <f>($B$1+Table4[[#This Row],[Home Differential]])-Table4[[#This Row],[Away Differential]]</f>
        <v>0.5897653658242239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0.60528765183514521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0.36637314146410399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-1.384917283810061</v>
      </c>
      <c r="H32" t="s">
        <v>55</v>
      </c>
      <c r="I32">
        <f>VLOOKUP(Table4[[#This Row],[Visitor]],'NHL Model'!$A$6:$B$38,2,FALSE)</f>
        <v>-0.4031232890211825</v>
      </c>
      <c r="J32">
        <f>($B$1+Table4[[#This Row],[Home Differential]])-Table4[[#This Row],[Away Differential]]</f>
        <v>-0.93189324586571609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0.56881229021751245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0.1859228410674667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-0.24093199744133265</v>
      </c>
      <c r="H33" t="s">
        <v>22</v>
      </c>
      <c r="I33">
        <f>VLOOKUP(Table4[[#This Row],[Visitor]],'NHL Model'!$A$6:$B$38,2,FALSE)</f>
        <v>0.4407072328537569</v>
      </c>
      <c r="J33">
        <f>($B$1+Table4[[#This Row],[Home Differential]])-Table4[[#This Row],[Away Differential]]</f>
        <v>-0.63173848137192712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0.57627735430877991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0.17954088047156724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-0.14226422156549004</v>
      </c>
      <c r="H34" t="s">
        <v>15</v>
      </c>
      <c r="I34">
        <f>VLOOKUP(Table4[[#This Row],[Visitor]],'NHL Model'!$A$6:$B$38,2,FALSE)</f>
        <v>-0.29003398448394263</v>
      </c>
      <c r="J34">
        <f>($B$1+Table4[[#This Row],[Home Differential]])-Table4[[#This Row],[Away Differential]]</f>
        <v>0.19767051184161505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0.46299948327093315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0.21436852150915112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-0.64937723527808999</v>
      </c>
      <c r="H35" t="s">
        <v>20</v>
      </c>
      <c r="I35">
        <f>VLOOKUP(Table4[[#This Row],[Visitor]],'NHL Model'!$A$6:$B$38,2,FALSE)</f>
        <v>-0.24444083032063643</v>
      </c>
      <c r="J35">
        <f>($B$1+Table4[[#This Row],[Home Differential]])-Table4[[#This Row],[Away Differential]]</f>
        <v>-0.3550356560342911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0.50145565279430626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0.25145777171936384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-0.45133099238224339</v>
      </c>
      <c r="H36" t="s">
        <v>31</v>
      </c>
      <c r="I36">
        <f>VLOOKUP(Table4[[#This Row],[Visitor]],'NHL Model'!$A$6:$B$38,2,FALSE)</f>
        <v>0.17870302183926629</v>
      </c>
      <c r="J36">
        <f>($B$1+Table4[[#This Row],[Home Differential]])-Table4[[#This Row],[Away Differential]]</f>
        <v>-0.58013326529834719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0.53832735617360639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0.2131416300576521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0.51050494674660429</v>
      </c>
      <c r="H37" t="s">
        <v>24</v>
      </c>
      <c r="I37">
        <f>VLOOKUP(Table4[[#This Row],[Visitor]],'NHL Model'!$A$6:$B$38,2,FALSE)</f>
        <v>1.5302507646042616E-3</v>
      </c>
      <c r="J37">
        <f>($B$1+Table4[[#This Row],[Home Differential]])-Table4[[#This Row],[Away Differential]]</f>
        <v>0.5588754449051625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0.61698109453658201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0.38066567101555876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-0.31324182378279158</v>
      </c>
      <c r="H38" t="s">
        <v>13</v>
      </c>
      <c r="I38">
        <f>VLOOKUP(Table4[[#This Row],[Visitor]],'NHL Model'!$A$6:$B$38,2,FALSE)</f>
        <v>-0.33828359867721369</v>
      </c>
      <c r="J38">
        <f>($B$1+Table4[[#This Row],[Home Differential]])-Table4[[#This Row],[Away Differential]]</f>
        <v>7.4942523817584594E-2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0.48494112191888922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0.2652856478901725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-0.29003398448394263</v>
      </c>
      <c r="H39" t="s">
        <v>22</v>
      </c>
      <c r="I39">
        <f>VLOOKUP(Table4[[#This Row],[Visitor]],'NHL Model'!$A$6:$B$38,2,FALSE)</f>
        <v>0.4407072328537569</v>
      </c>
      <c r="J39">
        <f>($B$1+Table4[[#This Row],[Home Differential]])-Table4[[#This Row],[Away Differential]]</f>
        <v>-0.68084046841453705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0.58201073598961128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0.17471502482794643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-0.21976976044773161</v>
      </c>
      <c r="H40" t="s">
        <v>37</v>
      </c>
      <c r="I40">
        <f>VLOOKUP(Table4[[#This Row],[Visitor]],'NHL Model'!$A$6:$B$38,2,FALSE)</f>
        <v>0.51050494674660429</v>
      </c>
      <c r="J40">
        <f>($B$1+Table4[[#This Row],[Home Differential]])-Table4[[#This Row],[Away Differential]]</f>
        <v>-0.68037395827117342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0.58853461032201404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0.16930376690285684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-0.4761104357405897</v>
      </c>
      <c r="H41" t="s">
        <v>12</v>
      </c>
      <c r="I41">
        <f>VLOOKUP(Table4[[#This Row],[Visitor]],'NHL Model'!$A$6:$B$38,2,FALSE)</f>
        <v>1.6319036584269762</v>
      </c>
      <c r="J41">
        <f>($B$1+Table4[[#This Row],[Home Differential]])-Table4[[#This Row],[Away Differential]]</f>
        <v>-2.0581133452444034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0.76276408823416275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5.6280877831368113E-2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-0.59498940435054026</v>
      </c>
      <c r="H42" t="s">
        <v>24</v>
      </c>
      <c r="I42">
        <f>VLOOKUP(Table4[[#This Row],[Visitor]],'NHL Model'!$A$6:$B$38,2,FALSE)</f>
        <v>1.5302507646042616E-3</v>
      </c>
      <c r="J42">
        <f>($B$1+Table4[[#This Row],[Home Differential]])-Table4[[#This Row],[Away Differential]]</f>
        <v>-0.54661890619198206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0.54459505558641363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0.20739366339634169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-0.17619625518431364</v>
      </c>
      <c r="H43" t="s">
        <v>55</v>
      </c>
      <c r="I43">
        <f>VLOOKUP(Table4[[#This Row],[Visitor]],'NHL Model'!$A$6:$B$38,2,FALSE)</f>
        <v>-0.4031232890211825</v>
      </c>
      <c r="J43">
        <f>($B$1+Table4[[#This Row],[Home Differential]])-Table4[[#This Row],[Away Differential]]</f>
        <v>0.27682778276003128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0.57232372932370801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0.18290699249958098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-5.5124787449478845E-2</v>
      </c>
      <c r="H44" t="s">
        <v>13</v>
      </c>
      <c r="I44">
        <f>VLOOKUP(Table4[[#This Row],[Visitor]],'NHL Model'!$A$6:$B$38,2,FALSE)</f>
        <v>-0.33828359867721369</v>
      </c>
      <c r="J44">
        <f>($B$1+Table4[[#This Row],[Home Differential]])-Table4[[#This Row],[Away Differential]]</f>
        <v>0.33305956015089733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0.51257382978220933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0.23758427141318264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-0.24093199744133265</v>
      </c>
      <c r="H45" t="s">
        <v>40</v>
      </c>
      <c r="I45">
        <f>VLOOKUP(Table4[[#This Row],[Visitor]],'NHL Model'!$A$6:$B$38,2,FALSE)</f>
        <v>-0.31324182378279158</v>
      </c>
      <c r="J45">
        <f>($B$1+Table4[[#This Row],[Home Differential]])-Table4[[#This Row],[Away Differential]]</f>
        <v>0.1222105752646214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0.53350065759227305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0.28462295165138779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-0.53137605086483863</v>
      </c>
      <c r="H46" t="s">
        <v>29</v>
      </c>
      <c r="I46">
        <f>VLOOKUP(Table4[[#This Row],[Visitor]],'NHL Model'!$A$6:$B$38,2,FALSE)</f>
        <v>-1.384917283810061</v>
      </c>
      <c r="J46">
        <f>($B$1+Table4[[#This Row],[Home Differential]])-Table4[[#This Row],[Away Differential]]</f>
        <v>0.90344198186838476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0.64798566443947669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0.41988542131907008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-0.38023958350631604</v>
      </c>
      <c r="H47" t="s">
        <v>11</v>
      </c>
      <c r="I47">
        <f>VLOOKUP(Table4[[#This Row],[Visitor]],'NHL Model'!$A$6:$B$38,2,FALSE)</f>
        <v>-0.39711829106410657</v>
      </c>
      <c r="J47">
        <f>($B$1+Table4[[#This Row],[Home Differential]])-Table4[[#This Row],[Away Differential]]</f>
        <v>6.6779456480953014E-2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0.56181410763720108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0.19200687626578242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-0.63447859131898054</v>
      </c>
      <c r="H48" t="s">
        <v>26</v>
      </c>
      <c r="I48">
        <f>VLOOKUP(Table4[[#This Row],[Visitor]],'NHL Model'!$A$6:$B$38,2,FALSE)</f>
        <v>-0.87533956503230947</v>
      </c>
      <c r="J48">
        <f>($B$1+Table4[[#This Row],[Home Differential]])-Table4[[#This Row],[Away Differential]]</f>
        <v>0.29076172263649136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0.5739507224545598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0.32941943180611116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-0.9476777551108041</v>
      </c>
      <c r="H49" t="s">
        <v>35</v>
      </c>
      <c r="I49">
        <f>VLOOKUP(Table4[[#This Row],[Visitor]],'NHL Model'!$A$6:$B$38,2,FALSE)</f>
        <v>-1.3944783719477225</v>
      </c>
      <c r="J49">
        <f>($B$1+Table4[[#This Row],[Home Differential]])-Table4[[#This Row],[Away Differential]]</f>
        <v>0.49670136576008084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0.59799721524144278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0.35760066943652047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0.17870302183926629</v>
      </c>
      <c r="H50" t="s">
        <v>14</v>
      </c>
      <c r="I50">
        <f>VLOOKUP(Table4[[#This Row],[Visitor]],'NHL Model'!$A$6:$B$38,2,FALSE)</f>
        <v>-0.14226422156549004</v>
      </c>
      <c r="J50">
        <f>($B$1+Table4[[#This Row],[Home Differential]])-Table4[[#This Row],[Away Differential]]</f>
        <v>0.37086799232791878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0.62539386396399976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0.14032975715582233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-1.0657812790446208</v>
      </c>
      <c r="H51" t="s">
        <v>20</v>
      </c>
      <c r="I51">
        <f>VLOOKUP(Table4[[#This Row],[Visitor]],'NHL Model'!$A$6:$B$38,2,FALSE)</f>
        <v>-0.24444083032063643</v>
      </c>
      <c r="J51">
        <f>($B$1+Table4[[#This Row],[Home Differential]])-Table4[[#This Row],[Away Differential]]</f>
        <v>-0.77143969980082194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0.55007697058911142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0.20243073239427131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0.41344250185511977</v>
      </c>
      <c r="H52" t="s">
        <v>34</v>
      </c>
      <c r="I52">
        <f>VLOOKUP(Table4[[#This Row],[Visitor]],'NHL Model'!$A$6:$B$38,2,FALSE)</f>
        <v>-5.5124787449478845E-2</v>
      </c>
      <c r="J52">
        <f>($B$1+Table4[[#This Row],[Home Differential]])-Table4[[#This Row],[Away Differential]]</f>
        <v>0.51846803822776111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0.5906592774329128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0.16755982715174506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-0.59288962827382519</v>
      </c>
      <c r="H53" t="s">
        <v>32</v>
      </c>
      <c r="I53">
        <f>VLOOKUP(Table4[[#This Row],[Visitor]],'NHL Model'!$A$6:$B$38,2,FALSE)</f>
        <v>-0.64937723527808999</v>
      </c>
      <c r="J53">
        <f>($B$1+Table4[[#This Row],[Home Differential]])-Table4[[#This Row],[Away Differential]]</f>
        <v>0.10638835592742724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0.55242241073459541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0.2003256984126312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-0.29003398448394263</v>
      </c>
      <c r="H54" t="s">
        <v>17</v>
      </c>
      <c r="I54">
        <f>VLOOKUP(Table4[[#This Row],[Visitor]],'NHL Model'!$A$6:$B$38,2,FALSE)</f>
        <v>-0.81774666423752174</v>
      </c>
      <c r="J54">
        <f>($B$1+Table4[[#This Row],[Home Differential]])-Table4[[#This Row],[Away Differential]]</f>
        <v>0.57761342867674159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0.60744489276378211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0.36898929774480277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-0.45133099238224339</v>
      </c>
      <c r="H55" t="s">
        <v>25</v>
      </c>
      <c r="I55">
        <f>VLOOKUP(Table4[[#This Row],[Visitor]],'NHL Model'!$A$6:$B$38,2,FALSE)</f>
        <v>0.42567513732855267</v>
      </c>
      <c r="J55">
        <f>($B$1+Table4[[#This Row],[Home Differential]])-Table4[[#This Row],[Away Differential]]</f>
        <v>-0.82710538078763363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0.61902574000297383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0.14514138678028168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-0.63447859131898054</v>
      </c>
      <c r="H56" t="s">
        <v>29</v>
      </c>
      <c r="I56">
        <f>VLOOKUP(Table4[[#This Row],[Visitor]],'NHL Model'!$A$6:$B$38,2,FALSE)</f>
        <v>-1.384917283810061</v>
      </c>
      <c r="J56">
        <f>($B$1+Table4[[#This Row],[Home Differential]])-Table4[[#This Row],[Away Differential]]</f>
        <v>0.80033944141424285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0.63345144195222269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0.13435784540690476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0.4407072328537569</v>
      </c>
      <c r="H57" t="s">
        <v>37</v>
      </c>
      <c r="I57">
        <f>VLOOKUP(Table4[[#This Row],[Visitor]],'NHL Model'!$A$6:$B$38,2,FALSE)</f>
        <v>0.51050494674660429</v>
      </c>
      <c r="J57">
        <f>($B$1+Table4[[#This Row],[Home Differential]])-Table4[[#This Row],[Away Differential]]</f>
        <v>-1.9896964969684905E-2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0.52863905379213916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0.27945924919424819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-0.4761104357405897</v>
      </c>
      <c r="H58" t="s">
        <v>36</v>
      </c>
      <c r="I58">
        <f>VLOOKUP(Table4[[#This Row],[Visitor]],'NHL Model'!$A$6:$B$38,2,FALSE)</f>
        <v>-0.53137605086483863</v>
      </c>
      <c r="J58">
        <f>($B$1+Table4[[#This Row],[Home Differential]])-Table4[[#This Row],[Away Differential]]</f>
        <v>0.10516636404741142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0.56240197453604368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0.19149203188995337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-0.87533956503230947</v>
      </c>
      <c r="H59" t="s">
        <v>11</v>
      </c>
      <c r="I59">
        <f>VLOOKUP(Table4[[#This Row],[Visitor]],'NHL Model'!$A$6:$B$38,2,FALSE)</f>
        <v>-0.39711829106410657</v>
      </c>
      <c r="J59">
        <f>($B$1+Table4[[#This Row],[Home Differential]])-Table4[[#This Row],[Away Differential]]</f>
        <v>-0.42832052504504048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0.51001274285878251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0.26011299787833858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-1.3944783719477225</v>
      </c>
      <c r="H60" t="s">
        <v>10</v>
      </c>
      <c r="I60">
        <f>VLOOKUP(Table4[[#This Row],[Visitor]],'NHL Model'!$A$6:$B$38,2,FALSE)</f>
        <v>-0.17619625518431364</v>
      </c>
      <c r="J60">
        <f>($B$1+Table4[[#This Row],[Home Differential]])-Table4[[#This Row],[Away Differential]]</f>
        <v>-1.1683813678402464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0.59642576877361209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0.16287216010997002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-0.4031232890211825</v>
      </c>
      <c r="H61" t="s">
        <v>16</v>
      </c>
      <c r="I61">
        <f>VLOOKUP(Table4[[#This Row],[Visitor]],'NHL Model'!$A$6:$B$38,2,FALSE)</f>
        <v>-1.0657812790446208</v>
      </c>
      <c r="J61">
        <f>($B$1+Table4[[#This Row],[Home Differential]])-Table4[[#This Row],[Away Differential]]</f>
        <v>0.71255873894660082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0.66363292683452446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0.11314280790990837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0.17870302183926629</v>
      </c>
      <c r="H62" t="s">
        <v>25</v>
      </c>
      <c r="I62">
        <f>VLOOKUP(Table4[[#This Row],[Visitor]],'NHL Model'!$A$6:$B$38,2,FALSE)</f>
        <v>0.42567513732855267</v>
      </c>
      <c r="J62">
        <f>($B$1+Table4[[#This Row],[Home Differential]])-Table4[[#This Row],[Away Differential]]</f>
        <v>-0.19707136656612392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0.47371521596449112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0.27697567390730227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-0.59498940435054026</v>
      </c>
      <c r="H63" t="s">
        <v>12</v>
      </c>
      <c r="I63">
        <f>VLOOKUP(Table4[[#This Row],[Visitor]],'NHL Model'!$A$6:$B$38,2,FALSE)</f>
        <v>1.6319036584269762</v>
      </c>
      <c r="J63">
        <f>($B$1+Table4[[#This Row],[Home Differential]])-Table4[[#This Row],[Away Differential]]</f>
        <v>-2.1769923138543539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0.78681915186374829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4.5446074012091615E-2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0.41344250185511977</v>
      </c>
      <c r="H64" t="s">
        <v>38</v>
      </c>
      <c r="I64">
        <f>VLOOKUP(Table4[[#This Row],[Visitor]],'NHL Model'!$A$6:$B$38,2,FALSE)</f>
        <v>-0.9476777551108041</v>
      </c>
      <c r="J64">
        <f>($B$1+Table4[[#This Row],[Home Differential]])-Table4[[#This Row],[Away Differential]]</f>
        <v>1.4110210058890864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0.73347790676820435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0.53798983971706671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-0.33828359867721369</v>
      </c>
      <c r="H65" t="s">
        <v>14</v>
      </c>
      <c r="I65">
        <f>VLOOKUP(Table4[[#This Row],[Visitor]],'NHL Model'!$A$6:$B$38,2,FALSE)</f>
        <v>-0.14226422156549004</v>
      </c>
      <c r="J65">
        <f>($B$1+Table4[[#This Row],[Home Differential]])-Table4[[#This Row],[Away Differential]]</f>
        <v>-0.14611862818856117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0.51634823963628218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0.23391902530292313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-0.59288962827382519</v>
      </c>
      <c r="H66" t="s">
        <v>29</v>
      </c>
      <c r="I66">
        <f>VLOOKUP(Table4[[#This Row],[Visitor]],'NHL Model'!$A$6:$B$38,2,FALSE)</f>
        <v>-1.384917283810061</v>
      </c>
      <c r="J66">
        <f>($B$1+Table4[[#This Row],[Home Differential]])-Table4[[#This Row],[Away Differential]]</f>
        <v>0.84192840445939821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0.63830756719703108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0.1308214159469302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1.5302507646042616E-3</v>
      </c>
      <c r="H67" t="s">
        <v>11</v>
      </c>
      <c r="I67">
        <f>VLOOKUP(Table4[[#This Row],[Visitor]],'NHL Model'!$A$6:$B$38,2,FALSE)</f>
        <v>-0.39711829106410657</v>
      </c>
      <c r="J67">
        <f>($B$1+Table4[[#This Row],[Home Differential]])-Table4[[#This Row],[Away Differential]]</f>
        <v>0.44854929075187328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0.67220946055413056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0.1074466377502141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-0.24093199744133265</v>
      </c>
      <c r="H68" t="s">
        <v>17</v>
      </c>
      <c r="I68">
        <f>VLOOKUP(Table4[[#This Row],[Visitor]],'NHL Model'!$A$6:$B$38,2,FALSE)</f>
        <v>-0.81774666423752174</v>
      </c>
      <c r="J68">
        <f>($B$1+Table4[[#This Row],[Home Differential]])-Table4[[#This Row],[Away Differential]]</f>
        <v>0.62671541571935152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0.61317827444461348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0.14963104736164676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-0.53137605086483863</v>
      </c>
      <c r="H69" t="s">
        <v>32</v>
      </c>
      <c r="I69">
        <f>VLOOKUP(Table4[[#This Row],[Visitor]],'NHL Model'!$A$6:$B$38,2,FALSE)</f>
        <v>-0.64937723527808999</v>
      </c>
      <c r="J69">
        <f>($B$1+Table4[[#This Row],[Home Differential]])-Table4[[#This Row],[Away Differential]]</f>
        <v>0.16790193333641384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0.56210050797704114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0.19175596511396542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-0.38023958350631604</v>
      </c>
      <c r="H70" t="s">
        <v>40</v>
      </c>
      <c r="I70">
        <f>VLOOKUP(Table4[[#This Row],[Visitor]],'NHL Model'!$A$6:$B$38,2,FALSE)</f>
        <v>-0.31324182378279158</v>
      </c>
      <c r="J70">
        <f>($B$1+Table4[[#This Row],[Home Differential]])-Table4[[#This Row],[Away Differential]]</f>
        <v>-1.7097010800361967E-2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0.46866299501147907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0.28231901287017147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-0.63447859131898054</v>
      </c>
      <c r="H71" t="s">
        <v>15</v>
      </c>
      <c r="I71">
        <f>VLOOKUP(Table4[[#This Row],[Visitor]],'NHL Model'!$A$6:$B$38,2,FALSE)</f>
        <v>-0.29003398448394263</v>
      </c>
      <c r="J71">
        <f>($B$1+Table4[[#This Row],[Home Differential]])-Table4[[#This Row],[Away Differential]]</f>
        <v>-0.29454385791187548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0.59447380896340563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0.35339910954345971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-0.24444083032063643</v>
      </c>
      <c r="H72" t="s">
        <v>21</v>
      </c>
      <c r="I72">
        <f>VLOOKUP(Table4[[#This Row],[Visitor]],'NHL Model'!$A$6:$B$38,2,FALSE)</f>
        <v>-0.21976976044773161</v>
      </c>
      <c r="J72">
        <f>($B$1+Table4[[#This Row],[Home Differential]])-Table4[[#This Row],[Away Differential]]</f>
        <v>2.5229679050257636E-2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0.5421164443050468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0.2096573505758533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-0.17619625518431364</v>
      </c>
      <c r="H73" t="s">
        <v>38</v>
      </c>
      <c r="I73">
        <f>VLOOKUP(Table4[[#This Row],[Visitor]],'NHL Model'!$A$6:$B$38,2,FALSE)</f>
        <v>-0.9476777551108041</v>
      </c>
      <c r="J73">
        <f>($B$1+Table4[[#This Row],[Home Differential]])-Table4[[#This Row],[Away Differential]]</f>
        <v>0.82138224884965294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0.63233234134958161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0.39984418991664378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-0.87533956503230947</v>
      </c>
      <c r="H74" t="s">
        <v>37</v>
      </c>
      <c r="I74">
        <f>VLOOKUP(Table4[[#This Row],[Visitor]],'NHL Model'!$A$6:$B$38,2,FALSE)</f>
        <v>0.51050494674660429</v>
      </c>
      <c r="J74">
        <f>($B$1+Table4[[#This Row],[Home Differential]])-Table4[[#This Row],[Away Differential]]</f>
        <v>-1.3359437628557513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0.70847733928142309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0.50194014027528466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-0.4031232890211825</v>
      </c>
      <c r="H75" t="s">
        <v>33</v>
      </c>
      <c r="I75">
        <f>VLOOKUP(Table4[[#This Row],[Visitor]],'NHL Model'!$A$6:$B$38,2,FALSE)</f>
        <v>-0.45133099238224339</v>
      </c>
      <c r="J75">
        <f>($B$1+Table4[[#This Row],[Home Differential]])-Table4[[#This Row],[Away Differential]]</f>
        <v>9.810845228422338E-2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0.59188678722769805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0.16655639443933021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0.4407072328537569</v>
      </c>
      <c r="H76" t="s">
        <v>34</v>
      </c>
      <c r="I76">
        <f>VLOOKUP(Table4[[#This Row],[Visitor]],'NHL Model'!$A$6:$B$38,2,FALSE)</f>
        <v>-5.5124787449478845E-2</v>
      </c>
      <c r="J76">
        <f>($B$1+Table4[[#This Row],[Home Differential]])-Table4[[#This Row],[Away Differential]]</f>
        <v>0.54573276922639824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0.58753187905752657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0.17012995079381488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-0.4761104357405897</v>
      </c>
      <c r="H77" t="s">
        <v>11</v>
      </c>
      <c r="I77">
        <f>VLOOKUP(Table4[[#This Row],[Visitor]],'NHL Model'!$A$6:$B$38,2,FALSE)</f>
        <v>-0.39711829106410657</v>
      </c>
      <c r="J77">
        <f>($B$1+Table4[[#This Row],[Home Differential]])-Table4[[#This Row],[Away Differential]]</f>
        <v>-2.9091395753320648E-2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0.45327460042380474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0.20545786338935984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-0.59498940435054026</v>
      </c>
      <c r="H78" t="s">
        <v>37</v>
      </c>
      <c r="I78">
        <f>VLOOKUP(Table4[[#This Row],[Visitor]],'NHL Model'!$A$6:$B$38,2,FALSE)</f>
        <v>0.51050494674660429</v>
      </c>
      <c r="J78">
        <f>($B$1+Table4[[#This Row],[Home Differential]])-Table4[[#This Row],[Away Differential]]</f>
        <v>-1.0555936021739822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0.67574232034876447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0.45662768351033223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1.6319036584269762</v>
      </c>
      <c r="H79" t="s">
        <v>21</v>
      </c>
      <c r="I79">
        <f>VLOOKUP(Table4[[#This Row],[Visitor]],'NHL Model'!$A$6:$B$38,2,FALSE)</f>
        <v>-0.21976976044773161</v>
      </c>
      <c r="J79">
        <f>($B$1+Table4[[#This Row],[Home Differential]])-Table4[[#This Row],[Away Differential]]</f>
        <v>1.9015741677978701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0.86560120575771982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1.8063035893778764E-2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-0.33828359867721369</v>
      </c>
      <c r="H80" t="s">
        <v>25</v>
      </c>
      <c r="I80">
        <f>VLOOKUP(Table4[[#This Row],[Visitor]],'NHL Model'!$A$6:$B$38,2,FALSE)</f>
        <v>0.42567513732855267</v>
      </c>
      <c r="J80">
        <f>($B$1+Table4[[#This Row],[Home Differential]])-Table4[[#This Row],[Away Differential]]</f>
        <v>-0.71405798708260382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0.6159999778434796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0.14745601701620817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-0.59288962827382519</v>
      </c>
      <c r="H81" t="s">
        <v>15</v>
      </c>
      <c r="I81">
        <f>VLOOKUP(Table4[[#This Row],[Visitor]],'NHL Model'!$A$6:$B$38,2,FALSE)</f>
        <v>-0.29003398448394263</v>
      </c>
      <c r="J81">
        <f>($B$1+Table4[[#This Row],[Home Differential]])-Table4[[#This Row],[Away Differential]]</f>
        <v>-0.25295489486672013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0.58961768371859735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0.16841364551648919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1.5302507646042616E-3</v>
      </c>
      <c r="H82" t="s">
        <v>17</v>
      </c>
      <c r="I82">
        <f>VLOOKUP(Table4[[#This Row],[Visitor]],'NHL Model'!$A$6:$B$38,2,FALSE)</f>
        <v>-0.81774666423752174</v>
      </c>
      <c r="J82">
        <f>($B$1+Table4[[#This Row],[Home Differential]])-Table4[[#This Row],[Away Differential]]</f>
        <v>0.8691776639252885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0.7213240311538418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7.7660295612344929E-2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-0.53137605086483863</v>
      </c>
      <c r="H83" t="s">
        <v>30</v>
      </c>
      <c r="I83">
        <f>VLOOKUP(Table4[[#This Row],[Visitor]],'NHL Model'!$A$6:$B$38,2,FALSE)</f>
        <v>-0.24093199744133265</v>
      </c>
      <c r="J83">
        <f>($B$1+Table4[[#This Row],[Home Differential]])-Table4[[#This Row],[Away Differential]]</f>
        <v>-0.2405433045003435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0.55820746289392176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0.19518064584262551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-0.38023958350631604</v>
      </c>
      <c r="H84" t="s">
        <v>34</v>
      </c>
      <c r="I84">
        <f>VLOOKUP(Table4[[#This Row],[Visitor]],'NHL Model'!$A$6:$B$38,2,FALSE)</f>
        <v>-5.5124787449478845E-2</v>
      </c>
      <c r="J84">
        <f>($B$1+Table4[[#This Row],[Home Differential]])-Table4[[#This Row],[Away Differential]]</f>
        <v>-0.2752140471336747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0.52050739489554854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0.2709279481409505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-0.45133099238224339</v>
      </c>
      <c r="H85" t="s">
        <v>14</v>
      </c>
      <c r="I85">
        <f>VLOOKUP(Table4[[#This Row],[Visitor]],'NHL Model'!$A$6:$B$38,2,FALSE)</f>
        <v>-0.14226422156549004</v>
      </c>
      <c r="J85">
        <f>($B$1+Table4[[#This Row],[Home Differential]])-Table4[[#This Row],[Away Differential]]</f>
        <v>-0.25916602189359084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0.51934442750587928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0.23102977936965094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-1.3944783719477225</v>
      </c>
      <c r="H86" t="s">
        <v>39</v>
      </c>
      <c r="I86">
        <f>VLOOKUP(Table4[[#This Row],[Visitor]],'NHL Model'!$A$6:$B$38,2,FALSE)</f>
        <v>0.41344250185511977</v>
      </c>
      <c r="J86">
        <f>($B$1+Table4[[#This Row],[Home Differential]])-Table4[[#This Row],[Away Differential]]</f>
        <v>-1.7580201248796798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0.76707254891390675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0.58840029529727789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-0.63447859131898054</v>
      </c>
      <c r="H87" t="s">
        <v>32</v>
      </c>
      <c r="I87">
        <f>VLOOKUP(Table4[[#This Row],[Visitor]],'NHL Model'!$A$6:$B$38,2,FALSE)</f>
        <v>-0.64937723527808999</v>
      </c>
      <c r="J87">
        <f>($B$1+Table4[[#This Row],[Home Differential]])-Table4[[#This Row],[Away Differential]]</f>
        <v>6.4799392882271878E-2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0.54756628548978714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0.29982883700508306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-0.24444083032063643</v>
      </c>
      <c r="H88" t="s">
        <v>16</v>
      </c>
      <c r="I88">
        <f>VLOOKUP(Table4[[#This Row],[Visitor]],'NHL Model'!$A$6:$B$38,2,FALSE)</f>
        <v>-1.0657812790446208</v>
      </c>
      <c r="J88">
        <f>($B$1+Table4[[#This Row],[Home Differential]])-Table4[[#This Row],[Away Differential]]</f>
        <v>0.8712411976471468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0.64173026842765124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0.12835720056092284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-0.31324182378279158</v>
      </c>
      <c r="H89" t="s">
        <v>29</v>
      </c>
      <c r="I89">
        <f>VLOOKUP(Table4[[#This Row],[Visitor]],'NHL Model'!$A$6:$B$38,2,FALSE)</f>
        <v>-1.384917283810061</v>
      </c>
      <c r="J89">
        <f>($B$1+Table4[[#This Row],[Home Differential]])-Table4[[#This Row],[Away Differential]]</f>
        <v>1.1215762089504318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0.67345605488272364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0.10663094809275479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-0.17619625518431364</v>
      </c>
      <c r="H90" t="s">
        <v>31</v>
      </c>
      <c r="I90">
        <f>VLOOKUP(Table4[[#This Row],[Visitor]],'NHL Model'!$A$6:$B$38,2,FALSE)</f>
        <v>0.17870302183926629</v>
      </c>
      <c r="J90">
        <f>($B$1+Table4[[#This Row],[Home Differential]])-Table4[[#This Row],[Away Differential]]</f>
        <v>-0.3049985281004175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0.51638231038195603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0.26665069047540679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-0.87533956503230947</v>
      </c>
      <c r="H91" t="s">
        <v>17</v>
      </c>
      <c r="I91">
        <f>VLOOKUP(Table4[[#This Row],[Visitor]],'NHL Model'!$A$6:$B$38,2,FALSE)</f>
        <v>-0.81774666423752174</v>
      </c>
      <c r="J91">
        <f>($B$1+Table4[[#This Row],[Home Differential]])-Table4[[#This Row],[Away Differential]]</f>
        <v>-7.6921518716253079E-3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0.46089817225907131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0.21242712519175258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-0.4031232890211825</v>
      </c>
      <c r="H92" t="s">
        <v>21</v>
      </c>
      <c r="I92">
        <f>VLOOKUP(Table4[[#This Row],[Visitor]],'NHL Model'!$A$6:$B$38,2,FALSE)</f>
        <v>-0.21976976044773161</v>
      </c>
      <c r="J92">
        <f>($B$1+Table4[[#This Row],[Home Differential]])-Table4[[#This Row],[Away Differential]]</f>
        <v>-0.1334527796502884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0.43596474725172057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0.19006526084625661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0.4407072328537569</v>
      </c>
      <c r="H93" t="s">
        <v>38</v>
      </c>
      <c r="I93">
        <f>VLOOKUP(Table4[[#This Row],[Visitor]],'NHL Model'!$A$6:$B$38,2,FALSE)</f>
        <v>-0.9476777551108041</v>
      </c>
      <c r="J93">
        <f>($B$1+Table4[[#This Row],[Home Differential]])-Table4[[#This Row],[Away Differential]]</f>
        <v>1.4382857368877235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0.73044108736408575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0.53354418210962795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-1.0657812790446208</v>
      </c>
      <c r="H94" t="s">
        <v>40</v>
      </c>
      <c r="I94">
        <f>VLOOKUP(Table4[[#This Row],[Visitor]],'NHL Model'!$A$6:$B$38,2,FALSE)</f>
        <v>-0.31324182378279158</v>
      </c>
      <c r="J94">
        <f>($B$1+Table4[[#This Row],[Home Differential]])-Table4[[#This Row],[Away Differential]]</f>
        <v>-0.70263870633866676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0.56281266994144419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0.19113276156372863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-0.59288962827382519</v>
      </c>
      <c r="H95" t="s">
        <v>23</v>
      </c>
      <c r="I95">
        <f>VLOOKUP(Table4[[#This Row],[Visitor]],'NHL Model'!$A$6:$B$38,2,FALSE)</f>
        <v>-0.4761104357405897</v>
      </c>
      <c r="J95">
        <f>($B$1+Table4[[#This Row],[Home Differential]])-Table4[[#This Row],[Away Differential]]</f>
        <v>-6.6878443610073057E-2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0.46780904534685669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0.21884530290833742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-0.29003398448394263</v>
      </c>
      <c r="H96" t="s">
        <v>34</v>
      </c>
      <c r="I96">
        <f>VLOOKUP(Table4[[#This Row],[Visitor]],'NHL Model'!$A$6:$B$38,2,FALSE)</f>
        <v>-5.5124787449478845E-2</v>
      </c>
      <c r="J96">
        <f>($B$1+Table4[[#This Row],[Home Differential]])-Table4[[#This Row],[Away Differential]]</f>
        <v>-0.18500844811130132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0.52411502966087842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0.22646650499466664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-0.38023958350631604</v>
      </c>
      <c r="H97" t="s">
        <v>32</v>
      </c>
      <c r="I97">
        <f>VLOOKUP(Table4[[#This Row],[Visitor]],'NHL Model'!$A$6:$B$38,2,FALSE)</f>
        <v>-0.64937723527808999</v>
      </c>
      <c r="J97">
        <f>($B$1+Table4[[#This Row],[Home Differential]])-Table4[[#This Row],[Away Differential]]</f>
        <v>0.31903840069493644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0.59126906245048083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0.16706097931010894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-0.24444083032063643</v>
      </c>
      <c r="H98" t="s">
        <v>25</v>
      </c>
      <c r="I98">
        <f>VLOOKUP(Table4[[#This Row],[Visitor]],'NHL Model'!$A$6:$B$38,2,FALSE)</f>
        <v>0.42567513732855267</v>
      </c>
      <c r="J98">
        <f>($B$1+Table4[[#This Row],[Home Differential]])-Table4[[#This Row],[Away Differential]]</f>
        <v>-0.62021521872602658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0.60504244961743847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0.36607636583907055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-0.21976976044773161</v>
      </c>
      <c r="H99" t="s">
        <v>11</v>
      </c>
      <c r="I99">
        <f>VLOOKUP(Table4[[#This Row],[Visitor]],'NHL Model'!$A$6:$B$38,2,FALSE)</f>
        <v>-0.39711829106410657</v>
      </c>
      <c r="J99">
        <f>($B$1+Table4[[#This Row],[Home Differential]])-Table4[[#This Row],[Away Differential]]</f>
        <v>0.22724927953953741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0.6094362617503768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0.3714125571362738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0.41344250185511977</v>
      </c>
      <c r="H100" t="s">
        <v>28</v>
      </c>
      <c r="I100">
        <f>VLOOKUP(Table4[[#This Row],[Visitor]],'NHL Model'!$A$6:$B$38,2,FALSE)</f>
        <v>-0.59498940435054026</v>
      </c>
      <c r="J100">
        <f>($B$1+Table4[[#This Row],[Home Differential]])-Table4[[#This Row],[Away Differential]]</f>
        <v>1.0583326551288226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0.69229633650839406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0.47927421754294358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-1.384917283810061</v>
      </c>
      <c r="H101" t="s">
        <v>31</v>
      </c>
      <c r="I101">
        <f>VLOOKUP(Table4[[#This Row],[Visitor]],'NHL Model'!$A$6:$B$38,2,FALSE)</f>
        <v>0.17870302183926629</v>
      </c>
      <c r="J101">
        <f>($B$1+Table4[[#This Row],[Home Differential]])-Table4[[#This Row],[Away Differential]]</f>
        <v>-1.5137195567261648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0.65751832992317638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0.11729369433861027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-0.24093199744133265</v>
      </c>
      <c r="H102" t="s">
        <v>33</v>
      </c>
      <c r="I102">
        <f>VLOOKUP(Table4[[#This Row],[Visitor]],'NHL Model'!$A$6:$B$38,2,FALSE)</f>
        <v>-0.45133099238224339</v>
      </c>
      <c r="J102">
        <f>($B$1+Table4[[#This Row],[Home Differential]])-Table4[[#This Row],[Away Differential]]</f>
        <v>0.26029974386407317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0.57039383684616074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0.18456145541976315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-0.53137605086483863</v>
      </c>
      <c r="H103" t="s">
        <v>17</v>
      </c>
      <c r="I103">
        <f>VLOOKUP(Table4[[#This Row],[Visitor]],'NHL Model'!$A$6:$B$38,2,FALSE)</f>
        <v>-0.81774666423752174</v>
      </c>
      <c r="J103">
        <f>($B$1+Table4[[#This Row],[Home Differential]])-Table4[[#This Row],[Away Differential]]</f>
        <v>0.33627136229584559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0.58176012376347264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0.33844484160129101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-0.14226422156549004</v>
      </c>
      <c r="H104" t="s">
        <v>38</v>
      </c>
      <c r="I104">
        <f>VLOOKUP(Table4[[#This Row],[Visitor]],'NHL Model'!$A$6:$B$38,2,FALSE)</f>
        <v>-0.9476777551108041</v>
      </c>
      <c r="J104">
        <f>($B$1+Table4[[#This Row],[Home Differential]])-Table4[[#This Row],[Away Differential]]</f>
        <v>0.85531428246847652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0.63629440707565277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0.13228175832445097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-1.3944783719477225</v>
      </c>
      <c r="H105" t="s">
        <v>13</v>
      </c>
      <c r="I105">
        <f>VLOOKUP(Table4[[#This Row],[Visitor]],'NHL Model'!$A$6:$B$38,2,FALSE)</f>
        <v>-0.33828359867721369</v>
      </c>
      <c r="J105">
        <f>($B$1+Table4[[#This Row],[Home Differential]])-Table4[[#This Row],[Away Differential]]</f>
        <v>-1.0062940243473464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0.64381546865604655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0.12686742036871176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-0.63447859131898054</v>
      </c>
      <c r="H106" t="s">
        <v>24</v>
      </c>
      <c r="I106">
        <f>VLOOKUP(Table4[[#This Row],[Visitor]],'NHL Model'!$A$6:$B$38,2,FALSE)</f>
        <v>1.5302507646042616E-3</v>
      </c>
      <c r="J106">
        <f>($B$1+Table4[[#This Row],[Home Differential]])-Table4[[#This Row],[Away Differential]]</f>
        <v>-0.58610809316042234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0.54920600098378236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0.20321522954903362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-0.4031232890211825</v>
      </c>
      <c r="H107" t="s">
        <v>12</v>
      </c>
      <c r="I107">
        <f>VLOOKUP(Table4[[#This Row],[Visitor]],'NHL Model'!$A$6:$B$38,2,FALSE)</f>
        <v>1.6319036584269762</v>
      </c>
      <c r="J107">
        <f>($B$1+Table4[[#This Row],[Home Differential]])-Table4[[#This Row],[Away Differential]]</f>
        <v>-1.9851261985249962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0.72341289378127493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0.52332621488899822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0.4407072328537569</v>
      </c>
      <c r="H108" t="s">
        <v>32</v>
      </c>
      <c r="I108">
        <f>VLOOKUP(Table4[[#This Row],[Visitor]],'NHL Model'!$A$6:$B$38,2,FALSE)</f>
        <v>-0.64937723527808999</v>
      </c>
      <c r="J108">
        <f>($B$1+Table4[[#This Row],[Home Differential]])-Table4[[#This Row],[Away Differential]]</f>
        <v>1.1399852170550093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0.69914783492121801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9.0512025232590693E-2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-0.4761104357405897</v>
      </c>
      <c r="H109" t="s">
        <v>26</v>
      </c>
      <c r="I109">
        <f>VLOOKUP(Table4[[#This Row],[Visitor]],'NHL Model'!$A$6:$B$38,2,FALSE)</f>
        <v>-0.87533956503230947</v>
      </c>
      <c r="J109">
        <f>($B$1+Table4[[#This Row],[Home Differential]])-Table4[[#This Row],[Away Differential]]</f>
        <v>0.44912987821488226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0.60256479135424768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0.15795474507129267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-1.0657812790446208</v>
      </c>
      <c r="H110" t="s">
        <v>18</v>
      </c>
      <c r="I110">
        <f>VLOOKUP(Table4[[#This Row],[Visitor]],'NHL Model'!$A$6:$B$38,2,FALSE)</f>
        <v>-0.59288962827382519</v>
      </c>
      <c r="J110">
        <f>($B$1+Table4[[#This Row],[Home Differential]])-Table4[[#This Row],[Away Differential]]</f>
        <v>-0.42299090184763322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0.56867826451875392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0.186038439498554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1.5302507646042616E-3</v>
      </c>
      <c r="H111" t="s">
        <v>34</v>
      </c>
      <c r="I111">
        <f>VLOOKUP(Table4[[#This Row],[Visitor]],'NHL Model'!$A$6:$B$38,2,FALSE)</f>
        <v>-5.5124787449478845E-2</v>
      </c>
      <c r="J111">
        <f>($B$1+Table4[[#This Row],[Home Differential]])-Table4[[#This Row],[Away Differential]]</f>
        <v>0.10655578713724556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0.59138932922050258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0.16696268027487082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-0.21976976044773161</v>
      </c>
      <c r="H112" t="s">
        <v>31</v>
      </c>
      <c r="I112">
        <f>VLOOKUP(Table4[[#This Row],[Visitor]],'NHL Model'!$A$6:$B$38,2,FALSE)</f>
        <v>0.17870302183926629</v>
      </c>
      <c r="J112">
        <f>($B$1+Table4[[#This Row],[Home Differential]])-Table4[[#This Row],[Away Differential]]</f>
        <v>-0.34857203336383547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0.47820092945126846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0.27227427002552013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1.6319036584269762</v>
      </c>
      <c r="H113" t="s">
        <v>25</v>
      </c>
      <c r="I113">
        <f>VLOOKUP(Table4[[#This Row],[Visitor]],'NHL Model'!$A$6:$B$38,2,FALSE)</f>
        <v>0.42567513732855267</v>
      </c>
      <c r="J113">
        <f>($B$1+Table4[[#This Row],[Home Differential]])-Table4[[#This Row],[Away Differential]]</f>
        <v>1.256129270021586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0.7218928703579427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0.52112931627362946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0.41344250185511977</v>
      </c>
      <c r="H114" t="s">
        <v>13</v>
      </c>
      <c r="I114">
        <f>VLOOKUP(Table4[[#This Row],[Visitor]],'NHL Model'!$A$6:$B$38,2,FALSE)</f>
        <v>-0.33828359867721369</v>
      </c>
      <c r="J114">
        <f>($B$1+Table4[[#This Row],[Home Differential]])-Table4[[#This Row],[Away Differential]]</f>
        <v>0.80162684945549589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0.59993087976587611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0.35991706049665811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-0.81774666423752174</v>
      </c>
      <c r="H115" t="s">
        <v>18</v>
      </c>
      <c r="I115">
        <f>VLOOKUP(Table4[[#This Row],[Visitor]],'NHL Model'!$A$6:$B$38,2,FALSE)</f>
        <v>-0.59288962827382519</v>
      </c>
      <c r="J115">
        <f>($B$1+Table4[[#This Row],[Home Differential]])-Table4[[#This Row],[Away Differential]]</f>
        <v>-0.17495628704053412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0.53262385063370665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0.28368816626387705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-0.39711829106410657</v>
      </c>
      <c r="H116" t="s">
        <v>14</v>
      </c>
      <c r="I116">
        <f>VLOOKUP(Table4[[#This Row],[Visitor]],'NHL Model'!$A$6:$B$38,2,FALSE)</f>
        <v>-0.14226422156549004</v>
      </c>
      <c r="J116">
        <f>($B$1+Table4[[#This Row],[Home Differential]])-Table4[[#This Row],[Away Differential]]</f>
        <v>-0.20495332057545404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0.50907983992379147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0.24100260356925021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-1.384917283810061</v>
      </c>
      <c r="H117" t="s">
        <v>38</v>
      </c>
      <c r="I117">
        <f>VLOOKUP(Table4[[#This Row],[Visitor]],'NHL Model'!$A$6:$B$38,2,FALSE)</f>
        <v>-0.9476777551108041</v>
      </c>
      <c r="J117">
        <f>($B$1+Table4[[#This Row],[Home Differential]])-Table4[[#This Row],[Away Differential]]</f>
        <v>-0.38733877977609443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0.50880367819163874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0.25888118294134066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-0.24093199744133265</v>
      </c>
      <c r="H118" t="s">
        <v>26</v>
      </c>
      <c r="I118">
        <f>VLOOKUP(Table4[[#This Row],[Visitor]],'NHL Model'!$A$6:$B$38,2,FALSE)</f>
        <v>-0.87533956503230947</v>
      </c>
      <c r="J118">
        <f>($B$1+Table4[[#This Row],[Home Differential]])-Table4[[#This Row],[Away Differential]]</f>
        <v>0.68430831651413926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0.61990309562295465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0.14447365671701276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-0.29003398448394263</v>
      </c>
      <c r="H119" t="s">
        <v>33</v>
      </c>
      <c r="I119">
        <f>VLOOKUP(Table4[[#This Row],[Visitor]],'NHL Model'!$A$6:$B$38,2,FALSE)</f>
        <v>-0.45133099238224339</v>
      </c>
      <c r="J119">
        <f>($B$1+Table4[[#This Row],[Home Differential]])-Table4[[#This Row],[Away Differential]]</f>
        <v>0.21119775682146322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0.56466045516532937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0.31884142962751694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-0.53137605086483863</v>
      </c>
      <c r="H120" t="s">
        <v>27</v>
      </c>
      <c r="I120">
        <f>VLOOKUP(Table4[[#This Row],[Visitor]],'NHL Model'!$A$6:$B$38,2,FALSE)</f>
        <v>-0.38023958350631604</v>
      </c>
      <c r="J120">
        <f>($B$1+Table4[[#This Row],[Home Differential]])-Table4[[#This Row],[Away Differential]]</f>
        <v>-0.10123571843536011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0.51182076425989476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0.26196049472758276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-1.3944783719477225</v>
      </c>
      <c r="H121" t="s">
        <v>55</v>
      </c>
      <c r="I121">
        <f>VLOOKUP(Table4[[#This Row],[Visitor]],'NHL Model'!$A$6:$B$38,2,FALSE)</f>
        <v>-0.4031232890211825</v>
      </c>
      <c r="J121">
        <f>($B$1+Table4[[#This Row],[Home Differential]])-Table4[[#This Row],[Away Differential]]</f>
        <v>-0.94145433400337764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0.5699286883691741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0.18496133308785898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0.51050494674660429</v>
      </c>
      <c r="H122" t="s">
        <v>10</v>
      </c>
      <c r="I122">
        <f>VLOOKUP(Table4[[#This Row],[Visitor]],'NHL Model'!$A$6:$B$38,2,FALSE)</f>
        <v>-0.17619625518431364</v>
      </c>
      <c r="J122">
        <f>($B$1+Table4[[#This Row],[Home Differential]])-Table4[[#This Row],[Away Differential]]</f>
        <v>0.73660195085408042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0.65825521503939921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0.4332999281265657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-0.31324182378279158</v>
      </c>
      <c r="H123" t="s">
        <v>32</v>
      </c>
      <c r="I123">
        <f>VLOOKUP(Table4[[#This Row],[Visitor]],'NHL Model'!$A$6:$B$38,2,FALSE)</f>
        <v>-0.64937723527808999</v>
      </c>
      <c r="J123">
        <f>($B$1+Table4[[#This Row],[Home Differential]])-Table4[[#This Row],[Away Differential]]</f>
        <v>0.38603616041846089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0.58757089842028809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0.34523956067042449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-0.4761104357405897</v>
      </c>
      <c r="H124" t="s">
        <v>19</v>
      </c>
      <c r="I124">
        <f>VLOOKUP(Table4[[#This Row],[Visitor]],'NHL Model'!$A$6:$B$38,2,FALSE)</f>
        <v>-0.63447859131898054</v>
      </c>
      <c r="J124">
        <f>($B$1+Table4[[#This Row],[Home Differential]])-Table4[[#This Row],[Away Differential]]</f>
        <v>0.20826890450155333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0.57444071781895778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0.18110070265044392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-0.59498940435054026</v>
      </c>
      <c r="H125" t="s">
        <v>22</v>
      </c>
      <c r="I125">
        <f>VLOOKUP(Table4[[#This Row],[Visitor]],'NHL Model'!$A$6:$B$38,2,FALSE)</f>
        <v>0.4407072328537569</v>
      </c>
      <c r="J125">
        <f>($B$1+Table4[[#This Row],[Home Differential]])-Table4[[#This Row],[Away Differential]]</f>
        <v>-0.98579588828113474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0.61761878207980603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0.14621539581813087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1.5302507646042616E-3</v>
      </c>
      <c r="H126" t="s">
        <v>33</v>
      </c>
      <c r="I126">
        <f>VLOOKUP(Table4[[#This Row],[Visitor]],'NHL Model'!$A$6:$B$38,2,FALSE)</f>
        <v>-0.45133099238224339</v>
      </c>
      <c r="J126">
        <f>($B$1+Table4[[#This Row],[Home Differential]])-Table4[[#This Row],[Away Differential]]</f>
        <v>0.50276199207001016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0.67853959355538906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0.10333679291153446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-0.31324182378279158</v>
      </c>
      <c r="H127" t="s">
        <v>16</v>
      </c>
      <c r="I127">
        <f>VLOOKUP(Table4[[#This Row],[Visitor]],'NHL Model'!$A$6:$B$38,2,FALSE)</f>
        <v>-1.0657812790446208</v>
      </c>
      <c r="J127">
        <f>($B$1+Table4[[#This Row],[Home Differential]])-Table4[[#This Row],[Away Differential]]</f>
        <v>0.80244020418499173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0.63619221621509325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0.13235610354248545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-0.21976976044773161</v>
      </c>
      <c r="H128" t="s">
        <v>12</v>
      </c>
      <c r="I128">
        <f>VLOOKUP(Table4[[#This Row],[Visitor]],'NHL Model'!$A$6:$B$38,2,FALSE)</f>
        <v>1.6319036584269762</v>
      </c>
      <c r="J128">
        <f>($B$1+Table4[[#This Row],[Home Differential]])-Table4[[#This Row],[Away Differential]]</f>
        <v>-1.8017726699515453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0.69946652091585082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0.4892534138821244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0.41344250185511977</v>
      </c>
      <c r="H129" t="s">
        <v>25</v>
      </c>
      <c r="I129">
        <f>VLOOKUP(Table4[[#This Row],[Visitor]],'NHL Model'!$A$6:$B$38,2,FALSE)</f>
        <v>0.42567513732855267</v>
      </c>
      <c r="J129">
        <f>($B$1+Table4[[#This Row],[Home Differential]])-Table4[[#This Row],[Away Differential]]</f>
        <v>3.766811344972959E-2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0.50439830818693232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0.24562103692797491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-0.87533956503230947</v>
      </c>
      <c r="H130" t="s">
        <v>35</v>
      </c>
      <c r="I130">
        <f>VLOOKUP(Table4[[#This Row],[Visitor]],'NHL Model'!$A$6:$B$38,2,FALSE)</f>
        <v>-1.3944783719477225</v>
      </c>
      <c r="J130">
        <f>($B$1+Table4[[#This Row],[Home Differential]])-Table4[[#This Row],[Away Differential]]</f>
        <v>0.56903955583857546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0.60644376656859444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0.15488650887271499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-0.39711829106410657</v>
      </c>
      <c r="H131" t="s">
        <v>20</v>
      </c>
      <c r="I131">
        <f>VLOOKUP(Table4[[#This Row],[Visitor]],'NHL Model'!$A$6:$B$38,2,FALSE)</f>
        <v>-0.24444083032063643</v>
      </c>
      <c r="J131">
        <f>($B$1+Table4[[#This Row],[Home Differential]])-Table4[[#This Row],[Away Differential]]</f>
        <v>-0.10277671182030765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0.45798407748241166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0.20974941522741564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-5.5124787449478845E-2</v>
      </c>
      <c r="H132" t="s">
        <v>55</v>
      </c>
      <c r="I132">
        <f>VLOOKUP(Table4[[#This Row],[Visitor]],'NHL Model'!$A$6:$B$38,2,FALSE)</f>
        <v>-0.4031232890211825</v>
      </c>
      <c r="J132">
        <f>($B$1+Table4[[#This Row],[Home Differential]])-Table4[[#This Row],[Away Differential]]</f>
        <v>0.39789925049486613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0.5864606100690819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0.34393604716259973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-1.384917283810061</v>
      </c>
      <c r="H133" t="s">
        <v>13</v>
      </c>
      <c r="I133">
        <f>VLOOKUP(Table4[[#This Row],[Visitor]],'NHL Model'!$A$6:$B$38,2,FALSE)</f>
        <v>-0.33828359867721369</v>
      </c>
      <c r="J133">
        <f>($B$1+Table4[[#This Row],[Home Differential]])-Table4[[#This Row],[Away Differential]]</f>
        <v>-0.99673293620968484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0.64269907050438491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0.41306209522720033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-0.38023958350631604</v>
      </c>
      <c r="H134" t="s">
        <v>30</v>
      </c>
      <c r="I134">
        <f>VLOOKUP(Table4[[#This Row],[Visitor]],'NHL Model'!$A$6:$B$38,2,FALSE)</f>
        <v>-0.24093199744133265</v>
      </c>
      <c r="J134">
        <f>($B$1+Table4[[#This Row],[Home Differential]])-Table4[[#This Row],[Away Differential]]</f>
        <v>-8.9406837141820905E-2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0.52895808630556485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0.27979665706804541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-0.14226422156549004</v>
      </c>
      <c r="H135" t="s">
        <v>28</v>
      </c>
      <c r="I135">
        <f>VLOOKUP(Table4[[#This Row],[Visitor]],'NHL Model'!$A$6:$B$38,2,FALSE)</f>
        <v>-0.59498940435054026</v>
      </c>
      <c r="J135">
        <f>($B$1+Table4[[#This Row],[Home Differential]])-Table4[[#This Row],[Away Differential]]</f>
        <v>0.50262593170821268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0.59511283681584248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0.35415928854299955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-0.64937723527808999</v>
      </c>
      <c r="H136" t="s">
        <v>17</v>
      </c>
      <c r="I136">
        <f>VLOOKUP(Table4[[#This Row],[Visitor]],'NHL Model'!$A$6:$B$38,2,FALSE)</f>
        <v>-0.81774666423752174</v>
      </c>
      <c r="J136">
        <f>($B$1+Table4[[#This Row],[Home Differential]])-Table4[[#This Row],[Away Differential]]</f>
        <v>0.21827017788259417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0.5654862647057014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0.18880218615940378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0.51050494674660429</v>
      </c>
      <c r="H137" t="s">
        <v>31</v>
      </c>
      <c r="I137">
        <f>VLOOKUP(Table4[[#This Row],[Visitor]],'NHL Model'!$A$6:$B$38,2,FALSE)</f>
        <v>0.17870302183926629</v>
      </c>
      <c r="J137">
        <f>($B$1+Table4[[#This Row],[Home Differential]])-Table4[[#This Row],[Away Differential]]</f>
        <v>0.38170267383050044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0.59629355863014089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0.16297889080351549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-0.63447859131898054</v>
      </c>
      <c r="H138" t="s">
        <v>23</v>
      </c>
      <c r="I138">
        <f>VLOOKUP(Table4[[#This Row],[Visitor]],'NHL Model'!$A$6:$B$38,2,FALSE)</f>
        <v>-0.4761104357405897</v>
      </c>
      <c r="J138">
        <f>($B$1+Table4[[#This Row],[Home Differential]])-Table4[[#This Row],[Away Differential]]</f>
        <v>-0.10846740665522842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0.47266517059166496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0.22341236349044774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-0.9476777551108041</v>
      </c>
      <c r="H139" t="s">
        <v>18</v>
      </c>
      <c r="I139">
        <f>VLOOKUP(Table4[[#This Row],[Visitor]],'NHL Model'!$A$6:$B$38,2,FALSE)</f>
        <v>-0.59288962827382519</v>
      </c>
      <c r="J139">
        <f>($B$1+Table4[[#This Row],[Home Differential]])-Table4[[#This Row],[Away Differential]]</f>
        <v>-0.30488737791381648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0.55488793501587308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0.19812475039443361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0.4407072328537569</v>
      </c>
      <c r="H140" t="s">
        <v>36</v>
      </c>
      <c r="I140">
        <f>VLOOKUP(Table4[[#This Row],[Visitor]],'NHL Model'!$A$6:$B$38,2,FALSE)</f>
        <v>-0.53137605086483863</v>
      </c>
      <c r="J140">
        <f>($B$1+Table4[[#This Row],[Home Differential]])-Table4[[#This Row],[Away Differential]]</f>
        <v>1.021984032641758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0.68536945506778668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0.46973128993991486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-1.0657812790446208</v>
      </c>
      <c r="H141" t="s">
        <v>15</v>
      </c>
      <c r="I141">
        <f>VLOOKUP(Table4[[#This Row],[Visitor]],'NHL Model'!$A$6:$B$38,2,FALSE)</f>
        <v>-0.29003398448394263</v>
      </c>
      <c r="J141">
        <f>($B$1+Table4[[#This Row],[Home Differential]])-Table4[[#This Row],[Away Differential]]</f>
        <v>-0.72584654563751583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0.64483476332872802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0.4158118719972167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-0.17619625518431364</v>
      </c>
      <c r="H142" t="s">
        <v>13</v>
      </c>
      <c r="I142">
        <f>VLOOKUP(Table4[[#This Row],[Visitor]],'NHL Model'!$A$6:$B$38,2,FALSE)</f>
        <v>-0.33828359867721369</v>
      </c>
      <c r="J142">
        <f>($B$1+Table4[[#This Row],[Home Differential]])-Table4[[#This Row],[Away Differential]]</f>
        <v>0.21198809241606251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0.49843694903683539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0.24843939216514885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-5.5124787449478845E-2</v>
      </c>
      <c r="H143" t="s">
        <v>33</v>
      </c>
      <c r="I143">
        <f>VLOOKUP(Table4[[#This Row],[Visitor]],'NHL Model'!$A$6:$B$38,2,FALSE)</f>
        <v>-0.45133099238224339</v>
      </c>
      <c r="J143">
        <f>($B$1+Table4[[#This Row],[Home Differential]])-Table4[[#This Row],[Away Differential]]</f>
        <v>0.44610695385592702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0.59208957093140724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0.35057006000573793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1.5302507646042616E-3</v>
      </c>
      <c r="H144" t="s">
        <v>12</v>
      </c>
      <c r="I144">
        <f>VLOOKUP(Table4[[#This Row],[Visitor]],'NHL Model'!$A$6:$B$38,2,FALSE)</f>
        <v>1.6319036584269762</v>
      </c>
      <c r="J144">
        <f>($B$1+Table4[[#This Row],[Home Differential]])-Table4[[#This Row],[Away Differential]]</f>
        <v>-1.5804726587392095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0.63524773437155191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0.40353968402418977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-1.384917283810061</v>
      </c>
      <c r="H145" t="s">
        <v>39</v>
      </c>
      <c r="I145">
        <f>VLOOKUP(Table4[[#This Row],[Visitor]],'NHL Model'!$A$6:$B$38,2,FALSE)</f>
        <v>0.41344250185511977</v>
      </c>
      <c r="J145">
        <f>($B$1+Table4[[#This Row],[Home Differential]])-Table4[[#This Row],[Away Differential]]</f>
        <v>-1.7484590367420183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0.7659561507622451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5.4776523366024947E-2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0.51050494674660429</v>
      </c>
      <c r="H146" t="s">
        <v>20</v>
      </c>
      <c r="I146">
        <f>VLOOKUP(Table4[[#This Row],[Visitor]],'NHL Model'!$A$6:$B$38,2,FALSE)</f>
        <v>-0.24444083032063643</v>
      </c>
      <c r="J146">
        <f>($B$1+Table4[[#This Row],[Home Differential]])-Table4[[#This Row],[Away Differential]]</f>
        <v>0.80484652599040318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0.66622377640460784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0.11140656743760123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-0.9476777551108041</v>
      </c>
      <c r="H147" t="s">
        <v>17</v>
      </c>
      <c r="I147">
        <f>VLOOKUP(Table4[[#This Row],[Visitor]],'NHL Model'!$A$6:$B$38,2,FALSE)</f>
        <v>-0.81774666423752174</v>
      </c>
      <c r="J147">
        <f>($B$1+Table4[[#This Row],[Home Differential]])-Table4[[#This Row],[Away Differential]]</f>
        <v>-8.0030341950119932E-2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0.46934472358622298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0.22028446955822806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-0.31324182378279158</v>
      </c>
      <c r="H148" t="s">
        <v>55</v>
      </c>
      <c r="I148">
        <f>VLOOKUP(Table4[[#This Row],[Visitor]],'NHL Model'!$A$6:$B$38,2,FALSE)</f>
        <v>-0.4031232890211825</v>
      </c>
      <c r="J148">
        <f>($B$1+Table4[[#This Row],[Home Differential]])-Table4[[#This Row],[Away Differential]]</f>
        <v>0.1397822141615534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0.5588171157459414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0.31227656885061289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-0.53137605086483863</v>
      </c>
      <c r="H149" t="s">
        <v>21</v>
      </c>
      <c r="I149">
        <f>VLOOKUP(Table4[[#This Row],[Visitor]],'NHL Model'!$A$6:$B$38,2,FALSE)</f>
        <v>-0.21976976044773161</v>
      </c>
      <c r="J149">
        <f>($B$1+Table4[[#This Row],[Home Differential]])-Table4[[#This Row],[Away Differential]]</f>
        <v>-0.26170554149394454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0.48889131780087369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0.23901472062107487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-0.14226422156549004</v>
      </c>
      <c r="H150" t="s">
        <v>35</v>
      </c>
      <c r="I150">
        <f>VLOOKUP(Table4[[#This Row],[Visitor]],'NHL Model'!$A$6:$B$38,2,FALSE)</f>
        <v>-1.3944783719477225</v>
      </c>
      <c r="J150">
        <f>($B$1+Table4[[#This Row],[Home Differential]])-Table4[[#This Row],[Away Differential]]</f>
        <v>1.302114899305395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0.69204113233822317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9.483866417152377E-2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-0.21976976044773161</v>
      </c>
      <c r="H151" t="s">
        <v>30</v>
      </c>
      <c r="I151">
        <f>VLOOKUP(Table4[[#This Row],[Visitor]],'NHL Model'!$A$6:$B$38,2,FALSE)</f>
        <v>-0.24093199744133265</v>
      </c>
      <c r="J151">
        <f>($B$1+Table4[[#This Row],[Home Differential]])-Table4[[#This Row],[Away Differential]]</f>
        <v>7.1062985916763494E-2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0.51921468298828499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0.23115452105405529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-0.4761104357405897</v>
      </c>
      <c r="H152" t="s">
        <v>28</v>
      </c>
      <c r="I152">
        <f>VLOOKUP(Table4[[#This Row],[Visitor]],'NHL Model'!$A$6:$B$38,2,FALSE)</f>
        <v>-0.59498940435054026</v>
      </c>
      <c r="J152">
        <f>($B$1+Table4[[#This Row],[Home Differential]])-Table4[[#This Row],[Away Differential]]</f>
        <v>0.16877971753311305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0.5662662274862772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0.32065744039154026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0.42567513732855267</v>
      </c>
      <c r="H153" t="s">
        <v>20</v>
      </c>
      <c r="I153">
        <f>VLOOKUP(Table4[[#This Row],[Visitor]],'NHL Model'!$A$6:$B$38,2,FALSE)</f>
        <v>-0.24444083032063643</v>
      </c>
      <c r="J153">
        <f>($B$1+Table4[[#This Row],[Home Differential]])-Table4[[#This Row],[Away Differential]]</f>
        <v>0.72001671657235156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0.67578855467948284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0.45669017063578438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-0.17619625518431364</v>
      </c>
      <c r="H154" t="s">
        <v>36</v>
      </c>
      <c r="I154">
        <f>VLOOKUP(Table4[[#This Row],[Visitor]],'NHL Model'!$A$6:$B$38,2,FALSE)</f>
        <v>-0.53137605086483863</v>
      </c>
      <c r="J154">
        <f>($B$1+Table4[[#This Row],[Home Differential]])-Table4[[#This Row],[Away Differential]]</f>
        <v>0.40508054460368748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0.58729913214462337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0.17032200632858105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1.6319036584269762</v>
      </c>
      <c r="H155" t="s">
        <v>24</v>
      </c>
      <c r="I155">
        <f>VLOOKUP(Table4[[#This Row],[Visitor]],'NHL Model'!$A$6:$B$38,2,FALSE)</f>
        <v>1.5302507646042616E-3</v>
      </c>
      <c r="J155">
        <f>($B$1+Table4[[#This Row],[Home Differential]])-Table4[[#This Row],[Away Differential]]</f>
        <v>1.6802741565855344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0.82119680685797902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3.1970581877782858E-2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0.41344250185511977</v>
      </c>
      <c r="H156" t="s">
        <v>22</v>
      </c>
      <c r="I156">
        <f>VLOOKUP(Table4[[#This Row],[Visitor]],'NHL Model'!$A$6:$B$38,2,FALSE)</f>
        <v>0.4407072328537569</v>
      </c>
      <c r="J156">
        <f>($B$1+Table4[[#This Row],[Home Differential]])-Table4[[#This Row],[Away Differential]]</f>
        <v>2.2636017924525353E-2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0.53276357110417993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0.21830988048731872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-0.81774666423752174</v>
      </c>
      <c r="H157" t="s">
        <v>55</v>
      </c>
      <c r="I157">
        <f>VLOOKUP(Table4[[#This Row],[Visitor]],'NHL Model'!$A$6:$B$38,2,FALSE)</f>
        <v>-0.4031232890211825</v>
      </c>
      <c r="J157">
        <f>($B$1+Table4[[#This Row],[Home Differential]])-Table4[[#This Row],[Away Differential]]</f>
        <v>-0.36472262629317681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0.49554079768155213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0.24556068216686897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-0.39711829106410657</v>
      </c>
      <c r="H158" t="s">
        <v>31</v>
      </c>
      <c r="I158">
        <f>VLOOKUP(Table4[[#This Row],[Visitor]],'NHL Model'!$A$6:$B$38,2,FALSE)</f>
        <v>0.17870302183926629</v>
      </c>
      <c r="J158">
        <f>($B$1+Table4[[#This Row],[Home Differential]])-Table4[[#This Row],[Away Differential]]</f>
        <v>-0.52592056398021036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0.52807565454489702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0.22271258783322737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-5.5124787449478845E-2</v>
      </c>
      <c r="H159" t="s">
        <v>40</v>
      </c>
      <c r="I159">
        <f>VLOOKUP(Table4[[#This Row],[Visitor]],'NHL Model'!$A$6:$B$38,2,FALSE)</f>
        <v>-0.31324182378279158</v>
      </c>
      <c r="J159">
        <f>($B$1+Table4[[#This Row],[Home Differential]])-Table4[[#This Row],[Away Differential]]</f>
        <v>0.30801778525647522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0.55519639167751955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0.30824303333173769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-1.384917283810061</v>
      </c>
      <c r="H160" t="s">
        <v>37</v>
      </c>
      <c r="I160">
        <f>VLOOKUP(Table4[[#This Row],[Visitor]],'NHL Model'!$A$6:$B$38,2,FALSE)</f>
        <v>0.51050494674660429</v>
      </c>
      <c r="J160">
        <f>($B$1+Table4[[#This Row],[Home Differential]])-Table4[[#This Row],[Away Differential]]</f>
        <v>-1.8455214816335028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0.76797805877908609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5.3834181207921231E-2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-0.38023958350631604</v>
      </c>
      <c r="H161" t="s">
        <v>14</v>
      </c>
      <c r="I161">
        <f>VLOOKUP(Table4[[#This Row],[Visitor]],'NHL Model'!$A$6:$B$38,2,FALSE)</f>
        <v>-0.14226422156549004</v>
      </c>
      <c r="J161">
        <f>($B$1+Table4[[#This Row],[Home Differential]])-Table4[[#This Row],[Away Differential]]</f>
        <v>-0.18807461301766351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0.50710900170447515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0.25715953960970939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-0.64937723527808999</v>
      </c>
      <c r="H162" t="s">
        <v>18</v>
      </c>
      <c r="I162">
        <f>VLOOKUP(Table4[[#This Row],[Visitor]],'NHL Model'!$A$6:$B$38,2,FALSE)</f>
        <v>-0.59288962827382519</v>
      </c>
      <c r="J162">
        <f>($B$1+Table4[[#This Row],[Home Differential]])-Table4[[#This Row],[Away Differential]]</f>
        <v>-6.5868580811023758E-3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0.52005694672394875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0.23034533438793856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-0.45133099238224339</v>
      </c>
      <c r="H163" t="s">
        <v>13</v>
      </c>
      <c r="I163">
        <f>VLOOKUP(Table4[[#This Row],[Visitor]],'NHL Model'!$A$6:$B$38,2,FALSE)</f>
        <v>-0.33828359867721369</v>
      </c>
      <c r="J163">
        <f>($B$1+Table4[[#This Row],[Home Differential]])-Table4[[#This Row],[Away Differential]]</f>
        <v>-6.3146644781867212E-2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0.52350233501430832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0.22705002473681646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-1.3944783719477225</v>
      </c>
      <c r="H164" t="s">
        <v>26</v>
      </c>
      <c r="I164">
        <f>VLOOKUP(Table4[[#This Row],[Visitor]],'NHL Model'!$A$6:$B$38,2,FALSE)</f>
        <v>-0.87533956503230947</v>
      </c>
      <c r="J164">
        <f>($B$1+Table4[[#This Row],[Home Differential]])-Table4[[#This Row],[Away Differential]]</f>
        <v>-0.4692380579922506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0.51479046873005474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0.23542828923519998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-0.63447859131898054</v>
      </c>
      <c r="H165" t="s">
        <v>16</v>
      </c>
      <c r="I165">
        <f>VLOOKUP(Table4[[#This Row],[Visitor]],'NHL Model'!$A$6:$B$38,2,FALSE)</f>
        <v>-1.0657812790446208</v>
      </c>
      <c r="J165">
        <f>($B$1+Table4[[#This Row],[Home Differential]])-Table4[[#This Row],[Away Differential]]</f>
        <v>0.48120343664880272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0.5961876032845923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0.16306445174104181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-0.9476777551108041</v>
      </c>
      <c r="H166" t="s">
        <v>15</v>
      </c>
      <c r="I166">
        <f>VLOOKUP(Table4[[#This Row],[Visitor]],'NHL Model'!$A$6:$B$38,2,FALSE)</f>
        <v>-0.29003398448394263</v>
      </c>
      <c r="J166">
        <f>($B$1+Table4[[#This Row],[Home Differential]])-Table4[[#This Row],[Away Differential]]</f>
        <v>-0.60774302170369898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0.63104443382584718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0.13612820981088966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-0.59498940435054026</v>
      </c>
      <c r="H167" t="s">
        <v>19</v>
      </c>
      <c r="I167">
        <f>VLOOKUP(Table4[[#This Row],[Visitor]],'NHL Model'!$A$6:$B$38,2,FALSE)</f>
        <v>-0.63447859131898054</v>
      </c>
      <c r="J167">
        <f>($B$1+Table4[[#This Row],[Home Differential]])-Table4[[#This Row],[Away Differential]]</f>
        <v>8.9389935891602712E-2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0.55043759431663863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0.20210635660381118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-0.21976976044773161</v>
      </c>
      <c r="H168" t="s">
        <v>23</v>
      </c>
      <c r="I168">
        <f>VLOOKUP(Table4[[#This Row],[Visitor]],'NHL Model'!$A$6:$B$38,2,FALSE)</f>
        <v>-0.4761104357405897</v>
      </c>
      <c r="J168">
        <f>($B$1+Table4[[#This Row],[Home Differential]])-Table4[[#This Row],[Away Differential]]</f>
        <v>0.30624142421602052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0.61865976048220439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0.14542037827548973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0.42567513732855267</v>
      </c>
      <c r="H169" t="s">
        <v>30</v>
      </c>
      <c r="I169">
        <f>VLOOKUP(Table4[[#This Row],[Visitor]],'NHL Model'!$A$6:$B$38,2,FALSE)</f>
        <v>-0.24093199744133265</v>
      </c>
      <c r="J169">
        <f>($B$1+Table4[[#This Row],[Home Differential]])-Table4[[#This Row],[Away Differential]]</f>
        <v>0.71650788369304785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0.60366287032278598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0.15708312036077277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-0.81774666423752174</v>
      </c>
      <c r="H170" t="s">
        <v>15</v>
      </c>
      <c r="I170">
        <f>VLOOKUP(Table4[[#This Row],[Visitor]],'NHL Model'!$A$6:$B$38,2,FALSE)</f>
        <v>-0.29003398448394263</v>
      </c>
      <c r="J170">
        <f>($B$1+Table4[[#This Row],[Home Differential]])-Table4[[#This Row],[Away Differential]]</f>
        <v>-0.47781193083041668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0.60886422062356638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0.15298719790841017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-0.33828359867721369</v>
      </c>
      <c r="H171" t="s">
        <v>26</v>
      </c>
      <c r="I171">
        <f>VLOOKUP(Table4[[#This Row],[Visitor]],'NHL Model'!$A$6:$B$38,2,FALSE)</f>
        <v>-0.87533956503230947</v>
      </c>
      <c r="J171">
        <f>($B$1+Table4[[#This Row],[Home Differential]])-Table4[[#This Row],[Away Differential]]</f>
        <v>0.58695671527825821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0.6085358593715775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0.37031589214110433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-5.5124787449478845E-2</v>
      </c>
      <c r="H172" t="s">
        <v>14</v>
      </c>
      <c r="I172">
        <f>VLOOKUP(Table4[[#This Row],[Visitor]],'NHL Model'!$A$6:$B$38,2,FALSE)</f>
        <v>-0.14226422156549004</v>
      </c>
      <c r="J172">
        <f>($B$1+Table4[[#This Row],[Home Differential]])-Table4[[#This Row],[Away Differential]]</f>
        <v>0.13704018303917365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0.51671473070034157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0.26699411292272651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-0.53137605086483863</v>
      </c>
      <c r="H173" t="s">
        <v>16</v>
      </c>
      <c r="I173">
        <f>VLOOKUP(Table4[[#This Row],[Visitor]],'NHL Model'!$A$6:$B$38,2,FALSE)</f>
        <v>-1.0657812790446208</v>
      </c>
      <c r="J173">
        <f>($B$1+Table4[[#This Row],[Home Differential]])-Table4[[#This Row],[Away Differential]]</f>
        <v>0.58430597710294463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0.61072182577184631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0.15153749693040477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-0.38023958350631604</v>
      </c>
      <c r="H174" t="s">
        <v>29</v>
      </c>
      <c r="I174">
        <f>VLOOKUP(Table4[[#This Row],[Visitor]],'NHL Model'!$A$6:$B$38,2,FALSE)</f>
        <v>-1.384917283810061</v>
      </c>
      <c r="J174">
        <f>($B$1+Table4[[#This Row],[Home Differential]])-Table4[[#This Row],[Away Differential]]</f>
        <v>1.0545784492269075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0.67715421891291649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0.10422939836572905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-0.45133099238224339</v>
      </c>
      <c r="H175" t="s">
        <v>24</v>
      </c>
      <c r="I175">
        <f>VLOOKUP(Table4[[#This Row],[Visitor]],'NHL Model'!$A$6:$B$38,2,FALSE)</f>
        <v>1.5302507646042616E-3</v>
      </c>
      <c r="J175">
        <f>($B$1+Table4[[#This Row],[Home Differential]])-Table4[[#This Row],[Away Differential]]</f>
        <v>-0.40296049422368518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0.51763982026716526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0.26795098352622315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-1.3944783719477225</v>
      </c>
      <c r="H176" t="s">
        <v>38</v>
      </c>
      <c r="I176">
        <f>VLOOKUP(Table4[[#This Row],[Visitor]],'NHL Model'!$A$6:$B$38,2,FALSE)</f>
        <v>-0.9476777551108041</v>
      </c>
      <c r="J176">
        <f>($B$1+Table4[[#This Row],[Home Differential]])-Table4[[#This Row],[Away Differential]]</f>
        <v>-0.39689986791375598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0.50992007634330028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0.24017833157135662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0.51050494674660429</v>
      </c>
      <c r="H177" t="s">
        <v>39</v>
      </c>
      <c r="I177">
        <f>VLOOKUP(Table4[[#This Row],[Visitor]],'NHL Model'!$A$6:$B$38,2,FALSE)</f>
        <v>0.41344250185511977</v>
      </c>
      <c r="J177">
        <f>($B$1+Table4[[#This Row],[Home Differential]])-Table4[[#This Row],[Away Differential]]</f>
        <v>0.14696319381464695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0.48774835719391324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0.26240174555753476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-0.31324182378279158</v>
      </c>
      <c r="H178" t="s">
        <v>10</v>
      </c>
      <c r="I178">
        <f>VLOOKUP(Table4[[#This Row],[Visitor]],'NHL Model'!$A$6:$B$38,2,FALSE)</f>
        <v>-0.17619625518431364</v>
      </c>
      <c r="J178">
        <f>($B$1+Table4[[#This Row],[Home Differential]])-Table4[[#This Row],[Away Differential]]</f>
        <v>-8.7144819675315455E-2</v>
      </c>
      <c r="K178" t="str">
        <f>IF(Table4[[#This Row],[HomeIce Differential]]&gt;0,Table4[[#This Row],[Home]],Table4[[#This Row],[Visitor]])</f>
        <v>Chicago Blackhawks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0.46767996465849671</v>
      </c>
      <c r="M178" t="str">
        <f>IF(OR((NHL2025_26Results[[#This Row],[Winning Team]]="")),"-",IF(Table4[[#This Row],[Predicted Winner]]=NHL2025_26Results[[#This Row],[Winning Team]],"YES","NO"))</f>
        <v>NO</v>
      </c>
      <c r="N178">
        <f>IF(Table4[[#This Row],[Adjusted Correct]]="-", "",IF(Table4[[#This Row],[Adjusted Correct]]="YES",(Table4[[#This Row],[Strength of Win]]-1)^2,(Table4[[#This Row],[Strength of Win]]-0)^2))</f>
        <v>0.21872454934297272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0.17870302183926629</v>
      </c>
      <c r="H179" t="s">
        <v>26</v>
      </c>
      <c r="I179">
        <f>VLOOKUP(Table4[[#This Row],[Visitor]],'NHL Model'!$A$6:$B$38,2,FALSE)</f>
        <v>-0.87533956503230947</v>
      </c>
      <c r="J179">
        <f>($B$1+Table4[[#This Row],[Home Differential]])-Table4[[#This Row],[Away Differential]]</f>
        <v>1.1039433357947381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0.7487363882386241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6.3133402595371438E-2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-0.24444083032063643</v>
      </c>
      <c r="H180" t="s">
        <v>12</v>
      </c>
      <c r="I180">
        <f>VLOOKUP(Table4[[#This Row],[Visitor]],'NHL Model'!$A$6:$B$38,2,FALSE)</f>
        <v>1.6319036584269762</v>
      </c>
      <c r="J180">
        <f>($B$1+Table4[[#This Row],[Home Differential]])-Table4[[#This Row],[Away Differential]]</f>
        <v>-1.8264437398244502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0.74588743211805819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6.4573197155554485E-2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0.4407072328537569</v>
      </c>
      <c r="H181" t="s">
        <v>30</v>
      </c>
      <c r="I181">
        <f>VLOOKUP(Table4[[#This Row],[Visitor]],'NHL Model'!$A$6:$B$38,2,FALSE)</f>
        <v>-0.24093199744133265</v>
      </c>
      <c r="J181">
        <f>($B$1+Table4[[#This Row],[Home Differential]])-Table4[[#This Row],[Away Differential]]</f>
        <v>0.73153997921825198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0.57908897540919857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0.33534404144047536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-0.21976976044773161</v>
      </c>
      <c r="H182" t="s">
        <v>25</v>
      </c>
      <c r="I182">
        <f>VLOOKUP(Table4[[#This Row],[Visitor]],'NHL Model'!$A$6:$B$38,2,FALSE)</f>
        <v>0.42567513732855267</v>
      </c>
      <c r="J182">
        <f>($B$1+Table4[[#This Row],[Home Differential]])-Table4[[#This Row],[Away Differential]]</f>
        <v>-0.59554414885312179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0.55862153841523121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0.31205802318139964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-0.4761104357405897</v>
      </c>
      <c r="H183" t="s">
        <v>22</v>
      </c>
      <c r="I183">
        <f>VLOOKUP(Table4[[#This Row],[Visitor]],'NHL Model'!$A$6:$B$38,2,FALSE)</f>
        <v>0.4407072328537569</v>
      </c>
      <c r="J183">
        <f>($B$1+Table4[[#This Row],[Home Differential]])-Table4[[#This Row],[Away Differential]]</f>
        <v>-0.86691691967118412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0.59353303745986197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0.35228146655632991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-0.59498940435054026</v>
      </c>
      <c r="H184" t="s">
        <v>35</v>
      </c>
      <c r="I184">
        <f>VLOOKUP(Table4[[#This Row],[Visitor]],'NHL Model'!$A$6:$B$38,2,FALSE)</f>
        <v>-1.3944783719477225</v>
      </c>
      <c r="J184">
        <f>($B$1+Table4[[#This Row],[Home Differential]])-Table4[[#This Row],[Away Differential]]</f>
        <v>0.84938971652034467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0.63917878550125307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0.13019194883235075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-0.81774666423752174</v>
      </c>
      <c r="H185" t="s">
        <v>10</v>
      </c>
      <c r="I185">
        <f>VLOOKUP(Table4[[#This Row],[Visitor]],'NHL Model'!$A$6:$B$38,2,FALSE)</f>
        <v>-0.17619625518431364</v>
      </c>
      <c r="J185">
        <f>($B$1+Table4[[#This Row],[Home Differential]])-Table4[[#This Row],[Away Differential]]</f>
        <v>-0.59164966013004561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0.52203787808599023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0.27252354615652319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-0.39711829106410657</v>
      </c>
      <c r="H186" t="s">
        <v>39</v>
      </c>
      <c r="I186">
        <f>VLOOKUP(Table4[[#This Row],[Visitor]],'NHL Model'!$A$6:$B$38,2,FALSE)</f>
        <v>0.41344250185511977</v>
      </c>
      <c r="J186">
        <f>($B$1+Table4[[#This Row],[Home Differential]])-Table4[[#This Row],[Away Differential]]</f>
        <v>-0.76066004399606379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0.6366443736340629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0.40531605847990826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-0.33828359867721369</v>
      </c>
      <c r="H187" t="s">
        <v>24</v>
      </c>
      <c r="I187">
        <f>VLOOKUP(Table4[[#This Row],[Visitor]],'NHL Model'!$A$6:$B$38,2,FALSE)</f>
        <v>1.5302507646042616E-3</v>
      </c>
      <c r="J187">
        <f>($B$1+Table4[[#This Row],[Home Differential]])-Table4[[#This Row],[Away Differential]]</f>
        <v>-0.28991310051865549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0.51462086406676455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0.23559290559929424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-5.5124787449478845E-2</v>
      </c>
      <c r="H188" t="s">
        <v>38</v>
      </c>
      <c r="I188">
        <f>VLOOKUP(Table4[[#This Row],[Visitor]],'NHL Model'!$A$6:$B$38,2,FALSE)</f>
        <v>-0.9476777551108041</v>
      </c>
      <c r="J188">
        <f>($B$1+Table4[[#This Row],[Home Differential]])-Table4[[#This Row],[Away Differential]]</f>
        <v>0.94245371658448773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0.6464692220949555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0.1249840109261459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-0.59288962827382519</v>
      </c>
      <c r="H189" t="s">
        <v>36</v>
      </c>
      <c r="I189">
        <f>VLOOKUP(Table4[[#This Row],[Visitor]],'NHL Model'!$A$6:$B$38,2,FALSE)</f>
        <v>-0.53137605086483863</v>
      </c>
      <c r="J189">
        <f>($B$1+Table4[[#This Row],[Home Differential]])-Table4[[#This Row],[Away Differential]]</f>
        <v>-1.1612828485824123E-2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0.46135596911883597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0.21284933024158034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-1.384917283810061</v>
      </c>
      <c r="H190" t="s">
        <v>16</v>
      </c>
      <c r="I190">
        <f>VLOOKUP(Table4[[#This Row],[Visitor]],'NHL Model'!$A$6:$B$38,2,FALSE)</f>
        <v>-1.0657812790446208</v>
      </c>
      <c r="J190">
        <f>($B$1+Table4[[#This Row],[Home Differential]])-Table4[[#This Row],[Away Differential]]</f>
        <v>-0.2692352558422777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0.49143718974836059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0.24151051146776617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-0.38023958350631604</v>
      </c>
      <c r="H191" t="s">
        <v>19</v>
      </c>
      <c r="I191">
        <f>VLOOKUP(Table4[[#This Row],[Visitor]],'NHL Model'!$A$6:$B$38,2,FALSE)</f>
        <v>-0.63447859131898054</v>
      </c>
      <c r="J191">
        <f>($B$1+Table4[[#This Row],[Home Differential]])-Table4[[#This Row],[Away Differential]]</f>
        <v>0.30413975673582699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0.5895294258799636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0.3475449439783595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-0.64937723527808999</v>
      </c>
      <c r="H192" t="s">
        <v>15</v>
      </c>
      <c r="I192">
        <f>VLOOKUP(Table4[[#This Row],[Visitor]],'NHL Model'!$A$6:$B$38,2,FALSE)</f>
        <v>-0.29003398448394263</v>
      </c>
      <c r="J192">
        <f>($B$1+Table4[[#This Row],[Home Differential]])-Table4[[#This Row],[Away Differential]]</f>
        <v>-0.30944250187098493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0.59621344553392286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0.16304358156758628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-0.45133099238224339</v>
      </c>
      <c r="H193" t="s">
        <v>12</v>
      </c>
      <c r="I193">
        <f>VLOOKUP(Table4[[#This Row],[Visitor]],'NHL Model'!$A$6:$B$38,2,FALSE)</f>
        <v>1.6319036584269762</v>
      </c>
      <c r="J193">
        <f>($B$1+Table4[[#This Row],[Home Differential]])-Table4[[#This Row],[Away Differential]]</f>
        <v>-2.0333339018860572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0.75987072250359355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0.57740351491813324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-0.31324182378279158</v>
      </c>
      <c r="H194" t="s">
        <v>14</v>
      </c>
      <c r="I194">
        <f>VLOOKUP(Table4[[#This Row],[Visitor]],'NHL Model'!$A$6:$B$38,2,FALSE)</f>
        <v>-0.14226422156549004</v>
      </c>
      <c r="J194">
        <f>($B$1+Table4[[#This Row],[Home Differential]])-Table4[[#This Row],[Away Differential]]</f>
        <v>-0.12107685329413906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0.51091170313729506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0.26103076840265149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0.17870302183926629</v>
      </c>
      <c r="H195" t="s">
        <v>24</v>
      </c>
      <c r="I195">
        <f>VLOOKUP(Table4[[#This Row],[Visitor]],'NHL Model'!$A$6:$B$38,2,FALSE)</f>
        <v>1.5302507646042616E-3</v>
      </c>
      <c r="J195">
        <f>($B$1+Table4[[#This Row],[Home Differential]])-Table4[[#This Row],[Away Differential]]</f>
        <v>0.22707351999782449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0.62651418482571097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0.13949165413640319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-0.24093199744133265</v>
      </c>
      <c r="H196" t="s">
        <v>28</v>
      </c>
      <c r="I196">
        <f>VLOOKUP(Table4[[#This Row],[Visitor]],'NHL Model'!$A$6:$B$38,2,FALSE)</f>
        <v>-0.59498940435054026</v>
      </c>
      <c r="J196">
        <f>($B$1+Table4[[#This Row],[Home Differential]])-Table4[[#This Row],[Away Differential]]</f>
        <v>0.40395815583237005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0.5835919177498986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0.1733956909632072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-0.38023958350631604</v>
      </c>
      <c r="H197" t="s">
        <v>16</v>
      </c>
      <c r="I197">
        <f>VLOOKUP(Table4[[#This Row],[Visitor]],'NHL Model'!$A$6:$B$38,2,FALSE)</f>
        <v>-1.0657812790446208</v>
      </c>
      <c r="J197">
        <f>($B$1+Table4[[#This Row],[Home Differential]])-Table4[[#This Row],[Away Differential]]</f>
        <v>0.73544244446146734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0.63989038024528599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0.40945969873045668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-0.45133099238224339</v>
      </c>
      <c r="H198" t="s">
        <v>26</v>
      </c>
      <c r="I198">
        <f>VLOOKUP(Table4[[#This Row],[Visitor]],'NHL Model'!$A$6:$B$38,2,FALSE)</f>
        <v>-0.87533956503230947</v>
      </c>
      <c r="J198">
        <f>($B$1+Table4[[#This Row],[Home Differential]])-Table4[[#This Row],[Away Differential]]</f>
        <v>0.47390932157322857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0.60545815708481687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0.3665795799805428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-0.4031232890211825</v>
      </c>
      <c r="H199" t="s">
        <v>37</v>
      </c>
      <c r="I199">
        <f>VLOOKUP(Table4[[#This Row],[Visitor]],'NHL Model'!$A$6:$B$38,2,FALSE)</f>
        <v>0.51050494674660429</v>
      </c>
      <c r="J199">
        <f>($B$1+Table4[[#This Row],[Home Differential]])-Table4[[#This Row],[Away Differential]]</f>
        <v>-0.8637274868446243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0.61248083877374404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0.15017110031750097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-1.384917283810061</v>
      </c>
      <c r="H200" t="s">
        <v>38</v>
      </c>
      <c r="I200">
        <f>VLOOKUP(Table4[[#This Row],[Visitor]],'NHL Model'!$A$6:$B$38,2,FALSE)</f>
        <v>-0.9476777551108041</v>
      </c>
      <c r="J200">
        <f>($B$1+Table4[[#This Row],[Home Differential]])-Table4[[#This Row],[Away Differential]]</f>
        <v>-0.38733877977609443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0.50880367819163874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0.2412738265580632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-0.64937723527808999</v>
      </c>
      <c r="H201" t="s">
        <v>10</v>
      </c>
      <c r="I201">
        <f>VLOOKUP(Table4[[#This Row],[Visitor]],'NHL Model'!$A$6:$B$38,2,FALSE)</f>
        <v>-0.17619625518431364</v>
      </c>
      <c r="J201">
        <f>($B$1+Table4[[#This Row],[Home Differential]])-Table4[[#This Row],[Away Differential]]</f>
        <v>-0.42328023117061392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0.50942421415951489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0.25951302997203929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-1.3944783719477225</v>
      </c>
      <c r="H202" t="s">
        <v>17</v>
      </c>
      <c r="I202">
        <f>VLOOKUP(Table4[[#This Row],[Visitor]],'NHL Model'!$A$6:$B$38,2,FALSE)</f>
        <v>-0.81774666423752174</v>
      </c>
      <c r="J202">
        <f>($B$1+Table4[[#This Row],[Home Differential]])-Table4[[#This Row],[Away Differential]]</f>
        <v>-0.52683095878703834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0.52151528990839591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0.27197819760823821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-0.63447859131898054</v>
      </c>
      <c r="H203" t="s">
        <v>14</v>
      </c>
      <c r="I203">
        <f>VLOOKUP(Table4[[#This Row],[Visitor]],'NHL Model'!$A$6:$B$38,2,FALSE)</f>
        <v>-0.14226422156549004</v>
      </c>
      <c r="J203">
        <f>($B$1+Table4[[#This Row],[Home Differential]])-Table4[[#This Row],[Away Differential]]</f>
        <v>-0.4423136208303281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0.55093337655329999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0.30352758540042024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0.17870302183926629</v>
      </c>
      <c r="H204" t="s">
        <v>11</v>
      </c>
      <c r="I204">
        <f>VLOOKUP(Table4[[#This Row],[Visitor]],'NHL Model'!$A$6:$B$38,2,FALSE)</f>
        <v>-0.39711829106410657</v>
      </c>
      <c r="J204">
        <f>($B$1+Table4[[#This Row],[Home Differential]])-Table4[[#This Row],[Away Differential]]</f>
        <v>0.62572206182653534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0.69289699646057179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9.431225478293806E-2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-0.4761104357405897</v>
      </c>
      <c r="H205" t="s">
        <v>55</v>
      </c>
      <c r="I205">
        <f>VLOOKUP(Table4[[#This Row],[Visitor]],'NHL Model'!$A$6:$B$38,2,FALSE)</f>
        <v>-0.4031232890211825</v>
      </c>
      <c r="J205">
        <f>($B$1+Table4[[#This Row],[Home Differential]])-Table4[[#This Row],[Away Differential]]</f>
        <v>-2.3086397796244718E-2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0.45257342828487174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0.29967585141977854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1.6319036584269762</v>
      </c>
      <c r="H206" t="s">
        <v>37</v>
      </c>
      <c r="I206">
        <f>VLOOKUP(Table4[[#This Row],[Visitor]],'NHL Model'!$A$6:$B$38,2,FALSE)</f>
        <v>0.51050494674660429</v>
      </c>
      <c r="J206">
        <f>($B$1+Table4[[#This Row],[Home Differential]])-Table4[[#This Row],[Away Differential]]</f>
        <v>1.1712994606035343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0.69232205472725694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9.4665718007257066E-2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0.41344250185511977</v>
      </c>
      <c r="H207" t="s">
        <v>17</v>
      </c>
      <c r="I207">
        <f>VLOOKUP(Table4[[#This Row],[Visitor]],'NHL Model'!$A$6:$B$38,2,FALSE)</f>
        <v>-0.81774666423752174</v>
      </c>
      <c r="J207">
        <f>($B$1+Table4[[#This Row],[Home Differential]])-Table4[[#This Row],[Away Differential]]</f>
        <v>1.2810899150158039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0.72183222092408972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7.7377313316024432E-2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-0.33828359867721369</v>
      </c>
      <c r="H208" t="s">
        <v>40</v>
      </c>
      <c r="I208">
        <f>VLOOKUP(Table4[[#This Row],[Visitor]],'NHL Model'!$A$6:$B$38,2,FALSE)</f>
        <v>-0.31324182378279158</v>
      </c>
      <c r="J208">
        <f>($B$1+Table4[[#This Row],[Home Differential]])-Table4[[#This Row],[Away Differential]]</f>
        <v>2.4858974028740377E-2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0.52213342134089591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0.22835646699935772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-5.5124787449478845E-2</v>
      </c>
      <c r="H209" t="s">
        <v>29</v>
      </c>
      <c r="I209">
        <f>VLOOKUP(Table4[[#This Row],[Visitor]],'NHL Model'!$A$6:$B$38,2,FALSE)</f>
        <v>-1.384917283810061</v>
      </c>
      <c r="J209">
        <f>($B$1+Table4[[#This Row],[Home Differential]])-Table4[[#This Row],[Away Differential]]</f>
        <v>1.3796932452837445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0.70109954920586415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8.9341479484937633E-2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-0.59288962827382519</v>
      </c>
      <c r="H210" t="s">
        <v>27</v>
      </c>
      <c r="I210">
        <f>VLOOKUP(Table4[[#This Row],[Visitor]],'NHL Model'!$A$6:$B$38,2,FALSE)</f>
        <v>-0.38023958350631604</v>
      </c>
      <c r="J210">
        <f>($B$1+Table4[[#This Row],[Home Differential]])-Table4[[#This Row],[Away Differential]]</f>
        <v>-0.16274929584434672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0.52151594511207089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0.22894699078199476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-0.24093199744133265</v>
      </c>
      <c r="H211" t="s">
        <v>21</v>
      </c>
      <c r="I211">
        <f>VLOOKUP(Table4[[#This Row],[Visitor]],'NHL Model'!$A$6:$B$38,2,FALSE)</f>
        <v>-0.21976976044773161</v>
      </c>
      <c r="J211">
        <f>($B$1+Table4[[#This Row],[Home Differential]])-Table4[[#This Row],[Away Differential]]</f>
        <v>2.8738511929561422E-2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0.54252615233038282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0.29433462596240972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-0.29003398448394263</v>
      </c>
      <c r="H212" t="s">
        <v>25</v>
      </c>
      <c r="I212">
        <f>VLOOKUP(Table4[[#This Row],[Visitor]],'NHL Model'!$A$6:$B$38,2,FALSE)</f>
        <v>0.42567513732855267</v>
      </c>
      <c r="J212">
        <f>($B$1+Table4[[#This Row],[Home Differential]])-Table4[[#This Row],[Away Differential]]</f>
        <v>-0.66580837288933281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0.61036612327293382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0.15181455789336259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-0.24444083032063643</v>
      </c>
      <c r="H213" t="s">
        <v>26</v>
      </c>
      <c r="I213">
        <f>VLOOKUP(Table4[[#This Row],[Visitor]],'NHL Model'!$A$6:$B$38,2,FALSE)</f>
        <v>-0.87533956503230947</v>
      </c>
      <c r="J213">
        <f>($B$1+Table4[[#This Row],[Home Differential]])-Table4[[#This Row],[Away Differential]]</f>
        <v>0.68079948363483545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0.61949338759761874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0.144785282081936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-1.0657812790446208</v>
      </c>
      <c r="H214" t="s">
        <v>28</v>
      </c>
      <c r="I214">
        <f>VLOOKUP(Table4[[#This Row],[Visitor]],'NHL Model'!$A$6:$B$38,2,FALSE)</f>
        <v>-0.59498940435054026</v>
      </c>
      <c r="J214">
        <f>($B$1+Table4[[#This Row],[Home Differential]])-Table4[[#This Row],[Away Differential]]</f>
        <v>-0.42089112577091814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0.51272140978381853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0.26288324405070634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-0.64937723527808999</v>
      </c>
      <c r="H215" t="s">
        <v>33</v>
      </c>
      <c r="I215">
        <f>VLOOKUP(Table4[[#This Row],[Visitor]],'NHL Model'!$A$6:$B$38,2,FALSE)</f>
        <v>-0.45133099238224339</v>
      </c>
      <c r="J215">
        <f>($B$1+Table4[[#This Row],[Home Differential]])-Table4[[#This Row],[Away Differential]]</f>
        <v>-0.14814549397268417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0.47729817289275145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0.27321720006125594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-0.63447859131898054</v>
      </c>
      <c r="H216" t="s">
        <v>55</v>
      </c>
      <c r="I216">
        <f>VLOOKUP(Table4[[#This Row],[Visitor]],'NHL Model'!$A$6:$B$38,2,FALSE)</f>
        <v>-0.4031232890211825</v>
      </c>
      <c r="J216">
        <f>($B$1+Table4[[#This Row],[Home Differential]])-Table4[[#This Row],[Away Differential]]</f>
        <v>-0.18145455337463562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0.48118749718455961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0.23154140744674057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-0.9476777551108041</v>
      </c>
      <c r="H217" t="s">
        <v>10</v>
      </c>
      <c r="I217">
        <f>VLOOKUP(Table4[[#This Row],[Visitor]],'NHL Model'!$A$6:$B$38,2,FALSE)</f>
        <v>-0.17619625518431364</v>
      </c>
      <c r="J217">
        <f>($B$1+Table4[[#This Row],[Home Differential]])-Table4[[#This Row],[Away Differential]]</f>
        <v>-0.72158075100332808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0.54425520245143921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0.20770332049257867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0.4407072328537569</v>
      </c>
      <c r="H218" t="s">
        <v>35</v>
      </c>
      <c r="I218">
        <f>VLOOKUP(Table4[[#This Row],[Visitor]],'NHL Model'!$A$6:$B$38,2,FALSE)</f>
        <v>-1.3944783719477225</v>
      </c>
      <c r="J218">
        <f>($B$1+Table4[[#This Row],[Home Differential]])-Table4[[#This Row],[Away Differential]]</f>
        <v>1.8850863537246418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0.78614938953531521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4.5732083596118349E-2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-0.21976976044773161</v>
      </c>
      <c r="H219" t="s">
        <v>36</v>
      </c>
      <c r="I219">
        <f>VLOOKUP(Table4[[#This Row],[Visitor]],'NHL Model'!$A$6:$B$38,2,FALSE)</f>
        <v>-0.53137605086483863</v>
      </c>
      <c r="J219">
        <f>($B$1+Table4[[#This Row],[Home Differential]])-Table4[[#This Row],[Away Differential]]</f>
        <v>0.36150703934026951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0.62511283671022522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0.14054038519945425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-0.4761104357405897</v>
      </c>
      <c r="H220" t="s">
        <v>35</v>
      </c>
      <c r="I220">
        <f>VLOOKUP(Table4[[#This Row],[Visitor]],'NHL Model'!$A$6:$B$38,2,FALSE)</f>
        <v>-1.3944783719477225</v>
      </c>
      <c r="J220">
        <f>($B$1+Table4[[#This Row],[Home Differential]])-Table4[[#This Row],[Away Differential]]</f>
        <v>0.96826868513029529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0.66318190900357221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0.43981024442962235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0.42567513732855267</v>
      </c>
      <c r="H221" t="s">
        <v>34</v>
      </c>
      <c r="I221">
        <f>VLOOKUP(Table4[[#This Row],[Visitor]],'NHL Model'!$A$6:$B$38,2,FALSE)</f>
        <v>-5.5124787449478845E-2</v>
      </c>
      <c r="J221">
        <f>($B$1+Table4[[#This Row],[Home Differential]])-Table4[[#This Row],[Away Differential]]</f>
        <v>0.530700673701194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0.61196713623753951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0.15056950335969621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0.41344250185511977</v>
      </c>
      <c r="H222" t="s">
        <v>31</v>
      </c>
      <c r="I222">
        <f>VLOOKUP(Table4[[#This Row],[Visitor]],'NHL Model'!$A$6:$B$38,2,FALSE)</f>
        <v>0.17870302183926629</v>
      </c>
      <c r="J222">
        <f>($B$1+Table4[[#This Row],[Home Differential]])-Table4[[#This Row],[Away Differential]]</f>
        <v>0.28464022893901597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0.5849600856496151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0.34217830180320502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-0.33828359867721369</v>
      </c>
      <c r="H223" t="s">
        <v>11</v>
      </c>
      <c r="I223">
        <f>VLOOKUP(Table4[[#This Row],[Visitor]],'NHL Model'!$A$6:$B$38,2,FALSE)</f>
        <v>-0.39711829106410657</v>
      </c>
      <c r="J223">
        <f>($B$1+Table4[[#This Row],[Home Differential]])-Table4[[#This Row],[Away Differential]]</f>
        <v>0.10873544131005536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0.5526964675935252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0.30547338529036067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1.5302507646042616E-3</v>
      </c>
      <c r="H224" t="s">
        <v>18</v>
      </c>
      <c r="I224">
        <f>VLOOKUP(Table4[[#This Row],[Visitor]],'NHL Model'!$A$6:$B$38,2,FALSE)</f>
        <v>-0.59288962827382519</v>
      </c>
      <c r="J224">
        <f>($B$1+Table4[[#This Row],[Home Differential]])-Table4[[#This Row],[Away Differential]]</f>
        <v>0.64432062796159195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0.63773394280828299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0.13123669619323239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-1.384917283810061</v>
      </c>
      <c r="H225" t="s">
        <v>27</v>
      </c>
      <c r="I225">
        <f>VLOOKUP(Table4[[#This Row],[Visitor]],'NHL Model'!$A$6:$B$38,2,FALSE)</f>
        <v>-0.38023958350631604</v>
      </c>
      <c r="J225">
        <f>($B$1+Table4[[#This Row],[Home Differential]])-Table4[[#This Row],[Away Differential]]</f>
        <v>-0.95477695138058249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0.61399686338983206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0.14899842147288797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-0.14226422156549004</v>
      </c>
      <c r="H226" t="s">
        <v>22</v>
      </c>
      <c r="I226">
        <f>VLOOKUP(Table4[[#This Row],[Visitor]],'NHL Model'!$A$6:$B$38,2,FALSE)</f>
        <v>0.4407072328537569</v>
      </c>
      <c r="J226">
        <f>($B$1+Table4[[#This Row],[Home Differential]])-Table4[[#This Row],[Away Differential]]</f>
        <v>-0.53307070549608448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0.56475643524283603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0.31894983114819564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-0.24444083032063643</v>
      </c>
      <c r="H227" t="s">
        <v>37</v>
      </c>
      <c r="I227">
        <f>VLOOKUP(Table4[[#This Row],[Visitor]],'NHL Model'!$A$6:$B$38,2,FALSE)</f>
        <v>0.51050494674660429</v>
      </c>
      <c r="J227">
        <f>($B$1+Table4[[#This Row],[Home Differential]])-Table4[[#This Row],[Away Differential]]</f>
        <v>-0.70504502814407832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0.63481060060307437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0.13336329743188727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-1.0657812790446208</v>
      </c>
      <c r="H228" t="s">
        <v>10</v>
      </c>
      <c r="I228">
        <f>VLOOKUP(Table4[[#This Row],[Visitor]],'NHL Model'!$A$6:$B$38,2,FALSE)</f>
        <v>-0.17619625518431364</v>
      </c>
      <c r="J228">
        <f>($B$1+Table4[[#This Row],[Home Differential]])-Table4[[#This Row],[Away Differential]]</f>
        <v>-0.8396842749371447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0.55804553195432005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0.19532375182553993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-0.87533956503230947</v>
      </c>
      <c r="H229" t="s">
        <v>15</v>
      </c>
      <c r="I229">
        <f>VLOOKUP(Table4[[#This Row],[Visitor]],'NHL Model'!$A$6:$B$38,2,FALSE)</f>
        <v>-0.29003398448394263</v>
      </c>
      <c r="J229">
        <f>($B$1+Table4[[#This Row],[Home Differential]])-Table4[[#This Row],[Away Differential]]</f>
        <v>-0.53540483162520447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0.62259788249869552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0.14243235829446843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-0.24093199744133265</v>
      </c>
      <c r="H230" t="s">
        <v>34</v>
      </c>
      <c r="I230">
        <f>VLOOKUP(Table4[[#This Row],[Visitor]],'NHL Model'!$A$6:$B$38,2,FALSE)</f>
        <v>-5.5124787449478845E-2</v>
      </c>
      <c r="J230">
        <f>($B$1+Table4[[#This Row],[Home Differential]])-Table4[[#This Row],[Away Differential]]</f>
        <v>-0.13590646106869134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0.51838164798004693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0.23195623700241544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-0.45133099238224339</v>
      </c>
      <c r="H231" t="s">
        <v>40</v>
      </c>
      <c r="I231">
        <f>VLOOKUP(Table4[[#This Row],[Visitor]],'NHL Model'!$A$6:$B$38,2,FALSE)</f>
        <v>-0.31324182378279158</v>
      </c>
      <c r="J231">
        <f>($B$1+Table4[[#This Row],[Home Differential]])-Table4[[#This Row],[Away Differential]]</f>
        <v>-8.818841967628932E-2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0.48088553485950469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0.2312508976371119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0.42567513732855267</v>
      </c>
      <c r="H232" t="s">
        <v>23</v>
      </c>
      <c r="I232">
        <f>VLOOKUP(Table4[[#This Row],[Visitor]],'NHL Model'!$A$6:$B$38,2,FALSE)</f>
        <v>-0.4761104357405897</v>
      </c>
      <c r="J232">
        <f>($B$1+Table4[[#This Row],[Home Differential]])-Table4[[#This Row],[Away Differential]]</f>
        <v>0.95168632199230485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0.70283940031160697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8.8304422007165373E-2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-0.81774666423752174</v>
      </c>
      <c r="H233" t="s">
        <v>12</v>
      </c>
      <c r="I233">
        <f>VLOOKUP(Table4[[#This Row],[Visitor]],'NHL Model'!$A$6:$B$38,2,FALSE)</f>
        <v>1.6319036584269762</v>
      </c>
      <c r="J233">
        <f>($B$1+Table4[[#This Row],[Home Differential]])-Table4[[#This Row],[Away Differential]]</f>
        <v>-2.3997495737413352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0.80575362576568399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3.7731653903177946E-2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-0.59288962827382519</v>
      </c>
      <c r="H234" t="s">
        <v>55</v>
      </c>
      <c r="I234">
        <f>VLOOKUP(Table4[[#This Row],[Visitor]],'NHL Model'!$A$6:$B$38,2,FALSE)</f>
        <v>-0.4031232890211825</v>
      </c>
      <c r="J234">
        <f>($B$1+Table4[[#This Row],[Home Differential]])-Table4[[#This Row],[Away Differential]]</f>
        <v>-0.13986559032948026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0.47633137193975128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0.22689157589400569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1.5302507646042616E-3</v>
      </c>
      <c r="H235" t="s">
        <v>14</v>
      </c>
      <c r="I235">
        <f>VLOOKUP(Table4[[#This Row],[Visitor]],'NHL Model'!$A$6:$B$38,2,FALSE)</f>
        <v>-0.14226422156549004</v>
      </c>
      <c r="J235">
        <f>($B$1+Table4[[#This Row],[Home Differential]])-Table4[[#This Row],[Away Differential]]</f>
        <v>0.19369522125325678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0.60470632805755864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0.15625708707773844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-1.384917283810061</v>
      </c>
      <c r="H236" t="s">
        <v>39</v>
      </c>
      <c r="I236">
        <f>VLOOKUP(Table4[[#This Row],[Visitor]],'NHL Model'!$A$6:$B$38,2,FALSE)</f>
        <v>0.41344250185511977</v>
      </c>
      <c r="J236">
        <f>($B$1+Table4[[#This Row],[Home Differential]])-Table4[[#This Row],[Away Differential]]</f>
        <v>-1.7484590367420183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0.7659561507622451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5.4776523366024947E-2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-0.29003398448394263</v>
      </c>
      <c r="H237" t="s">
        <v>30</v>
      </c>
      <c r="I237">
        <f>VLOOKUP(Table4[[#This Row],[Visitor]],'NHL Model'!$A$6:$B$38,2,FALSE)</f>
        <v>-0.24093199744133265</v>
      </c>
      <c r="J237">
        <f>($B$1+Table4[[#This Row],[Home Differential]])-Table4[[#This Row],[Away Differential]]</f>
        <v>7.9876188055247321E-4</v>
      </c>
      <c r="K237" t="str">
        <f>IF(Table4[[#This Row],[HomeIce Differential]]&gt;0,Table4[[#This Row],[Home]],Table4[[#This Row],[Visitor]])</f>
        <v>New York Rangers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0.46747009813058232</v>
      </c>
      <c r="M237" t="str">
        <f>IF(OR((NHL2025_26Results[[#This Row],[Winning Team]]="")),"-",IF(Table4[[#This Row],[Predicted Winner]]=NHL2025_26Results[[#This Row],[Winning Team]],"YES","NO"))</f>
        <v>NO</v>
      </c>
      <c r="N237">
        <f>IF(Table4[[#This Row],[Adjusted Correct]]="-", "",IF(Table4[[#This Row],[Adjusted Correct]]="YES",(Table4[[#This Row],[Strength of Win]]-1)^2,(Table4[[#This Row],[Strength of Win]]-0)^2))</f>
        <v>0.21852829264621626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Rangers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-0.38023958350631604</v>
      </c>
      <c r="H238" t="s">
        <v>36</v>
      </c>
      <c r="I238">
        <f>VLOOKUP(Table4[[#This Row],[Visitor]],'NHL Model'!$A$6:$B$38,2,FALSE)</f>
        <v>-0.53137605086483863</v>
      </c>
      <c r="J238">
        <f>($B$1+Table4[[#This Row],[Home Differential]])-Table4[[#This Row],[Away Differential]]</f>
        <v>0.20103721628168508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0.5774906825970495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0.33349548848640614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-0.45133099238224339</v>
      </c>
      <c r="H239" t="s">
        <v>11</v>
      </c>
      <c r="I239">
        <f>VLOOKUP(Table4[[#This Row],[Visitor]],'NHL Model'!$A$6:$B$38,2,FALSE)</f>
        <v>-0.39711829106410657</v>
      </c>
      <c r="J239">
        <f>($B$1+Table4[[#This Row],[Home Differential]])-Table4[[#This Row],[Away Differential]]</f>
        <v>-4.3119523949743388E-3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0.45038123469323554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0.20284325656380331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-1.3944783719477225</v>
      </c>
      <c r="H240" t="s">
        <v>32</v>
      </c>
      <c r="I240">
        <f>VLOOKUP(Table4[[#This Row],[Visitor]],'NHL Model'!$A$6:$B$38,2,FALSE)</f>
        <v>-0.64937723527808999</v>
      </c>
      <c r="J240">
        <f>($B$1+Table4[[#This Row],[Home Differential]])-Table4[[#This Row],[Away Differential]]</f>
        <v>-0.69520038774647008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0.5411749056948274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0.21052046716415052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0.51050494674660429</v>
      </c>
      <c r="H241" t="s">
        <v>22</v>
      </c>
      <c r="I241">
        <f>VLOOKUP(Table4[[#This Row],[Visitor]],'NHL Model'!$A$6:$B$38,2,FALSE)</f>
        <v>0.4407072328537569</v>
      </c>
      <c r="J241">
        <f>($B$1+Table4[[#This Row],[Home Differential]])-Table4[[#This Row],[Away Differential]]</f>
        <v>0.11969846281600982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0.54409704408470561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0.20784750521230286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-0.63447859131898054</v>
      </c>
      <c r="H242" t="s">
        <v>21</v>
      </c>
      <c r="I242">
        <f>VLOOKUP(Table4[[#This Row],[Visitor]],'NHL Model'!$A$6:$B$38,2,FALSE)</f>
        <v>-0.21976976044773161</v>
      </c>
      <c r="J242">
        <f>($B$1+Table4[[#This Row],[Home Differential]])-Table4[[#This Row],[Away Differential]]</f>
        <v>-0.3648080819480865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0.50342622083801203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0.24658551815121879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-0.9476777551108041</v>
      </c>
      <c r="H243" t="s">
        <v>28</v>
      </c>
      <c r="I243">
        <f>VLOOKUP(Table4[[#This Row],[Visitor]],'NHL Model'!$A$6:$B$38,2,FALSE)</f>
        <v>-0.59498940435054026</v>
      </c>
      <c r="J243">
        <f>($B$1+Table4[[#This Row],[Home Differential]])-Table4[[#This Row],[Away Differential]]</f>
        <v>-0.30278760183710141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0.49893108028093769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0.24893222287030348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-0.24444083032063643</v>
      </c>
      <c r="H244" t="s">
        <v>31</v>
      </c>
      <c r="I244">
        <f>VLOOKUP(Table4[[#This Row],[Visitor]],'NHL Model'!$A$6:$B$38,2,FALSE)</f>
        <v>0.17870302183926629</v>
      </c>
      <c r="J244">
        <f>($B$1+Table4[[#This Row],[Home Differential]])-Table4[[#This Row],[Away Differential]]</f>
        <v>-0.37324310323674026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0.52435087174716466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0.22624209320768221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0.17870302183926629</v>
      </c>
      <c r="H245" t="s">
        <v>40</v>
      </c>
      <c r="I245">
        <f>VLOOKUP(Table4[[#This Row],[Visitor]],'NHL Model'!$A$6:$B$38,2,FALSE)</f>
        <v>-0.31324182378279158</v>
      </c>
      <c r="J245">
        <f>($B$1+Table4[[#This Row],[Home Differential]])-Table4[[#This Row],[Away Differential]]</f>
        <v>0.5418455945452203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0.66326847023337154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0.11338812313897378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0.41344250185511977</v>
      </c>
      <c r="H246" t="s">
        <v>32</v>
      </c>
      <c r="I246">
        <f>VLOOKUP(Table4[[#This Row],[Visitor]],'NHL Model'!$A$6:$B$38,2,FALSE)</f>
        <v>-0.64937723527808999</v>
      </c>
      <c r="J246">
        <f>($B$1+Table4[[#This Row],[Home Differential]])-Table4[[#This Row],[Away Differential]]</f>
        <v>1.1127204860563722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0.70217260513765822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8.8701157130489247E-2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-0.87533956503230947</v>
      </c>
      <c r="H247" t="s">
        <v>10</v>
      </c>
      <c r="I247">
        <f>VLOOKUP(Table4[[#This Row],[Visitor]],'NHL Model'!$A$6:$B$38,2,FALSE)</f>
        <v>-0.17619625518431364</v>
      </c>
      <c r="J247">
        <f>($B$1+Table4[[#This Row],[Home Differential]])-Table4[[#This Row],[Away Differential]]</f>
        <v>-0.64924256092483335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0.53580865112428755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0.21547360837105339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-5.5124787449478845E-2</v>
      </c>
      <c r="H248" t="s">
        <v>16</v>
      </c>
      <c r="I248">
        <f>VLOOKUP(Table4[[#This Row],[Visitor]],'NHL Model'!$A$6:$B$38,2,FALSE)</f>
        <v>-1.0657812790446208</v>
      </c>
      <c r="J248">
        <f>($B$1+Table4[[#This Row],[Home Differential]])-Table4[[#This Row],[Away Differential]]</f>
        <v>1.0605572405183044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0.66383571053823376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0.11300642950933416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-0.53137605086483863</v>
      </c>
      <c r="H249" t="s">
        <v>55</v>
      </c>
      <c r="I249">
        <f>VLOOKUP(Table4[[#This Row],[Visitor]],'NHL Model'!$A$6:$B$38,2,FALSE)</f>
        <v>-0.4031232890211825</v>
      </c>
      <c r="J249">
        <f>($B$1+Table4[[#This Row],[Home Differential]])-Table4[[#This Row],[Away Differential]]</f>
        <v>-7.8352012920493652E-2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0.46665327469730555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0.21776527878571891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-0.14226422156549004</v>
      </c>
      <c r="H250" t="s">
        <v>13</v>
      </c>
      <c r="I250">
        <f>VLOOKUP(Table4[[#This Row],[Visitor]],'NHL Model'!$A$6:$B$38,2,FALSE)</f>
        <v>-0.33828359867721369</v>
      </c>
      <c r="J250">
        <f>($B$1+Table4[[#This Row],[Home Differential]])-Table4[[#This Row],[Away Differential]]</f>
        <v>0.24592012603488611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0.5023990147629066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0.25240477003473927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-0.63447859131898054</v>
      </c>
      <c r="H251" t="s">
        <v>25</v>
      </c>
      <c r="I251">
        <f>VLOOKUP(Table4[[#This Row],[Visitor]],'NHL Model'!$A$6:$B$38,2,FALSE)</f>
        <v>0.42567513732855267</v>
      </c>
      <c r="J251">
        <f>($B$1+Table4[[#This Row],[Home Differential]])-Table4[[#This Row],[Away Differential]]</f>
        <v>-1.0102529797243709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0.6505851147604973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0.12209076202693485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-0.9476777551108041</v>
      </c>
      <c r="H252" t="s">
        <v>12</v>
      </c>
      <c r="I252">
        <f>VLOOKUP(Table4[[#This Row],[Visitor]],'NHL Model'!$A$6:$B$38,2,FALSE)</f>
        <v>1.6319036584269762</v>
      </c>
      <c r="J252">
        <f>($B$1+Table4[[#This Row],[Home Differential]])-Table4[[#This Row],[Away Differential]]</f>
        <v>-2.5296806646146179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0.82800072212355857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2.9583751590017311E-2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-0.81774666423752174</v>
      </c>
      <c r="H253" t="s">
        <v>28</v>
      </c>
      <c r="I253">
        <f>VLOOKUP(Table4[[#This Row],[Visitor]],'NHL Model'!$A$6:$B$38,2,FALSE)</f>
        <v>-0.59498940435054026</v>
      </c>
      <c r="J253">
        <f>($B$1+Table4[[#This Row],[Home Differential]])-Table4[[#This Row],[Away Differential]]</f>
        <v>-0.17285651096381904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0.47670528796548239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0.22724793157425349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1.5302507646042616E-3</v>
      </c>
      <c r="H254" t="s">
        <v>30</v>
      </c>
      <c r="I254">
        <f>VLOOKUP(Table4[[#This Row],[Visitor]],'NHL Model'!$A$6:$B$38,2,FALSE)</f>
        <v>-0.24093199744133265</v>
      </c>
      <c r="J254">
        <f>($B$1+Table4[[#This Row],[Home Differential]])-Table4[[#This Row],[Away Differential]]</f>
        <v>0.29236299712909936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0.58343346953258379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0.34039461337082838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-0.29003398448394263</v>
      </c>
      <c r="H255" t="s">
        <v>29</v>
      </c>
      <c r="I255">
        <f>VLOOKUP(Table4[[#This Row],[Visitor]],'NHL Model'!$A$6:$B$38,2,FALSE)</f>
        <v>-1.384917283810061</v>
      </c>
      <c r="J255">
        <f>($B$1+Table4[[#This Row],[Home Differential]])-Table4[[#This Row],[Away Differential]]</f>
        <v>1.1447840482492808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0.67367043343978616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0.10649098601137703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-0.24444083032063643</v>
      </c>
      <c r="H256" t="s">
        <v>11</v>
      </c>
      <c r="I256">
        <f>VLOOKUP(Table4[[#This Row],[Visitor]],'NHL Model'!$A$6:$B$38,2,FALSE)</f>
        <v>-0.39711829106410657</v>
      </c>
      <c r="J256">
        <f>($B$1+Table4[[#This Row],[Home Differential]])-Table4[[#This Row],[Away Differential]]</f>
        <v>0.20257820966663259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0.56365399581956632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0.31770582700336369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-0.21976976044773161</v>
      </c>
      <c r="H257" t="s">
        <v>19</v>
      </c>
      <c r="I257">
        <f>VLOOKUP(Table4[[#This Row],[Visitor]],'NHL Model'!$A$6:$B$38,2,FALSE)</f>
        <v>-0.63447859131898054</v>
      </c>
      <c r="J257">
        <f>($B$1+Table4[[#This Row],[Home Differential]])-Table4[[#This Row],[Away Differential]]</f>
        <v>0.46460957979441142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0.63715157999313932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0.13165897590147518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0.42567513732855267</v>
      </c>
      <c r="H258" t="s">
        <v>22</v>
      </c>
      <c r="I258">
        <f>VLOOKUP(Table4[[#This Row],[Visitor]],'NHL Model'!$A$6:$B$38,2,FALSE)</f>
        <v>0.4407072328537569</v>
      </c>
      <c r="J258">
        <f>($B$1+Table4[[#This Row],[Home Differential]])-Table4[[#This Row],[Away Differential]]</f>
        <v>3.4868653397958249E-2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0.55407142990880653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0.3069951494411895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1.6319036584269762</v>
      </c>
      <c r="H259" t="s">
        <v>31</v>
      </c>
      <c r="I259">
        <f>VLOOKUP(Table4[[#This Row],[Visitor]],'NHL Model'!$A$6:$B$38,2,FALSE)</f>
        <v>0.17870302183926629</v>
      </c>
      <c r="J259">
        <f>($B$1+Table4[[#This Row],[Home Differential]])-Table4[[#This Row],[Away Differential]]</f>
        <v>1.5031013855108724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0.8005092709515379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3.9796550976286919E-2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-5.5124787449478845E-2</v>
      </c>
      <c r="H260" t="s">
        <v>33</v>
      </c>
      <c r="I260">
        <f>VLOOKUP(Table4[[#This Row],[Visitor]],'NHL Model'!$A$6:$B$38,2,FALSE)</f>
        <v>-0.45133099238224339</v>
      </c>
      <c r="J260">
        <f>($B$1+Table4[[#This Row],[Home Differential]])-Table4[[#This Row],[Away Differential]]</f>
        <v>0.44610695385592702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0.59208957093140724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0.35057006000573793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-0.59288962827382519</v>
      </c>
      <c r="H261" t="s">
        <v>13</v>
      </c>
      <c r="I261">
        <f>VLOOKUP(Table4[[#This Row],[Visitor]],'NHL Model'!$A$6:$B$38,2,FALSE)</f>
        <v>-0.33828359867721369</v>
      </c>
      <c r="J261">
        <f>($B$1+Table4[[#This Row],[Home Differential]])-Table4[[#This Row],[Away Differential]]</f>
        <v>-0.20470528067344906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0.55021815222662374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0.20230371058643262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-0.53137605086483863</v>
      </c>
      <c r="H262" t="s">
        <v>39</v>
      </c>
      <c r="I262">
        <f>VLOOKUP(Table4[[#This Row],[Visitor]],'NHL Model'!$A$6:$B$38,2,FALSE)</f>
        <v>0.41344250185511977</v>
      </c>
      <c r="J262">
        <f>($B$1+Table4[[#This Row],[Home Differential]])-Table4[[#This Row],[Away Differential]]</f>
        <v>-0.89491780379679597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0.66381689553569467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0.11301907972725803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-0.64937723527808999</v>
      </c>
      <c r="H263" t="s">
        <v>28</v>
      </c>
      <c r="I263">
        <f>VLOOKUP(Table4[[#This Row],[Visitor]],'NHL Model'!$A$6:$B$38,2,FALSE)</f>
        <v>-0.59498940435054026</v>
      </c>
      <c r="J263">
        <f>($B$1+Table4[[#This Row],[Home Differential]])-Table4[[#This Row],[Away Differential]]</f>
        <v>-4.4870820043872994E-3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0.46410009198901336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0.28718871140618396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-1.3944783719477225</v>
      </c>
      <c r="H264" t="s">
        <v>16</v>
      </c>
      <c r="I264">
        <f>VLOOKUP(Table4[[#This Row],[Visitor]],'NHL Model'!$A$6:$B$38,2,FALSE)</f>
        <v>-1.0657812790446208</v>
      </c>
      <c r="J264">
        <f>($B$1+Table4[[#This Row],[Home Differential]])-Table4[[#This Row],[Away Differential]]</f>
        <v>-0.27879634397993924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0.49255358790002218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0.24260903695318489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-0.9476777551108041</v>
      </c>
      <c r="H265" t="s">
        <v>40</v>
      </c>
      <c r="I265">
        <f>VLOOKUP(Table4[[#This Row],[Visitor]],'NHL Model'!$A$6:$B$38,2,FALSE)</f>
        <v>-0.31324182378279158</v>
      </c>
      <c r="J265">
        <f>($B$1+Table4[[#This Row],[Home Differential]])-Table4[[#This Row],[Away Differential]]</f>
        <v>-0.58453518240485014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0.54902234043856335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0.20338084942351106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-0.17619625518431364</v>
      </c>
      <c r="H266" t="s">
        <v>24</v>
      </c>
      <c r="I266">
        <f>VLOOKUP(Table4[[#This Row],[Visitor]],'NHL Model'!$A$6:$B$38,2,FALSE)</f>
        <v>1.5302507646042616E-3</v>
      </c>
      <c r="J266">
        <f>($B$1+Table4[[#This Row],[Home Differential]])-Table4[[#This Row],[Away Differential]]</f>
        <v>-0.12782575702575544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0.49569477447551485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0.25432376049130179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-0.38023958350631604</v>
      </c>
      <c r="H267" t="s">
        <v>17</v>
      </c>
      <c r="I267">
        <f>VLOOKUP(Table4[[#This Row],[Visitor]],'NHL Model'!$A$6:$B$38,2,FALSE)</f>
        <v>-0.81774666423752174</v>
      </c>
      <c r="J267">
        <f>($B$1+Table4[[#This Row],[Home Differential]])-Table4[[#This Row],[Away Differential]]</f>
        <v>0.48740782965436819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0.61092867823691233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0.37323384989230074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0.51050494674660429</v>
      </c>
      <c r="H268" t="s">
        <v>15</v>
      </c>
      <c r="I268">
        <f>VLOOKUP(Table4[[#This Row],[Visitor]],'NHL Model'!$A$6:$B$38,2,FALSE)</f>
        <v>-0.29003398448394263</v>
      </c>
      <c r="J268">
        <f>($B$1+Table4[[#This Row],[Home Differential]])-Table4[[#This Row],[Away Differential]]</f>
        <v>0.8504396801537093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0.57162610749903808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0.32675640677450185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-0.4031232890211825</v>
      </c>
      <c r="H269" t="s">
        <v>23</v>
      </c>
      <c r="I269">
        <f>VLOOKUP(Table4[[#This Row],[Visitor]],'NHL Model'!$A$6:$B$38,2,FALSE)</f>
        <v>-0.4761104357405897</v>
      </c>
      <c r="J269">
        <f>($B$1+Table4[[#This Row],[Home Differential]])-Table4[[#This Row],[Away Differential]]</f>
        <v>0.12288789564256969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0.59478015295826725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0.16420312443652529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-0.59498940435054026</v>
      </c>
      <c r="H270" t="s">
        <v>17</v>
      </c>
      <c r="I270">
        <f>VLOOKUP(Table4[[#This Row],[Visitor]],'NHL Model'!$A$6:$B$38,2,FALSE)</f>
        <v>-0.81774666423752174</v>
      </c>
      <c r="J270">
        <f>($B$1+Table4[[#This Row],[Home Differential]])-Table4[[#This Row],[Away Differential]]</f>
        <v>0.2726580088101439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0.57183684667358736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0.18332368586641715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-1.0657812790446208</v>
      </c>
      <c r="H271" t="s">
        <v>33</v>
      </c>
      <c r="I271">
        <f>VLOOKUP(Table4[[#This Row],[Visitor]],'NHL Model'!$A$6:$B$38,2,FALSE)</f>
        <v>-0.45133099238224339</v>
      </c>
      <c r="J271">
        <f>($B$1+Table4[[#This Row],[Home Differential]])-Table4[[#This Row],[Away Differential]]</f>
        <v>-0.56454953773921501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0.52591949068755661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0.27659131068505893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1.6319036584269762</v>
      </c>
      <c r="H272" t="s">
        <v>23</v>
      </c>
      <c r="I272">
        <f>VLOOKUP(Table4[[#This Row],[Visitor]],'NHL Model'!$A$6:$B$38,2,FALSE)</f>
        <v>-0.4761104357405897</v>
      </c>
      <c r="J272">
        <f>($B$1+Table4[[#This Row],[Home Differential]])-Table4[[#This Row],[Away Differential]]</f>
        <v>2.1579148430907282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0.89629830338808214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1.0754041880190256E-2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-0.87533956503230947</v>
      </c>
      <c r="H273" t="s">
        <v>31</v>
      </c>
      <c r="I273">
        <f>VLOOKUP(Table4[[#This Row],[Visitor]],'NHL Model'!$A$6:$B$38,2,FALSE)</f>
        <v>0.17870302183926629</v>
      </c>
      <c r="J273">
        <f>($B$1+Table4[[#This Row],[Home Differential]])-Table4[[#This Row],[Away Differential]]</f>
        <v>-1.0041418379484133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0.59801761042551338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0.35762506237904107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-0.39711829106410657</v>
      </c>
      <c r="H274" t="s">
        <v>22</v>
      </c>
      <c r="I274">
        <f>VLOOKUP(Table4[[#This Row],[Visitor]],'NHL Model'!$A$6:$B$38,2,FALSE)</f>
        <v>0.4407072328537569</v>
      </c>
      <c r="J274">
        <f>($B$1+Table4[[#This Row],[Home Differential]])-Table4[[#This Row],[Away Differential]]</f>
        <v>-0.78792477499470093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0.58037393944359772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0.33683390958528081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-0.59288962827382519</v>
      </c>
      <c r="H275" t="s">
        <v>39</v>
      </c>
      <c r="I275">
        <f>VLOOKUP(Table4[[#This Row],[Visitor]],'NHL Model'!$A$6:$B$38,2,FALSE)</f>
        <v>0.41344250185511977</v>
      </c>
      <c r="J275">
        <f>($B$1+Table4[[#This Row],[Home Differential]])-Table4[[#This Row],[Away Differential]]</f>
        <v>-0.95643138120578253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0.67347523248448404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0.10661842380106175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-0.53137605086483863</v>
      </c>
      <c r="H276" t="s">
        <v>21</v>
      </c>
      <c r="I276">
        <f>VLOOKUP(Table4[[#This Row],[Visitor]],'NHL Model'!$A$6:$B$38,2,FALSE)</f>
        <v>-0.21976976044773161</v>
      </c>
      <c r="J276">
        <f>($B$1+Table4[[#This Row],[Home Differential]])-Table4[[#This Row],[Away Differential]]</f>
        <v>-0.26170554149394454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0.48889131780087369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0.23901472062107487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-0.64937723527808999</v>
      </c>
      <c r="H277" t="s">
        <v>40</v>
      </c>
      <c r="I277">
        <f>VLOOKUP(Table4[[#This Row],[Visitor]],'NHL Model'!$A$6:$B$38,2,FALSE)</f>
        <v>-0.31324182378279158</v>
      </c>
      <c r="J277">
        <f>($B$1+Table4[[#This Row],[Home Differential]])-Table4[[#This Row],[Away Differential]]</f>
        <v>-0.28623466257213598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0.51419135214663902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0.26439274662238893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-0.63447859131898054</v>
      </c>
      <c r="H278" t="s">
        <v>13</v>
      </c>
      <c r="I278">
        <f>VLOOKUP(Table4[[#This Row],[Visitor]],'NHL Model'!$A$6:$B$38,2,FALSE)</f>
        <v>-0.33828359867721369</v>
      </c>
      <c r="J278">
        <f>($B$1+Table4[[#This Row],[Home Differential]])-Table4[[#This Row],[Away Differential]]</f>
        <v>-0.24629424371860442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0.55507427747143212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0.19795889856756818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-0.24444083032063643</v>
      </c>
      <c r="H279" t="s">
        <v>30</v>
      </c>
      <c r="I279">
        <f>VLOOKUP(Table4[[#This Row],[Visitor]],'NHL Model'!$A$6:$B$38,2,FALSE)</f>
        <v>-0.24093199744133265</v>
      </c>
      <c r="J279">
        <f>($B$1+Table4[[#This Row],[Home Differential]])-Table4[[#This Row],[Away Differential]]</f>
        <v>4.6391916043858672E-2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0.47279377178607773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0.22353395063970574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0.42567513732855267</v>
      </c>
      <c r="H280" t="s">
        <v>38</v>
      </c>
      <c r="I280">
        <f>VLOOKUP(Table4[[#This Row],[Visitor]],'NHL Model'!$A$6:$B$38,2,FALSE)</f>
        <v>-0.9476777551108041</v>
      </c>
      <c r="J280">
        <f>($B$1+Table4[[#This Row],[Home Differential]])-Table4[[#This Row],[Away Differential]]</f>
        <v>1.4232536413625192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0.75442116247126945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6.0308965441962639E-2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-1.384917283810061</v>
      </c>
      <c r="H281" t="s">
        <v>14</v>
      </c>
      <c r="I281">
        <f>VLOOKUP(Table4[[#This Row],[Visitor]],'NHL Model'!$A$6:$B$38,2,FALSE)</f>
        <v>-0.14226422156549004</v>
      </c>
      <c r="J281">
        <f>($B$1+Table4[[#This Row],[Home Differential]])-Table4[[#This Row],[Away Differential]]</f>
        <v>-1.1927523133214084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0.63855816958625278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0.40775653594534556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-1.3944783719477225</v>
      </c>
      <c r="H282" t="s">
        <v>27</v>
      </c>
      <c r="I282">
        <f>VLOOKUP(Table4[[#This Row],[Visitor]],'NHL Model'!$A$6:$B$38,2,FALSE)</f>
        <v>-0.38023958350631604</v>
      </c>
      <c r="J282">
        <f>($B$1+Table4[[#This Row],[Home Differential]])-Table4[[#This Row],[Away Differential]]</f>
        <v>-0.96433803951824404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0.61511326154149359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0.14813780144122671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-0.4031232890211825</v>
      </c>
      <c r="H283" t="s">
        <v>30</v>
      </c>
      <c r="I283">
        <f>VLOOKUP(Table4[[#This Row],[Visitor]],'NHL Model'!$A$6:$B$38,2,FALSE)</f>
        <v>-0.24093199744133265</v>
      </c>
      <c r="J283">
        <f>($B$1+Table4[[#This Row],[Home Differential]])-Table4[[#This Row],[Away Differential]]</f>
        <v>-0.11229054265668736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0.50473168987713912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0.2452906990119543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0.42567513732855267</v>
      </c>
      <c r="H284" t="s">
        <v>17</v>
      </c>
      <c r="I284">
        <f>VLOOKUP(Table4[[#This Row],[Visitor]],'NHL Model'!$A$6:$B$38,2,FALSE)</f>
        <v>-0.81774666423752174</v>
      </c>
      <c r="J284">
        <f>($B$1+Table4[[#This Row],[Home Differential]])-Table4[[#This Row],[Away Differential]]</f>
        <v>1.2933225504892369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0.74273047217949051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0.55164855430396897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-0.59498940435054026</v>
      </c>
      <c r="H285" t="s">
        <v>15</v>
      </c>
      <c r="I285">
        <f>VLOOKUP(Table4[[#This Row],[Visitor]],'NHL Model'!$A$6:$B$38,2,FALSE)</f>
        <v>-0.29003398448394263</v>
      </c>
      <c r="J285">
        <f>($B$1+Table4[[#This Row],[Home Differential]])-Table4[[#This Row],[Away Differential]]</f>
        <v>-0.2550546709434352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0.5898628635660369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0.16821247068225126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-1.0657812790446208</v>
      </c>
      <c r="H286" t="s">
        <v>40</v>
      </c>
      <c r="I286">
        <f>VLOOKUP(Table4[[#This Row],[Visitor]],'NHL Model'!$A$6:$B$38,2,FALSE)</f>
        <v>-0.31324182378279158</v>
      </c>
      <c r="J286">
        <f>($B$1+Table4[[#This Row],[Home Differential]])-Table4[[#This Row],[Away Differential]]</f>
        <v>-0.70263870633866676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0.56281266994144419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0.19113276156372863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-0.17619625518431364</v>
      </c>
      <c r="H287" t="s">
        <v>19</v>
      </c>
      <c r="I287">
        <f>VLOOKUP(Table4[[#This Row],[Visitor]],'NHL Model'!$A$6:$B$38,2,FALSE)</f>
        <v>-0.63447859131898054</v>
      </c>
      <c r="J287">
        <f>($B$1+Table4[[#This Row],[Home Differential]])-Table4[[#This Row],[Away Differential]]</f>
        <v>0.50818308505782939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0.59933787542753747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0.16053013806691949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0.41344250185511977</v>
      </c>
      <c r="H288" t="s">
        <v>27</v>
      </c>
      <c r="I288">
        <f>VLOOKUP(Table4[[#This Row],[Visitor]],'NHL Model'!$A$6:$B$38,2,FALSE)</f>
        <v>-0.38023958350631604</v>
      </c>
      <c r="J288">
        <f>($B$1+Table4[[#This Row],[Home Differential]])-Table4[[#This Row],[Away Differential]]</f>
        <v>0.84358283428459835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0.62862122822447553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0.13792219212549708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-0.87533956503230947</v>
      </c>
      <c r="H289" t="s">
        <v>23</v>
      </c>
      <c r="I289">
        <f>VLOOKUP(Table4[[#This Row],[Visitor]],'NHL Model'!$A$6:$B$38,2,FALSE)</f>
        <v>-0.4761104357405897</v>
      </c>
      <c r="J289">
        <f>($B$1+Table4[[#This Row],[Home Differential]])-Table4[[#This Row],[Away Differential]]</f>
        <v>-0.34932838036855735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0.5007892441269548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0.24921137877933713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-0.39711829106410657</v>
      </c>
      <c r="H290" t="s">
        <v>37</v>
      </c>
      <c r="I290">
        <f>VLOOKUP(Table4[[#This Row],[Visitor]],'NHL Model'!$A$6:$B$38,2,FALSE)</f>
        <v>0.51050494674660429</v>
      </c>
      <c r="J290">
        <f>($B$1+Table4[[#This Row],[Home Differential]])-Table4[[#This Row],[Away Differential]]</f>
        <v>-0.85772248888754832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0.63861329811960532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0.13060034829598927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-5.5124787449478845E-2</v>
      </c>
      <c r="H291" t="s">
        <v>31</v>
      </c>
      <c r="I291">
        <f>VLOOKUP(Table4[[#This Row],[Visitor]],'NHL Model'!$A$6:$B$38,2,FALSE)</f>
        <v>0.17870302183926629</v>
      </c>
      <c r="J291">
        <f>($B$1+Table4[[#This Row],[Home Differential]])-Table4[[#This Row],[Away Differential]]</f>
        <v>-0.18392706036558265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0.50224542963658214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0.25225047159083497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-0.59288962827382519</v>
      </c>
      <c r="H292" t="s">
        <v>21</v>
      </c>
      <c r="I292">
        <f>VLOOKUP(Table4[[#This Row],[Visitor]],'NHL Model'!$A$6:$B$38,2,FALSE)</f>
        <v>-0.21976976044773161</v>
      </c>
      <c r="J292">
        <f>($B$1+Table4[[#This Row],[Home Differential]])-Table4[[#This Row],[Away Differential]]</f>
        <v>-0.32321911890293115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0.49857009559320375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0.25143194903340882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-0.53137605086483863</v>
      </c>
      <c r="H293" t="s">
        <v>13</v>
      </c>
      <c r="I293">
        <f>VLOOKUP(Table4[[#This Row],[Visitor]],'NHL Model'!$A$6:$B$38,2,FALSE)</f>
        <v>-0.33828359867721369</v>
      </c>
      <c r="J293">
        <f>($B$1+Table4[[#This Row],[Home Differential]])-Table4[[#This Row],[Away Differential]]</f>
        <v>-0.14319170326446246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0.54052926852435756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0.21111335308276191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-0.64937723527808999</v>
      </c>
      <c r="H294" t="s">
        <v>33</v>
      </c>
      <c r="I294">
        <f>VLOOKUP(Table4[[#This Row],[Visitor]],'NHL Model'!$A$6:$B$38,2,FALSE)</f>
        <v>-0.45133099238224339</v>
      </c>
      <c r="J294">
        <f>($B$1+Table4[[#This Row],[Home Differential]])-Table4[[#This Row],[Away Differential]]</f>
        <v>-0.14814549397268417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0.47729817289275145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0.22781354584675886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-1.3944783719477225</v>
      </c>
      <c r="H295" t="s">
        <v>20</v>
      </c>
      <c r="I295">
        <f>VLOOKUP(Table4[[#This Row],[Visitor]],'NHL Model'!$A$6:$B$38,2,FALSE)</f>
        <v>-0.24444083032063643</v>
      </c>
      <c r="J295">
        <f>($B$1+Table4[[#This Row],[Home Differential]])-Table4[[#This Row],[Away Differential]]</f>
        <v>-1.1001367927039236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0.58845720740840357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0.16936747013408976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0.4407072328537569</v>
      </c>
      <c r="H296" t="s">
        <v>24</v>
      </c>
      <c r="I296">
        <f>VLOOKUP(Table4[[#This Row],[Visitor]],'NHL Model'!$A$6:$B$38,2,FALSE)</f>
        <v>1.5302507646042616E-3</v>
      </c>
      <c r="J296">
        <f>($B$1+Table4[[#This Row],[Home Differential]])-Table4[[#This Row],[Away Differential]]</f>
        <v>0.48907773101231511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0.6025615888223681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0.3630804683241366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1.6319036584269762</v>
      </c>
      <c r="H297" t="s">
        <v>30</v>
      </c>
      <c r="I297">
        <f>VLOOKUP(Table4[[#This Row],[Visitor]],'NHL Model'!$A$6:$B$38,2,FALSE)</f>
        <v>-0.24093199744133265</v>
      </c>
      <c r="J297">
        <f>($B$1+Table4[[#This Row],[Home Differential]])-Table4[[#This Row],[Away Differential]]</f>
        <v>1.9227364047914712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0.79972909176145879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4.0108436686690195E-2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-5.5124787449478845E-2</v>
      </c>
      <c r="H298" t="s">
        <v>20</v>
      </c>
      <c r="I298">
        <f>VLOOKUP(Table4[[#This Row],[Visitor]],'NHL Model'!$A$6:$B$38,2,FALSE)</f>
        <v>-0.24444083032063643</v>
      </c>
      <c r="J298">
        <f>($B$1+Table4[[#This Row],[Home Differential]])-Table4[[#This Row],[Away Differential]]</f>
        <v>0.23921679179432004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0.56793209102985243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0.18668267796183574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-0.29003398448394263</v>
      </c>
      <c r="H299" t="s">
        <v>26</v>
      </c>
      <c r="I299">
        <f>VLOOKUP(Table4[[#This Row],[Visitor]],'NHL Model'!$A$6:$B$38,2,FALSE)</f>
        <v>-0.87533956503230947</v>
      </c>
      <c r="J299">
        <f>($B$1+Table4[[#This Row],[Home Differential]])-Table4[[#This Row],[Away Differential]]</f>
        <v>0.63520632947152933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0.61416971394212327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0.37720443752374955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-0.14226422156549004</v>
      </c>
      <c r="H300" t="s">
        <v>29</v>
      </c>
      <c r="I300">
        <f>VLOOKUP(Table4[[#This Row],[Visitor]],'NHL Model'!$A$6:$B$38,2,FALSE)</f>
        <v>-1.384917283810061</v>
      </c>
      <c r="J300">
        <f>($B$1+Table4[[#This Row],[Home Differential]])-Table4[[#This Row],[Away Differential]]</f>
        <v>1.2925538111677333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0.69092473418656142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9.5527519937647715E-2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0.51050494674660429</v>
      </c>
      <c r="H301" t="s">
        <v>38</v>
      </c>
      <c r="I301">
        <f>VLOOKUP(Table4[[#This Row],[Visitor]],'NHL Model'!$A$6:$B$38,2,FALSE)</f>
        <v>-0.9476777551108041</v>
      </c>
      <c r="J301">
        <f>($B$1+Table4[[#This Row],[Home Differential]])-Table4[[#This Row],[Away Differential]]</f>
        <v>1.5080834507805707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0.74481137974873002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0.55474399140320696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0.17870302183926629</v>
      </c>
      <c r="H302" t="s">
        <v>55</v>
      </c>
      <c r="I302">
        <f>VLOOKUP(Table4[[#This Row],[Visitor]],'NHL Model'!$A$6:$B$38,2,FALSE)</f>
        <v>-0.4031232890211825</v>
      </c>
      <c r="J302">
        <f>($B$1+Table4[[#This Row],[Home Differential]])-Table4[[#This Row],[Away Differential]]</f>
        <v>0.63172705978361121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0.69359816859950485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9.3882082285577456E-2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-0.21976976044773161</v>
      </c>
      <c r="H303" t="s">
        <v>25</v>
      </c>
      <c r="I303">
        <f>VLOOKUP(Table4[[#This Row],[Visitor]],'NHL Model'!$A$6:$B$38,2,FALSE)</f>
        <v>0.42567513732855267</v>
      </c>
      <c r="J303">
        <f>($B$1+Table4[[#This Row],[Home Differential]])-Table4[[#This Row],[Away Differential]]</f>
        <v>-0.59554414885312179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0.55862153841523121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0.19481494635093721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-0.4761104357405897</v>
      </c>
      <c r="H304" t="s">
        <v>17</v>
      </c>
      <c r="I304">
        <f>VLOOKUP(Table4[[#This Row],[Visitor]],'NHL Model'!$A$6:$B$38,2,FALSE)</f>
        <v>-0.81774666423752174</v>
      </c>
      <c r="J304">
        <f>($B$1+Table4[[#This Row],[Home Differential]])-Table4[[#This Row],[Away Differential]]</f>
        <v>0.39153697742009452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0.59583997017590651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0.16334532970741214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-0.59498940435054026</v>
      </c>
      <c r="H305" t="s">
        <v>18</v>
      </c>
      <c r="I305">
        <f>VLOOKUP(Table4[[#This Row],[Visitor]],'NHL Model'!$A$6:$B$38,2,FALSE)</f>
        <v>-0.59288962827382519</v>
      </c>
      <c r="J305">
        <f>($B$1+Table4[[#This Row],[Home Differential]])-Table4[[#This Row],[Away Differential]]</f>
        <v>4.7800972846447354E-2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0.48629363524393709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0.26389422919088917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-0.39711829106410657</v>
      </c>
      <c r="H306" t="s">
        <v>38</v>
      </c>
      <c r="I306">
        <f>VLOOKUP(Table4[[#This Row],[Visitor]],'NHL Model'!$A$6:$B$38,2,FALSE)</f>
        <v>-0.9476777551108041</v>
      </c>
      <c r="J306">
        <f>($B$1+Table4[[#This Row],[Home Differential]])-Table4[[#This Row],[Away Differential]]</f>
        <v>0.60046021296985996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0.62057130762080426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0.14396613260058636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0.4407072328537569</v>
      </c>
      <c r="H307" t="s">
        <v>13</v>
      </c>
      <c r="I307">
        <f>VLOOKUP(Table4[[#This Row],[Visitor]],'NHL Model'!$A$6:$B$38,2,FALSE)</f>
        <v>-0.33828359867721369</v>
      </c>
      <c r="J307">
        <f>($B$1+Table4[[#This Row],[Home Differential]])-Table4[[#This Row],[Away Differential]]</f>
        <v>0.82889158045413303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0.59678532558462649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0.16258207366389565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-0.17619625518431364</v>
      </c>
      <c r="H308" t="s">
        <v>16</v>
      </c>
      <c r="I308">
        <f>VLOOKUP(Table4[[#This Row],[Visitor]],'NHL Model'!$A$6:$B$38,2,FALSE)</f>
        <v>-1.0657812790446208</v>
      </c>
      <c r="J308">
        <f>($B$1+Table4[[#This Row],[Home Differential]])-Table4[[#This Row],[Away Differential]]</f>
        <v>0.93948577278346967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0.64969882979285987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0.12271090984849176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0.41344250185511977</v>
      </c>
      <c r="H309" t="s">
        <v>30</v>
      </c>
      <c r="I309">
        <f>VLOOKUP(Table4[[#This Row],[Visitor]],'NHL Model'!$A$6:$B$38,2,FALSE)</f>
        <v>-0.24093199744133265</v>
      </c>
      <c r="J309">
        <f>($B$1+Table4[[#This Row],[Home Differential]])-Table4[[#This Row],[Away Differential]]</f>
        <v>0.70427524821961485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0.58223452959044852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0.33899704744741088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-0.87533956503230947</v>
      </c>
      <c r="H310" t="s">
        <v>32</v>
      </c>
      <c r="I310">
        <f>VLOOKUP(Table4[[#This Row],[Visitor]],'NHL Model'!$A$6:$B$38,2,FALSE)</f>
        <v>-0.64937723527808999</v>
      </c>
      <c r="J310">
        <f>($B$1+Table4[[#This Row],[Home Differential]])-Table4[[#This Row],[Away Differential]]</f>
        <v>-0.17606158083105705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0.48055778804550281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0.23093578765118641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-0.45133099238224339</v>
      </c>
      <c r="H311" t="s">
        <v>55</v>
      </c>
      <c r="I311">
        <f>VLOOKUP(Table4[[#This Row],[Visitor]],'NHL Model'!$A$6:$B$38,2,FALSE)</f>
        <v>-0.4031232890211825</v>
      </c>
      <c r="J311">
        <f>($B$1+Table4[[#This Row],[Home Differential]])-Table4[[#This Row],[Away Differential]]</f>
        <v>1.6930455621015916E-3</v>
      </c>
      <c r="K311" t="str">
        <f>IF(Table4[[#This Row],[HomeIce Differential]]&gt;0,Table4[[#This Row],[Home]],Table4[[#This Row],[Visitor]])</f>
        <v>San Jose Sharks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0.55031993744569752</v>
      </c>
      <c r="M311" t="str">
        <f>IF(OR((NHL2025_26Results[[#This Row],[Winning Team]]="")),"-",IF(Table4[[#This Row],[Predicted Winner]]=NHL2025_26Results[[#This Row],[Winning Team]],"YES","NO"))</f>
        <v>YES</v>
      </c>
      <c r="N311">
        <f>IF(Table4[[#This Row],[Adjusted Correct]]="-", "",IF(Table4[[#This Row],[Adjusted Correct]]="YES",(Table4[[#This Row],[Strength of Win]]-1)^2,(Table4[[#This Row],[Strength of Win]]-0)^2))</f>
        <v>0.2022121586588414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0.51050494674660429</v>
      </c>
      <c r="H312" t="s">
        <v>24</v>
      </c>
      <c r="I312">
        <f>VLOOKUP(Table4[[#This Row],[Visitor]],'NHL Model'!$A$6:$B$38,2,FALSE)</f>
        <v>1.5302507646042616E-3</v>
      </c>
      <c r="J312">
        <f>($B$1+Table4[[#This Row],[Home Differential]])-Table4[[#This Row],[Away Differential]]</f>
        <v>0.5588754449051625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0.61698109453658201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0.14670348194239471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-0.63447859131898054</v>
      </c>
      <c r="H313" t="s">
        <v>35</v>
      </c>
      <c r="I313">
        <f>VLOOKUP(Table4[[#This Row],[Visitor]],'NHL Model'!$A$6:$B$38,2,FALSE)</f>
        <v>-1.3944783719477225</v>
      </c>
      <c r="J313">
        <f>($B$1+Table4[[#This Row],[Home Differential]])-Table4[[#This Row],[Away Differential]]</f>
        <v>0.80990052955190439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0.63456784010388434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0.13354066348634025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-0.24444083032063643</v>
      </c>
      <c r="H314" t="s">
        <v>15</v>
      </c>
      <c r="I314">
        <f>VLOOKUP(Table4[[#This Row],[Visitor]],'NHL Model'!$A$6:$B$38,2,FALSE)</f>
        <v>-0.29003398448394263</v>
      </c>
      <c r="J314">
        <f>($B$1+Table4[[#This Row],[Home Differential]])-Table4[[#This Row],[Away Differential]]</f>
        <v>9.5493903086468657E-2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0.45106885617965331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0.30132540065591412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-0.31324182378279158</v>
      </c>
      <c r="H315" t="s">
        <v>28</v>
      </c>
      <c r="I315">
        <f>VLOOKUP(Table4[[#This Row],[Visitor]],'NHL Model'!$A$6:$B$38,2,FALSE)</f>
        <v>-0.59498940435054026</v>
      </c>
      <c r="J315">
        <f>($B$1+Table4[[#This Row],[Home Differential]])-Table4[[#This Row],[Away Differential]]</f>
        <v>0.33164832949091116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0.57764699293668476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0.17838206257542483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0.17870302183926629</v>
      </c>
      <c r="H316" t="s">
        <v>21</v>
      </c>
      <c r="I316">
        <f>VLOOKUP(Table4[[#This Row],[Visitor]],'NHL Model'!$A$6:$B$38,2,FALSE)</f>
        <v>-0.21976976044773161</v>
      </c>
      <c r="J316">
        <f>($B$1+Table4[[#This Row],[Home Differential]])-Table4[[#This Row],[Away Differential]]</f>
        <v>0.44837353121016033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0.67140184633742717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0.10797674659045182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-0.4761104357405897</v>
      </c>
      <c r="H317" t="s">
        <v>16</v>
      </c>
      <c r="I317">
        <f>VLOOKUP(Table4[[#This Row],[Visitor]],'NHL Model'!$A$6:$B$38,2,FALSE)</f>
        <v>-1.0657812790446208</v>
      </c>
      <c r="J317">
        <f>($B$1+Table4[[#This Row],[Home Differential]])-Table4[[#This Row],[Away Differential]]</f>
        <v>0.63957159222719362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0.62480167218428018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0.39037712956427273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-5.5124787449478845E-2</v>
      </c>
      <c r="H318" t="s">
        <v>25</v>
      </c>
      <c r="I318">
        <f>VLOOKUP(Table4[[#This Row],[Visitor]],'NHL Model'!$A$6:$B$38,2,FALSE)</f>
        <v>0.42567513732855267</v>
      </c>
      <c r="J318">
        <f>($B$1+Table4[[#This Row],[Home Differential]])-Table4[[#This Row],[Away Differential]]</f>
        <v>-0.43089917585486903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0.58293700750685595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0.33981555472104824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0.4407072328537569</v>
      </c>
      <c r="H319" t="s">
        <v>17</v>
      </c>
      <c r="I319">
        <f>VLOOKUP(Table4[[#This Row],[Visitor]],'NHL Model'!$A$6:$B$38,2,FALSE)</f>
        <v>-0.81774666423752174</v>
      </c>
      <c r="J319">
        <f>($B$1+Table4[[#This Row],[Home Differential]])-Table4[[#This Row],[Away Differential]]</f>
        <v>1.3083546460144411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0.71880745070764951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7.9069249777530964E-2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0.17870302183926629</v>
      </c>
      <c r="H320" t="s">
        <v>36</v>
      </c>
      <c r="I320">
        <f>VLOOKUP(Table4[[#This Row],[Visitor]],'NHL Model'!$A$6:$B$38,2,FALSE)</f>
        <v>-0.53137605086483863</v>
      </c>
      <c r="J320">
        <f>($B$1+Table4[[#This Row],[Home Differential]])-Table4[[#This Row],[Away Differential]]</f>
        <v>0.7599798216272674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0.70857357142042021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0.50207650611548937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-0.17619625518431364</v>
      </c>
      <c r="H321" t="s">
        <v>32</v>
      </c>
      <c r="I321">
        <f>VLOOKUP(Table4[[#This Row],[Visitor]],'NHL Model'!$A$6:$B$38,2,FALSE)</f>
        <v>-0.64937723527808999</v>
      </c>
      <c r="J321">
        <f>($B$1+Table4[[#This Row],[Home Differential]])-Table4[[#This Row],[Away Differential]]</f>
        <v>0.52308172901693883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0.6010775119980547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0.3612941754297716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1.6319036584269762</v>
      </c>
      <c r="H322" t="s">
        <v>15</v>
      </c>
      <c r="I322">
        <f>VLOOKUP(Table4[[#This Row],[Visitor]],'NHL Model'!$A$6:$B$38,2,FALSE)</f>
        <v>-0.29003398448394263</v>
      </c>
      <c r="J322">
        <f>($B$1+Table4[[#This Row],[Home Differential]])-Table4[[#This Row],[Away Differential]]</f>
        <v>1.9718383918340812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0.77818643998368908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4.9201255407109568E-2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-0.87533956503230947</v>
      </c>
      <c r="H323" t="s">
        <v>30</v>
      </c>
      <c r="I323">
        <f>VLOOKUP(Table4[[#This Row],[Visitor]],'NHL Model'!$A$6:$B$38,2,FALSE)</f>
        <v>-0.24093199744133265</v>
      </c>
      <c r="J323">
        <f>($B$1+Table4[[#This Row],[Home Differential]])-Table4[[#This Row],[Away Differential]]</f>
        <v>-0.5845068186678144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0.6008729668922711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0.15930238855737813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-0.39711829106410657</v>
      </c>
      <c r="H324" t="s">
        <v>24</v>
      </c>
      <c r="I324">
        <f>VLOOKUP(Table4[[#This Row],[Visitor]],'NHL Model'!$A$6:$B$38,2,FALSE)</f>
        <v>1.5302507646042616E-3</v>
      </c>
      <c r="J324">
        <f>($B$1+Table4[[#This Row],[Home Differential]])-Table4[[#This Row],[Away Differential]]</f>
        <v>-0.34874779290554836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0.50738811863845579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0.25744270293547167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-0.59288962827382519</v>
      </c>
      <c r="H325" t="s">
        <v>22</v>
      </c>
      <c r="I325">
        <f>VLOOKUP(Table4[[#This Row],[Visitor]],'NHL Model'!$A$6:$B$38,2,FALSE)</f>
        <v>0.4407072328537569</v>
      </c>
      <c r="J325">
        <f>($B$1+Table4[[#This Row],[Home Differential]])-Table4[[#This Row],[Away Differential]]</f>
        <v>-0.98369611220441966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0.61737360223236648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0.14640296026863531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-0.38023958350631604</v>
      </c>
      <c r="H326" t="s">
        <v>35</v>
      </c>
      <c r="I326">
        <f>VLOOKUP(Table4[[#This Row],[Visitor]],'NHL Model'!$A$6:$B$38,2,FALSE)</f>
        <v>-1.3944783719477225</v>
      </c>
      <c r="J326">
        <f>($B$1+Table4[[#This Row],[Home Differential]])-Table4[[#This Row],[Away Differential]]</f>
        <v>1.064139537364569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0.67827061706457803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0.10350979584400739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-0.45133099238224339</v>
      </c>
      <c r="H327" t="s">
        <v>13</v>
      </c>
      <c r="I327">
        <f>VLOOKUP(Table4[[#This Row],[Visitor]],'NHL Model'!$A$6:$B$38,2,FALSE)</f>
        <v>-0.33828359867721369</v>
      </c>
      <c r="J327">
        <f>($B$1+Table4[[#This Row],[Home Differential]])-Table4[[#This Row],[Away Differential]]</f>
        <v>-6.3146644781867212E-2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0.52350233501430832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0.27405469476543309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0.51050494674660429</v>
      </c>
      <c r="H328" t="s">
        <v>17</v>
      </c>
      <c r="I328">
        <f>VLOOKUP(Table4[[#This Row],[Visitor]],'NHL Model'!$A$6:$B$38,2,FALSE)</f>
        <v>-0.81774666423752174</v>
      </c>
      <c r="J328">
        <f>($B$1+Table4[[#This Row],[Home Differential]])-Table4[[#This Row],[Away Differential]]</f>
        <v>1.3781523599072885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0.73316569390461539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7.1200546909405402E-2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-0.63447859131898054</v>
      </c>
      <c r="H329" t="s">
        <v>28</v>
      </c>
      <c r="I329">
        <f>VLOOKUP(Table4[[#This Row],[Visitor]],'NHL Model'!$A$6:$B$38,2,FALSE)</f>
        <v>-0.59498940435054026</v>
      </c>
      <c r="J329">
        <f>($B$1+Table4[[#This Row],[Home Differential]])-Table4[[#This Row],[Away Differential]]</f>
        <v>1.0411561954722148E-2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0.53763954458150376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0.28905627989780674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-0.4031232890211825</v>
      </c>
      <c r="H330" t="s">
        <v>20</v>
      </c>
      <c r="I330">
        <f>VLOOKUP(Table4[[#This Row],[Visitor]],'NHL Model'!$A$6:$B$38,2,FALSE)</f>
        <v>-0.24444083032063643</v>
      </c>
      <c r="J330">
        <f>($B$1+Table4[[#This Row],[Home Differential]])-Table4[[#This Row],[Away Differential]]</f>
        <v>-0.10878170977738358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0.4322706926738567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0.32231656639702255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-0.9476777551108041</v>
      </c>
      <c r="H331" t="s">
        <v>39</v>
      </c>
      <c r="I331">
        <f>VLOOKUP(Table4[[#This Row],[Visitor]],'NHL Model'!$A$6:$B$38,2,FALSE)</f>
        <v>0.41344250185511977</v>
      </c>
      <c r="J331">
        <f>($B$1+Table4[[#This Row],[Home Differential]])-Table4[[#This Row],[Away Differential]]</f>
        <v>-1.3112195080427616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0.71490198259173388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8.1280879530124014E-2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-0.4761104357405897</v>
      </c>
      <c r="H332" t="s">
        <v>10</v>
      </c>
      <c r="I332">
        <f>VLOOKUP(Table4[[#This Row],[Visitor]],'NHL Model'!$A$6:$B$38,2,FALSE)</f>
        <v>-0.17619625518431364</v>
      </c>
      <c r="J332">
        <f>($B$1+Table4[[#This Row],[Home Differential]])-Table4[[#This Row],[Away Differential]]</f>
        <v>-0.25001343163311357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0.47907050868930978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0.22950855229583403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-0.33828359867721369</v>
      </c>
      <c r="H333" t="s">
        <v>21</v>
      </c>
      <c r="I333">
        <f>VLOOKUP(Table4[[#This Row],[Visitor]],'NHL Model'!$A$6:$B$38,2,FALSE)</f>
        <v>-0.21976976044773161</v>
      </c>
      <c r="J333">
        <f>($B$1+Table4[[#This Row],[Home Differential]])-Table4[[#This Row],[Away Differential]]</f>
        <v>-6.8613089306319597E-2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0.46884108392099427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0.28212979413022432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-0.14226422156549004</v>
      </c>
      <c r="H334" t="s">
        <v>34</v>
      </c>
      <c r="I334">
        <f>VLOOKUP(Table4[[#This Row],[Visitor]],'NHL Model'!$A$6:$B$38,2,FALSE)</f>
        <v>-5.5124787449478845E-2</v>
      </c>
      <c r="J334">
        <f>($B$1+Table4[[#This Row],[Home Differential]])-Table4[[#This Row],[Away Differential]]</f>
        <v>-3.7238685192848738E-2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0.50686072891410305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0.24318634068712974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-0.31324182378279158</v>
      </c>
      <c r="H335" t="s">
        <v>25</v>
      </c>
      <c r="I335">
        <f>VLOOKUP(Table4[[#This Row],[Visitor]],'NHL Model'!$A$6:$B$38,2,FALSE)</f>
        <v>0.42567513732855267</v>
      </c>
      <c r="J335">
        <f>($B$1+Table4[[#This Row],[Home Differential]])-Table4[[#This Row],[Away Differential]]</f>
        <v>-0.68901621218818176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0.61057329385419101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0.15165315945957428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0.17870302183926629</v>
      </c>
      <c r="H336" t="s">
        <v>20</v>
      </c>
      <c r="I336">
        <f>VLOOKUP(Table4[[#This Row],[Visitor]],'NHL Model'!$A$6:$B$38,2,FALSE)</f>
        <v>-0.24444083032063643</v>
      </c>
      <c r="J336">
        <f>($B$1+Table4[[#This Row],[Home Differential]])-Table4[[#This Row],[Away Differential]]</f>
        <v>0.47304460108306517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0.67506964956027538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0.10557973263688225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-1.0657812790446208</v>
      </c>
      <c r="H337" t="s">
        <v>39</v>
      </c>
      <c r="I337">
        <f>VLOOKUP(Table4[[#This Row],[Visitor]],'NHL Model'!$A$6:$B$38,2,FALSE)</f>
        <v>0.41344250185511977</v>
      </c>
      <c r="J337">
        <f>($B$1+Table4[[#This Row],[Home Differential]])-Table4[[#This Row],[Away Differential]]</f>
        <v>-1.4293230319765782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0.72869231209461471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0.53099248570579538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-0.87533956503230947</v>
      </c>
      <c r="H338" t="s">
        <v>28</v>
      </c>
      <c r="I338">
        <f>VLOOKUP(Table4[[#This Row],[Visitor]],'NHL Model'!$A$6:$B$38,2,FALSE)</f>
        <v>-0.59498940435054026</v>
      </c>
      <c r="J338">
        <f>($B$1+Table4[[#This Row],[Home Differential]])-Table4[[#This Row],[Away Differential]]</f>
        <v>-0.23044941175860678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0.49048452895378603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0.24057507314301735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-0.39711829106410657</v>
      </c>
      <c r="H339" t="s">
        <v>17</v>
      </c>
      <c r="I339">
        <f>VLOOKUP(Table4[[#This Row],[Visitor]],'NHL Model'!$A$6:$B$38,2,FALSE)</f>
        <v>-0.81774666423752174</v>
      </c>
      <c r="J339">
        <f>($B$1+Table4[[#This Row],[Home Differential]])-Table4[[#This Row],[Away Differential]]</f>
        <v>0.47052912209657766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0.60895784001759612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0.37082965091889619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-0.59288962827382519</v>
      </c>
      <c r="H340" t="s">
        <v>19</v>
      </c>
      <c r="I340">
        <f>VLOOKUP(Table4[[#This Row],[Visitor]],'NHL Model'!$A$6:$B$38,2,FALSE)</f>
        <v>-0.63447859131898054</v>
      </c>
      <c r="J340">
        <f>($B$1+Table4[[#This Row],[Home Differential]])-Table4[[#This Row],[Away Differential]]</f>
        <v>9.1489711968317788E-2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0.55068277416407818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0.20188596943288878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-1.384917283810061</v>
      </c>
      <c r="H341" t="s">
        <v>12</v>
      </c>
      <c r="I341">
        <f>VLOOKUP(Table4[[#This Row],[Visitor]],'NHL Model'!$A$6:$B$38,2,FALSE)</f>
        <v>1.6319036584269762</v>
      </c>
      <c r="J341">
        <f>($B$1+Table4[[#This Row],[Home Differential]])-Table4[[#This Row],[Away Differential]]</f>
        <v>-2.9669201933138747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0.8790548902940698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1.4627719561779492E-2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-0.24093199744133265</v>
      </c>
      <c r="H342" t="s">
        <v>35</v>
      </c>
      <c r="I342">
        <f>VLOOKUP(Table4[[#This Row],[Visitor]],'NHL Model'!$A$6:$B$38,2,FALSE)</f>
        <v>-1.3944783719477225</v>
      </c>
      <c r="J342">
        <f>($B$1+Table4[[#This Row],[Home Differential]])-Table4[[#This Row],[Away Differential]]</f>
        <v>1.2034471234295523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0.68052021327227918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0.46310776067214837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-0.38023958350631604</v>
      </c>
      <c r="H343" t="s">
        <v>24</v>
      </c>
      <c r="I343">
        <f>VLOOKUP(Table4[[#This Row],[Visitor]],'NHL Model'!$A$6:$B$38,2,FALSE)</f>
        <v>1.5302507646042616E-3</v>
      </c>
      <c r="J343">
        <f>($B$1+Table4[[#This Row],[Home Differential]])-Table4[[#This Row],[Away Differential]]</f>
        <v>-0.33186908534775783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0.50541728041913958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0.25544662734627915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-0.14226422156549004</v>
      </c>
      <c r="H344" t="s">
        <v>32</v>
      </c>
      <c r="I344">
        <f>VLOOKUP(Table4[[#This Row],[Visitor]],'NHL Model'!$A$6:$B$38,2,FALSE)</f>
        <v>-0.64937723527808999</v>
      </c>
      <c r="J344">
        <f>($B$1+Table4[[#This Row],[Home Differential]])-Table4[[#This Row],[Away Differential]]</f>
        <v>0.55701376263576241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0.60503957772412587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0.36607289061258852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-0.45133099238224339</v>
      </c>
      <c r="H345" t="s">
        <v>36</v>
      </c>
      <c r="I345">
        <f>VLOOKUP(Table4[[#This Row],[Visitor]],'NHL Model'!$A$6:$B$38,2,FALSE)</f>
        <v>-0.53137605086483863</v>
      </c>
      <c r="J345">
        <f>($B$1+Table4[[#This Row],[Home Differential]])-Table4[[#This Row],[Away Differential]]</f>
        <v>0.12994580740575773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0.56529534026661288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0.31955882172714561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-0.4031232890211825</v>
      </c>
      <c r="H346" t="s">
        <v>15</v>
      </c>
      <c r="I346">
        <f>VLOOKUP(Table4[[#This Row],[Visitor]],'NHL Model'!$A$6:$B$38,2,FALSE)</f>
        <v>-0.29003398448394263</v>
      </c>
      <c r="J346">
        <f>($B$1+Table4[[#This Row],[Home Differential]])-Table4[[#This Row],[Away Differential]]</f>
        <v>-6.318855561407738E-2</v>
      </c>
      <c r="K346" t="str">
        <f>IF(Table4[[#This Row],[HomeIce Differential]]&gt;0,Table4[[#This Row],[Home]],Table4[[#This Row],[Visitor]])</f>
        <v>New York Rangers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0.52669150118549424</v>
      </c>
      <c r="M346" t="str">
        <f>IF(OR((NHL2025_26Results[[#This Row],[Winning Team]]="")),"-",IF(Table4[[#This Row],[Predicted Winner]]=NHL2025_26Results[[#This Row],[Winning Team]],"YES","NO"))</f>
        <v>NO</v>
      </c>
      <c r="N346">
        <f>IF(Table4[[#This Row],[Adjusted Correct]]="-", "",IF(Table4[[#This Row],[Adjusted Correct]]="YES",(Table4[[#This Row],[Strength of Win]]-1)^2,(Table4[[#This Row],[Strength of Win]]-0)^2))</f>
        <v>0.27740393742102948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0.4407072328537569</v>
      </c>
      <c r="H347" t="s">
        <v>37</v>
      </c>
      <c r="I347">
        <f>VLOOKUP(Table4[[#This Row],[Visitor]],'NHL Model'!$A$6:$B$38,2,FALSE)</f>
        <v>0.51050494674660429</v>
      </c>
      <c r="J347">
        <f>($B$1+Table4[[#This Row],[Home Differential]])-Table4[[#This Row],[Away Differential]]</f>
        <v>-1.9896964969684905E-2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0.52863905379213916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0.22218114160996988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-0.4761104357405897</v>
      </c>
      <c r="H348" t="s">
        <v>25</v>
      </c>
      <c r="I348">
        <f>VLOOKUP(Table4[[#This Row],[Visitor]],'NHL Model'!$A$6:$B$38,2,FALSE)</f>
        <v>0.42567513732855267</v>
      </c>
      <c r="J348">
        <f>($B$1+Table4[[#This Row],[Home Differential]])-Table4[[#This Row],[Away Differential]]</f>
        <v>-0.85188482414597988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0.62191910573354303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0.38678337407640989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-0.17619625518431364</v>
      </c>
      <c r="H349" t="s">
        <v>12</v>
      </c>
      <c r="I349">
        <f>VLOOKUP(Table4[[#This Row],[Visitor]],'NHL Model'!$A$6:$B$38,2,FALSE)</f>
        <v>1.6319036584269762</v>
      </c>
      <c r="J349">
        <f>($B$1+Table4[[#This Row],[Home Differential]])-Table4[[#This Row],[Away Differential]]</f>
        <v>-1.7581991646881274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0.73791887075284956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6.8686518307461572E-2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-0.24093199744133265</v>
      </c>
      <c r="H350" t="s">
        <v>32</v>
      </c>
      <c r="I350">
        <f>VLOOKUP(Table4[[#This Row],[Visitor]],'NHL Model'!$A$6:$B$38,2,FALSE)</f>
        <v>-0.64937723527808999</v>
      </c>
      <c r="J350">
        <f>($B$1+Table4[[#This Row],[Home Differential]])-Table4[[#This Row],[Away Differential]]</f>
        <v>0.45834598675991978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0.59351865865818199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0.16522708085904358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-0.45133099238224339</v>
      </c>
      <c r="H351" t="s">
        <v>21</v>
      </c>
      <c r="I351">
        <f>VLOOKUP(Table4[[#This Row],[Visitor]],'NHL Model'!$A$6:$B$38,2,FALSE)</f>
        <v>-0.21976976044773161</v>
      </c>
      <c r="J351">
        <f>($B$1+Table4[[#This Row],[Home Differential]])-Table4[[#This Row],[Away Differential]]</f>
        <v>-0.18166048301134929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0.47191576786106304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0.22270449195589673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-0.9476777551108041</v>
      </c>
      <c r="H352" t="s">
        <v>16</v>
      </c>
      <c r="I352">
        <f>VLOOKUP(Table4[[#This Row],[Visitor]],'NHL Model'!$A$6:$B$38,2,FALSE)</f>
        <v>-1.0657812790446208</v>
      </c>
      <c r="J352">
        <f>($B$1+Table4[[#This Row],[Home Differential]])-Table4[[#This Row],[Away Differential]]</f>
        <v>0.16800427285697916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0.55961697842215075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0.31317116253833793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-0.31324182378279158</v>
      </c>
      <c r="H353" t="s">
        <v>34</v>
      </c>
      <c r="I353">
        <f>VLOOKUP(Table4[[#This Row],[Visitor]],'NHL Model'!$A$6:$B$38,2,FALSE)</f>
        <v>-5.5124787449478845E-2</v>
      </c>
      <c r="J353">
        <f>($B$1+Table4[[#This Row],[Home Differential]])-Table4[[#This Row],[Away Differential]]</f>
        <v>-0.20821628741015025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0.52431232460821053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0.22627876451964446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-0.33828359867721369</v>
      </c>
      <c r="H354" t="s">
        <v>36</v>
      </c>
      <c r="I354">
        <f>VLOOKUP(Table4[[#This Row],[Visitor]],'NHL Model'!$A$6:$B$38,2,FALSE)</f>
        <v>-0.53137605086483863</v>
      </c>
      <c r="J354">
        <f>($B$1+Table4[[#This Row],[Home Differential]])-Table4[[#This Row],[Away Differential]]</f>
        <v>0.24299320111078743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0.56837304255337362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0.18630183039463183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1.5302507646042616E-3</v>
      </c>
      <c r="H355" t="s">
        <v>26</v>
      </c>
      <c r="I355">
        <f>VLOOKUP(Table4[[#This Row],[Visitor]],'NHL Model'!$A$6:$B$38,2,FALSE)</f>
        <v>-0.87533956503230947</v>
      </c>
      <c r="J355">
        <f>($B$1+Table4[[#This Row],[Home Differential]])-Table4[[#This Row],[Away Differential]]</f>
        <v>0.92677056472007624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0.72804885233218297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7.395742671784282E-2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-1.384917283810061</v>
      </c>
      <c r="H356" t="s">
        <v>11</v>
      </c>
      <c r="I356">
        <f>VLOOKUP(Table4[[#This Row],[Visitor]],'NHL Model'!$A$6:$B$38,2,FALSE)</f>
        <v>-0.39711829106410657</v>
      </c>
      <c r="J356">
        <f>($B$1+Table4[[#This Row],[Home Differential]])-Table4[[#This Row],[Away Differential]]</f>
        <v>-0.93789824382279197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0.56951346235644551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0.18531865909233547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-0.29003398448394263</v>
      </c>
      <c r="H357" t="s">
        <v>35</v>
      </c>
      <c r="I357">
        <f>VLOOKUP(Table4[[#This Row],[Visitor]],'NHL Model'!$A$6:$B$38,2,FALSE)</f>
        <v>-1.3944783719477225</v>
      </c>
      <c r="J357">
        <f>($B$1+Table4[[#This Row],[Home Differential]])-Table4[[#This Row],[Away Differential]]</f>
        <v>1.1543451363869424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0.67478683159144781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0.10576360490632933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0.51050494674660429</v>
      </c>
      <c r="H358" t="s">
        <v>27</v>
      </c>
      <c r="I358">
        <f>VLOOKUP(Table4[[#This Row],[Visitor]],'NHL Model'!$A$6:$B$38,2,FALSE)</f>
        <v>-0.38023958350631604</v>
      </c>
      <c r="J358">
        <f>($B$1+Table4[[#This Row],[Home Differential]])-Table4[[#This Row],[Away Differential]]</f>
        <v>0.94064527917608276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0.6399547012050012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0.12963261718437996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-0.4031232890211825</v>
      </c>
      <c r="H359" t="s">
        <v>20</v>
      </c>
      <c r="I359">
        <f>VLOOKUP(Table4[[#This Row],[Visitor]],'NHL Model'!$A$6:$B$38,2,FALSE)</f>
        <v>-0.24444083032063643</v>
      </c>
      <c r="J359">
        <f>($B$1+Table4[[#This Row],[Home Differential]])-Table4[[#This Row],[Away Differential]]</f>
        <v>-0.10878170977738358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0.4322706926738567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0.18685795174473588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0.4407072328537569</v>
      </c>
      <c r="H360" t="s">
        <v>28</v>
      </c>
      <c r="I360">
        <f>VLOOKUP(Table4[[#This Row],[Visitor]],'NHL Model'!$A$6:$B$38,2,FALSE)</f>
        <v>-0.59498940435054026</v>
      </c>
      <c r="J360">
        <f>($B$1+Table4[[#This Row],[Home Differential]])-Table4[[#This Row],[Away Differential]]</f>
        <v>1.0855973861274597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0.68925951710427547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9.6559647710268079E-2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-0.81774666423752174</v>
      </c>
      <c r="H361" t="s">
        <v>39</v>
      </c>
      <c r="I361">
        <f>VLOOKUP(Table4[[#This Row],[Visitor]],'NHL Model'!$A$6:$B$38,2,FALSE)</f>
        <v>0.41344250185511977</v>
      </c>
      <c r="J361">
        <f>($B$1+Table4[[#This Row],[Home Differential]])-Table4[[#This Row],[Away Differential]]</f>
        <v>-1.1812884171694791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0.69272737782519755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9.4416464338178893E-2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0.17870302183926629</v>
      </c>
      <c r="H362" t="s">
        <v>38</v>
      </c>
      <c r="I362">
        <f>VLOOKUP(Table4[[#This Row],[Visitor]],'NHL Model'!$A$6:$B$38,2,FALSE)</f>
        <v>-0.9476777551108041</v>
      </c>
      <c r="J362">
        <f>($B$1+Table4[[#This Row],[Home Differential]])-Table4[[#This Row],[Away Differential]]</f>
        <v>1.1762815258732329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0.75378658498635764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0.56819421570539541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0.42567513732855267</v>
      </c>
      <c r="H363" t="s">
        <v>15</v>
      </c>
      <c r="I363">
        <f>VLOOKUP(Table4[[#This Row],[Visitor]],'NHL Model'!$A$6:$B$38,2,FALSE)</f>
        <v>-0.29003398448394263</v>
      </c>
      <c r="J363">
        <f>($B$1+Table4[[#This Row],[Home Differential]])-Table4[[#This Row],[Away Differential]]</f>
        <v>0.76560987073565778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0.58170394431130978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0.33837947882733538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-0.59498940435054026</v>
      </c>
      <c r="H364" t="s">
        <v>19</v>
      </c>
      <c r="I364">
        <f>VLOOKUP(Table4[[#This Row],[Visitor]],'NHL Model'!$A$6:$B$38,2,FALSE)</f>
        <v>-0.63447859131898054</v>
      </c>
      <c r="J364">
        <f>($B$1+Table4[[#This Row],[Home Differential]])-Table4[[#This Row],[Away Differential]]</f>
        <v>8.9389935891602712E-2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0.55043759431663863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0.30298154523708848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-0.17619625518431364</v>
      </c>
      <c r="H365" t="s">
        <v>34</v>
      </c>
      <c r="I365">
        <f>VLOOKUP(Table4[[#This Row],[Visitor]],'NHL Model'!$A$6:$B$38,2,FALSE)</f>
        <v>-5.5124787449478845E-2</v>
      </c>
      <c r="J365">
        <f>($B$1+Table4[[#This Row],[Home Differential]])-Table4[[#This Row],[Away Differential]]</f>
        <v>-7.1170718811672334E-2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0.51082279464017433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0.23929433824364907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1.6319036584269762</v>
      </c>
      <c r="H366" t="s">
        <v>33</v>
      </c>
      <c r="I366">
        <f>VLOOKUP(Table4[[#This Row],[Visitor]],'NHL Model'!$A$6:$B$38,2,FALSE)</f>
        <v>-0.45133099238224339</v>
      </c>
      <c r="J366">
        <f>($B$1+Table4[[#This Row],[Home Differential]])-Table4[[#This Row],[Away Differential]]</f>
        <v>2.1331353997323821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0.89340493765751294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1.1362507315798702E-2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-0.87533956503230947</v>
      </c>
      <c r="H367" t="s">
        <v>29</v>
      </c>
      <c r="I367">
        <f>VLOOKUP(Table4[[#This Row],[Visitor]],'NHL Model'!$A$6:$B$38,2,FALSE)</f>
        <v>-1.384917283810061</v>
      </c>
      <c r="J367">
        <f>($B$1+Table4[[#This Row],[Home Differential]])-Table4[[#This Row],[Away Differential]]</f>
        <v>0.55947846770091392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0.60532736841693291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0.36642122295456925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-0.39711829106410657</v>
      </c>
      <c r="H368" t="s">
        <v>27</v>
      </c>
      <c r="I368">
        <f>VLOOKUP(Table4[[#This Row],[Visitor]],'NHL Model'!$A$6:$B$38,2,FALSE)</f>
        <v>-0.38023958350631604</v>
      </c>
      <c r="J368">
        <f>($B$1+Table4[[#This Row],[Home Differential]])-Table4[[#This Row],[Away Differential]]</f>
        <v>3.3022041365371957E-2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0.51548371767669787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0.26572346318978957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1.5302507646042616E-3</v>
      </c>
      <c r="H369" t="s">
        <v>35</v>
      </c>
      <c r="I369">
        <f>VLOOKUP(Table4[[#This Row],[Visitor]],'NHL Model'!$A$6:$B$38,2,FALSE)</f>
        <v>-1.3944783719477225</v>
      </c>
      <c r="J369">
        <f>($B$1+Table4[[#This Row],[Home Differential]])-Table4[[#This Row],[Away Differential]]</f>
        <v>1.4459093716354892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0.78866596998150751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4.4662072243857084E-2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-0.24093199744133265</v>
      </c>
      <c r="H370" t="s">
        <v>21</v>
      </c>
      <c r="I370">
        <f>VLOOKUP(Table4[[#This Row],[Visitor]],'NHL Model'!$A$6:$B$38,2,FALSE)</f>
        <v>-0.21976976044773161</v>
      </c>
      <c r="J370">
        <f>($B$1+Table4[[#This Row],[Home Differential]])-Table4[[#This Row],[Away Differential]]</f>
        <v>2.8738511929561422E-2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0.54252615233038282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0.29433462596240972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-0.14226422156549004</v>
      </c>
      <c r="H371" t="s">
        <v>23</v>
      </c>
      <c r="I371">
        <f>VLOOKUP(Table4[[#This Row],[Visitor]],'NHL Model'!$A$6:$B$38,2,FALSE)</f>
        <v>-0.4761104357405897</v>
      </c>
      <c r="J371">
        <f>($B$1+Table4[[#This Row],[Home Differential]])-Table4[[#This Row],[Away Differential]]</f>
        <v>0.38374696309826212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0.58480812164267382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0.17238429585388473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-0.64937723527808999</v>
      </c>
      <c r="H372" t="s">
        <v>39</v>
      </c>
      <c r="I372">
        <f>VLOOKUP(Table4[[#This Row],[Visitor]],'NHL Model'!$A$6:$B$38,2,FALSE)</f>
        <v>0.41344250185511977</v>
      </c>
      <c r="J372">
        <f>($B$1+Table4[[#This Row],[Home Differential]])-Table4[[#This Row],[Away Differential]]</f>
        <v>-1.0129189882100473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0.68007099429980955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0.1023545686883125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0.51050494674660429</v>
      </c>
      <c r="H373" t="s">
        <v>16</v>
      </c>
      <c r="I373">
        <f>VLOOKUP(Table4[[#This Row],[Visitor]],'NHL Model'!$A$6:$B$38,2,FALSE)</f>
        <v>-1.0657812790446208</v>
      </c>
      <c r="J373">
        <f>($B$1+Table4[[#This Row],[Home Differential]])-Table4[[#This Row],[Away Differential]]</f>
        <v>1.6261869747143876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0.76212739591298906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5.6583375775135857E-2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-0.4031232890211825</v>
      </c>
      <c r="H374" t="s">
        <v>18</v>
      </c>
      <c r="I374">
        <f>VLOOKUP(Table4[[#This Row],[Visitor]],'NHL Model'!$A$6:$B$38,2,FALSE)</f>
        <v>-0.59288962827382519</v>
      </c>
      <c r="J374">
        <f>($B$1+Table4[[#This Row],[Home Differential]])-Table4[[#This Row],[Away Differential]]</f>
        <v>0.23966708817580518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0.54972380021307365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0.30219625652070331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-0.24444083032063643</v>
      </c>
      <c r="H375" t="s">
        <v>36</v>
      </c>
      <c r="I375">
        <f>VLOOKUP(Table4[[#This Row],[Visitor]],'NHL Model'!$A$6:$B$38,2,FALSE)</f>
        <v>-0.53137605086483863</v>
      </c>
      <c r="J375">
        <f>($B$1+Table4[[#This Row],[Home Differential]])-Table4[[#This Row],[Away Differential]]</f>
        <v>0.33683596946736466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0.57933057077941474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0.33562391023960247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0.4407072328537569</v>
      </c>
      <c r="H376" t="s">
        <v>40</v>
      </c>
      <c r="I376">
        <f>VLOOKUP(Table4[[#This Row],[Visitor]],'NHL Model'!$A$6:$B$38,2,FALSE)</f>
        <v>-0.31324182378279158</v>
      </c>
      <c r="J376">
        <f>($B$1+Table4[[#This Row],[Home Differential]])-Table4[[#This Row],[Away Differential]]</f>
        <v>0.80384980555971097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0.63931587423002867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0.1300930385824485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0.17870302183926629</v>
      </c>
      <c r="H377" t="s">
        <v>13</v>
      </c>
      <c r="I377">
        <f>VLOOKUP(Table4[[#This Row],[Visitor]],'NHL Model'!$A$6:$B$38,2,FALSE)</f>
        <v>-0.33828359867721369</v>
      </c>
      <c r="J377">
        <f>($B$1+Table4[[#This Row],[Home Differential]])-Table4[[#This Row],[Away Differential]]</f>
        <v>0.56688736943964246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0.62174802259807027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0.14307455840846997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-0.21976976044773161</v>
      </c>
      <c r="H378" t="s">
        <v>15</v>
      </c>
      <c r="I378">
        <f>VLOOKUP(Table4[[#This Row],[Visitor]],'NHL Model'!$A$6:$B$38,2,FALSE)</f>
        <v>-0.29003398448394263</v>
      </c>
      <c r="J378">
        <f>($B$1+Table4[[#This Row],[Home Differential]])-Table4[[#This Row],[Away Differential]]</f>
        <v>0.12016497295937348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0.497252510611498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0.24726005930943792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-0.4761104357405897</v>
      </c>
      <c r="H379" t="s">
        <v>24</v>
      </c>
      <c r="I379">
        <f>VLOOKUP(Table4[[#This Row],[Visitor]],'NHL Model'!$A$6:$B$38,2,FALSE)</f>
        <v>1.5302507646042616E-3</v>
      </c>
      <c r="J379">
        <f>($B$1+Table4[[#This Row],[Home Differential]])-Table4[[#This Row],[Away Differential]]</f>
        <v>-0.42773993758203149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0.52053318599773446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0.22988842572948309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0.42567513732855267</v>
      </c>
      <c r="H380" t="s">
        <v>40</v>
      </c>
      <c r="I380">
        <f>VLOOKUP(Table4[[#This Row],[Visitor]],'NHL Model'!$A$6:$B$38,2,FALSE)</f>
        <v>-0.31324182378279158</v>
      </c>
      <c r="J380">
        <f>($B$1+Table4[[#This Row],[Home Differential]])-Table4[[#This Row],[Away Differential]]</f>
        <v>0.78881771003450674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0.66353468119359138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0.1132089107594982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-0.59498940435054026</v>
      </c>
      <c r="H381" t="s">
        <v>14</v>
      </c>
      <c r="I381">
        <f>VLOOKUP(Table4[[#This Row],[Visitor]],'NHL Model'!$A$6:$B$38,2,FALSE)</f>
        <v>-0.14226422156549004</v>
      </c>
      <c r="J381">
        <f>($B$1+Table4[[#This Row],[Home Differential]])-Table4[[#This Row],[Away Differential]]</f>
        <v>-0.40282443386188782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0.54632243115593127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0.20582333647226472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-0.17619625518431364</v>
      </c>
      <c r="H382" t="s">
        <v>29</v>
      </c>
      <c r="I382">
        <f>VLOOKUP(Table4[[#This Row],[Visitor]],'NHL Model'!$A$6:$B$38,2,FALSE)</f>
        <v>-1.384917283810061</v>
      </c>
      <c r="J382">
        <f>($B$1+Table4[[#This Row],[Home Differential]])-Table4[[#This Row],[Away Differential]]</f>
        <v>1.2586217775489097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0.68696266846049026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0.47191770785835746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0.41344250185511977</v>
      </c>
      <c r="H383" t="s">
        <v>55</v>
      </c>
      <c r="I383">
        <f>VLOOKUP(Table4[[#This Row],[Visitor]],'NHL Model'!$A$6:$B$38,2,FALSE)</f>
        <v>-0.4031232890211825</v>
      </c>
      <c r="J383">
        <f>($B$1+Table4[[#This Row],[Home Differential]])-Table4[[#This Row],[Away Differential]]</f>
        <v>0.86646653979946475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0.67341882246331153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0.10665526552125003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-0.87533956503230947</v>
      </c>
      <c r="H384" t="s">
        <v>37</v>
      </c>
      <c r="I384">
        <f>VLOOKUP(Table4[[#This Row],[Visitor]],'NHL Model'!$A$6:$B$38,2,FALSE)</f>
        <v>0.51050494674660429</v>
      </c>
      <c r="J384">
        <f>($B$1+Table4[[#This Row],[Home Differential]])-Table4[[#This Row],[Away Differential]]</f>
        <v>-1.3359437628557513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0.70847733928142309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8.4985461712438509E-2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-0.39711829106410657</v>
      </c>
      <c r="H385" t="s">
        <v>16</v>
      </c>
      <c r="I385">
        <f>VLOOKUP(Table4[[#This Row],[Visitor]],'NHL Model'!$A$6:$B$38,2,FALSE)</f>
        <v>-1.0657812790446208</v>
      </c>
      <c r="J385">
        <f>($B$1+Table4[[#This Row],[Home Differential]])-Table4[[#This Row],[Away Differential]]</f>
        <v>0.71856373690367681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0.63791954202596979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0.40694134209862304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-5.5124787449478845E-2</v>
      </c>
      <c r="H386" t="s">
        <v>12</v>
      </c>
      <c r="I386">
        <f>VLOOKUP(Table4[[#This Row],[Visitor]],'NHL Model'!$A$6:$B$38,2,FALSE)</f>
        <v>1.6319036584269762</v>
      </c>
      <c r="J386">
        <f>($B$1+Table4[[#This Row],[Home Differential]])-Table4[[#This Row],[Away Differential]]</f>
        <v>-1.6371276969532926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0.72378199000747556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0.52386036905918143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-0.24093199744133265</v>
      </c>
      <c r="H387" t="s">
        <v>27</v>
      </c>
      <c r="I387">
        <f>VLOOKUP(Table4[[#This Row],[Visitor]],'NHL Model'!$A$6:$B$38,2,FALSE)</f>
        <v>-0.38023958350631604</v>
      </c>
      <c r="J387">
        <f>($B$1+Table4[[#This Row],[Home Differential]])-Table4[[#This Row],[Away Differential]]</f>
        <v>0.18920833498814585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0.51958030281151568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0.26996369106970636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-0.45133099238224339</v>
      </c>
      <c r="H388" t="s">
        <v>38</v>
      </c>
      <c r="I388">
        <f>VLOOKUP(Table4[[#This Row],[Visitor]],'NHL Model'!$A$6:$B$38,2,FALSE)</f>
        <v>-0.9476777551108041</v>
      </c>
      <c r="J388">
        <f>($B$1+Table4[[#This Row],[Home Differential]])-Table4[[#This Row],[Away Differential]]</f>
        <v>0.54624751165172314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0.61034116347665668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0.1518340088807256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-1.3944783719477225</v>
      </c>
      <c r="H389" t="s">
        <v>36</v>
      </c>
      <c r="I389">
        <f>VLOOKUP(Table4[[#This Row],[Visitor]],'NHL Model'!$A$6:$B$38,2,FALSE)</f>
        <v>-0.53137605086483863</v>
      </c>
      <c r="J389">
        <f>($B$1+Table4[[#This Row],[Home Differential]])-Table4[[#This Row],[Away Differential]]</f>
        <v>-0.81320157215972144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0.55495328554825873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0.3079731491408072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-0.24444083032063643</v>
      </c>
      <c r="H390" t="s">
        <v>18</v>
      </c>
      <c r="I390">
        <f>VLOOKUP(Table4[[#This Row],[Visitor]],'NHL Model'!$A$6:$B$38,2,FALSE)</f>
        <v>-0.59288962827382519</v>
      </c>
      <c r="J390">
        <f>($B$1+Table4[[#This Row],[Home Differential]])-Table4[[#This Row],[Away Differential]]</f>
        <v>0.39834954687635121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0.5272253549896273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0.2779665749439385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0.4407072328537569</v>
      </c>
      <c r="H391" t="s">
        <v>19</v>
      </c>
      <c r="I391">
        <f>VLOOKUP(Table4[[#This Row],[Visitor]],'NHL Model'!$A$6:$B$38,2,FALSE)</f>
        <v>-0.63447859131898054</v>
      </c>
      <c r="J391">
        <f>($B$1+Table4[[#This Row],[Home Differential]])-Table4[[#This Row],[Away Differential]]</f>
        <v>1.1250865730958999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0.69740819835070078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9.1561798425368837E-2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-0.21976976044773161</v>
      </c>
      <c r="H392" t="s">
        <v>26</v>
      </c>
      <c r="I392">
        <f>VLOOKUP(Table4[[#This Row],[Visitor]],'NHL Model'!$A$6:$B$38,2,FALSE)</f>
        <v>-0.87533956503230947</v>
      </c>
      <c r="J392">
        <f>($B$1+Table4[[#This Row],[Home Differential]])-Table4[[#This Row],[Away Differential]]</f>
        <v>0.70547055350774035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0.66527565352842921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0.11204038812082016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1.6319036584269762</v>
      </c>
      <c r="H393" t="s">
        <v>18</v>
      </c>
      <c r="I393">
        <f>VLOOKUP(Table4[[#This Row],[Visitor]],'NHL Model'!$A$6:$B$38,2,FALSE)</f>
        <v>-0.59288962827382519</v>
      </c>
      <c r="J393">
        <f>($B$1+Table4[[#This Row],[Home Differential]])-Table4[[#This Row],[Away Differential]]</f>
        <v>2.2746940356239636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0.85383939486463922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2.1362922493534851E-2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-0.33828359867721369</v>
      </c>
      <c r="H394" t="s">
        <v>38</v>
      </c>
      <c r="I394">
        <f>VLOOKUP(Table4[[#This Row],[Visitor]],'NHL Model'!$A$6:$B$38,2,FALSE)</f>
        <v>-0.9476777551108041</v>
      </c>
      <c r="J394">
        <f>($B$1+Table4[[#This Row],[Home Differential]])-Table4[[#This Row],[Away Differential]]</f>
        <v>0.65929490535675295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0.61340625175833186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0.14945472617954228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-5.5124787449478845E-2</v>
      </c>
      <c r="H395" t="s">
        <v>23</v>
      </c>
      <c r="I395">
        <f>VLOOKUP(Table4[[#This Row],[Visitor]],'NHL Model'!$A$6:$B$38,2,FALSE)</f>
        <v>-0.4761104357405897</v>
      </c>
      <c r="J395">
        <f>($B$1+Table4[[#This Row],[Home Differential]])-Table4[[#This Row],[Away Differential]]</f>
        <v>0.47088639721427333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0.59498293666197655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0.35400469491890957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1.5302507646042616E-3</v>
      </c>
      <c r="H396" t="s">
        <v>27</v>
      </c>
      <c r="I396">
        <f>VLOOKUP(Table4[[#This Row],[Visitor]],'NHL Model'!$A$6:$B$38,2,FALSE)</f>
        <v>-0.38023958350631604</v>
      </c>
      <c r="J396">
        <f>($B$1+Table4[[#This Row],[Home Differential]])-Table4[[#This Row],[Away Differential]]</f>
        <v>0.43167058319408275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0.62935128001206531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0.39608303365282505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-1.384917283810061</v>
      </c>
      <c r="H397" t="s">
        <v>40</v>
      </c>
      <c r="I397">
        <f>VLOOKUP(Table4[[#This Row],[Visitor]],'NHL Model'!$A$6:$B$38,2,FALSE)</f>
        <v>-0.31324182378279158</v>
      </c>
      <c r="J397">
        <f>($B$1+Table4[[#This Row],[Home Differential]])-Table4[[#This Row],[Away Differential]]</f>
        <v>-1.0217747111041069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0.60007650860907469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0.1599387989663075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-0.29003398448394263</v>
      </c>
      <c r="H398" t="s">
        <v>37</v>
      </c>
      <c r="I398">
        <f>VLOOKUP(Table4[[#This Row],[Visitor]],'NHL Model'!$A$6:$B$38,2,FALSE)</f>
        <v>0.51050494674660429</v>
      </c>
      <c r="J398">
        <f>($B$1+Table4[[#This Row],[Home Differential]])-Table4[[#This Row],[Away Differential]]</f>
        <v>-0.75063818230738444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0.64013427425856984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0.12950334056340623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-0.14226422156549004</v>
      </c>
      <c r="H399" t="s">
        <v>19</v>
      </c>
      <c r="I399">
        <f>VLOOKUP(Table4[[#This Row],[Visitor]],'NHL Model'!$A$6:$B$38,2,FALSE)</f>
        <v>-0.63447859131898054</v>
      </c>
      <c r="J399">
        <f>($B$1+Table4[[#This Row],[Home Differential]])-Table4[[#This Row],[Away Differential]]</f>
        <v>0.54211511867665296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0.60329994115360863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0.36397081899594763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-0.64937723527808999</v>
      </c>
      <c r="H400" t="s">
        <v>17</v>
      </c>
      <c r="I400">
        <f>VLOOKUP(Table4[[#This Row],[Visitor]],'NHL Model'!$A$6:$B$38,2,FALSE)</f>
        <v>-0.81774666423752174</v>
      </c>
      <c r="J400">
        <f>($B$1+Table4[[#This Row],[Home Differential]])-Table4[[#This Row],[Away Differential]]</f>
        <v>0.21827017788259417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0.5654862647057014</v>
      </c>
      <c r="M400" t="str">
        <f>IF(OR((NHL2025_26Results[[#This Row],[Winning Team]]="")),"-",IF(Table4[[#This Row],[Predicted Winner]]=NHL2025_26Results[[#This Row],[Winning Team]],"YES","NO"))</f>
        <v>NO</v>
      </c>
      <c r="N400">
        <f>IF(Table4[[#This Row],[Adjusted Correct]]="-", "",IF(Table4[[#This Row],[Adjusted Correct]]="YES",(Table4[[#This Row],[Strength of Win]]-1)^2,(Table4[[#This Row],[Strength of Win]]-0)^2))</f>
        <v>0.31977471557080661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-1.3944783719477225</v>
      </c>
      <c r="H401" t="s">
        <v>55</v>
      </c>
      <c r="I401">
        <f>VLOOKUP(Table4[[#This Row],[Visitor]],'NHL Model'!$A$6:$B$38,2,FALSE)</f>
        <v>-0.4031232890211825</v>
      </c>
      <c r="J401">
        <f>($B$1+Table4[[#This Row],[Home Differential]])-Table4[[#This Row],[Away Differential]]</f>
        <v>-0.94145433400337764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0.5699286883691741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0.32481870982620714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-0.24444083032063643</v>
      </c>
      <c r="H402" t="s">
        <v>33</v>
      </c>
      <c r="I402">
        <f>VLOOKUP(Table4[[#This Row],[Visitor]],'NHL Model'!$A$6:$B$38,2,FALSE)</f>
        <v>-0.45133099238224339</v>
      </c>
      <c r="J402">
        <f>($B$1+Table4[[#This Row],[Home Differential]])-Table4[[#This Row],[Away Differential]]</f>
        <v>0.25679091098476942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0.56998412882082472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0.18491364946598507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0.42567513732855267</v>
      </c>
      <c r="H403" t="s">
        <v>16</v>
      </c>
      <c r="I403">
        <f>VLOOKUP(Table4[[#This Row],[Visitor]],'NHL Model'!$A$6:$B$38,2,FALSE)</f>
        <v>-1.0657812790446208</v>
      </c>
      <c r="J403">
        <f>($B$1+Table4[[#This Row],[Home Differential]])-Table4[[#This Row],[Away Differential]]</f>
        <v>1.541357165296336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0.77169217418786418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5.2124463327064552E-2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-0.17619625518431364</v>
      </c>
      <c r="H404" t="s">
        <v>31</v>
      </c>
      <c r="I404">
        <f>VLOOKUP(Table4[[#This Row],[Visitor]],'NHL Model'!$A$6:$B$38,2,FALSE)</f>
        <v>0.17870302183926629</v>
      </c>
      <c r="J404">
        <f>($B$1+Table4[[#This Row],[Home Differential]])-Table4[[#This Row],[Away Differential]]</f>
        <v>-0.3049985281004175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0.51638231038195603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0.26665069047540679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0.41344250185511977</v>
      </c>
      <c r="H405" t="s">
        <v>36</v>
      </c>
      <c r="I405">
        <f>VLOOKUP(Table4[[#This Row],[Visitor]],'NHL Model'!$A$6:$B$38,2,FALSE)</f>
        <v>-0.53137605086483863</v>
      </c>
      <c r="J405">
        <f>($B$1+Table4[[#This Row],[Home Differential]])-Table4[[#This Row],[Away Differential]]</f>
        <v>0.99471930164312083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0.68839422528422689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9.7098158836217141E-2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-0.24093199744133265</v>
      </c>
      <c r="H406" t="s">
        <v>22</v>
      </c>
      <c r="I406">
        <f>VLOOKUP(Table4[[#This Row],[Visitor]],'NHL Model'!$A$6:$B$38,2,FALSE)</f>
        <v>0.4407072328537569</v>
      </c>
      <c r="J406">
        <f>($B$1+Table4[[#This Row],[Home Differential]])-Table4[[#This Row],[Away Differential]]</f>
        <v>-0.63173848137192712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0.57627735430877991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0.17954088047156724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-0.4761104357405897</v>
      </c>
      <c r="H407" t="s">
        <v>40</v>
      </c>
      <c r="I407">
        <f>VLOOKUP(Table4[[#This Row],[Visitor]],'NHL Model'!$A$6:$B$38,2,FALSE)</f>
        <v>-0.31324182378279158</v>
      </c>
      <c r="J407">
        <f>($B$1+Table4[[#This Row],[Home Differential]])-Table4[[#This Row],[Away Differential]]</f>
        <v>-0.11296786303463563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0.48377890059007395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0.23404202465614066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1.5302507646042616E-3</v>
      </c>
      <c r="H408" t="s">
        <v>28</v>
      </c>
      <c r="I408">
        <f>VLOOKUP(Table4[[#This Row],[Visitor]],'NHL Model'!$A$6:$B$38,2,FALSE)</f>
        <v>-0.59498940435054026</v>
      </c>
      <c r="J408">
        <f>($B$1+Table4[[#This Row],[Home Differential]])-Table4[[#This Row],[Away Differential]]</f>
        <v>0.64642040403830703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0.69191747882010612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0.47874979749677199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-0.38023958350631604</v>
      </c>
      <c r="H409" t="s">
        <v>14</v>
      </c>
      <c r="I409">
        <f>VLOOKUP(Table4[[#This Row],[Visitor]],'NHL Model'!$A$6:$B$38,2,FALSE)</f>
        <v>-0.14226422156549004</v>
      </c>
      <c r="J409">
        <f>($B$1+Table4[[#This Row],[Home Differential]])-Table4[[#This Row],[Away Differential]]</f>
        <v>-0.18807461301766351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0.50710900170447515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0.24294153620075909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-0.45133099238224339</v>
      </c>
      <c r="H410" t="s">
        <v>55</v>
      </c>
      <c r="I410">
        <f>VLOOKUP(Table4[[#This Row],[Visitor]],'NHL Model'!$A$6:$B$38,2,FALSE)</f>
        <v>-0.4031232890211825</v>
      </c>
      <c r="J410">
        <f>($B$1+Table4[[#This Row],[Home Differential]])-Table4[[#This Row],[Away Differential]]</f>
        <v>1.6930455621015916E-3</v>
      </c>
      <c r="K410" t="str">
        <f>IF(Table4[[#This Row],[HomeIce Differential]]&gt;0,Table4[[#This Row],[Home]],Table4[[#This Row],[Visitor]])</f>
        <v>San Jose Sharks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0.55031993744569752</v>
      </c>
      <c r="M410" t="str">
        <f>IF(OR((NHL2025_26Results[[#This Row],[Winning Team]]="")),"-",IF(Table4[[#This Row],[Predicted Winner]]=NHL2025_26Results[[#This Row],[Winning Team]],"YES","NO"))</f>
        <v>YES</v>
      </c>
      <c r="N410">
        <f>IF(Table4[[#This Row],[Adjusted Correct]]="-", "",IF(Table4[[#This Row],[Adjusted Correct]]="YES",(Table4[[#This Row],[Strength of Win]]-1)^2,(Table4[[#This Row],[Strength of Win]]-0)^2))</f>
        <v>0.2022121586588414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-1.3944783719477225</v>
      </c>
      <c r="H411" t="s">
        <v>31</v>
      </c>
      <c r="I411">
        <f>VLOOKUP(Table4[[#This Row],[Visitor]],'NHL Model'!$A$6:$B$38,2,FALSE)</f>
        <v>0.17870302183926629</v>
      </c>
      <c r="J411">
        <f>($B$1+Table4[[#This Row],[Home Differential]])-Table4[[#This Row],[Away Differential]]</f>
        <v>-1.5232806448638263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0.65863472807483803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0.11653024887653977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1.6319036584269762</v>
      </c>
      <c r="H412" t="s">
        <v>38</v>
      </c>
      <c r="I412">
        <f>VLOOKUP(Table4[[#This Row],[Visitor]],'NHL Model'!$A$6:$B$38,2,FALSE)</f>
        <v>-0.9476777551108041</v>
      </c>
      <c r="J412">
        <f>($B$1+Table4[[#This Row],[Home Differential]])-Table4[[#This Row],[Away Differential]]</f>
        <v>2.6294821624609428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0.94805649187988317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O412">
        <v>2.6294821624609428</v>
      </c>
      <c r="P412" s="11">
        <v>0.94805649187988317</v>
      </c>
      <c r="Q412" t="s">
        <v>12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-0.87533956503230947</v>
      </c>
      <c r="H413" t="s">
        <v>21</v>
      </c>
      <c r="I413">
        <f>VLOOKUP(Table4[[#This Row],[Visitor]],'NHL Model'!$A$6:$B$38,2,FALSE)</f>
        <v>-0.21976976044773161</v>
      </c>
      <c r="J413">
        <f>($B$1+Table4[[#This Row],[Home Differential]])-Table4[[#This Row],[Away Differential]]</f>
        <v>-0.60566905566141549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0.53155029437330192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O413">
        <v>-0.60566905566141549</v>
      </c>
      <c r="P413" s="11">
        <v>0.53155029437330192</v>
      </c>
      <c r="Q413" t="s">
        <v>21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-0.81774666423752174</v>
      </c>
      <c r="H414" t="s">
        <v>34</v>
      </c>
      <c r="I414">
        <f>VLOOKUP(Table4[[#This Row],[Visitor]],'NHL Model'!$A$6:$B$38,2,FALSE)</f>
        <v>-5.5124787449478845E-2</v>
      </c>
      <c r="J414">
        <f>($B$1+Table4[[#This Row],[Home Differential]])-Table4[[#This Row],[Away Differential]]</f>
        <v>-0.71272112786488051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0.57863355472801747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O414">
        <v>-0.71272112786488051</v>
      </c>
      <c r="P414" s="11">
        <v>0.57863355472801747</v>
      </c>
      <c r="Q414" t="s">
        <v>34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-0.39711829106410657</v>
      </c>
      <c r="H415" t="s">
        <v>19</v>
      </c>
      <c r="I415">
        <f>VLOOKUP(Table4[[#This Row],[Visitor]],'NHL Model'!$A$6:$B$38,2,FALSE)</f>
        <v>-0.63447859131898054</v>
      </c>
      <c r="J415">
        <f>($B$1+Table4[[#This Row],[Home Differential]])-Table4[[#This Row],[Away Differential]]</f>
        <v>0.28726104917803646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0.58755858766064739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O415">
        <v>0.28726104917803646</v>
      </c>
      <c r="P415" s="11">
        <v>0.58755858766064739</v>
      </c>
      <c r="Q415" t="s">
        <v>11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-0.33828359867721369</v>
      </c>
      <c r="H416" t="s">
        <v>22</v>
      </c>
      <c r="I416">
        <f>VLOOKUP(Table4[[#This Row],[Visitor]],'NHL Model'!$A$6:$B$38,2,FALSE)</f>
        <v>0.4407072328537569</v>
      </c>
      <c r="J416">
        <f>($B$1+Table4[[#This Row],[Home Differential]])-Table4[[#This Row],[Away Differential]]</f>
        <v>-0.72909008260780817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0.58764459056015705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O416">
        <v>-0.72909008260780817</v>
      </c>
      <c r="P416" s="11">
        <v>0.58764459056015705</v>
      </c>
      <c r="Q416" t="s">
        <v>22</v>
      </c>
    </row>
    <row r="417" spans="4:17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-0.59288962827382519</v>
      </c>
      <c r="H417" t="s">
        <v>36</v>
      </c>
      <c r="I417">
        <f>VLOOKUP(Table4[[#This Row],[Visitor]],'NHL Model'!$A$6:$B$38,2,FALSE)</f>
        <v>-0.53137605086483863</v>
      </c>
      <c r="J417">
        <f>($B$1+Table4[[#This Row],[Home Differential]])-Table4[[#This Row],[Away Differential]]</f>
        <v>-1.1612828485824123E-2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0.46135596911883597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O417">
        <v>-1.1612828485824123E-2</v>
      </c>
      <c r="P417" s="11">
        <v>0.46135596911883597</v>
      </c>
      <c r="Q417" t="s">
        <v>36</v>
      </c>
    </row>
    <row r="418" spans="4:17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-1.384917283810061</v>
      </c>
      <c r="H418" t="s">
        <v>16</v>
      </c>
      <c r="I418">
        <f>VLOOKUP(Table4[[#This Row],[Visitor]],'NHL Model'!$A$6:$B$38,2,FALSE)</f>
        <v>-1.0657812790446208</v>
      </c>
      <c r="J418">
        <f>($B$1+Table4[[#This Row],[Home Differential]])-Table4[[#This Row],[Away Differential]]</f>
        <v>-0.2692352558422777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0.49143718974836059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O418">
        <v>-0.2692352558422777</v>
      </c>
      <c r="P418" s="11">
        <v>0.49143718974836059</v>
      </c>
      <c r="Q418" t="s">
        <v>16</v>
      </c>
    </row>
    <row r="419" spans="4:17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-0.24093199744133265</v>
      </c>
      <c r="H419" t="s">
        <v>37</v>
      </c>
      <c r="I419">
        <f>VLOOKUP(Table4[[#This Row],[Visitor]],'NHL Model'!$A$6:$B$38,2,FALSE)</f>
        <v>0.51050494674660429</v>
      </c>
      <c r="J419">
        <f>($B$1+Table4[[#This Row],[Home Differential]])-Table4[[#This Row],[Away Differential]]</f>
        <v>-0.70153619526477451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0.63440089257773835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O419">
        <v>-0.70153619526477451</v>
      </c>
      <c r="P419" s="11">
        <v>0.63440089257773835</v>
      </c>
      <c r="Q419" t="s">
        <v>37</v>
      </c>
    </row>
    <row r="420" spans="4:17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-0.29003398448394263</v>
      </c>
      <c r="H420" t="s">
        <v>39</v>
      </c>
      <c r="I420">
        <f>VLOOKUP(Table4[[#This Row],[Visitor]],'NHL Model'!$A$6:$B$38,2,FALSE)</f>
        <v>0.41344250185511977</v>
      </c>
      <c r="J420">
        <f>($B$1+Table4[[#This Row],[Home Differential]])-Table4[[#This Row],[Away Differential]]</f>
        <v>-0.65357573741589992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0.63811236624172885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O420">
        <v>-0.65357573741589992</v>
      </c>
      <c r="P420" s="11">
        <v>0.63811236624172885</v>
      </c>
      <c r="Q420" t="s">
        <v>39</v>
      </c>
    </row>
    <row r="421" spans="4:17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-0.24444083032063643</v>
      </c>
      <c r="H421" t="s">
        <v>10</v>
      </c>
      <c r="I421">
        <f>VLOOKUP(Table4[[#This Row],[Visitor]],'NHL Model'!$A$6:$B$38,2,FALSE)</f>
        <v>-0.17619625518431364</v>
      </c>
      <c r="J421">
        <f>($B$1+Table4[[#This Row],[Home Differential]])-Table4[[#This Row],[Away Differential]]</f>
        <v>-1.834382621316033E-2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0.46214191244593872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O421">
        <v>-1.834382621316033E-2</v>
      </c>
      <c r="P421" s="11">
        <v>0.46214191244593872</v>
      </c>
      <c r="Q421" t="s">
        <v>10</v>
      </c>
    </row>
    <row r="422" spans="4:17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0.17870302183926629</v>
      </c>
      <c r="H422" t="s">
        <v>55</v>
      </c>
      <c r="I422">
        <f>VLOOKUP(Table4[[#This Row],[Visitor]],'NHL Model'!$A$6:$B$38,2,FALSE)</f>
        <v>-0.4031232890211825</v>
      </c>
      <c r="J422">
        <f>($B$1+Table4[[#This Row],[Home Differential]])-Table4[[#This Row],[Away Differential]]</f>
        <v>0.63172705978361121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0.69359816859950485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7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-0.59288962827382519</v>
      </c>
      <c r="H423" t="s">
        <v>40</v>
      </c>
      <c r="I423">
        <f>VLOOKUP(Table4[[#This Row],[Visitor]],'NHL Model'!$A$6:$B$38,2,FALSE)</f>
        <v>-0.31324182378279158</v>
      </c>
      <c r="J423">
        <f>($B$1+Table4[[#This Row],[Home Differential]])-Table4[[#This Row],[Away Differential]]</f>
        <v>-0.22974705556787117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0.50759559033131352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7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1.5302507646042616E-3</v>
      </c>
      <c r="H424" t="s">
        <v>39</v>
      </c>
      <c r="I424">
        <f>VLOOKUP(Table4[[#This Row],[Visitor]],'NHL Model'!$A$6:$B$38,2,FALSE)</f>
        <v>0.41344250185511977</v>
      </c>
      <c r="J424">
        <f>($B$1+Table4[[#This Row],[Home Differential]])-Table4[[#This Row],[Away Differential]]</f>
        <v>-0.36201150216735306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0.5222701857864821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7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-0.38023958350631604</v>
      </c>
      <c r="H425" t="s">
        <v>23</v>
      </c>
      <c r="I425">
        <f>VLOOKUP(Table4[[#This Row],[Visitor]],'NHL Model'!$A$6:$B$38,2,FALSE)</f>
        <v>-0.4761104357405897</v>
      </c>
      <c r="J425">
        <f>($B$1+Table4[[#This Row],[Home Differential]])-Table4[[#This Row],[Away Differential]]</f>
        <v>0.14577160115743615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0.57103760636902878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7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-0.45133099238224339</v>
      </c>
      <c r="H426" t="s">
        <v>22</v>
      </c>
      <c r="I426">
        <f>VLOOKUP(Table4[[#This Row],[Visitor]],'NHL Model'!$A$6:$B$38,2,FALSE)</f>
        <v>0.4407072328537569</v>
      </c>
      <c r="J426">
        <f>($B$1+Table4[[#This Row],[Home Differential]])-Table4[[#This Row],[Away Differential]]</f>
        <v>-0.84213747631283775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0.59063967172929266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7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-0.21976976044773161</v>
      </c>
      <c r="H427" t="s">
        <v>35</v>
      </c>
      <c r="I427">
        <f>VLOOKUP(Table4[[#This Row],[Visitor]],'NHL Model'!$A$6:$B$38,2,FALSE)</f>
        <v>-1.3944783719477225</v>
      </c>
      <c r="J427">
        <f>($B$1+Table4[[#This Row],[Home Differential]])-Table4[[#This Row],[Away Differential]]</f>
        <v>1.2246093604231534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0.72589277117775375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7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0.42567513732855267</v>
      </c>
      <c r="H428" t="s">
        <v>19</v>
      </c>
      <c r="I428">
        <f>VLOOKUP(Table4[[#This Row],[Visitor]],'NHL Model'!$A$6:$B$38,2,FALSE)</f>
        <v>-0.63447859131898054</v>
      </c>
      <c r="J428">
        <f>($B$1+Table4[[#This Row],[Home Differential]])-Table4[[#This Row],[Away Differential]]</f>
        <v>1.1100544775706958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0.72133121982254167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7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-0.59498940435054026</v>
      </c>
      <c r="H429" t="s">
        <v>26</v>
      </c>
      <c r="I429">
        <f>VLOOKUP(Table4[[#This Row],[Visitor]],'NHL Model'!$A$6:$B$38,2,FALSE)</f>
        <v>-0.87533956503230947</v>
      </c>
      <c r="J429">
        <f>($B$1+Table4[[#This Row],[Home Differential]])-Table4[[#This Row],[Away Differential]]</f>
        <v>0.33025090960493164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0.57856166785192853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7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-1.0657812790446208</v>
      </c>
      <c r="H430" t="s">
        <v>34</v>
      </c>
      <c r="I430">
        <f>VLOOKUP(Table4[[#This Row],[Visitor]],'NHL Model'!$A$6:$B$38,2,FALSE)</f>
        <v>-5.5124787449478845E-2</v>
      </c>
      <c r="J430">
        <f>($B$1+Table4[[#This Row],[Home Differential]])-Table4[[#This Row],[Away Differential]]</f>
        <v>-0.96075574267197961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0.61469497551376429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7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-0.81774666423752174</v>
      </c>
      <c r="H431" t="s">
        <v>32</v>
      </c>
      <c r="I431">
        <f>VLOOKUP(Table4[[#This Row],[Visitor]],'NHL Model'!$A$6:$B$38,2,FALSE)</f>
        <v>-0.64937723527808999</v>
      </c>
      <c r="J431">
        <f>($B$1+Table4[[#This Row],[Home Differential]])-Table4[[#This Row],[Away Differential]]</f>
        <v>-0.11846868003626931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0.46678701500720543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7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-0.39711829106410657</v>
      </c>
      <c r="H432" t="s">
        <v>29</v>
      </c>
      <c r="I432">
        <f>VLOOKUP(Table4[[#This Row],[Visitor]],'NHL Model'!$A$6:$B$38,2,FALSE)</f>
        <v>-1.384917283810061</v>
      </c>
      <c r="J432">
        <f>($B$1+Table4[[#This Row],[Home Differential]])-Table4[[#This Row],[Away Differential]]</f>
        <v>1.0376997416691169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0.67518338069360018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-0.33828359867721369</v>
      </c>
      <c r="H433" t="s">
        <v>10</v>
      </c>
      <c r="I433">
        <f>VLOOKUP(Table4[[#This Row],[Visitor]],'NHL Model'!$A$6:$B$38,2,FALSE)</f>
        <v>-0.17619625518431364</v>
      </c>
      <c r="J433">
        <f>($B$1+Table4[[#This Row],[Home Differential]])-Table4[[#This Row],[Away Differential]]</f>
        <v>-0.11218659456973756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0.4730994406719799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-0.24093199744133265</v>
      </c>
      <c r="H434" t="s">
        <v>12</v>
      </c>
      <c r="I434">
        <f>VLOOKUP(Table4[[#This Row],[Visitor]],'NHL Model'!$A$6:$B$38,2,FALSE)</f>
        <v>1.6319036584269762</v>
      </c>
      <c r="J434">
        <f>($B$1+Table4[[#This Row],[Home Differential]])-Table4[[#This Row],[Away Differential]]</f>
        <v>-1.8229349069451464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0.74547772409272217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-0.53137605086483863</v>
      </c>
      <c r="H435" t="s">
        <v>15</v>
      </c>
      <c r="I435">
        <f>VLOOKUP(Table4[[#This Row],[Visitor]],'NHL Model'!$A$6:$B$38,2,FALSE)</f>
        <v>-0.29003398448394263</v>
      </c>
      <c r="J435">
        <f>($B$1+Table4[[#This Row],[Home Differential]])-Table4[[#This Row],[Away Differential]]</f>
        <v>-0.19144131745773352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0.57995728592132423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0.51050494674660429</v>
      </c>
      <c r="H436" t="s">
        <v>14</v>
      </c>
      <c r="I436">
        <f>VLOOKUP(Table4[[#This Row],[Visitor]],'NHL Model'!$A$6:$B$38,2,FALSE)</f>
        <v>-0.14226422156549004</v>
      </c>
      <c r="J436">
        <f>($B$1+Table4[[#This Row],[Home Differential]])-Table4[[#This Row],[Away Differential]]</f>
        <v>0.70266991723525674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0.61538041683836375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0.17870302183926629</v>
      </c>
      <c r="H437" t="s">
        <v>22</v>
      </c>
      <c r="I437">
        <f>VLOOKUP(Table4[[#This Row],[Visitor]],'NHL Model'!$A$6:$B$38,2,FALSE)</f>
        <v>0.4407072328537569</v>
      </c>
      <c r="J437">
        <f>($B$1+Table4[[#This Row],[Home Differential]])-Table4[[#This Row],[Away Differential]]</f>
        <v>-0.21210346209132816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0.44581884120178911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0.41344250185511977</v>
      </c>
      <c r="H438" t="s">
        <v>33</v>
      </c>
      <c r="I438">
        <f>VLOOKUP(Table4[[#This Row],[Visitor]],'NHL Model'!$A$6:$B$38,2,FALSE)</f>
        <v>-0.45133099238224339</v>
      </c>
      <c r="J438">
        <f>($B$1+Table4[[#This Row],[Home Differential]])-Table4[[#This Row],[Away Differential]]</f>
        <v>0.9146742431605257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0.67904778332563698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1.5302507646042616E-3</v>
      </c>
      <c r="H439" t="s">
        <v>20</v>
      </c>
      <c r="I439">
        <f>VLOOKUP(Table4[[#This Row],[Visitor]],'NHL Model'!$A$6:$B$38,2,FALSE)</f>
        <v>-0.24444083032063643</v>
      </c>
      <c r="J439">
        <f>($B$1+Table4[[#This Row],[Home Differential]])-Table4[[#This Row],[Away Differential]]</f>
        <v>0.29587183000840317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0.65438211365383414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-0.9476777551108041</v>
      </c>
      <c r="H440" t="s">
        <v>55</v>
      </c>
      <c r="I440">
        <f>VLOOKUP(Table4[[#This Row],[Visitor]],'NHL Model'!$A$6:$B$38,2,FALSE)</f>
        <v>-0.4031232890211825</v>
      </c>
      <c r="J440">
        <f>($B$1+Table4[[#This Row],[Home Differential]])-Table4[[#This Row],[Away Differential]]</f>
        <v>-0.49465371716645917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0.51775812204700111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-0.31324182378279158</v>
      </c>
      <c r="H441" t="s">
        <v>23</v>
      </c>
      <c r="I441">
        <f>VLOOKUP(Table4[[#This Row],[Visitor]],'NHL Model'!$A$6:$B$38,2,FALSE)</f>
        <v>-0.4761104357405897</v>
      </c>
      <c r="J441">
        <f>($B$1+Table4[[#This Row],[Home Differential]])-Table4[[#This Row],[Away Differential]]</f>
        <v>0.2127693608809606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0.56733944233883604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-0.21976976044773161</v>
      </c>
      <c r="H442" t="s">
        <v>24</v>
      </c>
      <c r="I442">
        <f>VLOOKUP(Table4[[#This Row],[Visitor]],'NHL Model'!$A$6:$B$38,2,FALSE)</f>
        <v>1.5302507646042616E-3</v>
      </c>
      <c r="J442">
        <f>($B$1+Table4[[#This Row],[Home Differential]])-Table4[[#This Row],[Away Differential]]</f>
        <v>-0.1713992622891734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0.45751339354482728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0.42567513732855267</v>
      </c>
      <c r="H443" t="s">
        <v>29</v>
      </c>
      <c r="I443">
        <f>VLOOKUP(Table4[[#This Row],[Visitor]],'NHL Model'!$A$6:$B$38,2,FALSE)</f>
        <v>-1.384917283810061</v>
      </c>
      <c r="J443">
        <f>($B$1+Table4[[#This Row],[Home Differential]])-Table4[[#This Row],[Away Differential]]</f>
        <v>1.8604931700617762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0.80895601285549457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-1.0657812790446208</v>
      </c>
      <c r="H444" t="s">
        <v>55</v>
      </c>
      <c r="I444">
        <f>VLOOKUP(Table4[[#This Row],[Visitor]],'NHL Model'!$A$6:$B$38,2,FALSE)</f>
        <v>-0.4031232890211825</v>
      </c>
      <c r="J444">
        <f>($B$1+Table4[[#This Row],[Home Differential]])-Table4[[#This Row],[Away Differential]]</f>
        <v>-0.61275724110027596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0.53154845154988206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-0.81774666423752174</v>
      </c>
      <c r="H445" t="s">
        <v>40</v>
      </c>
      <c r="I445">
        <f>VLOOKUP(Table4[[#This Row],[Visitor]],'NHL Model'!$A$6:$B$38,2,FALSE)</f>
        <v>-0.31324182378279158</v>
      </c>
      <c r="J445">
        <f>($B$1+Table4[[#This Row],[Home Differential]])-Table4[[#This Row],[Away Differential]]</f>
        <v>-0.45460409153156772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0.52676594769015561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-0.39711829106410657</v>
      </c>
      <c r="H446" t="s">
        <v>28</v>
      </c>
      <c r="I446">
        <f>VLOOKUP(Table4[[#This Row],[Visitor]],'NHL Model'!$A$6:$B$38,2,FALSE)</f>
        <v>-0.59498940435054026</v>
      </c>
      <c r="J446">
        <f>($B$1+Table4[[#This Row],[Home Differential]])-Table4[[#This Row],[Away Differential]]</f>
        <v>0.24777186220959618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0.57938973736099397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-0.33828359867721369</v>
      </c>
      <c r="H447" t="s">
        <v>10</v>
      </c>
      <c r="I447">
        <f>VLOOKUP(Table4[[#This Row],[Visitor]],'NHL Model'!$A$6:$B$38,2,FALSE)</f>
        <v>-0.17619625518431364</v>
      </c>
      <c r="J447">
        <f>($B$1+Table4[[#This Row],[Home Differential]])-Table4[[#This Row],[Away Differential]]</f>
        <v>-0.11218659456973756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0.4730994406719799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-0.29003398448394263</v>
      </c>
      <c r="H448" t="s">
        <v>12</v>
      </c>
      <c r="I448">
        <f>VLOOKUP(Table4[[#This Row],[Visitor]],'NHL Model'!$A$6:$B$38,2,FALSE)</f>
        <v>1.6319036584269762</v>
      </c>
      <c r="J448">
        <f>($B$1+Table4[[#This Row],[Home Differential]])-Table4[[#This Row],[Away Differential]]</f>
        <v>-1.8720368939877563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0.75121110577355354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-0.53137605086483863</v>
      </c>
      <c r="H449" t="s">
        <v>35</v>
      </c>
      <c r="I449">
        <f>VLOOKUP(Table4[[#This Row],[Visitor]],'NHL Model'!$A$6:$B$38,2,FALSE)</f>
        <v>-1.3944783719477225</v>
      </c>
      <c r="J449">
        <f>($B$1+Table4[[#This Row],[Home Differential]])-Table4[[#This Row],[Away Differential]]</f>
        <v>0.9130030700060463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0.64910206259113834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-0.64937723527808999</v>
      </c>
      <c r="H450" t="s">
        <v>26</v>
      </c>
      <c r="I450">
        <f>VLOOKUP(Table4[[#This Row],[Visitor]],'NHL Model'!$A$6:$B$38,2,FALSE)</f>
        <v>-0.87533956503230947</v>
      </c>
      <c r="J450">
        <f>($B$1+Table4[[#This Row],[Home Differential]])-Table4[[#This Row],[Away Differential]]</f>
        <v>0.27586307867738191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0.57221108588404257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0.51050494674660429</v>
      </c>
      <c r="H451" t="s">
        <v>30</v>
      </c>
      <c r="I451">
        <f>VLOOKUP(Table4[[#This Row],[Visitor]],'NHL Model'!$A$6:$B$38,2,FALSE)</f>
        <v>-0.24093199744133265</v>
      </c>
      <c r="J451">
        <f>($B$1+Table4[[#This Row],[Home Differential]])-Table4[[#This Row],[Away Differential]]</f>
        <v>0.80133769311109937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0.5935680025709742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-0.63447859131898054</v>
      </c>
      <c r="H452" t="s">
        <v>18</v>
      </c>
      <c r="I452">
        <f>VLOOKUP(Table4[[#This Row],[Visitor]],'NHL Model'!$A$6:$B$38,2,FALSE)</f>
        <v>-0.59288962827382519</v>
      </c>
      <c r="J452">
        <f>($B$1+Table4[[#This Row],[Home Differential]])-Table4[[#This Row],[Away Differential]]</f>
        <v>8.3117858780070719E-3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0.48168268984656837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-0.9476777551108041</v>
      </c>
      <c r="H453" t="s">
        <v>34</v>
      </c>
      <c r="I453">
        <f>VLOOKUP(Table4[[#This Row],[Visitor]],'NHL Model'!$A$6:$B$38,2,FALSE)</f>
        <v>-5.5124787449478845E-2</v>
      </c>
      <c r="J453">
        <f>($B$1+Table4[[#This Row],[Home Differential]])-Table4[[#This Row],[Away Differential]]</f>
        <v>-0.84265221873816287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0.60090464601088334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0.17870302183926629</v>
      </c>
      <c r="H454" t="s">
        <v>10</v>
      </c>
      <c r="I454">
        <f>VLOOKUP(Table4[[#This Row],[Visitor]],'NHL Model'!$A$6:$B$38,2,FALSE)</f>
        <v>-0.17619625518431364</v>
      </c>
      <c r="J454">
        <f>($B$1+Table4[[#This Row],[Home Differential]])-Table4[[#This Row],[Away Differential]]</f>
        <v>0.40480002594674236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0.66710108819506675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0.42567513732855267</v>
      </c>
      <c r="H455" t="s">
        <v>33</v>
      </c>
      <c r="I455">
        <f>VLOOKUP(Table4[[#This Row],[Visitor]],'NHL Model'!$A$6:$B$38,2,FALSE)</f>
        <v>-0.45133099238224339</v>
      </c>
      <c r="J455">
        <f>($B$1+Table4[[#This Row],[Home Differential]])-Table4[[#This Row],[Away Differential]]</f>
        <v>0.92690687863395849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0.69994603458103766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0.41344250185511977</v>
      </c>
      <c r="H456" t="s">
        <v>14</v>
      </c>
      <c r="I456">
        <f>VLOOKUP(Table4[[#This Row],[Visitor]],'NHL Model'!$A$6:$B$38,2,FALSE)</f>
        <v>-0.14226422156549004</v>
      </c>
      <c r="J456">
        <f>($B$1+Table4[[#This Row],[Home Differential]])-Table4[[#This Row],[Away Differential]]</f>
        <v>0.60560747234377232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0.60404694385783808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-0.39711829106410657</v>
      </c>
      <c r="H457" t="s">
        <v>30</v>
      </c>
      <c r="I457">
        <f>VLOOKUP(Table4[[#This Row],[Visitor]],'NHL Model'!$A$6:$B$38,2,FALSE)</f>
        <v>-0.24093199744133265</v>
      </c>
      <c r="J457">
        <f>($B$1+Table4[[#This Row],[Home Differential]])-Table4[[#This Row],[Away Differential]]</f>
        <v>-0.10628554469961143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0.53092892452488105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-0.59288962827382519</v>
      </c>
      <c r="H458" t="s">
        <v>35</v>
      </c>
      <c r="I458">
        <f>VLOOKUP(Table4[[#This Row],[Visitor]],'NHL Model'!$A$6:$B$38,2,FALSE)</f>
        <v>-1.3944783719477225</v>
      </c>
      <c r="J458">
        <f>($B$1+Table4[[#This Row],[Home Differential]])-Table4[[#This Row],[Away Differential]]</f>
        <v>0.85148949259705975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0.63942396534869261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-0.29003398448394263</v>
      </c>
      <c r="H459" t="s">
        <v>20</v>
      </c>
      <c r="I459">
        <f>VLOOKUP(Table4[[#This Row],[Visitor]],'NHL Model'!$A$6:$B$38,2,FALSE)</f>
        <v>-0.24444083032063643</v>
      </c>
      <c r="J459">
        <f>($B$1+Table4[[#This Row],[Home Differential]])-Table4[[#This Row],[Away Differential]]</f>
        <v>4.3075947598562592E-3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0.54050297526377444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-0.38023958350631604</v>
      </c>
      <c r="H460" t="s">
        <v>12</v>
      </c>
      <c r="I460">
        <f>VLOOKUP(Table4[[#This Row],[Visitor]],'NHL Model'!$A$6:$B$38,2,FALSE)</f>
        <v>1.6319036584269762</v>
      </c>
      <c r="J460">
        <f>($B$1+Table4[[#This Row],[Home Differential]])-Table4[[#This Row],[Away Differential]]</f>
        <v>-1.9622424930101297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0.74763929020970066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0.4407072328537569</v>
      </c>
      <c r="H461" t="s">
        <v>28</v>
      </c>
      <c r="I461">
        <f>VLOOKUP(Table4[[#This Row],[Visitor]],'NHL Model'!$A$6:$B$38,2,FALSE)</f>
        <v>-0.59498940435054026</v>
      </c>
      <c r="J461">
        <f>($B$1+Table4[[#This Row],[Home Differential]])-Table4[[#This Row],[Away Differential]]</f>
        <v>1.0855973861274597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0.68925951710427547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-1.0657812790446208</v>
      </c>
      <c r="H462" t="s">
        <v>23</v>
      </c>
      <c r="I462">
        <f>VLOOKUP(Table4[[#This Row],[Visitor]],'NHL Model'!$A$6:$B$38,2,FALSE)</f>
        <v>-0.4761104357405897</v>
      </c>
      <c r="J462">
        <f>($B$1+Table4[[#This Row],[Home Differential]])-Table4[[#This Row],[Away Differential]]</f>
        <v>-0.53977009438086876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0.52302612495698741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-0.64937723527808999</v>
      </c>
      <c r="H463" t="s">
        <v>34</v>
      </c>
      <c r="I463">
        <f>VLOOKUP(Table4[[#This Row],[Visitor]],'NHL Model'!$A$6:$B$38,2,FALSE)</f>
        <v>-5.5124787449478845E-2</v>
      </c>
      <c r="J463">
        <f>($B$1+Table4[[#This Row],[Home Differential]])-Table4[[#This Row],[Away Differential]]</f>
        <v>-0.54435169890544877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0.56607365771895912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-0.63447859131898054</v>
      </c>
      <c r="H464" t="s">
        <v>37</v>
      </c>
      <c r="I464">
        <f>VLOOKUP(Table4[[#This Row],[Visitor]],'NHL Model'!$A$6:$B$38,2,FALSE)</f>
        <v>0.51050494674660429</v>
      </c>
      <c r="J464">
        <f>($B$1+Table4[[#This Row],[Home Differential]])-Table4[[#This Row],[Away Differential]]</f>
        <v>-1.0950827891424224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0.6803532657461332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-0.4031232890211825</v>
      </c>
      <c r="H465" t="s">
        <v>13</v>
      </c>
      <c r="I465">
        <f>VLOOKUP(Table4[[#This Row],[Visitor]],'NHL Model'!$A$6:$B$38,2,FALSE)</f>
        <v>-0.33828359867721369</v>
      </c>
      <c r="J465">
        <f>($B$1+Table4[[#This Row],[Home Differential]])-Table4[[#This Row],[Away Differential]]</f>
        <v>-1.4938941420806318E-2</v>
      </c>
      <c r="K465" t="str">
        <f>IF(Table4[[#This Row],[HomeIce Differential]]&gt;0,Table4[[#This Row],[Home]],Table4[[#This Row],[Visitor]])</f>
        <v>Los Angeles Kings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0.48703845954097724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-0.9476777551108041</v>
      </c>
      <c r="H466" t="s">
        <v>26</v>
      </c>
      <c r="I466">
        <f>VLOOKUP(Table4[[#This Row],[Visitor]],'NHL Model'!$A$6:$B$38,2,FALSE)</f>
        <v>-0.87533956503230947</v>
      </c>
      <c r="J466">
        <f>($B$1+Table4[[#This Row],[Home Differential]])-Table4[[#This Row],[Away Differential]]</f>
        <v>-2.2437441155332194E-2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0.46261990240788181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0.42567513732855267</v>
      </c>
      <c r="H467" t="s">
        <v>28</v>
      </c>
      <c r="I467">
        <f>VLOOKUP(Table4[[#This Row],[Visitor]],'NHL Model'!$A$6:$B$38,2,FALSE)</f>
        <v>-0.59498940435054026</v>
      </c>
      <c r="J467">
        <f>($B$1+Table4[[#This Row],[Home Differential]])-Table4[[#This Row],[Away Differential]]</f>
        <v>1.0705652906022554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0.71323959221145916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-0.81774666423752174</v>
      </c>
      <c r="H468" t="s">
        <v>23</v>
      </c>
      <c r="I468">
        <f>VLOOKUP(Table4[[#This Row],[Visitor]],'NHL Model'!$A$6:$B$38,2,FALSE)</f>
        <v>-0.4761104357405897</v>
      </c>
      <c r="J468">
        <f>($B$1+Table4[[#This Row],[Home Differential]])-Table4[[#This Row],[Away Differential]]</f>
        <v>-0.29173547957376961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0.48701847108865748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-0.59288962827382519</v>
      </c>
      <c r="H469" t="s">
        <v>37</v>
      </c>
      <c r="I469">
        <f>VLOOKUP(Table4[[#This Row],[Visitor]],'NHL Model'!$A$6:$B$38,2,FALSE)</f>
        <v>0.51050494674660429</v>
      </c>
      <c r="J469">
        <f>($B$1+Table4[[#This Row],[Home Differential]])-Table4[[#This Row],[Away Differential]]</f>
        <v>-1.053493826097267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0.67549714050132492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-1.384917283810061</v>
      </c>
      <c r="H470" t="s">
        <v>12</v>
      </c>
      <c r="I470">
        <f>VLOOKUP(Table4[[#This Row],[Visitor]],'NHL Model'!$A$6:$B$38,2,FALSE)</f>
        <v>1.6319036584269762</v>
      </c>
      <c r="J470">
        <f>($B$1+Table4[[#This Row],[Home Differential]])-Table4[[#This Row],[Away Differential]]</f>
        <v>-2.9669201933138747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0.8790548902940698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-0.24093199744133265</v>
      </c>
      <c r="H471" t="s">
        <v>20</v>
      </c>
      <c r="I471">
        <f>VLOOKUP(Table4[[#This Row],[Visitor]],'NHL Model'!$A$6:$B$38,2,FALSE)</f>
        <v>-0.24444083032063643</v>
      </c>
      <c r="J471">
        <f>($B$1+Table4[[#This Row],[Home Differential]])-Table4[[#This Row],[Away Differential]]</f>
        <v>5.3409581802466244E-2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0.54623635694460582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-0.53137605086483863</v>
      </c>
      <c r="H472" t="s">
        <v>24</v>
      </c>
      <c r="I472">
        <f>VLOOKUP(Table4[[#This Row],[Visitor]],'NHL Model'!$A$6:$B$38,2,FALSE)</f>
        <v>1.5302507646042616E-3</v>
      </c>
      <c r="J472">
        <f>($B$1+Table4[[#This Row],[Home Differential]])-Table4[[#This Row],[Away Differential]]</f>
        <v>-0.48300555270628043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0.53465889649685494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-0.38023958350631604</v>
      </c>
      <c r="H473" t="s">
        <v>33</v>
      </c>
      <c r="I473">
        <f>VLOOKUP(Table4[[#This Row],[Visitor]],'NHL Model'!$A$6:$B$38,2,FALSE)</f>
        <v>-0.45133099238224339</v>
      </c>
      <c r="J473">
        <f>($B$1+Table4[[#This Row],[Home Differential]])-Table4[[#This Row],[Away Differential]]</f>
        <v>0.12099215779908984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0.56814424063845959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-0.14226422156549004</v>
      </c>
      <c r="H474" t="s">
        <v>31</v>
      </c>
      <c r="I474">
        <f>VLOOKUP(Table4[[#This Row],[Visitor]],'NHL Model'!$A$6:$B$38,2,FALSE)</f>
        <v>0.17870302183926629</v>
      </c>
      <c r="J474">
        <f>($B$1+Table4[[#This Row],[Home Differential]])-Table4[[#This Row],[Away Differential]]</f>
        <v>-0.27106649448159387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0.51242024465588476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-1.3944783719477225</v>
      </c>
      <c r="H475" t="s">
        <v>21</v>
      </c>
      <c r="I475">
        <f>VLOOKUP(Table4[[#This Row],[Visitor]],'NHL Model'!$A$6:$B$38,2,FALSE)</f>
        <v>-0.21976976044773161</v>
      </c>
      <c r="J475">
        <f>($B$1+Table4[[#This Row],[Home Differential]])-Table4[[#This Row],[Away Differential]]</f>
        <v>-1.1248078625768285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0.59216741202262646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-0.31324182378279158</v>
      </c>
      <c r="H476" t="s">
        <v>39</v>
      </c>
      <c r="I476">
        <f>VLOOKUP(Table4[[#This Row],[Visitor]],'NHL Model'!$A$6:$B$38,2,FALSE)</f>
        <v>0.41344250185511977</v>
      </c>
      <c r="J476">
        <f>($B$1+Table4[[#This Row],[Home Differential]])-Table4[[#This Row],[Away Differential]]</f>
        <v>-0.67678357671474887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0.63834650509244772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-1.0657812790446208</v>
      </c>
      <c r="H477" t="s">
        <v>26</v>
      </c>
      <c r="I477">
        <f>VLOOKUP(Table4[[#This Row],[Visitor]],'NHL Model'!$A$6:$B$38,2,FALSE)</f>
        <v>-0.87533956503230947</v>
      </c>
      <c r="J477">
        <f>($B$1+Table4[[#This Row],[Home Differential]])-Table4[[#This Row],[Away Differential]]</f>
        <v>-0.14054096508914893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0.47641023191076265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-0.17619625518431364</v>
      </c>
      <c r="H478" t="s">
        <v>15</v>
      </c>
      <c r="I478">
        <f>VLOOKUP(Table4[[#This Row],[Visitor]],'NHL Model'!$A$6:$B$38,2,FALSE)</f>
        <v>-0.29003398448394263</v>
      </c>
      <c r="J478">
        <f>($B$1+Table4[[#This Row],[Home Differential]])-Table4[[#This Row],[Away Differential]]</f>
        <v>0.16373847822279144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0.45903741754486188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-0.64937723527808999</v>
      </c>
      <c r="H479" t="s">
        <v>13</v>
      </c>
      <c r="I479">
        <f>VLOOKUP(Table4[[#This Row],[Visitor]],'NHL Model'!$A$6:$B$38,2,FALSE)</f>
        <v>-0.33828359867721369</v>
      </c>
      <c r="J479">
        <f>($B$1+Table4[[#This Row],[Home Differential]])-Table4[[#This Row],[Away Differential]]</f>
        <v>-0.26119288767771387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0.55681391404194935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-0.4031232890211825</v>
      </c>
      <c r="H480" t="s">
        <v>11</v>
      </c>
      <c r="I480">
        <f>VLOOKUP(Table4[[#This Row],[Visitor]],'NHL Model'!$A$6:$B$38,2,FALSE)</f>
        <v>-0.39711829106410657</v>
      </c>
      <c r="J480">
        <f>($B$1+Table4[[#This Row],[Home Differential]])-Table4[[#This Row],[Away Differential]]</f>
        <v>4.3895750966086555E-2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0.58555665422643954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-0.59498940435054026</v>
      </c>
      <c r="H481" t="s">
        <v>36</v>
      </c>
      <c r="I481">
        <f>VLOOKUP(Table4[[#This Row],[Visitor]],'NHL Model'!$A$6:$B$38,2,FALSE)</f>
        <v>-0.53137605086483863</v>
      </c>
      <c r="J481">
        <f>($B$1+Table4[[#This Row],[Home Differential]])-Table4[[#This Row],[Away Differential]]</f>
        <v>-1.3712604562539199E-2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0.46160114896627552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1.6319036584269762</v>
      </c>
      <c r="H482" t="s">
        <v>11</v>
      </c>
      <c r="I482">
        <f>VLOOKUP(Table4[[#This Row],[Visitor]],'NHL Model'!$A$6:$B$38,2,FALSE)</f>
        <v>-0.39711829106410657</v>
      </c>
      <c r="J482">
        <f>($B$1+Table4[[#This Row],[Home Differential]])-Table4[[#This Row],[Away Differential]]</f>
        <v>2.078922698414245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0.88707480465625443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-0.81774666423752174</v>
      </c>
      <c r="H483" t="s">
        <v>26</v>
      </c>
      <c r="I483">
        <f>VLOOKUP(Table4[[#This Row],[Visitor]],'NHL Model'!$A$6:$B$38,2,FALSE)</f>
        <v>-0.87533956503230947</v>
      </c>
      <c r="J483">
        <f>($B$1+Table4[[#This Row],[Home Differential]])-Table4[[#This Row],[Away Differential]]</f>
        <v>0.10749364971795017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0.55959742195756734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-5.5124787449478845E-2</v>
      </c>
      <c r="H484" t="s">
        <v>39</v>
      </c>
      <c r="I484">
        <f>VLOOKUP(Table4[[#This Row],[Visitor]],'NHL Model'!$A$6:$B$38,2,FALSE)</f>
        <v>0.41344250185511977</v>
      </c>
      <c r="J484">
        <f>($B$1+Table4[[#This Row],[Home Differential]])-Table4[[#This Row],[Away Differential]]</f>
        <v>-0.41866654038143614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0.61068325047565086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1.5302507646042616E-3</v>
      </c>
      <c r="H485" t="s">
        <v>37</v>
      </c>
      <c r="I485">
        <f>VLOOKUP(Table4[[#This Row],[Visitor]],'NHL Model'!$A$6:$B$38,2,FALSE)</f>
        <v>0.51050494674660429</v>
      </c>
      <c r="J485">
        <f>($B$1+Table4[[#This Row],[Home Differential]])-Table4[[#This Row],[Away Differential]]</f>
        <v>-0.45907394705883758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0.52419189406112554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-1.384917283810061</v>
      </c>
      <c r="H486" t="s">
        <v>35</v>
      </c>
      <c r="I486">
        <f>VLOOKUP(Table4[[#This Row],[Visitor]],'NHL Model'!$A$6:$B$38,2,FALSE)</f>
        <v>-1.3944783719477225</v>
      </c>
      <c r="J486">
        <f>($B$1+Table4[[#This Row],[Home Differential]])-Table4[[#This Row],[Away Differential]]</f>
        <v>5.9461837060823974E-2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0.54694304707093155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-0.24093199744133265</v>
      </c>
      <c r="H487" t="s">
        <v>31</v>
      </c>
      <c r="I487">
        <f>VLOOKUP(Table4[[#This Row],[Visitor]],'NHL Model'!$A$6:$B$38,2,FALSE)</f>
        <v>0.17870302183926629</v>
      </c>
      <c r="J487">
        <f>($B$1+Table4[[#This Row],[Home Differential]])-Table4[[#This Row],[Away Differential]]</f>
        <v>-0.36973427035743645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0.52394116372182864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-0.38023958350631604</v>
      </c>
      <c r="H488" t="s">
        <v>20</v>
      </c>
      <c r="I488">
        <f>VLOOKUP(Table4[[#This Row],[Visitor]],'NHL Model'!$A$6:$B$38,2,FALSE)</f>
        <v>-0.24444083032063643</v>
      </c>
      <c r="J488">
        <f>($B$1+Table4[[#This Row],[Home Differential]])-Table4[[#This Row],[Away Differential]]</f>
        <v>-8.5898004262517119E-2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0.45601323926309539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-0.14226422156549004</v>
      </c>
      <c r="H489" t="s">
        <v>18</v>
      </c>
      <c r="I489">
        <f>VLOOKUP(Table4[[#This Row],[Visitor]],'NHL Model'!$A$6:$B$38,2,FALSE)</f>
        <v>-0.59288962827382519</v>
      </c>
      <c r="J489">
        <f>($B$1+Table4[[#This Row],[Home Differential]])-Table4[[#This Row],[Away Differential]]</f>
        <v>0.5005261556314976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0.53915598208090709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-0.63447859131898054</v>
      </c>
      <c r="H490" t="s">
        <v>33</v>
      </c>
      <c r="I490">
        <f>VLOOKUP(Table4[[#This Row],[Visitor]],'NHL Model'!$A$6:$B$38,2,FALSE)</f>
        <v>-0.45133099238224339</v>
      </c>
      <c r="J490">
        <f>($B$1+Table4[[#This Row],[Home Differential]])-Table4[[#This Row],[Away Differential]]</f>
        <v>-0.13324685001357472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0.47555853632223422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-0.9476777551108041</v>
      </c>
      <c r="H491" t="s">
        <v>23</v>
      </c>
      <c r="I491">
        <f>VLOOKUP(Table4[[#This Row],[Visitor]],'NHL Model'!$A$6:$B$38,2,FALSE)</f>
        <v>-0.4761104357405897</v>
      </c>
      <c r="J491">
        <f>($B$1+Table4[[#This Row],[Home Differential]])-Table4[[#This Row],[Away Differential]]</f>
        <v>-0.42166657044705197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0.50923579545410647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-0.31324182378279158</v>
      </c>
      <c r="H492" t="s">
        <v>21</v>
      </c>
      <c r="I492">
        <f>VLOOKUP(Table4[[#This Row],[Visitor]],'NHL Model'!$A$6:$B$38,2,FALSE)</f>
        <v>-0.21976976044773161</v>
      </c>
      <c r="J492">
        <f>($B$1+Table4[[#This Row],[Home Differential]])-Table4[[#This Row],[Away Differential]]</f>
        <v>-4.3571314411897488E-2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0.4634209273576268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0.4407072328537569</v>
      </c>
      <c r="H493" t="s">
        <v>25</v>
      </c>
      <c r="I493">
        <f>VLOOKUP(Table4[[#This Row],[Visitor]],'NHL Model'!$A$6:$B$38,2,FALSE)</f>
        <v>0.42567513732855267</v>
      </c>
      <c r="J493">
        <f>($B$1+Table4[[#This Row],[Home Differential]])-Table4[[#This Row],[Away Differential]]</f>
        <v>6.4932844448366722E-2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0.50125275400568248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-1.3944783719477225</v>
      </c>
      <c r="H494" t="s">
        <v>10</v>
      </c>
      <c r="I494">
        <f>VLOOKUP(Table4[[#This Row],[Visitor]],'NHL Model'!$A$6:$B$38,2,FALSE)</f>
        <v>-0.17619625518431364</v>
      </c>
      <c r="J494">
        <f>($B$1+Table4[[#This Row],[Home Differential]])-Table4[[#This Row],[Away Differential]]</f>
        <v>-1.1683813678402464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0.59642576877361209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-0.4031232890211825</v>
      </c>
      <c r="H495" t="s">
        <v>32</v>
      </c>
      <c r="I495">
        <f>VLOOKUP(Table4[[#This Row],[Visitor]],'NHL Model'!$A$6:$B$38,2,FALSE)</f>
        <v>-0.64937723527808999</v>
      </c>
      <c r="J495">
        <f>($B$1+Table4[[#This Row],[Home Differential]])-Table4[[#This Row],[Away Differential]]</f>
        <v>0.29615469518006998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0.6150116090397193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-0.59498940435054026</v>
      </c>
      <c r="H496" t="s">
        <v>20</v>
      </c>
      <c r="I496">
        <f>VLOOKUP(Table4[[#This Row],[Visitor]],'NHL Model'!$A$6:$B$38,2,FALSE)</f>
        <v>-0.24444083032063643</v>
      </c>
      <c r="J496">
        <f>($B$1+Table4[[#This Row],[Home Differential]])-Table4[[#This Row],[Away Differential]]</f>
        <v>-0.30064782510674137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0.4951050708264203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-0.17619625518431364</v>
      </c>
      <c r="H497" t="s">
        <v>26</v>
      </c>
      <c r="I497">
        <f>VLOOKUP(Table4[[#This Row],[Visitor]],'NHL Model'!$A$6:$B$38,2,FALSE)</f>
        <v>-0.87533956503230947</v>
      </c>
      <c r="J497">
        <f>($B$1+Table4[[#This Row],[Home Differential]])-Table4[[#This Row],[Away Differential]]</f>
        <v>0.74904405877115832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0.62746194896282725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1.6319036584269762</v>
      </c>
      <c r="H498" t="s">
        <v>29</v>
      </c>
      <c r="I498">
        <f>VLOOKUP(Table4[[#This Row],[Visitor]],'NHL Model'!$A$6:$B$38,2,FALSE)</f>
        <v>-1.384917283810061</v>
      </c>
      <c r="J498">
        <f>($B$1+Table4[[#This Row],[Home Differential]])-Table4[[#This Row],[Away Differential]]</f>
        <v>3.0667216911601995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0.41344250185511977</v>
      </c>
      <c r="H499" t="s">
        <v>11</v>
      </c>
      <c r="I499">
        <f>VLOOKUP(Table4[[#This Row],[Visitor]],'NHL Model'!$A$6:$B$38,2,FALSE)</f>
        <v>-0.39711829106410657</v>
      </c>
      <c r="J499">
        <f>($B$1+Table4[[#This Row],[Home Differential]])-Table4[[#This Row],[Away Differential]]</f>
        <v>0.86046154184238888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0.67271765032437847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-0.33828359867721369</v>
      </c>
      <c r="H500" t="s">
        <v>16</v>
      </c>
      <c r="I500">
        <f>VLOOKUP(Table4[[#This Row],[Visitor]],'NHL Model'!$A$6:$B$38,2,FALSE)</f>
        <v>-1.0657812790446208</v>
      </c>
      <c r="J500">
        <f>($B$1+Table4[[#This Row],[Home Differential]])-Table4[[#This Row],[Away Differential]]</f>
        <v>0.77739842929056957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0.63077274020161012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-5.5124787449478845E-2</v>
      </c>
      <c r="H501" t="s">
        <v>36</v>
      </c>
      <c r="I501">
        <f>VLOOKUP(Table4[[#This Row],[Visitor]],'NHL Model'!$A$6:$B$38,2,FALSE)</f>
        <v>-0.53137605086483863</v>
      </c>
      <c r="J501">
        <f>($B$1+Table4[[#This Row],[Home Differential]])-Table4[[#This Row],[Away Differential]]</f>
        <v>0.52615201233852227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0.60143601288999726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1.5302507646042616E-3</v>
      </c>
      <c r="H502" t="s">
        <v>31</v>
      </c>
      <c r="I502">
        <f>VLOOKUP(Table4[[#This Row],[Visitor]],'NHL Model'!$A$6:$B$38,2,FALSE)</f>
        <v>0.17870302183926629</v>
      </c>
      <c r="J502">
        <f>($B$1+Table4[[#This Row],[Home Differential]])-Table4[[#This Row],[Away Differential]]</f>
        <v>-0.12727202215149958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0.41486088698717133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-0.24093199744133265</v>
      </c>
      <c r="H503" t="s">
        <v>37</v>
      </c>
      <c r="I503">
        <f>VLOOKUP(Table4[[#This Row],[Visitor]],'NHL Model'!$A$6:$B$38,2,FALSE)</f>
        <v>0.51050494674660429</v>
      </c>
      <c r="J503">
        <f>($B$1+Table4[[#This Row],[Home Differential]])-Table4[[#This Row],[Away Differential]]</f>
        <v>-0.70153619526477451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0.63440089257773835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-0.29003398448394263</v>
      </c>
      <c r="H504" t="s">
        <v>18</v>
      </c>
      <c r="I504">
        <f>VLOOKUP(Table4[[#This Row],[Visitor]],'NHL Model'!$A$6:$B$38,2,FALSE)</f>
        <v>-0.59288962827382519</v>
      </c>
      <c r="J504">
        <f>($B$1+Table4[[#This Row],[Home Differential]])-Table4[[#This Row],[Away Differential]]</f>
        <v>0.35275639271304504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0.52190168133413184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-0.38023958350631604</v>
      </c>
      <c r="H505" t="s">
        <v>25</v>
      </c>
      <c r="I505">
        <f>VLOOKUP(Table4[[#This Row],[Visitor]],'NHL Model'!$A$6:$B$38,2,FALSE)</f>
        <v>0.42567513732855267</v>
      </c>
      <c r="J505">
        <f>($B$1+Table4[[#This Row],[Home Differential]])-Table4[[#This Row],[Away Differential]]</f>
        <v>-0.75601397191170627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0.60679430770908094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-0.14226422156549004</v>
      </c>
      <c r="H506" t="s">
        <v>33</v>
      </c>
      <c r="I506">
        <f>VLOOKUP(Table4[[#This Row],[Visitor]],'NHL Model'!$A$6:$B$38,2,FALSE)</f>
        <v>-0.45133099238224339</v>
      </c>
      <c r="J506">
        <f>($B$1+Table4[[#This Row],[Home Differential]])-Table4[[#This Row],[Away Differential]]</f>
        <v>0.35896751973991581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0.58191475591210462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-0.63447859131898054</v>
      </c>
      <c r="H507" t="s">
        <v>17</v>
      </c>
      <c r="I507">
        <f>VLOOKUP(Table4[[#This Row],[Visitor]],'NHL Model'!$A$6:$B$38,2,FALSE)</f>
        <v>-0.81774666423752174</v>
      </c>
      <c r="J507">
        <f>($B$1+Table4[[#This Row],[Home Differential]])-Table4[[#This Row],[Away Differential]]</f>
        <v>0.23316882184170362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0.56722590127621864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-0.31324182378279158</v>
      </c>
      <c r="H508" t="s">
        <v>22</v>
      </c>
      <c r="I508">
        <f>VLOOKUP(Table4[[#This Row],[Visitor]],'NHL Model'!$A$6:$B$38,2,FALSE)</f>
        <v>0.4407072328537569</v>
      </c>
      <c r="J508">
        <f>($B$1+Table4[[#This Row],[Home Differential]])-Table4[[#This Row],[Away Differential]]</f>
        <v>-0.704048307713386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0.58220803093694351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0.42567513732855267</v>
      </c>
      <c r="H509" t="s">
        <v>27</v>
      </c>
      <c r="I509">
        <f>VLOOKUP(Table4[[#This Row],[Visitor]],'NHL Model'!$A$6:$B$38,2,FALSE)</f>
        <v>-0.38023958350631604</v>
      </c>
      <c r="J509">
        <f>($B$1+Table4[[#This Row],[Home Differential]])-Table4[[#This Row],[Away Differential]]</f>
        <v>0.85581546975803113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0.64992908702910213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-5.5124787449478845E-2</v>
      </c>
      <c r="H510" t="s">
        <v>21</v>
      </c>
      <c r="I510">
        <f>VLOOKUP(Table4[[#This Row],[Visitor]],'NHL Model'!$A$6:$B$38,2,FALSE)</f>
        <v>-0.21976976044773161</v>
      </c>
      <c r="J510">
        <f>($B$1+Table4[[#This Row],[Home Differential]])-Table4[[#This Row],[Away Differential]]</f>
        <v>0.21454572192141524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0.56422188641562931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-0.59288962827382519</v>
      </c>
      <c r="H511" t="s">
        <v>17</v>
      </c>
      <c r="I511">
        <f>VLOOKUP(Table4[[#This Row],[Visitor]],'NHL Model'!$A$6:$B$38,2,FALSE)</f>
        <v>-0.81774666423752174</v>
      </c>
      <c r="J511">
        <f>($B$1+Table4[[#This Row],[Home Differential]])-Table4[[#This Row],[Away Differential]]</f>
        <v>0.27475778488685898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0.57208202652102691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1.5302507646042616E-3</v>
      </c>
      <c r="H512" t="s">
        <v>38</v>
      </c>
      <c r="I512">
        <f>VLOOKUP(Table4[[#This Row],[Visitor]],'NHL Model'!$A$6:$B$38,2,FALSE)</f>
        <v>-0.9476777551108041</v>
      </c>
      <c r="J512">
        <f>($B$1+Table4[[#This Row],[Home Differential]])-Table4[[#This Row],[Away Differential]]</f>
        <v>0.99910875479857086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0.73309904907991641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-0.14226422156549004</v>
      </c>
      <c r="H513" t="s">
        <v>55</v>
      </c>
      <c r="I513">
        <f>VLOOKUP(Table4[[#This Row],[Visitor]],'NHL Model'!$A$6:$B$38,2,FALSE)</f>
        <v>-0.4031232890211825</v>
      </c>
      <c r="J513">
        <f>($B$1+Table4[[#This Row],[Home Differential]])-Table4[[#This Row],[Away Differential]]</f>
        <v>0.31075981637885491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0.57628579504977917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-0.64937723527808999</v>
      </c>
      <c r="H514" t="s">
        <v>23</v>
      </c>
      <c r="I514">
        <f>VLOOKUP(Table4[[#This Row],[Visitor]],'NHL Model'!$A$6:$B$38,2,FALSE)</f>
        <v>-0.4761104357405897</v>
      </c>
      <c r="J514">
        <f>($B$1+Table4[[#This Row],[Home Differential]])-Table4[[#This Row],[Away Differential]]</f>
        <v>-0.12336605061433786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0.4744048071621822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0.41344250185511977</v>
      </c>
      <c r="H515" t="s">
        <v>13</v>
      </c>
      <c r="I515">
        <f>VLOOKUP(Table4[[#This Row],[Visitor]],'NHL Model'!$A$6:$B$38,2,FALSE)</f>
        <v>-0.33828359867721369</v>
      </c>
      <c r="J515">
        <f>($B$1+Table4[[#This Row],[Home Differential]])-Table4[[#This Row],[Away Differential]]</f>
        <v>0.80162684945549589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0.59993087976587611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-0.29003398448394263</v>
      </c>
      <c r="H516" t="s">
        <v>31</v>
      </c>
      <c r="I516">
        <f>VLOOKUP(Table4[[#This Row],[Visitor]],'NHL Model'!$A$6:$B$38,2,FALSE)</f>
        <v>0.17870302183926629</v>
      </c>
      <c r="J516">
        <f>($B$1+Table4[[#This Row],[Home Differential]])-Table4[[#This Row],[Away Differential]]</f>
        <v>-0.41883625740004649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0.52967454540266012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-1.3944783719477225</v>
      </c>
      <c r="H517" t="s">
        <v>29</v>
      </c>
      <c r="I517">
        <f>VLOOKUP(Table4[[#This Row],[Visitor]],'NHL Model'!$A$6:$B$38,2,FALSE)</f>
        <v>-1.384917283810061</v>
      </c>
      <c r="J517">
        <f>($B$1+Table4[[#This Row],[Home Differential]])-Table4[[#This Row],[Away Differential]]</f>
        <v>4.0339660785500886E-2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0.54471025076760826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0.51050494674660429</v>
      </c>
      <c r="H518" t="s">
        <v>11</v>
      </c>
      <c r="I518">
        <f>VLOOKUP(Table4[[#This Row],[Visitor]],'NHL Model'!$A$6:$B$38,2,FALSE)</f>
        <v>-0.39711829106410657</v>
      </c>
      <c r="J518">
        <f>($B$1+Table4[[#This Row],[Home Differential]])-Table4[[#This Row],[Away Differential]]</f>
        <v>0.95752398673387329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0.68405112330490425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-0.31324182378279158</v>
      </c>
      <c r="H519" t="s">
        <v>36</v>
      </c>
      <c r="I519">
        <f>VLOOKUP(Table4[[#This Row],[Visitor]],'NHL Model'!$A$6:$B$38,2,FALSE)</f>
        <v>-0.53137605086483863</v>
      </c>
      <c r="J519">
        <f>($B$1+Table4[[#This Row],[Home Differential]])-Table4[[#This Row],[Away Differential]]</f>
        <v>0.26803497600520954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0.57379251856685676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-0.21976976044773161</v>
      </c>
      <c r="H520" t="s">
        <v>55</v>
      </c>
      <c r="I520">
        <f>VLOOKUP(Table4[[#This Row],[Visitor]],'NHL Model'!$A$6:$B$38,2,FALSE)</f>
        <v>-0.4031232890211825</v>
      </c>
      <c r="J520">
        <f>($B$1+Table4[[#This Row],[Home Differential]])-Table4[[#This Row],[Away Differential]]</f>
        <v>0.23325427749661334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0.61013743388930985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-0.59498940435054026</v>
      </c>
      <c r="H521" t="s">
        <v>31</v>
      </c>
      <c r="I521">
        <f>VLOOKUP(Table4[[#This Row],[Visitor]],'NHL Model'!$A$6:$B$38,2,FALSE)</f>
        <v>0.17870302183926629</v>
      </c>
      <c r="J521">
        <f>($B$1+Table4[[#This Row],[Home Differential]])-Table4[[#This Row],[Away Differential]]</f>
        <v>-0.72379167726664417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0.56528259149285476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-0.87533956503230947</v>
      </c>
      <c r="H522" t="s">
        <v>30</v>
      </c>
      <c r="I522">
        <f>VLOOKUP(Table4[[#This Row],[Visitor]],'NHL Model'!$A$6:$B$38,2,FALSE)</f>
        <v>-0.24093199744133265</v>
      </c>
      <c r="J522">
        <f>($B$1+Table4[[#This Row],[Home Differential]])-Table4[[#This Row],[Away Differential]]</f>
        <v>-0.5845068186678144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0.6008729668922711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-5.5124787449478845E-2</v>
      </c>
      <c r="H523" t="s">
        <v>22</v>
      </c>
      <c r="I523">
        <f>VLOOKUP(Table4[[#This Row],[Visitor]],'NHL Model'!$A$6:$B$38,2,FALSE)</f>
        <v>0.4407072328537569</v>
      </c>
      <c r="J523">
        <f>($B$1+Table4[[#This Row],[Home Differential]])-Table4[[#This Row],[Away Differential]]</f>
        <v>-0.44593127138007327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0.5545816202235333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-0.59288962827382519</v>
      </c>
      <c r="H524" t="s">
        <v>27</v>
      </c>
      <c r="I524">
        <f>VLOOKUP(Table4[[#This Row],[Visitor]],'NHL Model'!$A$6:$B$38,2,FALSE)</f>
        <v>-0.38023958350631604</v>
      </c>
      <c r="J524">
        <f>($B$1+Table4[[#This Row],[Home Differential]])-Table4[[#This Row],[Away Differential]]</f>
        <v>-0.16274929584434672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0.52151594511207089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-0.29003398448394263</v>
      </c>
      <c r="H525" t="s">
        <v>38</v>
      </c>
      <c r="I525">
        <f>VLOOKUP(Table4[[#This Row],[Visitor]],'NHL Model'!$A$6:$B$38,2,FALSE)</f>
        <v>-0.9476777551108041</v>
      </c>
      <c r="J525">
        <f>($B$1+Table4[[#This Row],[Home Differential]])-Table4[[#This Row],[Away Differential]]</f>
        <v>0.70754451955002395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0.61904010632887752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-0.14226422156549004</v>
      </c>
      <c r="H526" t="s">
        <v>17</v>
      </c>
      <c r="I526">
        <f>VLOOKUP(Table4[[#This Row],[Visitor]],'NHL Model'!$A$6:$B$38,2,FALSE)</f>
        <v>-0.81774666423752174</v>
      </c>
      <c r="J526">
        <f>($B$1+Table4[[#This Row],[Home Differential]])-Table4[[#This Row],[Away Differential]]</f>
        <v>0.72538319159519415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0.62469919351055736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-0.64937723527808999</v>
      </c>
      <c r="H527" t="s">
        <v>12</v>
      </c>
      <c r="I527">
        <f>VLOOKUP(Table4[[#This Row],[Visitor]],'NHL Model'!$A$6:$B$38,2,FALSE)</f>
        <v>1.6319036584269762</v>
      </c>
      <c r="J527">
        <f>($B$1+Table4[[#This Row],[Home Differential]])-Table4[[#This Row],[Away Differential]]</f>
        <v>-2.2313801447819035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0.79316973383163425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-0.45133099238224339</v>
      </c>
      <c r="H528" t="s">
        <v>16</v>
      </c>
      <c r="I528">
        <f>VLOOKUP(Table4[[#This Row],[Visitor]],'NHL Model'!$A$6:$B$38,2,FALSE)</f>
        <v>-1.0657812790446208</v>
      </c>
      <c r="J528">
        <f>($B$1+Table4[[#This Row],[Home Differential]])-Table4[[#This Row],[Away Differential]]</f>
        <v>0.66435103558553998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0.62769503791484937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-0.63447859131898054</v>
      </c>
      <c r="H529" t="s">
        <v>10</v>
      </c>
      <c r="I529">
        <f>VLOOKUP(Table4[[#This Row],[Visitor]],'NHL Model'!$A$6:$B$38,2,FALSE)</f>
        <v>-0.17619625518431364</v>
      </c>
      <c r="J529">
        <f>($B$1+Table4[[#This Row],[Home Differential]])-Table4[[#This Row],[Away Differential]]</f>
        <v>-0.40838158721150447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0.50768457758899765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-0.87533956503230947</v>
      </c>
      <c r="H530" t="s">
        <v>55</v>
      </c>
      <c r="I530">
        <f>VLOOKUP(Table4[[#This Row],[Visitor]],'NHL Model'!$A$6:$B$38,2,FALSE)</f>
        <v>-0.4031232890211825</v>
      </c>
      <c r="J530">
        <f>($B$1+Table4[[#This Row],[Home Differential]])-Table4[[#This Row],[Away Differential]]</f>
        <v>-0.42231552708796455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0.50931157071984945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-0.39711829106410657</v>
      </c>
      <c r="H531" t="s">
        <v>13</v>
      </c>
      <c r="I531">
        <f>VLOOKUP(Table4[[#This Row],[Visitor]],'NHL Model'!$A$6:$B$38,2,FALSE)</f>
        <v>-0.33828359867721369</v>
      </c>
      <c r="J531">
        <f>($B$1+Table4[[#This Row],[Home Differential]])-Table4[[#This Row],[Away Differential]]</f>
        <v>-8.9339434637303872E-3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0.51323829170620494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-1.384917283810061</v>
      </c>
      <c r="H532" t="s">
        <v>25</v>
      </c>
      <c r="I532">
        <f>VLOOKUP(Table4[[#This Row],[Visitor]],'NHL Model'!$A$6:$B$38,2,FALSE)</f>
        <v>0.42567513732855267</v>
      </c>
      <c r="J532">
        <f>($B$1+Table4[[#This Row],[Home Differential]])-Table4[[#This Row],[Away Differential]]</f>
        <v>-1.7606916722154513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0.73820990779345019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-1.3944783719477225</v>
      </c>
      <c r="H533" t="s">
        <v>40</v>
      </c>
      <c r="I533">
        <f>VLOOKUP(Table4[[#This Row],[Visitor]],'NHL Model'!$A$6:$B$38,2,FALSE)</f>
        <v>-0.31324182378279158</v>
      </c>
      <c r="J533">
        <f>($B$1+Table4[[#This Row],[Home Differential]])-Table4[[#This Row],[Away Differential]]</f>
        <v>-1.0313357992417684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0.60119290676073633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-0.24444083032063643</v>
      </c>
      <c r="H534" t="s">
        <v>24</v>
      </c>
      <c r="I534">
        <f>VLOOKUP(Table4[[#This Row],[Visitor]],'NHL Model'!$A$6:$B$38,2,FALSE)</f>
        <v>1.5302507646042616E-3</v>
      </c>
      <c r="J534">
        <f>($B$1+Table4[[#This Row],[Home Differential]])-Table4[[#This Row],[Away Differential]]</f>
        <v>-0.19607033216207823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0.50366333584072343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-0.21976976044773161</v>
      </c>
      <c r="H535" t="s">
        <v>17</v>
      </c>
      <c r="I535">
        <f>VLOOKUP(Table4[[#This Row],[Visitor]],'NHL Model'!$A$6:$B$38,2,FALSE)</f>
        <v>-0.81774666423752174</v>
      </c>
      <c r="J535">
        <f>($B$1+Table4[[#This Row],[Home Differential]])-Table4[[#This Row],[Away Differential]]</f>
        <v>0.64787765271295261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0.65855083235008804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-0.4761104357405897</v>
      </c>
      <c r="H536" t="s">
        <v>27</v>
      </c>
      <c r="I536">
        <f>VLOOKUP(Table4[[#This Row],[Visitor]],'NHL Model'!$A$6:$B$38,2,FALSE)</f>
        <v>-0.38023958350631604</v>
      </c>
      <c r="J536">
        <f>($B$1+Table4[[#This Row],[Home Differential]])-Table4[[#This Row],[Away Differential]]</f>
        <v>-4.5970103311111177E-2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0.49767538033956632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-0.59498940435054026</v>
      </c>
      <c r="H537" t="s">
        <v>34</v>
      </c>
      <c r="I537">
        <f>VLOOKUP(Table4[[#This Row],[Visitor]],'NHL Model'!$A$6:$B$38,2,FALSE)</f>
        <v>-5.5124787449478845E-2</v>
      </c>
      <c r="J537">
        <f>($B$1+Table4[[#This Row],[Home Differential]])-Table4[[#This Row],[Away Differential]]</f>
        <v>-0.48996386797789898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0.55972307575107316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-1.0657812790446208</v>
      </c>
      <c r="H538" t="s">
        <v>32</v>
      </c>
      <c r="I538">
        <f>VLOOKUP(Table4[[#This Row],[Visitor]],'NHL Model'!$A$6:$B$38,2,FALSE)</f>
        <v>-0.64937723527808999</v>
      </c>
      <c r="J538">
        <f>($B$1+Table4[[#This Row],[Home Differential]])-Table4[[#This Row],[Away Differential]]</f>
        <v>-0.36650329484336841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0.50279466887553537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-0.59288962827382519</v>
      </c>
      <c r="H539" t="s">
        <v>10</v>
      </c>
      <c r="I539">
        <f>VLOOKUP(Table4[[#This Row],[Visitor]],'NHL Model'!$A$6:$B$38,2,FALSE)</f>
        <v>-0.17619625518431364</v>
      </c>
      <c r="J539">
        <f>($B$1+Table4[[#This Row],[Home Differential]])-Table4[[#This Row],[Away Differential]]</f>
        <v>-0.36679262416634911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0.50282845234418938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-0.53137605086483863</v>
      </c>
      <c r="H540" t="s">
        <v>14</v>
      </c>
      <c r="I540">
        <f>VLOOKUP(Table4[[#This Row],[Visitor]],'NHL Model'!$A$6:$B$38,2,FALSE)</f>
        <v>-0.14226422156549004</v>
      </c>
      <c r="J540">
        <f>($B$1+Table4[[#This Row],[Home Differential]])-Table4[[#This Row],[Away Differential]]</f>
        <v>-0.33921108037618608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0.5363820935805419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-0.45133099238224339</v>
      </c>
      <c r="H541" t="s">
        <v>39</v>
      </c>
      <c r="I541">
        <f>VLOOKUP(Table4[[#This Row],[Visitor]],'NHL Model'!$A$6:$B$38,2,FALSE)</f>
        <v>0.41344250185511977</v>
      </c>
      <c r="J541">
        <f>($B$1+Table4[[#This Row],[Home Differential]])-Table4[[#This Row],[Away Differential]]</f>
        <v>-0.81487274531420062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0.64687255760983398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-1.3944783719477225</v>
      </c>
      <c r="H542" t="s">
        <v>15</v>
      </c>
      <c r="I542">
        <f>VLOOKUP(Table4[[#This Row],[Visitor]],'NHL Model'!$A$6:$B$38,2,FALSE)</f>
        <v>-0.29003398448394263</v>
      </c>
      <c r="J542">
        <f>($B$1+Table4[[#This Row],[Home Differential]])-Table4[[#This Row],[Away Differential]]</f>
        <v>-1.0545436385406175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0.68321500014802006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0.51050494674660429</v>
      </c>
      <c r="H543" t="s">
        <v>13</v>
      </c>
      <c r="I543">
        <f>VLOOKUP(Table4[[#This Row],[Visitor]],'NHL Model'!$A$6:$B$38,2,FALSE)</f>
        <v>-0.33828359867721369</v>
      </c>
      <c r="J543">
        <f>($B$1+Table4[[#This Row],[Home Differential]])-Table4[[#This Row],[Away Differential]]</f>
        <v>0.89868929434698042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0.6112643527464019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0.4407072328537569</v>
      </c>
      <c r="H544" t="s">
        <v>19</v>
      </c>
      <c r="I544">
        <f>VLOOKUP(Table4[[#This Row],[Visitor]],'NHL Model'!$A$6:$B$38,2,FALSE)</f>
        <v>-0.63447859131898054</v>
      </c>
      <c r="J544">
        <f>($B$1+Table4[[#This Row],[Home Differential]])-Table4[[#This Row],[Away Differential]]</f>
        <v>1.1250865730958999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0.69740819835070078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0.17870302183926629</v>
      </c>
      <c r="H545" t="s">
        <v>39</v>
      </c>
      <c r="I545">
        <f>VLOOKUP(Table4[[#This Row],[Visitor]],'NHL Model'!$A$6:$B$38,2,FALSE)</f>
        <v>0.41344250185511977</v>
      </c>
      <c r="J545">
        <f>($B$1+Table4[[#This Row],[Home Differential]])-Table4[[#This Row],[Away Differential]]</f>
        <v>-0.18483873109269103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0.50158264988004087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1.6319036584269762</v>
      </c>
      <c r="H546" t="s">
        <v>40</v>
      </c>
      <c r="I546">
        <f>VLOOKUP(Table4[[#This Row],[Visitor]],'NHL Model'!$A$6:$B$38,2,FALSE)</f>
        <v>-0.31324182378279158</v>
      </c>
      <c r="J546">
        <f>($B$1+Table4[[#This Row],[Home Differential]])-Table4[[#This Row],[Away Differential]]</f>
        <v>1.9950462311329302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0.85795109226563959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-0.39711829106410657</v>
      </c>
      <c r="H547" t="s">
        <v>25</v>
      </c>
      <c r="I547">
        <f>VLOOKUP(Table4[[#This Row],[Visitor]],'NHL Model'!$A$6:$B$38,2,FALSE)</f>
        <v>0.42567513732855267</v>
      </c>
      <c r="J547">
        <f>($B$1+Table4[[#This Row],[Home Differential]])-Table4[[#This Row],[Away Differential]]</f>
        <v>-0.7728926794694968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0.60876514592839726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-0.24093199744133265</v>
      </c>
      <c r="H548" t="s">
        <v>38</v>
      </c>
      <c r="I548">
        <f>VLOOKUP(Table4[[#This Row],[Visitor]],'NHL Model'!$A$6:$B$38,2,FALSE)</f>
        <v>-0.9476777551108041</v>
      </c>
      <c r="J548">
        <f>($B$1+Table4[[#This Row],[Home Differential]])-Table4[[#This Row],[Away Differential]]</f>
        <v>0.75664650659263388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0.62477348800970889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-0.4031232890211825</v>
      </c>
      <c r="H549" t="s">
        <v>24</v>
      </c>
      <c r="I549">
        <f>VLOOKUP(Table4[[#This Row],[Visitor]],'NHL Model'!$A$6:$B$38,2,FALSE)</f>
        <v>1.5302507646042616E-3</v>
      </c>
      <c r="J549">
        <f>($B$1+Table4[[#This Row],[Home Differential]])-Table4[[#This Row],[Away Differential]]</f>
        <v>-0.35475279086262429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0.48142262411072223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0.17870302183926629</v>
      </c>
      <c r="H550" t="s">
        <v>28</v>
      </c>
      <c r="I550">
        <f>VLOOKUP(Table4[[#This Row],[Visitor]],'NHL Model'!$A$6:$B$38,2,FALSE)</f>
        <v>-0.59498940435054026</v>
      </c>
      <c r="J550">
        <f>($B$1+Table4[[#This Row],[Home Differential]])-Table4[[#This Row],[Away Differential]]</f>
        <v>0.82359317511296903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0.71260501472654725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-0.21976976044773161</v>
      </c>
      <c r="H551" t="s">
        <v>38</v>
      </c>
      <c r="I551">
        <f>VLOOKUP(Table4[[#This Row],[Visitor]],'NHL Model'!$A$6:$B$38,2,FALSE)</f>
        <v>-0.9476777551108041</v>
      </c>
      <c r="J551">
        <f>($B$1+Table4[[#This Row],[Home Differential]])-Table4[[#This Row],[Away Differential]]</f>
        <v>0.77780874358623497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0.67021979208233717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-0.4761104357405897</v>
      </c>
      <c r="H552" t="s">
        <v>30</v>
      </c>
      <c r="I552">
        <f>VLOOKUP(Table4[[#This Row],[Visitor]],'NHL Model'!$A$6:$B$38,2,FALSE)</f>
        <v>-0.24093199744133265</v>
      </c>
      <c r="J552">
        <f>($B$1+Table4[[#This Row],[Home Differential]])-Table4[[#This Row],[Away Differential]]</f>
        <v>-0.18527768937609457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0.54408288433002694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-1.0657812790446208</v>
      </c>
      <c r="H553" t="s">
        <v>20</v>
      </c>
      <c r="I553">
        <f>VLOOKUP(Table4[[#This Row],[Visitor]],'NHL Model'!$A$6:$B$38,2,FALSE)</f>
        <v>-0.24444083032063643</v>
      </c>
      <c r="J553">
        <f>($B$1+Table4[[#This Row],[Home Differential]])-Table4[[#This Row],[Away Differential]]</f>
        <v>-0.77143969980082194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0.55007697058911142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-0.39711829106410657</v>
      </c>
      <c r="H554" t="s">
        <v>35</v>
      </c>
      <c r="I554">
        <f>VLOOKUP(Table4[[#This Row],[Visitor]],'NHL Model'!$A$6:$B$38,2,FALSE)</f>
        <v>-1.3944783719477225</v>
      </c>
      <c r="J554">
        <f>($B$1+Table4[[#This Row],[Home Differential]])-Table4[[#This Row],[Away Differential]]</f>
        <v>1.0472608298067785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0.67629977884526182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-5.5124787449478845E-2</v>
      </c>
      <c r="H555" t="s">
        <v>17</v>
      </c>
      <c r="I555">
        <f>VLOOKUP(Table4[[#This Row],[Visitor]],'NHL Model'!$A$6:$B$38,2,FALSE)</f>
        <v>-0.81774666423752174</v>
      </c>
      <c r="J555">
        <f>($B$1+Table4[[#This Row],[Home Differential]])-Table4[[#This Row],[Away Differential]]</f>
        <v>0.81252262571120537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0.63487400852986009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-0.59288962827382519</v>
      </c>
      <c r="H556" t="s">
        <v>14</v>
      </c>
      <c r="I556">
        <f>VLOOKUP(Table4[[#This Row],[Visitor]],'NHL Model'!$A$6:$B$38,2,FALSE)</f>
        <v>-0.14226422156549004</v>
      </c>
      <c r="J556">
        <f>($B$1+Table4[[#This Row],[Home Differential]])-Table4[[#This Row],[Away Differential]]</f>
        <v>-0.40072465778517274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0.54607725130849172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-1.384917283810061</v>
      </c>
      <c r="H557" t="s">
        <v>19</v>
      </c>
      <c r="I557">
        <f>VLOOKUP(Table4[[#This Row],[Visitor]],'NHL Model'!$A$6:$B$38,2,FALSE)</f>
        <v>-0.63447859131898054</v>
      </c>
      <c r="J557">
        <f>($B$1+Table4[[#This Row],[Home Differential]])-Table4[[#This Row],[Away Differential]]</f>
        <v>-0.70053794356791799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0.54179814411368299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-0.29003398448394263</v>
      </c>
      <c r="H558" t="s">
        <v>27</v>
      </c>
      <c r="I558">
        <f>VLOOKUP(Table4[[#This Row],[Visitor]],'NHL Model'!$A$6:$B$38,2,FALSE)</f>
        <v>-0.38023958350631604</v>
      </c>
      <c r="J558">
        <f>($B$1+Table4[[#This Row],[Home Differential]])-Table4[[#This Row],[Away Differential]]</f>
        <v>0.14010634794553586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0.51384692113068431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-0.53137605086483863</v>
      </c>
      <c r="H559" t="s">
        <v>10</v>
      </c>
      <c r="I559">
        <f>VLOOKUP(Table4[[#This Row],[Visitor]],'NHL Model'!$A$6:$B$38,2,FALSE)</f>
        <v>-0.17619625518431364</v>
      </c>
      <c r="J559">
        <f>($B$1+Table4[[#This Row],[Home Differential]])-Table4[[#This Row],[Away Differential]]</f>
        <v>-0.3052790467573625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0.4931503551017436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-0.45133099238224339</v>
      </c>
      <c r="H560" t="s">
        <v>32</v>
      </c>
      <c r="I560">
        <f>VLOOKUP(Table4[[#This Row],[Visitor]],'NHL Model'!$A$6:$B$38,2,FALSE)</f>
        <v>-0.64937723527808999</v>
      </c>
      <c r="J560">
        <f>($B$1+Table4[[#This Row],[Home Differential]])-Table4[[#This Row],[Away Differential]]</f>
        <v>0.24794699181900909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0.57907372012004421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0.51050494674660429</v>
      </c>
      <c r="H561" t="s">
        <v>25</v>
      </c>
      <c r="I561">
        <f>VLOOKUP(Table4[[#This Row],[Visitor]],'NHL Model'!$A$6:$B$38,2,FALSE)</f>
        <v>0.42567513732855267</v>
      </c>
      <c r="J561">
        <f>($B$1+Table4[[#This Row],[Home Differential]])-Table4[[#This Row],[Away Differential]]</f>
        <v>0.13473055834121406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0.5157317811674581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0.4407072328537569</v>
      </c>
      <c r="H562" t="s">
        <v>26</v>
      </c>
      <c r="I562">
        <f>VLOOKUP(Table4[[#This Row],[Visitor]],'NHL Model'!$A$6:$B$38,2,FALSE)</f>
        <v>-0.87533956503230947</v>
      </c>
      <c r="J562">
        <f>($B$1+Table4[[#This Row],[Home Differential]])-Table4[[#This Row],[Away Differential]]</f>
        <v>1.3659475468092288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0.72553227188599068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-0.21976976044773161</v>
      </c>
      <c r="H563" t="s">
        <v>36</v>
      </c>
      <c r="I563">
        <f>VLOOKUP(Table4[[#This Row],[Visitor]],'NHL Model'!$A$6:$B$38,2,FALSE)</f>
        <v>-0.53137605086483863</v>
      </c>
      <c r="J563">
        <f>($B$1+Table4[[#This Row],[Home Differential]])-Table4[[#This Row],[Away Differential]]</f>
        <v>0.36150703934026951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0.62511283671022522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0.41344250185511977</v>
      </c>
      <c r="H564" t="s">
        <v>19</v>
      </c>
      <c r="I564">
        <f>VLOOKUP(Table4[[#This Row],[Visitor]],'NHL Model'!$A$6:$B$38,2,FALSE)</f>
        <v>-0.63447859131898054</v>
      </c>
      <c r="J564">
        <f>($B$1+Table4[[#This Row],[Home Differential]])-Table4[[#This Row],[Away Differential]]</f>
        <v>1.0978218420972627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0.70043296856714099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-0.87533956503230947</v>
      </c>
      <c r="H565" t="s">
        <v>22</v>
      </c>
      <c r="I565">
        <f>VLOOKUP(Table4[[#This Row],[Visitor]],'NHL Model'!$A$6:$B$38,2,FALSE)</f>
        <v>0.4407072328537569</v>
      </c>
      <c r="J565">
        <f>($B$1+Table4[[#This Row],[Home Differential]])-Table4[[#This Row],[Away Differential]]</f>
        <v>-1.2661460489629039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0.65035380101246465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-0.81774666423752174</v>
      </c>
      <c r="H566" t="s">
        <v>20</v>
      </c>
      <c r="I566">
        <f>VLOOKUP(Table4[[#This Row],[Visitor]],'NHL Model'!$A$6:$B$38,2,FALSE)</f>
        <v>-0.24444083032063643</v>
      </c>
      <c r="J566">
        <f>($B$1+Table4[[#This Row],[Home Differential]])-Table4[[#This Row],[Away Differential]]</f>
        <v>-0.52340508499372285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0.5140693167207816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-5.5124787449478845E-2</v>
      </c>
      <c r="H567" t="s">
        <v>12</v>
      </c>
      <c r="I567">
        <f>VLOOKUP(Table4[[#This Row],[Visitor]],'NHL Model'!$A$6:$B$38,2,FALSE)</f>
        <v>1.6319036584269762</v>
      </c>
      <c r="J567">
        <f>($B$1+Table4[[#This Row],[Home Differential]])-Table4[[#This Row],[Away Differential]]</f>
        <v>-1.6371276969532926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0.72378199000747556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1.5302507646042616E-3</v>
      </c>
      <c r="H568" t="s">
        <v>23</v>
      </c>
      <c r="I568">
        <f>VLOOKUP(Table4[[#This Row],[Visitor]],'NHL Model'!$A$6:$B$38,2,FALSE)</f>
        <v>-0.4761104357405897</v>
      </c>
      <c r="J568">
        <f>($B$1+Table4[[#This Row],[Home Differential]])-Table4[[#This Row],[Away Differential]]</f>
        <v>0.52754143542835641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0.68143295928595826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-1.384917283810061</v>
      </c>
      <c r="H569" t="s">
        <v>15</v>
      </c>
      <c r="I569">
        <f>VLOOKUP(Table4[[#This Row],[Visitor]],'NHL Model'!$A$6:$B$38,2,FALSE)</f>
        <v>-0.29003398448394263</v>
      </c>
      <c r="J569">
        <f>($B$1+Table4[[#This Row],[Home Differential]])-Table4[[#This Row],[Away Differential]]</f>
        <v>-1.044982550402956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0.68209860199635841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-0.14226422156549004</v>
      </c>
      <c r="H570" t="s">
        <v>18</v>
      </c>
      <c r="I570">
        <f>VLOOKUP(Table4[[#This Row],[Visitor]],'NHL Model'!$A$6:$B$38,2,FALSE)</f>
        <v>-0.59288962827382519</v>
      </c>
      <c r="J570">
        <f>($B$1+Table4[[#This Row],[Home Differential]])-Table4[[#This Row],[Away Differential]]</f>
        <v>0.5005261556314976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0.53915598208090709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-0.4031232890211825</v>
      </c>
      <c r="H571" t="s">
        <v>40</v>
      </c>
      <c r="I571">
        <f>VLOOKUP(Table4[[#This Row],[Visitor]],'NHL Model'!$A$6:$B$38,2,FALSE)</f>
        <v>-0.31324182378279158</v>
      </c>
      <c r="J571">
        <f>($B$1+Table4[[#This Row],[Home Differential]])-Table4[[#This Row],[Away Differential]]</f>
        <v>-3.9980716315228426E-2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0.44466833870306172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0.17870302183926629</v>
      </c>
      <c r="H572" t="s">
        <v>32</v>
      </c>
      <c r="I572">
        <f>VLOOKUP(Table4[[#This Row],[Visitor]],'NHL Model'!$A$6:$B$38,2,FALSE)</f>
        <v>-0.64937723527808999</v>
      </c>
      <c r="J572">
        <f>($B$1+Table4[[#This Row],[Home Differential]])-Table4[[#This Row],[Away Differential]]</f>
        <v>0.87798100604051876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0.72235195127385143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-0.33828359867721369</v>
      </c>
      <c r="H573" t="s">
        <v>28</v>
      </c>
      <c r="I573">
        <f>VLOOKUP(Table4[[#This Row],[Visitor]],'NHL Model'!$A$6:$B$38,2,FALSE)</f>
        <v>-0.59498940435054026</v>
      </c>
      <c r="J573">
        <f>($B$1+Table4[[#This Row],[Home Differential]])-Table4[[#This Row],[Away Differential]]</f>
        <v>0.30660655459648906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0.57222468149852157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-0.38023958350631604</v>
      </c>
      <c r="H574" t="s">
        <v>38</v>
      </c>
      <c r="I574">
        <f>VLOOKUP(Table4[[#This Row],[Visitor]],'NHL Model'!$A$6:$B$38,2,FALSE)</f>
        <v>-0.9476777551108041</v>
      </c>
      <c r="J574">
        <f>($B$1+Table4[[#This Row],[Home Differential]])-Table4[[#This Row],[Away Differential]]</f>
        <v>0.61733892052765049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0.62254214584012046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0.51050494674660429</v>
      </c>
      <c r="H575" t="s">
        <v>35</v>
      </c>
      <c r="I575">
        <f>VLOOKUP(Table4[[#This Row],[Visitor]],'NHL Model'!$A$6:$B$38,2,FALSE)</f>
        <v>-1.3944783719477225</v>
      </c>
      <c r="J575">
        <f>($B$1+Table4[[#This Row],[Home Differential]])-Table4[[#This Row],[Away Differential]]</f>
        <v>1.9548840676174892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0.8005076327322812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-0.21976976044773161</v>
      </c>
      <c r="H576" t="s">
        <v>18</v>
      </c>
      <c r="I576">
        <f>VLOOKUP(Table4[[#This Row],[Visitor]],'NHL Model'!$A$6:$B$38,2,FALSE)</f>
        <v>-0.59288962827382519</v>
      </c>
      <c r="J576">
        <f>($B$1+Table4[[#This Row],[Home Differential]])-Table4[[#This Row],[Away Differential]]</f>
        <v>0.42302061674925606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0.57366574500438006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0.42567513732855267</v>
      </c>
      <c r="H577" t="s">
        <v>11</v>
      </c>
      <c r="I577">
        <f>VLOOKUP(Table4[[#This Row],[Visitor]],'NHL Model'!$A$6:$B$38,2,FALSE)</f>
        <v>-0.39711829106410657</v>
      </c>
      <c r="J577">
        <f>($B$1+Table4[[#This Row],[Home Differential]])-Table4[[#This Row],[Away Differential]]</f>
        <v>0.87269417731582166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0.69361590157977926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-0.17619625518431364</v>
      </c>
      <c r="H578" t="s">
        <v>27</v>
      </c>
      <c r="I578">
        <f>VLOOKUP(Table4[[#This Row],[Visitor]],'NHL Model'!$A$6:$B$38,2,FALSE)</f>
        <v>-0.38023958350631604</v>
      </c>
      <c r="J578">
        <f>($B$1+Table4[[#This Row],[Home Differential]])-Table4[[#This Row],[Away Differential]]</f>
        <v>0.25394407724516488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0.52713915615138829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1.6319036584269762</v>
      </c>
      <c r="H579" t="s">
        <v>55</v>
      </c>
      <c r="I579">
        <f>VLOOKUP(Table4[[#This Row],[Visitor]],'NHL Model'!$A$6:$B$38,2,FALSE)</f>
        <v>-0.4031232890211825</v>
      </c>
      <c r="J579">
        <f>($B$1+Table4[[#This Row],[Home Differential]])-Table4[[#This Row],[Away Differential]]</f>
        <v>2.084927696371321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0.88777597679518749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-0.87533956503230947</v>
      </c>
      <c r="H580" t="s">
        <v>39</v>
      </c>
      <c r="I580">
        <f>VLOOKUP(Table4[[#This Row],[Visitor]],'NHL Model'!$A$6:$B$38,2,FALSE)</f>
        <v>0.41344250185511977</v>
      </c>
      <c r="J580">
        <f>($B$1+Table4[[#This Row],[Home Differential]])-Table4[[#This Row],[Away Differential]]</f>
        <v>-1.2388813179642668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0.70645543126458221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-0.81774666423752174</v>
      </c>
      <c r="H581" t="s">
        <v>16</v>
      </c>
      <c r="I581">
        <f>VLOOKUP(Table4[[#This Row],[Visitor]],'NHL Model'!$A$6:$B$38,2,FALSE)</f>
        <v>-1.0657812790446208</v>
      </c>
      <c r="J581">
        <f>($B$1+Table4[[#This Row],[Home Differential]])-Table4[[#This Row],[Away Differential]]</f>
        <v>0.29793536373026153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0.58183430278759984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-0.33828359867721369</v>
      </c>
      <c r="H582" t="s">
        <v>32</v>
      </c>
      <c r="I582">
        <f>VLOOKUP(Table4[[#This Row],[Visitor]],'NHL Model'!$A$6:$B$38,2,FALSE)</f>
        <v>-0.64937723527808999</v>
      </c>
      <c r="J582">
        <f>($B$1+Table4[[#This Row],[Home Differential]])-Table4[[#This Row],[Away Differential]]</f>
        <v>0.36099438552403879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0.58215142240680495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-5.5124787449478845E-2</v>
      </c>
      <c r="H583" t="s">
        <v>29</v>
      </c>
      <c r="I583">
        <f>VLOOKUP(Table4[[#This Row],[Visitor]],'NHL Model'!$A$6:$B$38,2,FALSE)</f>
        <v>-1.384917283810061</v>
      </c>
      <c r="J583">
        <f>($B$1+Table4[[#This Row],[Home Differential]])-Table4[[#This Row],[Away Differential]]</f>
        <v>1.3796932452837445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0.70109954920586415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-0.24093199744133265</v>
      </c>
      <c r="H584" t="s">
        <v>24</v>
      </c>
      <c r="I584">
        <f>VLOOKUP(Table4[[#This Row],[Visitor]],'NHL Model'!$A$6:$B$38,2,FALSE)</f>
        <v>1.5302507646042616E-3</v>
      </c>
      <c r="J584">
        <f>($B$1+Table4[[#This Row],[Home Differential]])-Table4[[#This Row],[Away Differential]]</f>
        <v>-0.19256149928277444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0.50325362781538752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-0.53137605086483863</v>
      </c>
      <c r="H585" t="s">
        <v>23</v>
      </c>
      <c r="I585">
        <f>VLOOKUP(Table4[[#This Row],[Visitor]],'NHL Model'!$A$6:$B$38,2,FALSE)</f>
        <v>-0.4761104357405897</v>
      </c>
      <c r="J585">
        <f>($B$1+Table4[[#This Row],[Home Differential]])-Table4[[#This Row],[Away Differential]]</f>
        <v>-5.364866201086449E-3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0.45813094810441091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-0.63447859131898054</v>
      </c>
      <c r="H586" t="s">
        <v>14</v>
      </c>
      <c r="I586">
        <f>VLOOKUP(Table4[[#This Row],[Visitor]],'NHL Model'!$A$6:$B$38,2,FALSE)</f>
        <v>-0.14226422156549004</v>
      </c>
      <c r="J586">
        <f>($B$1+Table4[[#This Row],[Home Differential]])-Table4[[#This Row],[Away Differential]]</f>
        <v>-0.4423136208303281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0.55093337655329999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-0.24444083032063643</v>
      </c>
      <c r="H587" t="s">
        <v>33</v>
      </c>
      <c r="I587">
        <f>VLOOKUP(Table4[[#This Row],[Visitor]],'NHL Model'!$A$6:$B$38,2,FALSE)</f>
        <v>-0.45133099238224339</v>
      </c>
      <c r="J587">
        <f>($B$1+Table4[[#This Row],[Home Differential]])-Table4[[#This Row],[Away Differential]]</f>
        <v>0.25679091098476942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0.56998412882082472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0.4407072328537569</v>
      </c>
      <c r="H588" t="s">
        <v>15</v>
      </c>
      <c r="I588">
        <f>VLOOKUP(Table4[[#This Row],[Visitor]],'NHL Model'!$A$6:$B$38,2,FALSE)</f>
        <v>-0.29003398448394263</v>
      </c>
      <c r="J588">
        <f>($B$1+Table4[[#This Row],[Home Differential]])-Table4[[#This Row],[Away Differential]]</f>
        <v>0.78064196626086202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0.55717088848980889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-0.4761104357405897</v>
      </c>
      <c r="H589" t="s">
        <v>21</v>
      </c>
      <c r="I589">
        <f>VLOOKUP(Table4[[#This Row],[Visitor]],'NHL Model'!$A$6:$B$38,2,FALSE)</f>
        <v>-0.21976976044773161</v>
      </c>
      <c r="J589">
        <f>($B$1+Table4[[#This Row],[Home Differential]])-Table4[[#This Row],[Away Differential]]</f>
        <v>-0.2064399263696956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0.47480913359163229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0.42567513732855267</v>
      </c>
      <c r="H590" t="s">
        <v>26</v>
      </c>
      <c r="I590">
        <f>VLOOKUP(Table4[[#This Row],[Visitor]],'NHL Model'!$A$6:$B$38,2,FALSE)</f>
        <v>-0.87533956503230947</v>
      </c>
      <c r="J590">
        <f>($B$1+Table4[[#This Row],[Home Differential]])-Table4[[#This Row],[Away Differential]]</f>
        <v>1.3509154512840247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0.74945529335783156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-1.0657812790446208</v>
      </c>
      <c r="H591" t="s">
        <v>17</v>
      </c>
      <c r="I591">
        <f>VLOOKUP(Table4[[#This Row],[Visitor]],'NHL Model'!$A$6:$B$38,2,FALSE)</f>
        <v>-0.81774666423752174</v>
      </c>
      <c r="J591">
        <f>($B$1+Table4[[#This Row],[Home Differential]])-Table4[[#This Row],[Away Differential]]</f>
        <v>-0.19813386588393667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0.48313505308910382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0.41344250185511977</v>
      </c>
      <c r="H592" t="s">
        <v>10</v>
      </c>
      <c r="I592">
        <f>VLOOKUP(Table4[[#This Row],[Visitor]],'NHL Model'!$A$6:$B$38,2,FALSE)</f>
        <v>-0.17619625518431364</v>
      </c>
      <c r="J592">
        <f>($B$1+Table4[[#This Row],[Home Differential]])-Table4[[#This Row],[Away Differential]]</f>
        <v>0.6395395059625959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0.64692174205887343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-0.39711829106410657</v>
      </c>
      <c r="H593" t="s">
        <v>37</v>
      </c>
      <c r="I593">
        <f>VLOOKUP(Table4[[#This Row],[Visitor]],'NHL Model'!$A$6:$B$38,2,FALSE)</f>
        <v>0.51050494674660429</v>
      </c>
      <c r="J593">
        <f>($B$1+Table4[[#This Row],[Home Differential]])-Table4[[#This Row],[Away Differential]]</f>
        <v>-0.85772248888754832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0.63861329811960532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-0.33828359867721369</v>
      </c>
      <c r="H594" t="s">
        <v>31</v>
      </c>
      <c r="I594">
        <f>VLOOKUP(Table4[[#This Row],[Visitor]],'NHL Model'!$A$6:$B$38,2,FALSE)</f>
        <v>0.17870302183926629</v>
      </c>
      <c r="J594">
        <f>($B$1+Table4[[#This Row],[Home Differential]])-Table4[[#This Row],[Away Differential]]</f>
        <v>-0.46708587159331749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0.53530839997320578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1.5302507646042616E-3</v>
      </c>
      <c r="H595" t="s">
        <v>22</v>
      </c>
      <c r="I595">
        <f>VLOOKUP(Table4[[#This Row],[Visitor]],'NHL Model'!$A$6:$B$38,2,FALSE)</f>
        <v>0.4407072328537569</v>
      </c>
      <c r="J595">
        <f>($B$1+Table4[[#This Row],[Home Differential]])-Table4[[#This Row],[Away Differential]]</f>
        <v>-0.38927623316599019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0.46650637710823029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-0.24093199744133265</v>
      </c>
      <c r="H596" t="s">
        <v>15</v>
      </c>
      <c r="I596">
        <f>VLOOKUP(Table4[[#This Row],[Visitor]],'NHL Model'!$A$6:$B$38,2,FALSE)</f>
        <v>-0.29003398448394263</v>
      </c>
      <c r="J596">
        <f>($B$1+Table4[[#This Row],[Home Differential]])-Table4[[#This Row],[Away Differential]]</f>
        <v>9.9002735965772443E-2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0.45147856420498927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-1.3944783719477225</v>
      </c>
      <c r="H597" t="s">
        <v>29</v>
      </c>
      <c r="I597">
        <f>VLOOKUP(Table4[[#This Row],[Visitor]],'NHL Model'!$A$6:$B$38,2,FALSE)</f>
        <v>-1.384917283810061</v>
      </c>
      <c r="J597">
        <f>($B$1+Table4[[#This Row],[Home Differential]])-Table4[[#This Row],[Away Differential]]</f>
        <v>4.0339660785500886E-2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0.54471025076760826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-0.63447859131898054</v>
      </c>
      <c r="H598" t="s">
        <v>36</v>
      </c>
      <c r="I598">
        <f>VLOOKUP(Table4[[#This Row],[Visitor]],'NHL Model'!$A$6:$B$38,2,FALSE)</f>
        <v>-0.53137605086483863</v>
      </c>
      <c r="J598">
        <f>($B$1+Table4[[#This Row],[Home Differential]])-Table4[[#This Row],[Away Differential]]</f>
        <v>-5.3201791530979481E-2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0.46621209436364425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-0.9476777551108041</v>
      </c>
      <c r="H599" t="s">
        <v>33</v>
      </c>
      <c r="I599">
        <f>VLOOKUP(Table4[[#This Row],[Visitor]],'NHL Model'!$A$6:$B$38,2,FALSE)</f>
        <v>-0.45133099238224339</v>
      </c>
      <c r="J599">
        <f>($B$1+Table4[[#This Row],[Home Differential]])-Table4[[#This Row],[Away Differential]]</f>
        <v>-0.44644601380539828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0.51212916118467577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-0.24444083032063643</v>
      </c>
      <c r="H600" t="s">
        <v>12</v>
      </c>
      <c r="I600">
        <f>VLOOKUP(Table4[[#This Row],[Visitor]],'NHL Model'!$A$6:$B$38,2,FALSE)</f>
        <v>1.6319036584269762</v>
      </c>
      <c r="J600">
        <f>($B$1+Table4[[#This Row],[Home Differential]])-Table4[[#This Row],[Away Differential]]</f>
        <v>-1.8264437398244502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0.74588743211805819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-0.31324182378279158</v>
      </c>
      <c r="H601" t="s">
        <v>34</v>
      </c>
      <c r="I601">
        <f>VLOOKUP(Table4[[#This Row],[Visitor]],'NHL Model'!$A$6:$B$38,2,FALSE)</f>
        <v>-5.5124787449478845E-2</v>
      </c>
      <c r="J601">
        <f>($B$1+Table4[[#This Row],[Home Differential]])-Table4[[#This Row],[Away Differential]]</f>
        <v>-0.20821628741015025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0.52431232460821053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-0.59498940435054026</v>
      </c>
      <c r="H602" t="s">
        <v>30</v>
      </c>
      <c r="I602">
        <f>VLOOKUP(Table4[[#This Row],[Visitor]],'NHL Model'!$A$6:$B$38,2,FALSE)</f>
        <v>-0.24093199744133265</v>
      </c>
      <c r="J602">
        <f>($B$1+Table4[[#This Row],[Home Differential]])-Table4[[#This Row],[Away Differential]]</f>
        <v>-0.30415665798604519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0.56813794795961248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-0.17619625518431364</v>
      </c>
      <c r="H603" t="s">
        <v>14</v>
      </c>
      <c r="I603">
        <f>VLOOKUP(Table4[[#This Row],[Visitor]],'NHL Model'!$A$6:$B$38,2,FALSE)</f>
        <v>-0.14226422156549004</v>
      </c>
      <c r="J603">
        <f>($B$1+Table4[[#This Row],[Home Differential]])-Table4[[#This Row],[Away Differential]]</f>
        <v>1.5968715304338854E-2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0.50257784995496757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-0.87533956503230947</v>
      </c>
      <c r="H604" t="s">
        <v>19</v>
      </c>
      <c r="I604">
        <f>VLOOKUP(Table4[[#This Row],[Visitor]],'NHL Model'!$A$6:$B$38,2,FALSE)</f>
        <v>-0.63447859131898054</v>
      </c>
      <c r="J604">
        <f>($B$1+Table4[[#This Row],[Home Differential]])-Table4[[#This Row],[Away Differential]]</f>
        <v>-0.1909602247901665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0.48229742461602004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-0.64937723527808999</v>
      </c>
      <c r="H605" t="s">
        <v>27</v>
      </c>
      <c r="I605">
        <f>VLOOKUP(Table4[[#This Row],[Visitor]],'NHL Model'!$A$6:$B$38,2,FALSE)</f>
        <v>-0.38023958350631604</v>
      </c>
      <c r="J605">
        <f>($B$1+Table4[[#This Row],[Home Differential]])-Table4[[#This Row],[Away Differential]]</f>
        <v>-0.21923690284861153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0.5281117069273964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0.51050494674660429</v>
      </c>
      <c r="H606" t="s">
        <v>18</v>
      </c>
      <c r="I606">
        <f>VLOOKUP(Table4[[#This Row],[Visitor]],'NHL Model'!$A$6:$B$38,2,FALSE)</f>
        <v>-0.59288962827382519</v>
      </c>
      <c r="J606">
        <f>($B$1+Table4[[#This Row],[Home Differential]])-Table4[[#This Row],[Away Differential]]</f>
        <v>1.1532953239435919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0.64803323445177996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0.17870302183926629</v>
      </c>
      <c r="H607" t="s">
        <v>33</v>
      </c>
      <c r="I607">
        <f>VLOOKUP(Table4[[#This Row],[Visitor]],'NHL Model'!$A$6:$B$38,2,FALSE)</f>
        <v>-0.45133099238224339</v>
      </c>
      <c r="J607">
        <f>($B$1+Table4[[#This Row],[Home Differential]])-Table4[[#This Row],[Away Differential]]</f>
        <v>0.67993476314467216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0.69922712946183019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0.42567513732855267</v>
      </c>
      <c r="H608" t="s">
        <v>15</v>
      </c>
      <c r="I608">
        <f>VLOOKUP(Table4[[#This Row],[Visitor]],'NHL Model'!$A$6:$B$38,2,FALSE)</f>
        <v>-0.29003398448394263</v>
      </c>
      <c r="J608">
        <f>($B$1+Table4[[#This Row],[Home Differential]])-Table4[[#This Row],[Away Differential]]</f>
        <v>0.76560987073565778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0.58170394431130978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-1.0657812790446208</v>
      </c>
      <c r="H609" t="s">
        <v>21</v>
      </c>
      <c r="I609">
        <f>VLOOKUP(Table4[[#This Row],[Visitor]],'NHL Model'!$A$6:$B$38,2,FALSE)</f>
        <v>-0.21976976044773161</v>
      </c>
      <c r="J609">
        <f>($B$1+Table4[[#This Row],[Home Differential]])-Table4[[#This Row],[Away Differential]]</f>
        <v>-0.79611076967372685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0.55378717520333443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1.6319036584269762</v>
      </c>
      <c r="H610" t="s">
        <v>13</v>
      </c>
      <c r="I610">
        <f>VLOOKUP(Table4[[#This Row],[Visitor]],'NHL Model'!$A$6:$B$38,2,FALSE)</f>
        <v>-0.33828359867721369</v>
      </c>
      <c r="J610">
        <f>($B$1+Table4[[#This Row],[Home Differential]])-Table4[[#This Row],[Away Differential]]</f>
        <v>2.0200880060273523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0.81727043791199216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-0.39711829106410657</v>
      </c>
      <c r="H611" t="s">
        <v>22</v>
      </c>
      <c r="I611">
        <f>VLOOKUP(Table4[[#This Row],[Visitor]],'NHL Model'!$A$6:$B$38,2,FALSE)</f>
        <v>0.4407072328537569</v>
      </c>
      <c r="J611">
        <f>($B$1+Table4[[#This Row],[Home Differential]])-Table4[[#This Row],[Away Differential]]</f>
        <v>-0.78792477499470093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0.58037393944359772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-0.53137605086483863</v>
      </c>
      <c r="H612" t="s">
        <v>28</v>
      </c>
      <c r="I612">
        <f>VLOOKUP(Table4[[#This Row],[Visitor]],'NHL Model'!$A$6:$B$38,2,FALSE)</f>
        <v>-0.59498940435054026</v>
      </c>
      <c r="J612">
        <f>($B$1+Table4[[#This Row],[Home Differential]])-Table4[[#This Row],[Away Differential]]</f>
        <v>0.11351410240886411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0.55217660249343792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-0.64937723527808999</v>
      </c>
      <c r="H613" t="s">
        <v>38</v>
      </c>
      <c r="I613">
        <f>VLOOKUP(Table4[[#This Row],[Visitor]],'NHL Model'!$A$6:$B$38,2,FALSE)</f>
        <v>-0.9476777551108041</v>
      </c>
      <c r="J613">
        <f>($B$1+Table4[[#This Row],[Home Differential]])-Table4[[#This Row],[Away Differential]]</f>
        <v>0.34820126875587654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0.57708147827079681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-1.3944783719477225</v>
      </c>
      <c r="H614" t="s">
        <v>23</v>
      </c>
      <c r="I614">
        <f>VLOOKUP(Table4[[#This Row],[Visitor]],'NHL Model'!$A$6:$B$38,2,FALSE)</f>
        <v>-0.4761104357405897</v>
      </c>
      <c r="J614">
        <f>($B$1+Table4[[#This Row],[Home Differential]])-Table4[[#This Row],[Away Differential]]</f>
        <v>-0.86846718728397043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0.56140636177627945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-0.4031232890211825</v>
      </c>
      <c r="H615" t="s">
        <v>29</v>
      </c>
      <c r="I615">
        <f>VLOOKUP(Table4[[#This Row],[Visitor]],'NHL Model'!$A$6:$B$38,2,FALSE)</f>
        <v>-1.384917283810061</v>
      </c>
      <c r="J615">
        <f>($B$1+Table4[[#This Row],[Home Differential]])-Table4[[#This Row],[Away Differential]]</f>
        <v>1.031694743712041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0.70089676550215485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-0.24444083032063643</v>
      </c>
      <c r="H616" t="s">
        <v>34</v>
      </c>
      <c r="I616">
        <f>VLOOKUP(Table4[[#This Row],[Visitor]],'NHL Model'!$A$6:$B$38,2,FALSE)</f>
        <v>-5.5124787449478845E-2</v>
      </c>
      <c r="J616">
        <f>($B$1+Table4[[#This Row],[Home Differential]])-Table4[[#This Row],[Away Differential]]</f>
        <v>-0.13941529394799512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0.51879135600538295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-0.31324182378279158</v>
      </c>
      <c r="H617" t="s">
        <v>17</v>
      </c>
      <c r="I617">
        <f>VLOOKUP(Table4[[#This Row],[Visitor]],'NHL Model'!$A$6:$B$38,2,FALSE)</f>
        <v>-0.81774666423752174</v>
      </c>
      <c r="J617">
        <f>($B$1+Table4[[#This Row],[Home Differential]])-Table4[[#This Row],[Away Differential]]</f>
        <v>0.55440558937789264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0.60723051420671958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-0.17619625518431364</v>
      </c>
      <c r="H618" t="s">
        <v>30</v>
      </c>
      <c r="I618">
        <f>VLOOKUP(Table4[[#This Row],[Visitor]],'NHL Model'!$A$6:$B$38,2,FALSE)</f>
        <v>-0.24093199744133265</v>
      </c>
      <c r="J618">
        <f>($B$1+Table4[[#This Row],[Home Differential]])-Table4[[#This Row],[Away Differential]]</f>
        <v>0.11463649118018146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0.48076233315128636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-0.39711829106410657</v>
      </c>
      <c r="H619" t="s">
        <v>18</v>
      </c>
      <c r="I619">
        <f>VLOOKUP(Table4[[#This Row],[Visitor]],'NHL Model'!$A$6:$B$38,2,FALSE)</f>
        <v>-0.59288962827382519</v>
      </c>
      <c r="J619">
        <f>($B$1+Table4[[#This Row],[Home Differential]])-Table4[[#This Row],[Away Differential]]</f>
        <v>0.24567208613288111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0.52353120274196641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-0.14226422156549004</v>
      </c>
      <c r="H620" t="s">
        <v>25</v>
      </c>
      <c r="I620">
        <f>VLOOKUP(Table4[[#This Row],[Visitor]],'NHL Model'!$A$6:$B$38,2,FALSE)</f>
        <v>0.42567513732855267</v>
      </c>
      <c r="J620">
        <f>($B$1+Table4[[#This Row],[Home Differential]])-Table4[[#This Row],[Away Differential]]</f>
        <v>-0.51803860997088025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0.59311182252615857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-0.63447859131898054</v>
      </c>
      <c r="H621" t="s">
        <v>24</v>
      </c>
      <c r="I621">
        <f>VLOOKUP(Table4[[#This Row],[Visitor]],'NHL Model'!$A$6:$B$38,2,FALSE)</f>
        <v>1.5302507646042616E-3</v>
      </c>
      <c r="J621">
        <f>($B$1+Table4[[#This Row],[Home Differential]])-Table4[[#This Row],[Away Differential]]</f>
        <v>-0.58610809316042234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0.54920600098378236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-0.9476777551108041</v>
      </c>
      <c r="H622" t="s">
        <v>27</v>
      </c>
      <c r="I622">
        <f>VLOOKUP(Table4[[#This Row],[Visitor]],'NHL Model'!$A$6:$B$38,2,FALSE)</f>
        <v>-0.38023958350631604</v>
      </c>
      <c r="J622">
        <f>($B$1+Table4[[#This Row],[Home Differential]])-Table4[[#This Row],[Away Differential]]</f>
        <v>-0.51753742268132563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0.56294269521932072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0.17870302183926629</v>
      </c>
      <c r="H623" t="s">
        <v>37</v>
      </c>
      <c r="I623">
        <f>VLOOKUP(Table4[[#This Row],[Visitor]],'NHL Model'!$A$6:$B$38,2,FALSE)</f>
        <v>0.51050494674660429</v>
      </c>
      <c r="J623">
        <f>($B$1+Table4[[#This Row],[Home Differential]])-Table4[[#This Row],[Away Differential]]</f>
        <v>-0.28190117598417552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0.50350435815468431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-0.59498940435054026</v>
      </c>
      <c r="H624" t="s">
        <v>24</v>
      </c>
      <c r="I624">
        <f>VLOOKUP(Table4[[#This Row],[Visitor]],'NHL Model'!$A$6:$B$38,2,FALSE)</f>
        <v>1.5302507646042616E-3</v>
      </c>
      <c r="J624">
        <f>($B$1+Table4[[#This Row],[Home Differential]])-Table4[[#This Row],[Away Differential]]</f>
        <v>-0.54661890619198206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0.54459505558641363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-1.0657812790446208</v>
      </c>
      <c r="H625" t="s">
        <v>27</v>
      </c>
      <c r="I625">
        <f>VLOOKUP(Table4[[#This Row],[Visitor]],'NHL Model'!$A$6:$B$38,2,FALSE)</f>
        <v>-0.38023958350631604</v>
      </c>
      <c r="J625">
        <f>($B$1+Table4[[#This Row],[Home Differential]])-Table4[[#This Row],[Away Differential]]</f>
        <v>-0.63564094661514237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0.57673302472220156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1.6319036584269762</v>
      </c>
      <c r="H626" t="s">
        <v>35</v>
      </c>
      <c r="I626">
        <f>VLOOKUP(Table4[[#This Row],[Visitor]],'NHL Model'!$A$6:$B$38,2,FALSE)</f>
        <v>-1.3944783719477225</v>
      </c>
      <c r="J626">
        <f>($B$1+Table4[[#This Row],[Home Differential]])-Table4[[#This Row],[Away Differential]]</f>
        <v>3.0762827792978609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0.41344250185511977</v>
      </c>
      <c r="H627" t="s">
        <v>23</v>
      </c>
      <c r="I627">
        <f>VLOOKUP(Table4[[#This Row],[Visitor]],'NHL Model'!$A$6:$B$38,2,FALSE)</f>
        <v>-0.4761104357405897</v>
      </c>
      <c r="J627">
        <f>($B$1+Table4[[#This Row],[Home Differential]])-Table4[[#This Row],[Away Differential]]</f>
        <v>0.93945368651887196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0.68194114905620618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-0.87533956503230947</v>
      </c>
      <c r="H628" t="s">
        <v>40</v>
      </c>
      <c r="I628">
        <f>VLOOKUP(Table4[[#This Row],[Visitor]],'NHL Model'!$A$6:$B$38,2,FALSE)</f>
        <v>-0.31324182378279158</v>
      </c>
      <c r="J628">
        <f>($B$1+Table4[[#This Row],[Home Differential]])-Table4[[#This Row],[Away Differential]]</f>
        <v>-0.5121969923263554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0.54057578911141169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-0.81774666423752174</v>
      </c>
      <c r="H629" t="s">
        <v>21</v>
      </c>
      <c r="I629">
        <f>VLOOKUP(Table4[[#This Row],[Visitor]],'NHL Model'!$A$6:$B$38,2,FALSE)</f>
        <v>-0.21976976044773161</v>
      </c>
      <c r="J629">
        <f>($B$1+Table4[[#This Row],[Home Differential]])-Table4[[#This Row],[Away Differential]]</f>
        <v>-0.54807615486662775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0.51777749271244533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-0.45133099238224339</v>
      </c>
      <c r="H630" t="s">
        <v>34</v>
      </c>
      <c r="I630">
        <f>VLOOKUP(Table4[[#This Row],[Visitor]],'NHL Model'!$A$6:$B$38,2,FALSE)</f>
        <v>-5.5124787449478845E-2</v>
      </c>
      <c r="J630">
        <f>($B$1+Table4[[#This Row],[Home Differential]])-Table4[[#This Row],[Away Differential]]</f>
        <v>-0.34630545600960205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0.53274396540055979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-0.24444083032063643</v>
      </c>
      <c r="H631" t="s">
        <v>29</v>
      </c>
      <c r="I631">
        <f>VLOOKUP(Table4[[#This Row],[Visitor]],'NHL Model'!$A$6:$B$38,2,FALSE)</f>
        <v>-1.384917283810061</v>
      </c>
      <c r="J631">
        <f>($B$1+Table4[[#This Row],[Home Differential]])-Table4[[#This Row],[Away Differential]]</f>
        <v>1.1903772024125869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0.67899410709528163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0.4407072328537569</v>
      </c>
      <c r="H632" t="s">
        <v>15</v>
      </c>
      <c r="I632">
        <f>VLOOKUP(Table4[[#This Row],[Visitor]],'NHL Model'!$A$6:$B$38,2,FALSE)</f>
        <v>-0.29003398448394263</v>
      </c>
      <c r="J632">
        <f>($B$1+Table4[[#This Row],[Home Differential]])-Table4[[#This Row],[Away Differential]]</f>
        <v>0.78064196626086202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0.55717088848980889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0.42567513732855267</v>
      </c>
      <c r="H633" t="s">
        <v>18</v>
      </c>
      <c r="I633">
        <f>VLOOKUP(Table4[[#This Row],[Visitor]],'NHL Model'!$A$6:$B$38,2,FALSE)</f>
        <v>-0.59288962827382519</v>
      </c>
      <c r="J633">
        <f>($B$1+Table4[[#This Row],[Home Differential]])-Table4[[#This Row],[Away Differential]]</f>
        <v>1.0684655145255404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0.65809245157970586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-0.17619625518431364</v>
      </c>
      <c r="H634" t="s">
        <v>39</v>
      </c>
      <c r="I634">
        <f>VLOOKUP(Table4[[#This Row],[Visitor]],'NHL Model'!$A$6:$B$38,2,FALSE)</f>
        <v>0.41344250185511977</v>
      </c>
      <c r="J634">
        <f>($B$1+Table4[[#This Row],[Home Differential]])-Table4[[#This Row],[Away Differential]]</f>
        <v>-0.53973800811627093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0.62482013122102475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-0.33828359867721369</v>
      </c>
      <c r="H635" t="s">
        <v>37</v>
      </c>
      <c r="I635">
        <f>VLOOKUP(Table4[[#This Row],[Visitor]],'NHL Model'!$A$6:$B$38,2,FALSE)</f>
        <v>0.51050494674660429</v>
      </c>
      <c r="J635">
        <f>($B$1+Table4[[#This Row],[Home Differential]])-Table4[[#This Row],[Away Differential]]</f>
        <v>-0.79888779650065556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0.6457681288291155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-0.24093199744133265</v>
      </c>
      <c r="H636" t="s">
        <v>55</v>
      </c>
      <c r="I636">
        <f>VLOOKUP(Table4[[#This Row],[Visitor]],'NHL Model'!$A$6:$B$38,2,FALSE)</f>
        <v>-0.4031232890211825</v>
      </c>
      <c r="J636">
        <f>($B$1+Table4[[#This Row],[Home Differential]])-Table4[[#This Row],[Away Differential]]</f>
        <v>0.21209204050301231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0.56476487598383529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-0.53137605086483863</v>
      </c>
      <c r="H637" t="s">
        <v>22</v>
      </c>
      <c r="I637">
        <f>VLOOKUP(Table4[[#This Row],[Visitor]],'NHL Model'!$A$6:$B$38,2,FALSE)</f>
        <v>0.4407072328537569</v>
      </c>
      <c r="J637">
        <f>($B$1+Table4[[#This Row],[Home Differential]])-Table4[[#This Row],[Away Differential]]</f>
        <v>-0.92218253479543311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0.60767842138019035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-0.14226422156549004</v>
      </c>
      <c r="H638" t="s">
        <v>26</v>
      </c>
      <c r="I638">
        <f>VLOOKUP(Table4[[#This Row],[Visitor]],'NHL Model'!$A$6:$B$38,2,FALSE)</f>
        <v>-0.87533956503230947</v>
      </c>
      <c r="J638">
        <f>($B$1+Table4[[#This Row],[Home Differential]])-Table4[[#This Row],[Away Differential]]</f>
        <v>0.78297609238998189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0.63142401468889853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-0.64937723527808999</v>
      </c>
      <c r="H639" t="s">
        <v>29</v>
      </c>
      <c r="I639">
        <f>VLOOKUP(Table4[[#This Row],[Visitor]],'NHL Model'!$A$6:$B$38,2,FALSE)</f>
        <v>-1.384917283810061</v>
      </c>
      <c r="J639">
        <f>($B$1+Table4[[#This Row],[Home Differential]])-Table4[[#This Row],[Away Differential]]</f>
        <v>0.7854407974551334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0.63171180538170546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-0.63447859131898054</v>
      </c>
      <c r="H640" t="s">
        <v>40</v>
      </c>
      <c r="I640">
        <f>VLOOKUP(Table4[[#This Row],[Visitor]],'NHL Model'!$A$6:$B$38,2,FALSE)</f>
        <v>-0.31324182378279158</v>
      </c>
      <c r="J640">
        <f>($B$1+Table4[[#This Row],[Home Differential]])-Table4[[#This Row],[Away Differential]]</f>
        <v>-0.27133601861302653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0.51245171557612179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0.17870302183926629</v>
      </c>
      <c r="H641" t="s">
        <v>34</v>
      </c>
      <c r="I641">
        <f>VLOOKUP(Table4[[#This Row],[Visitor]],'NHL Model'!$A$6:$B$38,2,FALSE)</f>
        <v>-5.5124787449478845E-2</v>
      </c>
      <c r="J641">
        <f>($B$1+Table4[[#This Row],[Home Differential]])-Table4[[#This Row],[Away Differential]]</f>
        <v>0.28372855821190757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0.61207686512694381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-0.39711829106410657</v>
      </c>
      <c r="H642" t="s">
        <v>15</v>
      </c>
      <c r="I642">
        <f>VLOOKUP(Table4[[#This Row],[Visitor]],'NHL Model'!$A$6:$B$38,2,FALSE)</f>
        <v>-0.29003398448394263</v>
      </c>
      <c r="J642">
        <f>($B$1+Table4[[#This Row],[Home Differential]])-Table4[[#This Row],[Away Differential]]</f>
        <v>-5.7183557657001449E-2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0.55277631510567293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-1.3944783719477225</v>
      </c>
      <c r="H643" t="s">
        <v>20</v>
      </c>
      <c r="I643">
        <f>VLOOKUP(Table4[[#This Row],[Visitor]],'NHL Model'!$A$6:$B$38,2,FALSE)</f>
        <v>-0.24444083032063643</v>
      </c>
      <c r="J643">
        <f>($B$1+Table4[[#This Row],[Home Differential]])-Table4[[#This Row],[Away Differential]]</f>
        <v>-1.1001367927039236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0.58845720740840357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-0.9476777551108041</v>
      </c>
      <c r="H644" t="s">
        <v>32</v>
      </c>
      <c r="I644">
        <f>VLOOKUP(Table4[[#This Row],[Visitor]],'NHL Model'!$A$6:$B$38,2,FALSE)</f>
        <v>-0.64937723527808999</v>
      </c>
      <c r="J644">
        <f>($B$1+Table4[[#This Row],[Home Differential]])-Table4[[#This Row],[Away Differential]]</f>
        <v>-0.24839977090955168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0.48900433937265447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0.42567513732855267</v>
      </c>
      <c r="H645" t="s">
        <v>12</v>
      </c>
      <c r="I645">
        <f>VLOOKUP(Table4[[#This Row],[Visitor]],'NHL Model'!$A$6:$B$38,2,FALSE)</f>
        <v>1.6319036584269762</v>
      </c>
      <c r="J645">
        <f>($B$1+Table4[[#This Row],[Home Differential]])-Table4[[#This Row],[Away Differential]]</f>
        <v>-1.1563277721752609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0.61501833358134994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-0.59498940435054026</v>
      </c>
      <c r="H646" t="s">
        <v>23</v>
      </c>
      <c r="I646">
        <f>VLOOKUP(Table4[[#This Row],[Visitor]],'NHL Model'!$A$6:$B$38,2,FALSE)</f>
        <v>-0.4761104357405897</v>
      </c>
      <c r="J646">
        <f>($B$1+Table4[[#This Row],[Home Differential]])-Table4[[#This Row],[Away Differential]]</f>
        <v>-6.8978219686788134E-2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0.46805422519429624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-1.0657812790446208</v>
      </c>
      <c r="H647" t="s">
        <v>29</v>
      </c>
      <c r="I647">
        <f>VLOOKUP(Table4[[#This Row],[Visitor]],'NHL Model'!$A$6:$B$38,2,FALSE)</f>
        <v>-1.384917283810061</v>
      </c>
      <c r="J647">
        <f>($B$1+Table4[[#This Row],[Home Differential]])-Table4[[#This Row],[Away Differential]]</f>
        <v>0.36903675368860256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0.5830904875869003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-0.87533956503230947</v>
      </c>
      <c r="H648" t="s">
        <v>14</v>
      </c>
      <c r="I648">
        <f>VLOOKUP(Table4[[#This Row],[Visitor]],'NHL Model'!$A$6:$B$38,2,FALSE)</f>
        <v>-0.14226422156549004</v>
      </c>
      <c r="J648">
        <f>($B$1+Table4[[#This Row],[Home Differential]])-Table4[[#This Row],[Away Differential]]</f>
        <v>-0.68317459454365703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0.57905745008858989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-0.81774666423752174</v>
      </c>
      <c r="H649" t="s">
        <v>27</v>
      </c>
      <c r="I649">
        <f>VLOOKUP(Table4[[#This Row],[Visitor]],'NHL Model'!$A$6:$B$38,2,FALSE)</f>
        <v>-0.38023958350631604</v>
      </c>
      <c r="J649">
        <f>($B$1+Table4[[#This Row],[Home Differential]])-Table4[[#This Row],[Away Differential]]</f>
        <v>-0.38760633180804327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0.54067160393645486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-0.33828359867721369</v>
      </c>
      <c r="H650" t="s">
        <v>34</v>
      </c>
      <c r="I650">
        <f>VLOOKUP(Table4[[#This Row],[Visitor]],'NHL Model'!$A$6:$B$38,2,FALSE)</f>
        <v>-5.5124787449478845E-2</v>
      </c>
      <c r="J650">
        <f>($B$1+Table4[[#This Row],[Home Differential]])-Table4[[#This Row],[Away Differential]]</f>
        <v>-0.23325806230457236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0.52974888423142408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1.5302507646042616E-3</v>
      </c>
      <c r="H651" t="s">
        <v>55</v>
      </c>
      <c r="I651">
        <f>VLOOKUP(Table4[[#This Row],[Visitor]],'NHL Model'!$A$6:$B$38,2,FALSE)</f>
        <v>-0.4031232890211825</v>
      </c>
      <c r="J651">
        <f>($B$1+Table4[[#This Row],[Home Differential]])-Table4[[#This Row],[Away Differential]]</f>
        <v>0.45455428870894921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0.67291063269306362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-0.24093199744133265</v>
      </c>
      <c r="H652" t="s">
        <v>19</v>
      </c>
      <c r="I652">
        <f>VLOOKUP(Table4[[#This Row],[Visitor]],'NHL Model'!$A$6:$B$38,2,FALSE)</f>
        <v>-0.63447859131898054</v>
      </c>
      <c r="J652">
        <f>($B$1+Table4[[#This Row],[Home Differential]])-Table4[[#This Row],[Away Differential]]</f>
        <v>0.44344734280081033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0.59177902208766475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-0.53137605086483863</v>
      </c>
      <c r="H653" t="s">
        <v>40</v>
      </c>
      <c r="I653">
        <f>VLOOKUP(Table4[[#This Row],[Visitor]],'NHL Model'!$A$6:$B$38,2,FALSE)</f>
        <v>-0.31324182378279158</v>
      </c>
      <c r="J653">
        <f>($B$1+Table4[[#This Row],[Home Differential]])-Table4[[#This Row],[Away Differential]]</f>
        <v>-0.16823347815888456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0.49790461108919443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-0.45133099238224339</v>
      </c>
      <c r="H654" t="s">
        <v>37</v>
      </c>
      <c r="I654">
        <f>VLOOKUP(Table4[[#This Row],[Visitor]],'NHL Model'!$A$6:$B$38,2,FALSE)</f>
        <v>0.51050494674660429</v>
      </c>
      <c r="J654">
        <f>($B$1+Table4[[#This Row],[Home Differential]])-Table4[[#This Row],[Away Differential]]</f>
        <v>-0.91193519020568514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0.64885477401525748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-1.3944783719477225</v>
      </c>
      <c r="H655" t="s">
        <v>18</v>
      </c>
      <c r="I655">
        <f>VLOOKUP(Table4[[#This Row],[Visitor]],'NHL Model'!$A$6:$B$38,2,FALSE)</f>
        <v>-0.59288962827382519</v>
      </c>
      <c r="J655">
        <f>($B$1+Table4[[#This Row],[Home Differential]])-Table4[[#This Row],[Away Differential]]</f>
        <v>-0.75168799475073489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0.60705850133804595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-0.9476777551108041</v>
      </c>
      <c r="H656" t="s">
        <v>21</v>
      </c>
      <c r="I656">
        <f>VLOOKUP(Table4[[#This Row],[Visitor]],'NHL Model'!$A$6:$B$38,2,FALSE)</f>
        <v>-0.21976976044773161</v>
      </c>
      <c r="J656">
        <f>($B$1+Table4[[#This Row],[Home Differential]])-Table4[[#This Row],[Away Differential]]</f>
        <v>-0.67800724573991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0.53999684570045359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0.4407072328537569</v>
      </c>
      <c r="H657" t="s">
        <v>10</v>
      </c>
      <c r="I657">
        <f>VLOOKUP(Table4[[#This Row],[Visitor]],'NHL Model'!$A$6:$B$38,2,FALSE)</f>
        <v>-0.17619625518431364</v>
      </c>
      <c r="J657">
        <f>($B$1+Table4[[#This Row],[Home Differential]])-Table4[[#This Row],[Away Differential]]</f>
        <v>0.66680423696123303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0.64389697184243333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-0.59498940435054026</v>
      </c>
      <c r="H658" t="s">
        <v>14</v>
      </c>
      <c r="I658">
        <f>VLOOKUP(Table4[[#This Row],[Visitor]],'NHL Model'!$A$6:$B$38,2,FALSE)</f>
        <v>-0.14226422156549004</v>
      </c>
      <c r="J658">
        <f>($B$1+Table4[[#This Row],[Home Differential]])-Table4[[#This Row],[Away Differential]]</f>
        <v>-0.40282443386188782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0.54632243115593127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-0.17619625518431364</v>
      </c>
      <c r="H659" t="s">
        <v>20</v>
      </c>
      <c r="I659">
        <f>VLOOKUP(Table4[[#This Row],[Visitor]],'NHL Model'!$A$6:$B$38,2,FALSE)</f>
        <v>-0.24444083032063643</v>
      </c>
      <c r="J659">
        <f>($B$1+Table4[[#This Row],[Home Differential]])-Table4[[#This Row],[Away Differential]]</f>
        <v>0.11814532405948525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0.55379521028447853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0.41344250185511977</v>
      </c>
      <c r="H660" t="s">
        <v>18</v>
      </c>
      <c r="I660">
        <f>VLOOKUP(Table4[[#This Row],[Visitor]],'NHL Model'!$A$6:$B$38,2,FALSE)</f>
        <v>-0.59288962827382519</v>
      </c>
      <c r="J660">
        <f>($B$1+Table4[[#This Row],[Home Differential]])-Table4[[#This Row],[Away Differential]]</f>
        <v>1.0562328790521074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0.63669976147125429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-0.39711829106410657</v>
      </c>
      <c r="H661" t="s">
        <v>12</v>
      </c>
      <c r="I661">
        <f>VLOOKUP(Table4[[#This Row],[Visitor]],'NHL Model'!$A$6:$B$38,2,FALSE)</f>
        <v>1.6319036584269762</v>
      </c>
      <c r="J661">
        <f>($B$1+Table4[[#This Row],[Home Differential]])-Table4[[#This Row],[Away Differential]]</f>
        <v>-1.9791212005679202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0.74961012842901686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1.5302507646042616E-3</v>
      </c>
      <c r="H662" t="s">
        <v>25</v>
      </c>
      <c r="I662">
        <f>VLOOKUP(Table4[[#This Row],[Visitor]],'NHL Model'!$A$6:$B$38,2,FALSE)</f>
        <v>0.42567513732855267</v>
      </c>
      <c r="J662">
        <f>($B$1+Table4[[#This Row],[Home Differential]])-Table4[[#This Row],[Away Differential]]</f>
        <v>-0.37424413764078596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0.4944027518709323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-1.0657812790446208</v>
      </c>
      <c r="H663" t="s">
        <v>32</v>
      </c>
      <c r="I663">
        <f>VLOOKUP(Table4[[#This Row],[Visitor]],'NHL Model'!$A$6:$B$38,2,FALSE)</f>
        <v>-0.64937723527808999</v>
      </c>
      <c r="J663">
        <f>($B$1+Table4[[#This Row],[Home Differential]])-Table4[[#This Row],[Away Differential]]</f>
        <v>-0.36650329484336841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0.50279466887553537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-0.33828359867721369</v>
      </c>
      <c r="H664" t="s">
        <v>34</v>
      </c>
      <c r="I664">
        <f>VLOOKUP(Table4[[#This Row],[Visitor]],'NHL Model'!$A$6:$B$38,2,FALSE)</f>
        <v>-5.5124787449478845E-2</v>
      </c>
      <c r="J664">
        <f>($B$1+Table4[[#This Row],[Home Differential]])-Table4[[#This Row],[Away Differential]]</f>
        <v>-0.23325806230457236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0.52974888423142408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-0.29003398448394263</v>
      </c>
      <c r="H665" t="s">
        <v>55</v>
      </c>
      <c r="I665">
        <f>VLOOKUP(Table4[[#This Row],[Visitor]],'NHL Model'!$A$6:$B$38,2,FALSE)</f>
        <v>-0.4031232890211825</v>
      </c>
      <c r="J665">
        <f>($B$1+Table4[[#This Row],[Home Differential]])-Table4[[#This Row],[Away Differential]]</f>
        <v>0.16299005346040232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0.55903149430300392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-0.53137605086483863</v>
      </c>
      <c r="H666" t="s">
        <v>26</v>
      </c>
      <c r="I666">
        <f>VLOOKUP(Table4[[#This Row],[Visitor]],'NHL Model'!$A$6:$B$38,2,FALSE)</f>
        <v>-0.87533956503230947</v>
      </c>
      <c r="J666">
        <f>($B$1+Table4[[#This Row],[Home Differential]])-Table4[[#This Row],[Away Differential]]</f>
        <v>0.39386426309063333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0.5884849449418138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0.4407072328537569</v>
      </c>
      <c r="H667" t="s">
        <v>31</v>
      </c>
      <c r="I667">
        <f>VLOOKUP(Table4[[#This Row],[Visitor]],'NHL Model'!$A$6:$B$38,2,FALSE)</f>
        <v>0.17870302183926629</v>
      </c>
      <c r="J667">
        <f>($B$1+Table4[[#This Row],[Home Differential]])-Table4[[#This Row],[Away Differential]]</f>
        <v>0.3119049599376531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0.58187405291592698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-0.4761104357405897</v>
      </c>
      <c r="H668" t="s">
        <v>38</v>
      </c>
      <c r="I668">
        <f>VLOOKUP(Table4[[#This Row],[Visitor]],'NHL Model'!$A$6:$B$38,2,FALSE)</f>
        <v>-0.9476777551108041</v>
      </c>
      <c r="J668">
        <f>($B$1+Table4[[#This Row],[Home Differential]])-Table4[[#This Row],[Away Differential]]</f>
        <v>0.52146806829337689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0.60744779774608748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0.42567513732855267</v>
      </c>
      <c r="H669" t="s">
        <v>39</v>
      </c>
      <c r="I669">
        <f>VLOOKUP(Table4[[#This Row],[Visitor]],'NHL Model'!$A$6:$B$38,2,FALSE)</f>
        <v>0.41344250185511977</v>
      </c>
      <c r="J669">
        <f>($B$1+Table4[[#This Row],[Home Differential]])-Table4[[#This Row],[Away Differential]]</f>
        <v>6.2133384396595381E-2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0.49782102738745637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-0.81774666423752174</v>
      </c>
      <c r="H670" t="s">
        <v>29</v>
      </c>
      <c r="I670">
        <f>VLOOKUP(Table4[[#This Row],[Visitor]],'NHL Model'!$A$6:$B$38,2,FALSE)</f>
        <v>-1.384917283810061</v>
      </c>
      <c r="J670">
        <f>($B$1+Table4[[#This Row],[Home Differential]])-Table4[[#This Row],[Away Differential]]</f>
        <v>0.61707136849570166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0.61909814145523023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-0.24093199744133265</v>
      </c>
      <c r="H671" t="s">
        <v>24</v>
      </c>
      <c r="I671">
        <f>VLOOKUP(Table4[[#This Row],[Visitor]],'NHL Model'!$A$6:$B$38,2,FALSE)</f>
        <v>1.5302507646042616E-3</v>
      </c>
      <c r="J671">
        <f>($B$1+Table4[[#This Row],[Home Differential]])-Table4[[#This Row],[Away Differential]]</f>
        <v>-0.19256149928277444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0.50325362781538752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-0.38023958350631604</v>
      </c>
      <c r="H672" t="s">
        <v>31</v>
      </c>
      <c r="I672">
        <f>VLOOKUP(Table4[[#This Row],[Visitor]],'NHL Model'!$A$6:$B$38,2,FALSE)</f>
        <v>0.17870302183926629</v>
      </c>
      <c r="J672">
        <f>($B$1+Table4[[#This Row],[Home Differential]])-Table4[[#This Row],[Away Differential]]</f>
        <v>-0.50904185642241984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0.5261048163255807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-0.64937723527808999</v>
      </c>
      <c r="H673" t="s">
        <v>21</v>
      </c>
      <c r="I673">
        <f>VLOOKUP(Table4[[#This Row],[Visitor]],'NHL Model'!$A$6:$B$38,2,FALSE)</f>
        <v>-0.21976976044773161</v>
      </c>
      <c r="J673">
        <f>($B$1+Table4[[#This Row],[Home Differential]])-Table4[[#This Row],[Away Differential]]</f>
        <v>-0.37970672590719595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0.50516585740852926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-0.45133099238224339</v>
      </c>
      <c r="H674" t="s">
        <v>28</v>
      </c>
      <c r="I674">
        <f>VLOOKUP(Table4[[#This Row],[Visitor]],'NHL Model'!$A$6:$B$38,2,FALSE)</f>
        <v>-0.59498940435054026</v>
      </c>
      <c r="J674">
        <f>($B$1+Table4[[#This Row],[Home Differential]])-Table4[[#This Row],[Away Differential]]</f>
        <v>0.19355916089145936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0.56915959321684639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0.51050494674660429</v>
      </c>
      <c r="H675" t="s">
        <v>12</v>
      </c>
      <c r="I675">
        <f>VLOOKUP(Table4[[#This Row],[Visitor]],'NHL Model'!$A$6:$B$38,2,FALSE)</f>
        <v>1.6319036584269762</v>
      </c>
      <c r="J675">
        <f>($B$1+Table4[[#This Row],[Home Differential]])-Table4[[#This Row],[Away Differential]]</f>
        <v>-1.0714979627572094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0.62511320133316162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-0.63447859131898054</v>
      </c>
      <c r="H676" t="s">
        <v>11</v>
      </c>
      <c r="I676">
        <f>VLOOKUP(Table4[[#This Row],[Visitor]],'NHL Model'!$A$6:$B$38,2,FALSE)</f>
        <v>-0.39711829106410657</v>
      </c>
      <c r="J676">
        <f>($B$1+Table4[[#This Row],[Home Differential]])-Table4[[#This Row],[Away Differential]]</f>
        <v>-0.18745955133171155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0.48188866932349261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-0.31324182378279158</v>
      </c>
      <c r="H677" t="s">
        <v>20</v>
      </c>
      <c r="I677">
        <f>VLOOKUP(Table4[[#This Row],[Visitor]],'NHL Model'!$A$6:$B$38,2,FALSE)</f>
        <v>-0.24444083032063643</v>
      </c>
      <c r="J677">
        <f>($B$1+Table4[[#This Row],[Home Differential]])-Table4[[#This Row],[Away Differential]]</f>
        <v>-1.8900244538992667E-2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0.45971140329328808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-0.17619625518431364</v>
      </c>
      <c r="H678" t="s">
        <v>35</v>
      </c>
      <c r="I678">
        <f>VLOOKUP(Table4[[#This Row],[Visitor]],'NHL Model'!$A$6:$B$38,2,FALSE)</f>
        <v>-1.3944783719477225</v>
      </c>
      <c r="J678">
        <f>($B$1+Table4[[#This Row],[Home Differential]])-Table4[[#This Row],[Away Differential]]</f>
        <v>1.2681828656865712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0.6880790666121519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-0.33828359867721369</v>
      </c>
      <c r="H679" t="s">
        <v>33</v>
      </c>
      <c r="I679">
        <f>VLOOKUP(Table4[[#This Row],[Visitor]],'NHL Model'!$A$6:$B$38,2,FALSE)</f>
        <v>-0.45133099238224339</v>
      </c>
      <c r="J679">
        <f>($B$1+Table4[[#This Row],[Home Differential]])-Table4[[#This Row],[Away Differential]]</f>
        <v>0.16294814262819218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0.5590266005947836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-0.59288962827382519</v>
      </c>
      <c r="H680" t="s">
        <v>16</v>
      </c>
      <c r="I680">
        <f>VLOOKUP(Table4[[#This Row],[Visitor]],'NHL Model'!$A$6:$B$38,2,FALSE)</f>
        <v>-1.0657812790446208</v>
      </c>
      <c r="J680">
        <f>($B$1+Table4[[#This Row],[Home Differential]])-Table4[[#This Row],[Away Differential]]</f>
        <v>0.52279239969395808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0.60104372852940058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-0.4031232890211825</v>
      </c>
      <c r="H681" t="s">
        <v>36</v>
      </c>
      <c r="I681">
        <f>VLOOKUP(Table4[[#This Row],[Visitor]],'NHL Model'!$A$6:$B$38,2,FALSE)</f>
        <v>-0.53137605086483863</v>
      </c>
      <c r="J681">
        <f>($B$1+Table4[[#This Row],[Home Differential]])-Table4[[#This Row],[Away Differential]]</f>
        <v>0.17815351076681862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0.60123322918628797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0.4407072328537569</v>
      </c>
      <c r="H682" t="s">
        <v>39</v>
      </c>
      <c r="I682">
        <f>VLOOKUP(Table4[[#This Row],[Visitor]],'NHL Model'!$A$6:$B$38,2,FALSE)</f>
        <v>0.41344250185511977</v>
      </c>
      <c r="J682">
        <f>($B$1+Table4[[#This Row],[Home Differential]])-Table4[[#This Row],[Away Differential]]</f>
        <v>7.7165479921799618E-2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0.47329592294778505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-0.21976976044773161</v>
      </c>
      <c r="H683" t="s">
        <v>16</v>
      </c>
      <c r="I683">
        <f>VLOOKUP(Table4[[#This Row],[Visitor]],'NHL Model'!$A$6:$B$38,2,FALSE)</f>
        <v>-1.0657812790446208</v>
      </c>
      <c r="J683">
        <f>($B$1+Table4[[#This Row],[Home Differential]])-Table4[[#This Row],[Away Differential]]</f>
        <v>0.89591226752005171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0.68751253435846171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0.42567513732855267</v>
      </c>
      <c r="H684" t="s">
        <v>31</v>
      </c>
      <c r="I684">
        <f>VLOOKUP(Table4[[#This Row],[Visitor]],'NHL Model'!$A$6:$B$38,2,FALSE)</f>
        <v>0.17870302183926629</v>
      </c>
      <c r="J684">
        <f>($B$1+Table4[[#This Row],[Home Differential]])-Table4[[#This Row],[Away Differential]]</f>
        <v>0.29687286441244887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0.60609285987948969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1.6319036584269762</v>
      </c>
      <c r="H685" t="s">
        <v>36</v>
      </c>
      <c r="I685">
        <f>VLOOKUP(Table4[[#This Row],[Visitor]],'NHL Model'!$A$6:$B$38,2,FALSE)</f>
        <v>-0.53137605086483863</v>
      </c>
      <c r="J685">
        <f>($B$1+Table4[[#This Row],[Home Differential]])-Table4[[#This Row],[Away Differential]]</f>
        <v>2.2131804582149774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0.90275137961610286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-0.87533956503230947</v>
      </c>
      <c r="H686" t="s">
        <v>38</v>
      </c>
      <c r="I686">
        <f>VLOOKUP(Table4[[#This Row],[Visitor]],'NHL Model'!$A$6:$B$38,2,FALSE)</f>
        <v>-0.9476777551108041</v>
      </c>
      <c r="J686">
        <f>($B$1+Table4[[#This Row],[Home Differential]])-Table4[[#This Row],[Away Differential]]</f>
        <v>0.12223893900165705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0.55069704130602415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-0.59288962827382519</v>
      </c>
      <c r="H687" t="s">
        <v>11</v>
      </c>
      <c r="I687">
        <f>VLOOKUP(Table4[[#This Row],[Visitor]],'NHL Model'!$A$6:$B$38,2,FALSE)</f>
        <v>-0.39711829106410657</v>
      </c>
      <c r="J687">
        <f>($B$1+Table4[[#This Row],[Home Differential]])-Table4[[#This Row],[Away Differential]]</f>
        <v>-0.14587058828655619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0.47703254407868434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-1.384917283810061</v>
      </c>
      <c r="H688" t="s">
        <v>30</v>
      </c>
      <c r="I688">
        <f>VLOOKUP(Table4[[#This Row],[Visitor]],'NHL Model'!$A$6:$B$38,2,FALSE)</f>
        <v>-0.24093199744133265</v>
      </c>
      <c r="J688">
        <f>($B$1+Table4[[#This Row],[Home Differential]])-Table4[[#This Row],[Away Differential]]</f>
        <v>-1.0940845374455659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0.6603736863899341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-0.29003398448394263</v>
      </c>
      <c r="H689" t="s">
        <v>23</v>
      </c>
      <c r="I689">
        <f>VLOOKUP(Table4[[#This Row],[Visitor]],'NHL Model'!$A$6:$B$38,2,FALSE)</f>
        <v>-0.4761104357405897</v>
      </c>
      <c r="J689">
        <f>($B$1+Table4[[#This Row],[Home Differential]])-Table4[[#This Row],[Away Differential]]</f>
        <v>0.23597720017980953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0.56755382089589856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-0.38023958350631604</v>
      </c>
      <c r="H690" t="s">
        <v>19</v>
      </c>
      <c r="I690">
        <f>VLOOKUP(Table4[[#This Row],[Visitor]],'NHL Model'!$A$6:$B$38,2,FALSE)</f>
        <v>-0.63447859131898054</v>
      </c>
      <c r="J690">
        <f>($B$1+Table4[[#This Row],[Home Differential]])-Table4[[#This Row],[Away Differential]]</f>
        <v>0.30413975673582699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0.5895294258799636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-0.14226422156549004</v>
      </c>
      <c r="H691" t="s">
        <v>24</v>
      </c>
      <c r="I691">
        <f>VLOOKUP(Table4[[#This Row],[Visitor]],'NHL Model'!$A$6:$B$38,2,FALSE)</f>
        <v>1.5302507646042616E-3</v>
      </c>
      <c r="J691">
        <f>($B$1+Table4[[#This Row],[Home Differential]])-Table4[[#This Row],[Away Differential]]</f>
        <v>-9.3893723406931848E-2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0.49173270874944364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-0.64937723527808999</v>
      </c>
      <c r="H692" t="s">
        <v>34</v>
      </c>
      <c r="I692">
        <f>VLOOKUP(Table4[[#This Row],[Visitor]],'NHL Model'!$A$6:$B$38,2,FALSE)</f>
        <v>-5.5124787449478845E-2</v>
      </c>
      <c r="J692">
        <f>($B$1+Table4[[#This Row],[Home Differential]])-Table4[[#This Row],[Away Differential]]</f>
        <v>-0.54435169890544877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0.56607365771895912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-0.24444083032063643</v>
      </c>
      <c r="H693" t="s">
        <v>28</v>
      </c>
      <c r="I693">
        <f>VLOOKUP(Table4[[#This Row],[Visitor]],'NHL Model'!$A$6:$B$38,2,FALSE)</f>
        <v>-0.59498940435054026</v>
      </c>
      <c r="J693">
        <f>($B$1+Table4[[#This Row],[Home Differential]])-Table4[[#This Row],[Away Differential]]</f>
        <v>0.40044932295306629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0.58318220972456269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-0.31324182378279158</v>
      </c>
      <c r="H694" t="s">
        <v>17</v>
      </c>
      <c r="I694">
        <f>VLOOKUP(Table4[[#This Row],[Visitor]],'NHL Model'!$A$6:$B$38,2,FALSE)</f>
        <v>-0.81774666423752174</v>
      </c>
      <c r="J694">
        <f>($B$1+Table4[[#This Row],[Home Differential]])-Table4[[#This Row],[Away Differential]]</f>
        <v>0.55440558937789264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0.60723051420671958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-0.17619625518431364</v>
      </c>
      <c r="H695" t="s">
        <v>22</v>
      </c>
      <c r="I695">
        <f>VLOOKUP(Table4[[#This Row],[Visitor]],'NHL Model'!$A$6:$B$38,2,FALSE)</f>
        <v>0.4407072328537569</v>
      </c>
      <c r="J695">
        <f>($B$1+Table4[[#This Row],[Home Differential]])-Table4[[#This Row],[Away Differential]]</f>
        <v>-0.56700273911490806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0.5687185009689073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-0.4031232890211825</v>
      </c>
      <c r="H696" t="s">
        <v>35</v>
      </c>
      <c r="I696">
        <f>VLOOKUP(Table4[[#This Row],[Visitor]],'NHL Model'!$A$6:$B$38,2,FALSE)</f>
        <v>-1.3944783719477225</v>
      </c>
      <c r="J696">
        <f>($B$1+Table4[[#This Row],[Home Differential]])-Table4[[#This Row],[Away Differential]]</f>
        <v>1.0412558318497025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0.7020131636538165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-0.31324182378279158</v>
      </c>
      <c r="H697" t="s">
        <v>13</v>
      </c>
      <c r="I697">
        <f>VLOOKUP(Table4[[#This Row],[Visitor]],'NHL Model'!$A$6:$B$38,2,FALSE)</f>
        <v>-0.33828359867721369</v>
      </c>
      <c r="J697">
        <f>($B$1+Table4[[#This Row],[Home Differential]])-Table4[[#This Row],[Away Differential]]</f>
        <v>7.4942523817584594E-2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0.48494112191888922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-0.21976976044773161</v>
      </c>
      <c r="H698" t="s">
        <v>15</v>
      </c>
      <c r="I698">
        <f>VLOOKUP(Table4[[#This Row],[Visitor]],'NHL Model'!$A$6:$B$38,2,FALSE)</f>
        <v>-0.29003398448394263</v>
      </c>
      <c r="J698">
        <f>($B$1+Table4[[#This Row],[Home Differential]])-Table4[[#This Row],[Away Differential]]</f>
        <v>0.12016497295937348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0.497252510611498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-0.4761104357405897</v>
      </c>
      <c r="H699" t="s">
        <v>31</v>
      </c>
      <c r="I699">
        <f>VLOOKUP(Table4[[#This Row],[Visitor]],'NHL Model'!$A$6:$B$38,2,FALSE)</f>
        <v>0.17870302183926629</v>
      </c>
      <c r="J699">
        <f>($B$1+Table4[[#This Row],[Home Differential]])-Table4[[#This Row],[Away Differential]]</f>
        <v>-0.60491270865669344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0.54122072190417558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0.42567513732855267</v>
      </c>
      <c r="H700" t="s">
        <v>32</v>
      </c>
      <c r="I700">
        <f>VLOOKUP(Table4[[#This Row],[Visitor]],'NHL Model'!$A$6:$B$38,2,FALSE)</f>
        <v>-0.64937723527808999</v>
      </c>
      <c r="J700">
        <f>($B$1+Table4[[#This Row],[Home Differential]])-Table4[[#This Row],[Away Differential]]</f>
        <v>1.1249531215298052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0.72307085639305901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1.6319036584269762</v>
      </c>
      <c r="H701" t="s">
        <v>28</v>
      </c>
      <c r="I701">
        <f>VLOOKUP(Table4[[#This Row],[Visitor]],'NHL Model'!$A$6:$B$38,2,FALSE)</f>
        <v>-0.59498940435054026</v>
      </c>
      <c r="J701">
        <f>($B$1+Table4[[#This Row],[Home Differential]])-Table4[[#This Row],[Away Differential]]</f>
        <v>2.2767938117006787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0.90687492162007288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-0.81774666423752174</v>
      </c>
      <c r="H702" t="s">
        <v>13</v>
      </c>
      <c r="I702">
        <f>VLOOKUP(Table4[[#This Row],[Visitor]],'NHL Model'!$A$6:$B$38,2,FALSE)</f>
        <v>-0.33828359867721369</v>
      </c>
      <c r="J702">
        <f>($B$1+Table4[[#This Row],[Home Differential]])-Table4[[#This Row],[Away Differential]]</f>
        <v>-0.42956231663714561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0.56938850958546594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-5.5124787449478845E-2</v>
      </c>
      <c r="H703" t="s">
        <v>30</v>
      </c>
      <c r="I703">
        <f>VLOOKUP(Table4[[#This Row],[Visitor]],'NHL Model'!$A$6:$B$38,2,FALSE)</f>
        <v>-0.24093199744133265</v>
      </c>
      <c r="J703">
        <f>($B$1+Table4[[#This Row],[Home Differential]])-Table4[[#This Row],[Away Differential]]</f>
        <v>0.23570795891501628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0.49489921389666025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-0.59288962827382519</v>
      </c>
      <c r="H704" t="s">
        <v>26</v>
      </c>
      <c r="I704">
        <f>VLOOKUP(Table4[[#This Row],[Visitor]],'NHL Model'!$A$6:$B$38,2,FALSE)</f>
        <v>-0.87533956503230947</v>
      </c>
      <c r="J704">
        <f>($B$1+Table4[[#This Row],[Home Differential]])-Table4[[#This Row],[Away Differential]]</f>
        <v>0.33235068568164672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0.57880684769936808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-1.384917283810061</v>
      </c>
      <c r="H705" t="s">
        <v>10</v>
      </c>
      <c r="I705">
        <f>VLOOKUP(Table4[[#This Row],[Visitor]],'NHL Model'!$A$6:$B$38,2,FALSE)</f>
        <v>-0.17619625518431364</v>
      </c>
      <c r="J705">
        <f>($B$1+Table4[[#This Row],[Home Differential]])-Table4[[#This Row],[Away Differential]]</f>
        <v>-1.1588202797025848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0.59530937062195044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-0.53137605086483863</v>
      </c>
      <c r="H706" t="s">
        <v>11</v>
      </c>
      <c r="I706">
        <f>VLOOKUP(Table4[[#This Row],[Visitor]],'NHL Model'!$A$6:$B$38,2,FALSE)</f>
        <v>-0.39711829106410657</v>
      </c>
      <c r="J706">
        <f>($B$1+Table4[[#This Row],[Home Differential]])-Table4[[#This Row],[Away Differential]]</f>
        <v>-8.4357010877569583E-2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0.46735444683623856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-0.38023958350631604</v>
      </c>
      <c r="H707" t="s">
        <v>37</v>
      </c>
      <c r="I707">
        <f>VLOOKUP(Table4[[#This Row],[Visitor]],'NHL Model'!$A$6:$B$38,2,FALSE)</f>
        <v>0.51050494674660429</v>
      </c>
      <c r="J707">
        <f>($B$1+Table4[[#This Row],[Home Differential]])-Table4[[#This Row],[Away Differential]]</f>
        <v>-0.84084378132975779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0.636642459900289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-0.14226422156549004</v>
      </c>
      <c r="H708" t="s">
        <v>16</v>
      </c>
      <c r="I708">
        <f>VLOOKUP(Table4[[#This Row],[Visitor]],'NHL Model'!$A$6:$B$38,2,FALSE)</f>
        <v>-1.0657812790446208</v>
      </c>
      <c r="J708">
        <f>($B$1+Table4[[#This Row],[Home Differential]])-Table4[[#This Row],[Away Differential]]</f>
        <v>0.97341780640229325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0.65366089551893103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-0.45133099238224339</v>
      </c>
      <c r="H709" t="s">
        <v>39</v>
      </c>
      <c r="I709">
        <f>VLOOKUP(Table4[[#This Row],[Visitor]],'NHL Model'!$A$6:$B$38,2,FALSE)</f>
        <v>0.41344250185511977</v>
      </c>
      <c r="J709">
        <f>($B$1+Table4[[#This Row],[Home Differential]])-Table4[[#This Row],[Away Differential]]</f>
        <v>-0.81487274531420062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0.64687255760983398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-0.63447859131898054</v>
      </c>
      <c r="H710" t="s">
        <v>38</v>
      </c>
      <c r="I710">
        <f>VLOOKUP(Table4[[#This Row],[Visitor]],'NHL Model'!$A$6:$B$38,2,FALSE)</f>
        <v>-0.9476777551108041</v>
      </c>
      <c r="J710">
        <f>($B$1+Table4[[#This Row],[Home Differential]])-Table4[[#This Row],[Away Differential]]</f>
        <v>0.36309991271498598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0.57882111484131404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-0.24444083032063643</v>
      </c>
      <c r="H711" t="s">
        <v>35</v>
      </c>
      <c r="I711">
        <f>VLOOKUP(Table4[[#This Row],[Visitor]],'NHL Model'!$A$6:$B$38,2,FALSE)</f>
        <v>-1.3944783719477225</v>
      </c>
      <c r="J711">
        <f>($B$1+Table4[[#This Row],[Home Differential]])-Table4[[#This Row],[Away Differential]]</f>
        <v>1.1999382905502485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0.68011050524694328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-0.21976976044773161</v>
      </c>
      <c r="H712" t="s">
        <v>14</v>
      </c>
      <c r="I712">
        <f>VLOOKUP(Table4[[#This Row],[Visitor]],'NHL Model'!$A$6:$B$38,2,FALSE)</f>
        <v>-0.14226422156549004</v>
      </c>
      <c r="J712">
        <f>($B$1+Table4[[#This Row],[Home Differential]])-Table4[[#This Row],[Away Differential]]</f>
        <v>-2.7604789959079112E-2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0.45903722013371656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-1.384917283810061</v>
      </c>
      <c r="H713" t="s">
        <v>22</v>
      </c>
      <c r="I713">
        <f>VLOOKUP(Table4[[#This Row],[Visitor]],'NHL Model'!$A$6:$B$38,2,FALSE)</f>
        <v>0.4407072328537569</v>
      </c>
      <c r="J713">
        <f>($B$1+Table4[[#This Row],[Home Differential]])-Table4[[#This Row],[Away Differential]]</f>
        <v>-1.7757237677406554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0.70985452051012765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-0.45133099238224339</v>
      </c>
      <c r="H714" t="s">
        <v>20</v>
      </c>
      <c r="I714">
        <f>VLOOKUP(Table4[[#This Row],[Visitor]],'NHL Model'!$A$6:$B$38,2,FALSE)</f>
        <v>-0.24444083032063643</v>
      </c>
      <c r="J714">
        <f>($B$1+Table4[[#This Row],[Home Differential]])-Table4[[#This Row],[Away Differential]]</f>
        <v>-0.15698941313844447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0.46820858159353196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-0.4031232890211825</v>
      </c>
      <c r="H715" t="s">
        <v>28</v>
      </c>
      <c r="I715">
        <f>VLOOKUP(Table4[[#This Row],[Visitor]],'NHL Model'!$A$6:$B$38,2,FALSE)</f>
        <v>-0.59498940435054026</v>
      </c>
      <c r="J715">
        <f>($B$1+Table4[[#This Row],[Home Differential]])-Table4[[#This Row],[Away Differential]]</f>
        <v>0.24176686425252025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0.60515292654880748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-0.31324182378279158</v>
      </c>
      <c r="H716" t="s">
        <v>24</v>
      </c>
      <c r="I716">
        <f>VLOOKUP(Table4[[#This Row],[Visitor]],'NHL Model'!$A$6:$B$38,2,FALSE)</f>
        <v>1.5302507646042616E-3</v>
      </c>
      <c r="J716">
        <f>($B$1+Table4[[#This Row],[Home Differential]])-Table4[[#This Row],[Away Differential]]</f>
        <v>-0.26487132562423338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0.5091885060536081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-0.4761104357405897</v>
      </c>
      <c r="H717" t="s">
        <v>11</v>
      </c>
      <c r="I717">
        <f>VLOOKUP(Table4[[#This Row],[Visitor]],'NHL Model'!$A$6:$B$38,2,FALSE)</f>
        <v>-0.39711829106410657</v>
      </c>
      <c r="J717">
        <f>($B$1+Table4[[#This Row],[Home Differential]])-Table4[[#This Row],[Away Differential]]</f>
        <v>-2.9091395753320648E-2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0.45327460042380474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-0.17619625518431364</v>
      </c>
      <c r="H718" t="s">
        <v>17</v>
      </c>
      <c r="I718">
        <f>VLOOKUP(Table4[[#This Row],[Visitor]],'NHL Model'!$A$6:$B$38,2,FALSE)</f>
        <v>-0.81774666423752174</v>
      </c>
      <c r="J718">
        <f>($B$1+Table4[[#This Row],[Home Differential]])-Table4[[#This Row],[Away Differential]]</f>
        <v>0.69145115797637058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0.6207371277844862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1.6319036584269762</v>
      </c>
      <c r="H719" t="s">
        <v>19</v>
      </c>
      <c r="I719">
        <f>VLOOKUP(Table4[[#This Row],[Visitor]],'NHL Model'!$A$6:$B$38,2,FALSE)</f>
        <v>-0.63447859131898054</v>
      </c>
      <c r="J719">
        <f>($B$1+Table4[[#This Row],[Home Differential]])-Table4[[#This Row],[Away Differential]]</f>
        <v>2.3162829986691191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0.91479012289901696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-0.87533956503230947</v>
      </c>
      <c r="H720" t="s">
        <v>25</v>
      </c>
      <c r="I720">
        <f>VLOOKUP(Table4[[#This Row],[Visitor]],'NHL Model'!$A$6:$B$38,2,FALSE)</f>
        <v>0.42567513732855267</v>
      </c>
      <c r="J720">
        <f>($B$1+Table4[[#This Row],[Home Differential]])-Table4[[#This Row],[Away Differential]]</f>
        <v>-1.2511139534376996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0.67870918829578719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-0.33828359867721369</v>
      </c>
      <c r="H721" t="s">
        <v>39</v>
      </c>
      <c r="I721">
        <f>VLOOKUP(Table4[[#This Row],[Visitor]],'NHL Model'!$A$6:$B$38,2,FALSE)</f>
        <v>0.41344250185511977</v>
      </c>
      <c r="J721">
        <f>($B$1+Table4[[#This Row],[Home Differential]])-Table4[[#This Row],[Away Differential]]</f>
        <v>-0.70182535160917103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0.64374622081227451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-5.5124787449478845E-2</v>
      </c>
      <c r="H722" t="s">
        <v>24</v>
      </c>
      <c r="I722">
        <f>VLOOKUP(Table4[[#This Row],[Visitor]],'NHL Model'!$A$6:$B$38,2,FALSE)</f>
        <v>1.5302507646042616E-3</v>
      </c>
      <c r="J722">
        <f>($B$1+Table4[[#This Row],[Home Differential]])-Table4[[#This Row],[Away Differential]]</f>
        <v>-6.754289290920641E-3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0.48155789373014096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-0.59288962827382519</v>
      </c>
      <c r="H723" t="s">
        <v>38</v>
      </c>
      <c r="I723">
        <f>VLOOKUP(Table4[[#This Row],[Visitor]],'NHL Model'!$A$6:$B$38,2,FALSE)</f>
        <v>-0.9476777551108041</v>
      </c>
      <c r="J723">
        <f>($B$1+Table4[[#This Row],[Home Differential]])-Table4[[#This Row],[Away Differential]]</f>
        <v>0.40468887576014134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0.58367724008612232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-0.29003398448394263</v>
      </c>
      <c r="H724" t="s">
        <v>32</v>
      </c>
      <c r="I724">
        <f>VLOOKUP(Table4[[#This Row],[Visitor]],'NHL Model'!$A$6:$B$38,2,FALSE)</f>
        <v>-0.64937723527808999</v>
      </c>
      <c r="J724">
        <f>($B$1+Table4[[#This Row],[Home Differential]])-Table4[[#This Row],[Away Differential]]</f>
        <v>0.40924399971730985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0.58778527697735061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-0.38023958350631604</v>
      </c>
      <c r="H725" t="s">
        <v>37</v>
      </c>
      <c r="I725">
        <f>VLOOKUP(Table4[[#This Row],[Visitor]],'NHL Model'!$A$6:$B$38,2,FALSE)</f>
        <v>0.51050494674660429</v>
      </c>
      <c r="J725">
        <f>($B$1+Table4[[#This Row],[Home Differential]])-Table4[[#This Row],[Away Differential]]</f>
        <v>-0.84084378132975779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0.636642459900289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0.17870302183926629</v>
      </c>
      <c r="H726" t="s">
        <v>39</v>
      </c>
      <c r="I726">
        <f>VLOOKUP(Table4[[#This Row],[Visitor]],'NHL Model'!$A$6:$B$38,2,FALSE)</f>
        <v>0.41344250185511977</v>
      </c>
      <c r="J726">
        <f>($B$1+Table4[[#This Row],[Home Differential]])-Table4[[#This Row],[Away Differential]]</f>
        <v>-0.18483873109269103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0.50158264988004087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-0.21976976044773161</v>
      </c>
      <c r="H727" t="s">
        <v>26</v>
      </c>
      <c r="I727">
        <f>VLOOKUP(Table4[[#This Row],[Visitor]],'NHL Model'!$A$6:$B$38,2,FALSE)</f>
        <v>-0.87533956503230947</v>
      </c>
      <c r="J727">
        <f>($B$1+Table4[[#This Row],[Home Differential]])-Table4[[#This Row],[Away Differential]]</f>
        <v>0.70547055350774035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0.66527565352842921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-0.59498940435054026</v>
      </c>
      <c r="H728" t="s">
        <v>16</v>
      </c>
      <c r="I728">
        <f>VLOOKUP(Table4[[#This Row],[Visitor]],'NHL Model'!$A$6:$B$38,2,FALSE)</f>
        <v>-1.0657812790446208</v>
      </c>
      <c r="J728">
        <f>($B$1+Table4[[#This Row],[Home Differential]])-Table4[[#This Row],[Away Differential]]</f>
        <v>0.520692623617243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0.60079854868196103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-1.384917283810061</v>
      </c>
      <c r="H729" t="s">
        <v>17</v>
      </c>
      <c r="I729">
        <f>VLOOKUP(Table4[[#This Row],[Visitor]],'NHL Model'!$A$6:$B$38,2,FALSE)</f>
        <v>-0.81774666423752174</v>
      </c>
      <c r="J729">
        <f>($B$1+Table4[[#This Row],[Home Differential]])-Table4[[#This Row],[Away Differential]]</f>
        <v>-0.5172698706493768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0.52039889175673426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-0.53137605086483863</v>
      </c>
      <c r="H730" t="s">
        <v>38</v>
      </c>
      <c r="I730">
        <f>VLOOKUP(Table4[[#This Row],[Visitor]],'NHL Model'!$A$6:$B$38,2,FALSE)</f>
        <v>-0.9476777551108041</v>
      </c>
      <c r="J730">
        <f>($B$1+Table4[[#This Row],[Home Differential]])-Table4[[#This Row],[Away Differential]]</f>
        <v>0.46620245316912795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0.5933581727532482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-0.14226422156549004</v>
      </c>
      <c r="H731" t="s">
        <v>37</v>
      </c>
      <c r="I731">
        <f>VLOOKUP(Table4[[#This Row],[Visitor]],'NHL Model'!$A$6:$B$38,2,FALSE)</f>
        <v>0.51050494674660429</v>
      </c>
      <c r="J731">
        <f>($B$1+Table4[[#This Row],[Home Differential]])-Table4[[#This Row],[Away Differential]]</f>
        <v>-0.60286841938893188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0.62287997351179447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-1.3944783719477225</v>
      </c>
      <c r="H732" t="s">
        <v>25</v>
      </c>
      <c r="I732">
        <f>VLOOKUP(Table4[[#This Row],[Visitor]],'NHL Model'!$A$6:$B$38,2,FALSE)</f>
        <v>0.42567513732855267</v>
      </c>
      <c r="J732">
        <f>($B$1+Table4[[#This Row],[Home Differential]])-Table4[[#This Row],[Away Differential]]</f>
        <v>-1.7702527603531126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0.73932630594511184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-0.4031232890211825</v>
      </c>
      <c r="H733" t="s">
        <v>19</v>
      </c>
      <c r="I733">
        <f>VLOOKUP(Table4[[#This Row],[Visitor]],'NHL Model'!$A$6:$B$38,2,FALSE)</f>
        <v>-0.63447859131898054</v>
      </c>
      <c r="J733">
        <f>($B$1+Table4[[#This Row],[Home Differential]])-Table4[[#This Row],[Away Differential]]</f>
        <v>0.28125605122096053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0.61327197246920206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-0.31324182378279158</v>
      </c>
      <c r="H734" t="s">
        <v>30</v>
      </c>
      <c r="I734">
        <f>VLOOKUP(Table4[[#This Row],[Visitor]],'NHL Model'!$A$6:$B$38,2,FALSE)</f>
        <v>-0.24093199744133265</v>
      </c>
      <c r="J734">
        <f>($B$1+Table4[[#This Row],[Home Differential]])-Table4[[#This Row],[Away Differential]]</f>
        <v>-2.2409077418296452E-2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0.53273707245067492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0.4407072328537569</v>
      </c>
      <c r="H735" t="s">
        <v>18</v>
      </c>
      <c r="I735">
        <f>VLOOKUP(Table4[[#This Row],[Visitor]],'NHL Model'!$A$6:$B$38,2,FALSE)</f>
        <v>-0.59288962827382519</v>
      </c>
      <c r="J735">
        <f>($B$1+Table4[[#This Row],[Home Differential]])-Table4[[#This Row],[Away Differential]]</f>
        <v>1.0834976100507445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0.63355659077796267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-0.4761104357405897</v>
      </c>
      <c r="H736" t="s">
        <v>27</v>
      </c>
      <c r="I736">
        <f>VLOOKUP(Table4[[#This Row],[Visitor]],'NHL Model'!$A$6:$B$38,2,FALSE)</f>
        <v>-0.38023958350631604</v>
      </c>
      <c r="J736">
        <f>($B$1+Table4[[#This Row],[Home Differential]])-Table4[[#This Row],[Away Differential]]</f>
        <v>-4.5970103311111177E-2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0.49767538033956632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-0.33828359867721369</v>
      </c>
      <c r="H737" t="s">
        <v>20</v>
      </c>
      <c r="I737">
        <f>VLOOKUP(Table4[[#This Row],[Visitor]],'NHL Model'!$A$6:$B$38,2,FALSE)</f>
        <v>-0.24444083032063643</v>
      </c>
      <c r="J737">
        <f>($B$1+Table4[[#This Row],[Home Differential]])-Table4[[#This Row],[Away Differential]]</f>
        <v>-4.3942019433414775E-2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0.46513087930677127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1.5302507646042616E-3</v>
      </c>
      <c r="H738" t="s">
        <v>32</v>
      </c>
      <c r="I738">
        <f>VLOOKUP(Table4[[#This Row],[Visitor]],'NHL Model'!$A$6:$B$38,2,FALSE)</f>
        <v>-0.64937723527808999</v>
      </c>
      <c r="J738">
        <f>($B$1+Table4[[#This Row],[Home Differential]])-Table4[[#This Row],[Away Differential]]</f>
        <v>0.70080823496585676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0.70166441536741031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-0.29003398448394263</v>
      </c>
      <c r="H739" t="s">
        <v>36</v>
      </c>
      <c r="I739">
        <f>VLOOKUP(Table4[[#This Row],[Visitor]],'NHL Model'!$A$6:$B$38,2,FALSE)</f>
        <v>-0.53137605086483863</v>
      </c>
      <c r="J739">
        <f>($B$1+Table4[[#This Row],[Home Differential]])-Table4[[#This Row],[Away Differential]]</f>
        <v>0.29124281530405849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0.57400689712391928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-0.21976976044773161</v>
      </c>
      <c r="H740" t="s">
        <v>32</v>
      </c>
      <c r="I740">
        <f>VLOOKUP(Table4[[#This Row],[Visitor]],'NHL Model'!$A$6:$B$38,2,FALSE)</f>
        <v>-0.64937723527808999</v>
      </c>
      <c r="J740">
        <f>($B$1+Table4[[#This Row],[Home Differential]])-Table4[[#This Row],[Away Differential]]</f>
        <v>0.47950822375352087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0.63889121656365655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-0.4761104357405897</v>
      </c>
      <c r="H741" t="s">
        <v>18</v>
      </c>
      <c r="I741">
        <f>VLOOKUP(Table4[[#This Row],[Visitor]],'NHL Model'!$A$6:$B$38,2,FALSE)</f>
        <v>-0.59288962827382519</v>
      </c>
      <c r="J741">
        <f>($B$1+Table4[[#This Row],[Home Differential]])-Table4[[#This Row],[Away Differential]]</f>
        <v>0.16667994145639797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0.51037143409448726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-0.59498940435054026</v>
      </c>
      <c r="H742" t="s">
        <v>38</v>
      </c>
      <c r="I742">
        <f>VLOOKUP(Table4[[#This Row],[Visitor]],'NHL Model'!$A$6:$B$38,2,FALSE)</f>
        <v>-0.9476777551108041</v>
      </c>
      <c r="J742">
        <f>($B$1+Table4[[#This Row],[Home Differential]])-Table4[[#This Row],[Away Differential]]</f>
        <v>0.40258909968342627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0.58343206023868277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-0.17619625518431364</v>
      </c>
      <c r="H743" t="s">
        <v>16</v>
      </c>
      <c r="I743">
        <f>VLOOKUP(Table4[[#This Row],[Visitor]],'NHL Model'!$A$6:$B$38,2,FALSE)</f>
        <v>-1.0657812790446208</v>
      </c>
      <c r="J743">
        <f>($B$1+Table4[[#This Row],[Home Differential]])-Table4[[#This Row],[Away Differential]]</f>
        <v>0.93948577278346967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0.64969882979285987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-0.81774666423752174</v>
      </c>
      <c r="H744" t="s">
        <v>30</v>
      </c>
      <c r="I744">
        <f>VLOOKUP(Table4[[#This Row],[Visitor]],'NHL Model'!$A$6:$B$38,2,FALSE)</f>
        <v>-0.24093199744133265</v>
      </c>
      <c r="J744">
        <f>($B$1+Table4[[#This Row],[Home Differential]])-Table4[[#This Row],[Away Differential]]</f>
        <v>-0.52691391787302666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0.58707242186154818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-5.5124787449478845E-2</v>
      </c>
      <c r="H745" t="s">
        <v>40</v>
      </c>
      <c r="I745">
        <f>VLOOKUP(Table4[[#This Row],[Visitor]],'NHL Model'!$A$6:$B$38,2,FALSE)</f>
        <v>-0.31324182378279158</v>
      </c>
      <c r="J745">
        <f>($B$1+Table4[[#This Row],[Home Differential]])-Table4[[#This Row],[Away Differential]]</f>
        <v>0.30801778525647522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0.55519639167751955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-0.14226422156549004</v>
      </c>
      <c r="H746" t="s">
        <v>27</v>
      </c>
      <c r="I746">
        <f>VLOOKUP(Table4[[#This Row],[Visitor]],'NHL Model'!$A$6:$B$38,2,FALSE)</f>
        <v>-0.38023958350631604</v>
      </c>
      <c r="J746">
        <f>($B$1+Table4[[#This Row],[Home Differential]])-Table4[[#This Row],[Away Differential]]</f>
        <v>0.28787611086398845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0.53110122187745956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-0.4031232890211825</v>
      </c>
      <c r="H747" t="s">
        <v>39</v>
      </c>
      <c r="I747">
        <f>VLOOKUP(Table4[[#This Row],[Visitor]],'NHL Model'!$A$6:$B$38,2,FALSE)</f>
        <v>0.41344250185511977</v>
      </c>
      <c r="J747">
        <f>($B$1+Table4[[#This Row],[Home Differential]])-Table4[[#This Row],[Away Differential]]</f>
        <v>-0.76666504195313978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0.61057209039542149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-0.24444083032063643</v>
      </c>
      <c r="H748" t="s">
        <v>19</v>
      </c>
      <c r="I748">
        <f>VLOOKUP(Table4[[#This Row],[Visitor]],'NHL Model'!$A$6:$B$38,2,FALSE)</f>
        <v>-0.63447859131898054</v>
      </c>
      <c r="J748">
        <f>($B$1+Table4[[#This Row],[Home Differential]])-Table4[[#This Row],[Away Differential]]</f>
        <v>0.43993850992150657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0.59136931406232884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0.4407072328537569</v>
      </c>
      <c r="H749" t="s">
        <v>33</v>
      </c>
      <c r="I749">
        <f>VLOOKUP(Table4[[#This Row],[Visitor]],'NHL Model'!$A$6:$B$38,2,FALSE)</f>
        <v>-0.45133099238224339</v>
      </c>
      <c r="J749">
        <f>($B$1+Table4[[#This Row],[Home Differential]])-Table4[[#This Row],[Away Differential]]</f>
        <v>0.94193897415916283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0.67602301310919677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0.42567513732855267</v>
      </c>
      <c r="H750" t="s">
        <v>11</v>
      </c>
      <c r="I750">
        <f>VLOOKUP(Table4[[#This Row],[Visitor]],'NHL Model'!$A$6:$B$38,2,FALSE)</f>
        <v>-0.39711829106410657</v>
      </c>
      <c r="J750">
        <f>($B$1+Table4[[#This Row],[Home Differential]])-Table4[[#This Row],[Away Differential]]</f>
        <v>0.87269417731582166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0.69361590157977926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1.6319036584269762</v>
      </c>
      <c r="H751" t="s">
        <v>29</v>
      </c>
      <c r="I751">
        <f>VLOOKUP(Table4[[#This Row],[Visitor]],'NHL Model'!$A$6:$B$38,2,FALSE)</f>
        <v>-1.384917283810061</v>
      </c>
      <c r="J751">
        <f>($B$1+Table4[[#This Row],[Home Differential]])-Table4[[#This Row],[Away Differential]]</f>
        <v>3.0667216911601995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-0.87533956503230947</v>
      </c>
      <c r="H752" t="s">
        <v>33</v>
      </c>
      <c r="I752">
        <f>VLOOKUP(Table4[[#This Row],[Visitor]],'NHL Model'!$A$6:$B$38,2,FALSE)</f>
        <v>-0.45133099238224339</v>
      </c>
      <c r="J752">
        <f>($B$1+Table4[[#This Row],[Home Differential]])-Table4[[#This Row],[Away Differential]]</f>
        <v>-0.37410782372690365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0.50368260985752411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-0.33828359867721369</v>
      </c>
      <c r="H753" t="s">
        <v>31</v>
      </c>
      <c r="I753">
        <f>VLOOKUP(Table4[[#This Row],[Visitor]],'NHL Model'!$A$6:$B$38,2,FALSE)</f>
        <v>0.17870302183926629</v>
      </c>
      <c r="J753">
        <f>($B$1+Table4[[#This Row],[Home Differential]])-Table4[[#This Row],[Away Differential]]</f>
        <v>-0.46708587159331749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0.53530839997320578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-1.3944783719477225</v>
      </c>
      <c r="H754" t="s">
        <v>37</v>
      </c>
      <c r="I754">
        <f>VLOOKUP(Table4[[#This Row],[Visitor]],'NHL Model'!$A$6:$B$38,2,FALSE)</f>
        <v>0.51050494674660429</v>
      </c>
      <c r="J754">
        <f>($B$1+Table4[[#This Row],[Home Differential]])-Table4[[#This Row],[Away Differential]]</f>
        <v>-1.8550825697711644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0.76909445693074763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0.17870302183926629</v>
      </c>
      <c r="H755" t="s">
        <v>13</v>
      </c>
      <c r="I755">
        <f>VLOOKUP(Table4[[#This Row],[Visitor]],'NHL Model'!$A$6:$B$38,2,FALSE)</f>
        <v>-0.33828359867721369</v>
      </c>
      <c r="J755">
        <f>($B$1+Table4[[#This Row],[Home Differential]])-Table4[[#This Row],[Away Differential]]</f>
        <v>0.56688736943964246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0.62174802259807027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-0.4761104357405897</v>
      </c>
      <c r="H756" t="s">
        <v>34</v>
      </c>
      <c r="I756">
        <f>VLOOKUP(Table4[[#This Row],[Visitor]],'NHL Model'!$A$6:$B$38,2,FALSE)</f>
        <v>-5.5124787449478845E-2</v>
      </c>
      <c r="J756">
        <f>($B$1+Table4[[#This Row],[Home Differential]])-Table4[[#This Row],[Away Differential]]</f>
        <v>-0.37108489936794836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0.53563733113112899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-1.0657812790446208</v>
      </c>
      <c r="H757" t="s">
        <v>30</v>
      </c>
      <c r="I757">
        <f>VLOOKUP(Table4[[#This Row],[Visitor]],'NHL Model'!$A$6:$B$38,2,FALSE)</f>
        <v>-0.24093199744133265</v>
      </c>
      <c r="J757">
        <f>($B$1+Table4[[#This Row],[Home Differential]])-Table4[[#This Row],[Away Differential]]</f>
        <v>-0.77494853268012576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0.6231098477223036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-0.17619625518431364</v>
      </c>
      <c r="H758" t="s">
        <v>21</v>
      </c>
      <c r="I758">
        <f>VLOOKUP(Table4[[#This Row],[Visitor]],'NHL Model'!$A$6:$B$38,2,FALSE)</f>
        <v>-0.21976976044773161</v>
      </c>
      <c r="J758">
        <f>($B$1+Table4[[#This Row],[Home Differential]])-Table4[[#This Row],[Away Differential]]</f>
        <v>9.3474254186580424E-2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0.55008500567025542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1.5302507646042616E-3</v>
      </c>
      <c r="H759" t="s">
        <v>25</v>
      </c>
      <c r="I759">
        <f>VLOOKUP(Table4[[#This Row],[Visitor]],'NHL Model'!$A$6:$B$38,2,FALSE)</f>
        <v>0.42567513732855267</v>
      </c>
      <c r="J759">
        <f>($B$1+Table4[[#This Row],[Home Differential]])-Table4[[#This Row],[Away Differential]]</f>
        <v>-0.37424413764078596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0.4944027518709323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-0.53137605086483863</v>
      </c>
      <c r="H760" t="s">
        <v>18</v>
      </c>
      <c r="I760">
        <f>VLOOKUP(Table4[[#This Row],[Visitor]],'NHL Model'!$A$6:$B$38,2,FALSE)</f>
        <v>-0.59288962827382519</v>
      </c>
      <c r="J760">
        <f>($B$1+Table4[[#This Row],[Home Differential]])-Table4[[#This Row],[Away Differential]]</f>
        <v>0.11141432633214904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0.49623074346744273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-0.38023958350631604</v>
      </c>
      <c r="H761" t="s">
        <v>15</v>
      </c>
      <c r="I761">
        <f>VLOOKUP(Table4[[#This Row],[Visitor]],'NHL Model'!$A$6:$B$38,2,FALSE)</f>
        <v>-0.29003398448394263</v>
      </c>
      <c r="J761">
        <f>($B$1+Table4[[#This Row],[Home Differential]])-Table4[[#This Row],[Away Differential]]</f>
        <v>-4.030485009921092E-2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0.55080547688635673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-0.14226422156549004</v>
      </c>
      <c r="H762" t="s">
        <v>28</v>
      </c>
      <c r="I762">
        <f>VLOOKUP(Table4[[#This Row],[Visitor]],'NHL Model'!$A$6:$B$38,2,FALSE)</f>
        <v>-0.59498940435054026</v>
      </c>
      <c r="J762">
        <f>($B$1+Table4[[#This Row],[Home Differential]])-Table4[[#This Row],[Away Differential]]</f>
        <v>0.50262593170821268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0.59511283681584248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-0.4031232890211825</v>
      </c>
      <c r="H763" t="s">
        <v>32</v>
      </c>
      <c r="I763">
        <f>VLOOKUP(Table4[[#This Row],[Visitor]],'NHL Model'!$A$6:$B$38,2,FALSE)</f>
        <v>-0.64937723527808999</v>
      </c>
      <c r="J763">
        <f>($B$1+Table4[[#This Row],[Home Differential]])-Table4[[#This Row],[Away Differential]]</f>
        <v>0.29615469518006998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0.6150116090397193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-0.9476777551108041</v>
      </c>
      <c r="H764" t="s">
        <v>17</v>
      </c>
      <c r="I764">
        <f>VLOOKUP(Table4[[#This Row],[Visitor]],'NHL Model'!$A$6:$B$38,2,FALSE)</f>
        <v>-0.81774666423752174</v>
      </c>
      <c r="J764">
        <f>($B$1+Table4[[#This Row],[Home Differential]])-Table4[[#This Row],[Away Differential]]</f>
        <v>-8.0030341950119932E-2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0.46934472358622298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-0.24444083032063643</v>
      </c>
      <c r="H765" t="s">
        <v>29</v>
      </c>
      <c r="I765">
        <f>VLOOKUP(Table4[[#This Row],[Visitor]],'NHL Model'!$A$6:$B$38,2,FALSE)</f>
        <v>-1.384917283810061</v>
      </c>
      <c r="J765">
        <f>($B$1+Table4[[#This Row],[Home Differential]])-Table4[[#This Row],[Away Differential]]</f>
        <v>1.1903772024125869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0.67899410709528163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-0.31324182378279158</v>
      </c>
      <c r="H766" t="s">
        <v>19</v>
      </c>
      <c r="I766">
        <f>VLOOKUP(Table4[[#This Row],[Visitor]],'NHL Model'!$A$6:$B$38,2,FALSE)</f>
        <v>-0.63447859131898054</v>
      </c>
      <c r="J766">
        <f>($B$1+Table4[[#This Row],[Home Differential]])-Table4[[#This Row],[Away Differential]]</f>
        <v>0.37113751645935145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0.58583126184977086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0.4407072328537569</v>
      </c>
      <c r="H767" t="s">
        <v>11</v>
      </c>
      <c r="I767">
        <f>VLOOKUP(Table4[[#This Row],[Visitor]],'NHL Model'!$A$6:$B$38,2,FALSE)</f>
        <v>-0.39711829106410657</v>
      </c>
      <c r="J767">
        <f>($B$1+Table4[[#This Row],[Home Differential]])-Table4[[#This Row],[Away Differential]]</f>
        <v>0.88772627284102601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0.66969288010793826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0.41344250185511977</v>
      </c>
      <c r="H768" t="s">
        <v>37</v>
      </c>
      <c r="I768">
        <f>VLOOKUP(Table4[[#This Row],[Visitor]],'NHL Model'!$A$6:$B$38,2,FALSE)</f>
        <v>0.51050494674660429</v>
      </c>
      <c r="J768">
        <f>($B$1+Table4[[#This Row],[Home Differential]])-Table4[[#This Row],[Away Differential]]</f>
        <v>-4.7161695968322037E-2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0.52550682406125582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-0.87533956503230947</v>
      </c>
      <c r="H769" t="s">
        <v>36</v>
      </c>
      <c r="I769">
        <f>VLOOKUP(Table4[[#This Row],[Visitor]],'NHL Model'!$A$6:$B$38,2,FALSE)</f>
        <v>-0.53137605086483863</v>
      </c>
      <c r="J769">
        <f>($B$1+Table4[[#This Row],[Home Differential]])-Table4[[#This Row],[Away Differential]]</f>
        <v>-0.29406276524430841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0.49433616789893414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-0.81774666423752174</v>
      </c>
      <c r="H770" t="s">
        <v>35</v>
      </c>
      <c r="I770">
        <f>VLOOKUP(Table4[[#This Row],[Visitor]],'NHL Model'!$A$6:$B$38,2,FALSE)</f>
        <v>-1.3944783719477225</v>
      </c>
      <c r="J770">
        <f>($B$1+Table4[[#This Row],[Home Differential]])-Table4[[#This Row],[Away Differential]]</f>
        <v>0.6266324566333632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0.62021453960689188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0.17870302183926629</v>
      </c>
      <c r="H771" t="s">
        <v>15</v>
      </c>
      <c r="I771">
        <f>VLOOKUP(Table4[[#This Row],[Visitor]],'NHL Model'!$A$6:$B$38,2,FALSE)</f>
        <v>-0.29003398448394263</v>
      </c>
      <c r="J771">
        <f>($B$1+Table4[[#This Row],[Home Differential]])-Table4[[#This Row],[Away Differential]]</f>
        <v>0.51863775524637135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0.58229774290675174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0.42567513732855267</v>
      </c>
      <c r="H772" t="s">
        <v>23</v>
      </c>
      <c r="I772">
        <f>VLOOKUP(Table4[[#This Row],[Visitor]],'NHL Model'!$A$6:$B$38,2,FALSE)</f>
        <v>-0.4761104357405897</v>
      </c>
      <c r="J772">
        <f>($B$1+Table4[[#This Row],[Home Differential]])-Table4[[#This Row],[Away Differential]]</f>
        <v>0.95168632199230485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0.70283940031160697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-1.0657812790446208</v>
      </c>
      <c r="H773" t="s">
        <v>24</v>
      </c>
      <c r="I773">
        <f>VLOOKUP(Table4[[#This Row],[Visitor]],'NHL Model'!$A$6:$B$38,2,FALSE)</f>
        <v>1.5302507646042616E-3</v>
      </c>
      <c r="J773">
        <f>($B$1+Table4[[#This Row],[Home Differential]])-Table4[[#This Row],[Away Differential]]</f>
        <v>-1.0174107808860626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0.59956695534910476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-0.17619625518431364</v>
      </c>
      <c r="H774" t="s">
        <v>40</v>
      </c>
      <c r="I774">
        <f>VLOOKUP(Table4[[#This Row],[Visitor]],'NHL Model'!$A$6:$B$38,2,FALSE)</f>
        <v>-0.31324182378279158</v>
      </c>
      <c r="J774">
        <f>($B$1+Table4[[#This Row],[Home Differential]])-Table4[[#This Row],[Away Differential]]</f>
        <v>0.1869463175216404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0.54105951093214566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1.6319036584269762</v>
      </c>
      <c r="H775" t="s">
        <v>22</v>
      </c>
      <c r="I775">
        <f>VLOOKUP(Table4[[#This Row],[Visitor]],'NHL Model'!$A$6:$B$38,2,FALSE)</f>
        <v>0.4407072328537569</v>
      </c>
      <c r="J775">
        <f>($B$1+Table4[[#This Row],[Home Differential]])-Table4[[#This Row],[Away Differential]]</f>
        <v>1.2410971744963817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0.74931201680503057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-0.39711829106410657</v>
      </c>
      <c r="H776" t="s">
        <v>33</v>
      </c>
      <c r="I776">
        <f>VLOOKUP(Table4[[#This Row],[Visitor]],'NHL Model'!$A$6:$B$38,2,FALSE)</f>
        <v>-0.45133099238224339</v>
      </c>
      <c r="J776">
        <f>($B$1+Table4[[#This Row],[Home Differential]])-Table4[[#This Row],[Away Differential]]</f>
        <v>0.10411345024129931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0.56617340241914338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-0.64937723527808999</v>
      </c>
      <c r="H777" t="s">
        <v>14</v>
      </c>
      <c r="I777">
        <f>VLOOKUP(Table4[[#This Row],[Visitor]],'NHL Model'!$A$6:$B$38,2,FALSE)</f>
        <v>-0.14226422156549004</v>
      </c>
      <c r="J777">
        <f>($B$1+Table4[[#This Row],[Home Differential]])-Table4[[#This Row],[Away Differential]]</f>
        <v>-0.45721226478943755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0.55267301312381723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-0.63447859131898054</v>
      </c>
      <c r="H778" t="s">
        <v>34</v>
      </c>
      <c r="I778">
        <f>VLOOKUP(Table4[[#This Row],[Visitor]],'NHL Model'!$A$6:$B$38,2,FALSE)</f>
        <v>-5.5124787449478845E-2</v>
      </c>
      <c r="J778">
        <f>($B$1+Table4[[#This Row],[Home Differential]])-Table4[[#This Row],[Away Differential]]</f>
        <v>-0.52945305494633932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0.56433402114844189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-0.9476777551108041</v>
      </c>
      <c r="H779" t="s">
        <v>30</v>
      </c>
      <c r="I779">
        <f>VLOOKUP(Table4[[#This Row],[Visitor]],'NHL Model'!$A$6:$B$38,2,FALSE)</f>
        <v>-0.24093199744133265</v>
      </c>
      <c r="J779">
        <f>($B$1+Table4[[#This Row],[Home Differential]])-Table4[[#This Row],[Away Differential]]</f>
        <v>-0.65684500874630902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0.60931951821942276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-0.24444083032063643</v>
      </c>
      <c r="H780" t="s">
        <v>27</v>
      </c>
      <c r="I780">
        <f>VLOOKUP(Table4[[#This Row],[Visitor]],'NHL Model'!$A$6:$B$38,2,FALSE)</f>
        <v>-0.38023958350631604</v>
      </c>
      <c r="J780">
        <f>($B$1+Table4[[#This Row],[Home Differential]])-Table4[[#This Row],[Away Differential]]</f>
        <v>0.18569950210884206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0.51917059478617977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-0.59498940435054026</v>
      </c>
      <c r="H781" t="s">
        <v>36</v>
      </c>
      <c r="I781">
        <f>VLOOKUP(Table4[[#This Row],[Visitor]],'NHL Model'!$A$6:$B$38,2,FALSE)</f>
        <v>-0.53137605086483863</v>
      </c>
      <c r="J781">
        <f>($B$1+Table4[[#This Row],[Home Differential]])-Table4[[#This Row],[Away Differential]]</f>
        <v>-1.3712604562539199E-2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0.46160114896627552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0.41344250185511977</v>
      </c>
      <c r="H782" t="s">
        <v>21</v>
      </c>
      <c r="I782">
        <f>VLOOKUP(Table4[[#This Row],[Visitor]],'NHL Model'!$A$6:$B$38,2,FALSE)</f>
        <v>-0.21976976044773161</v>
      </c>
      <c r="J782">
        <f>($B$1+Table4[[#This Row],[Home Differential]])-Table4[[#This Row],[Away Differential]]</f>
        <v>0.68311301122601387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0.65119209751769036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-0.81774666423752174</v>
      </c>
      <c r="H783" t="s">
        <v>24</v>
      </c>
      <c r="I783">
        <f>VLOOKUP(Table4[[#This Row],[Visitor]],'NHL Model'!$A$6:$B$38,2,FALSE)</f>
        <v>1.5302507646042616E-3</v>
      </c>
      <c r="J783">
        <f>($B$1+Table4[[#This Row],[Home Differential]])-Table4[[#This Row],[Away Differential]]</f>
        <v>-0.76937616607896353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0.56352023309781618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-0.33828359867721369</v>
      </c>
      <c r="H784" t="s">
        <v>15</v>
      </c>
      <c r="I784">
        <f>VLOOKUP(Table4[[#This Row],[Visitor]],'NHL Model'!$A$6:$B$38,2,FALSE)</f>
        <v>-0.29003398448394263</v>
      </c>
      <c r="J784">
        <f>($B$1+Table4[[#This Row],[Home Differential]])-Table4[[#This Row],[Away Differential]]</f>
        <v>1.6511347298914236E-3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0.44011132795361219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-0.59288962827382519</v>
      </c>
      <c r="H785" t="s">
        <v>34</v>
      </c>
      <c r="I785">
        <f>VLOOKUP(Table4[[#This Row],[Visitor]],'NHL Model'!$A$6:$B$38,2,FALSE)</f>
        <v>-5.5124787449478845E-2</v>
      </c>
      <c r="J785">
        <f>($B$1+Table4[[#This Row],[Home Differential]])-Table4[[#This Row],[Away Differential]]</f>
        <v>-0.4878640919011839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0.5594778959036335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-1.384917283810061</v>
      </c>
      <c r="H786" t="s">
        <v>23</v>
      </c>
      <c r="I786">
        <f>VLOOKUP(Table4[[#This Row],[Visitor]],'NHL Model'!$A$6:$B$38,2,FALSE)</f>
        <v>-0.4761104357405897</v>
      </c>
      <c r="J786">
        <f>($B$1+Table4[[#This Row],[Home Differential]])-Table4[[#This Row],[Away Differential]]</f>
        <v>-0.85890609914630889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0.5602899636246178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0.51050494674660429</v>
      </c>
      <c r="H787" t="s">
        <v>33</v>
      </c>
      <c r="I787">
        <f>VLOOKUP(Table4[[#This Row],[Visitor]],'NHL Model'!$A$6:$B$38,2,FALSE)</f>
        <v>-0.45133099238224339</v>
      </c>
      <c r="J787">
        <f>($B$1+Table4[[#This Row],[Home Differential]])-Table4[[#This Row],[Away Differential]]</f>
        <v>1.01173668805201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0.69038125630616265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-0.31324182378279158</v>
      </c>
      <c r="H788" t="s">
        <v>35</v>
      </c>
      <c r="I788">
        <f>VLOOKUP(Table4[[#This Row],[Visitor]],'NHL Model'!$A$6:$B$38,2,FALSE)</f>
        <v>-1.3944783719477225</v>
      </c>
      <c r="J788">
        <f>($B$1+Table4[[#This Row],[Home Differential]])-Table4[[#This Row],[Away Differential]]</f>
        <v>1.1311372970880935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0.67457245303438529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-1.0657812790446208</v>
      </c>
      <c r="H789" t="s">
        <v>14</v>
      </c>
      <c r="I789">
        <f>VLOOKUP(Table4[[#This Row],[Visitor]],'NHL Model'!$A$6:$B$38,2,FALSE)</f>
        <v>-0.14226422156549004</v>
      </c>
      <c r="J789">
        <f>($B$1+Table4[[#This Row],[Home Differential]])-Table4[[#This Row],[Away Differential]]</f>
        <v>-0.87361630855596839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0.60129433091862239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1.6319036584269762</v>
      </c>
      <c r="H790" t="s">
        <v>31</v>
      </c>
      <c r="I790">
        <f>VLOOKUP(Table4[[#This Row],[Visitor]],'NHL Model'!$A$6:$B$38,2,FALSE)</f>
        <v>0.17870302183926629</v>
      </c>
      <c r="J790">
        <f>($B$1+Table4[[#This Row],[Home Differential]])-Table4[[#This Row],[Away Differential]]</f>
        <v>1.5031013855108724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0.8005092709515379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-0.64937723527808999</v>
      </c>
      <c r="H791" t="s">
        <v>30</v>
      </c>
      <c r="I791">
        <f>VLOOKUP(Table4[[#This Row],[Visitor]],'NHL Model'!$A$6:$B$38,2,FALSE)</f>
        <v>-0.24093199744133265</v>
      </c>
      <c r="J791">
        <f>($B$1+Table4[[#This Row],[Home Differential]])-Table4[[#This Row],[Away Differential]]</f>
        <v>-0.35854448891359492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0.57448852992749844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-0.63447859131898054</v>
      </c>
      <c r="H792" t="s">
        <v>26</v>
      </c>
      <c r="I792">
        <f>VLOOKUP(Table4[[#This Row],[Visitor]],'NHL Model'!$A$6:$B$38,2,FALSE)</f>
        <v>-0.87533956503230947</v>
      </c>
      <c r="J792">
        <f>($B$1+Table4[[#This Row],[Home Differential]])-Table4[[#This Row],[Away Differential]]</f>
        <v>0.29076172263649136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0.5739507224545598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-0.4031232890211825</v>
      </c>
      <c r="H793" t="s">
        <v>27</v>
      </c>
      <c r="I793">
        <f>VLOOKUP(Table4[[#This Row],[Visitor]],'NHL Model'!$A$6:$B$38,2,FALSE)</f>
        <v>-0.38023958350631604</v>
      </c>
      <c r="J793">
        <f>($B$1+Table4[[#This Row],[Home Differential]])-Table4[[#This Row],[Away Differential]]</f>
        <v>2.7017043408296026E-2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0.54161617702255915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-0.9476777551108041</v>
      </c>
      <c r="H794" t="s">
        <v>22</v>
      </c>
      <c r="I794">
        <f>VLOOKUP(Table4[[#This Row],[Visitor]],'NHL Model'!$A$6:$B$38,2,FALSE)</f>
        <v>0.4407072328537569</v>
      </c>
      <c r="J794">
        <f>($B$1+Table4[[#This Row],[Home Differential]])-Table4[[#This Row],[Away Differential]]</f>
        <v>-1.3384842390413985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0.65880035233961631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-0.21976976044773161</v>
      </c>
      <c r="H795" t="s">
        <v>20</v>
      </c>
      <c r="I795">
        <f>VLOOKUP(Table4[[#This Row],[Visitor]],'NHL Model'!$A$6:$B$38,2,FALSE)</f>
        <v>-0.24444083032063643</v>
      </c>
      <c r="J795">
        <f>($B$1+Table4[[#This Row],[Home Differential]])-Table4[[#This Row],[Away Differential]]</f>
        <v>7.457181879606728E-2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0.59160891485008038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0.42567513732855267</v>
      </c>
      <c r="H796" t="s">
        <v>10</v>
      </c>
      <c r="I796">
        <f>VLOOKUP(Table4[[#This Row],[Visitor]],'NHL Model'!$A$6:$B$38,2,FALSE)</f>
        <v>-0.17619625518431364</v>
      </c>
      <c r="J796">
        <f>($B$1+Table4[[#This Row],[Home Differential]])-Table4[[#This Row],[Away Differential]]</f>
        <v>0.6517721414360288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0.66781999331427422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-0.59498940435054026</v>
      </c>
      <c r="H797" t="s">
        <v>39</v>
      </c>
      <c r="I797">
        <f>VLOOKUP(Table4[[#This Row],[Visitor]],'NHL Model'!$A$6:$B$38,2,FALSE)</f>
        <v>0.41344250185511977</v>
      </c>
      <c r="J797">
        <f>($B$1+Table4[[#This Row],[Home Differential]])-Table4[[#This Row],[Away Differential]]</f>
        <v>-0.9585311572824976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0.67372041233192359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-0.81774666423752174</v>
      </c>
      <c r="H798" t="s">
        <v>14</v>
      </c>
      <c r="I798">
        <f>VLOOKUP(Table4[[#This Row],[Visitor]],'NHL Model'!$A$6:$B$38,2,FALSE)</f>
        <v>-0.14226422156549004</v>
      </c>
      <c r="J798">
        <f>($B$1+Table4[[#This Row],[Home Differential]])-Table4[[#This Row],[Away Differential]]</f>
        <v>-0.62558169374886929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0.56523339567201758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-5.5124787449478845E-2</v>
      </c>
      <c r="H799" t="s">
        <v>26</v>
      </c>
      <c r="I799">
        <f>VLOOKUP(Table4[[#This Row],[Visitor]],'NHL Model'!$A$6:$B$38,2,FALSE)</f>
        <v>-0.87533956503230947</v>
      </c>
      <c r="J799">
        <f>($B$1+Table4[[#This Row],[Home Differential]])-Table4[[#This Row],[Away Differential]]</f>
        <v>0.87011552650599311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0.64159882970820126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-0.59288962827382519</v>
      </c>
      <c r="H800" t="s">
        <v>23</v>
      </c>
      <c r="I800">
        <f>VLOOKUP(Table4[[#This Row],[Visitor]],'NHL Model'!$A$6:$B$38,2,FALSE)</f>
        <v>-0.4761104357405897</v>
      </c>
      <c r="J800">
        <f>($B$1+Table4[[#This Row],[Home Differential]])-Table4[[#This Row],[Away Differential]]</f>
        <v>-6.6878443610073057E-2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0.46780904534685669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-1.384917283810061</v>
      </c>
      <c r="H801" t="s">
        <v>36</v>
      </c>
      <c r="I801">
        <f>VLOOKUP(Table4[[#This Row],[Visitor]],'NHL Model'!$A$6:$B$38,2,FALSE)</f>
        <v>-0.53137605086483863</v>
      </c>
      <c r="J801">
        <f>($B$1+Table4[[#This Row],[Home Differential]])-Table4[[#This Row],[Away Differential]]</f>
        <v>-0.8036404840220599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0.55383688739659709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-0.31324182378279158</v>
      </c>
      <c r="H802" t="s">
        <v>11</v>
      </c>
      <c r="I802">
        <f>VLOOKUP(Table4[[#This Row],[Visitor]],'NHL Model'!$A$6:$B$38,2,FALSE)</f>
        <v>-0.39711829106410657</v>
      </c>
      <c r="J802">
        <f>($B$1+Table4[[#This Row],[Home Differential]])-Table4[[#This Row],[Away Differential]]</f>
        <v>0.13377721620447747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0.55811594360700834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-1.0657812790446208</v>
      </c>
      <c r="H803" t="s">
        <v>22</v>
      </c>
      <c r="I803">
        <f>VLOOKUP(Table4[[#This Row],[Visitor]],'NHL Model'!$A$6:$B$38,2,FALSE)</f>
        <v>0.4407072328537569</v>
      </c>
      <c r="J803">
        <f>($B$1+Table4[[#This Row],[Home Differential]])-Table4[[#This Row],[Away Differential]]</f>
        <v>-1.4565877629752153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0.67259068184249715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-0.17619625518431364</v>
      </c>
      <c r="H804" t="s">
        <v>37</v>
      </c>
      <c r="I804">
        <f>VLOOKUP(Table4[[#This Row],[Visitor]],'NHL Model'!$A$6:$B$38,2,FALSE)</f>
        <v>0.51050494674660429</v>
      </c>
      <c r="J804">
        <f>($B$1+Table4[[#This Row],[Home Differential]])-Table4[[#This Row],[Away Differential]]</f>
        <v>-0.63680045300775545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0.62684203923786574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1.6319036584269762</v>
      </c>
      <c r="H805" t="s">
        <v>27</v>
      </c>
      <c r="I805">
        <f>VLOOKUP(Table4[[#This Row],[Visitor]],'NHL Model'!$A$6:$B$38,2,FALSE)</f>
        <v>-0.38023958350631604</v>
      </c>
      <c r="J805">
        <f>($B$1+Table4[[#This Row],[Home Differential]])-Table4[[#This Row],[Away Differential]]</f>
        <v>2.0620439908564547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0.84516967392532616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0.41344250185511977</v>
      </c>
      <c r="H806" t="s">
        <v>35</v>
      </c>
      <c r="I806">
        <f>VLOOKUP(Table4[[#This Row],[Visitor]],'NHL Model'!$A$6:$B$38,2,FALSE)</f>
        <v>-1.3944783719477225</v>
      </c>
      <c r="J806">
        <f>($B$1+Table4[[#This Row],[Home Differential]])-Table4[[#This Row],[Away Differential]]</f>
        <v>1.8578216227260047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0.78917415975175542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-0.64937723527808999</v>
      </c>
      <c r="H807" t="s">
        <v>31</v>
      </c>
      <c r="I807">
        <f>VLOOKUP(Table4[[#This Row],[Visitor]],'NHL Model'!$A$6:$B$38,2,FALSE)</f>
        <v>0.17870302183926629</v>
      </c>
      <c r="J807">
        <f>($B$1+Table4[[#This Row],[Home Differential]])-Table4[[#This Row],[Away Differential]]</f>
        <v>-0.77817950819419379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0.57163317346074072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-0.45133099238224339</v>
      </c>
      <c r="H808" t="s">
        <v>15</v>
      </c>
      <c r="I808">
        <f>VLOOKUP(Table4[[#This Row],[Visitor]],'NHL Model'!$A$6:$B$38,2,FALSE)</f>
        <v>-0.29003398448394263</v>
      </c>
      <c r="J808">
        <f>($B$1+Table4[[#This Row],[Home Differential]])-Table4[[#This Row],[Away Differential]]</f>
        <v>-0.11139625897513827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0.56300715732678952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-0.63447859131898054</v>
      </c>
      <c r="H809" t="s">
        <v>20</v>
      </c>
      <c r="I809">
        <f>VLOOKUP(Table4[[#This Row],[Visitor]],'NHL Model'!$A$6:$B$38,2,FALSE)</f>
        <v>-0.24444083032063643</v>
      </c>
      <c r="J809">
        <f>($B$1+Table4[[#This Row],[Home Differential]])-Table4[[#This Row],[Away Differential]]</f>
        <v>-0.34013701207518166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0.49971601622378903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-0.9476777551108041</v>
      </c>
      <c r="H810" t="s">
        <v>24</v>
      </c>
      <c r="I810">
        <f>VLOOKUP(Table4[[#This Row],[Visitor]],'NHL Model'!$A$6:$B$38,2,FALSE)</f>
        <v>1.5302507646042616E-3</v>
      </c>
      <c r="J810">
        <f>($B$1+Table4[[#This Row],[Home Differential]])-Table4[[#This Row],[Away Differential]]</f>
        <v>-0.89930725695224589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0.58577662584622392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-0.21976976044773161</v>
      </c>
      <c r="H811" t="s">
        <v>18</v>
      </c>
      <c r="I811">
        <f>VLOOKUP(Table4[[#This Row],[Visitor]],'NHL Model'!$A$6:$B$38,2,FALSE)</f>
        <v>-0.59288962827382519</v>
      </c>
      <c r="J811">
        <f>($B$1+Table4[[#This Row],[Home Differential]])-Table4[[#This Row],[Away Differential]]</f>
        <v>0.42302061674925606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0.57366574500438006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-0.59498940435054026</v>
      </c>
      <c r="H812" t="s">
        <v>37</v>
      </c>
      <c r="I812">
        <f>VLOOKUP(Table4[[#This Row],[Visitor]],'NHL Model'!$A$6:$B$38,2,FALSE)</f>
        <v>0.51050494674660429</v>
      </c>
      <c r="J812">
        <f>($B$1+Table4[[#This Row],[Home Differential]])-Table4[[#This Row],[Away Differential]]</f>
        <v>-1.0555936021739822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0.67574232034876447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-0.81774666423752174</v>
      </c>
      <c r="H813" t="s">
        <v>22</v>
      </c>
      <c r="I813">
        <f>VLOOKUP(Table4[[#This Row],[Visitor]],'NHL Model'!$A$6:$B$38,2,FALSE)</f>
        <v>0.4407072328537569</v>
      </c>
      <c r="J813">
        <f>($B$1+Table4[[#This Row],[Home Differential]])-Table4[[#This Row],[Away Differential]]</f>
        <v>-1.2085531481681162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0.63652926105675034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-5.5124787449478845E-2</v>
      </c>
      <c r="H814" t="s">
        <v>11</v>
      </c>
      <c r="I814">
        <f>VLOOKUP(Table4[[#This Row],[Visitor]],'NHL Model'!$A$6:$B$38,2,FALSE)</f>
        <v>-0.39711829106410657</v>
      </c>
      <c r="J814">
        <f>($B$1+Table4[[#This Row],[Home Differential]])-Table4[[#This Row],[Away Differential]]</f>
        <v>0.3918942525377902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0.58575943793014884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-1.384917283810061</v>
      </c>
      <c r="H815" t="s">
        <v>55</v>
      </c>
      <c r="I815">
        <f>VLOOKUP(Table4[[#This Row],[Visitor]],'NHL Model'!$A$6:$B$38,2,FALSE)</f>
        <v>-0.4031232890211825</v>
      </c>
      <c r="J815">
        <f>($B$1+Table4[[#This Row],[Home Differential]])-Table4[[#This Row],[Away Differential]]</f>
        <v>-0.93189324586571609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0.56881229021751245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-0.24093199744133265</v>
      </c>
      <c r="H816" t="s">
        <v>23</v>
      </c>
      <c r="I816">
        <f>VLOOKUP(Table4[[#This Row],[Visitor]],'NHL Model'!$A$6:$B$38,2,FALSE)</f>
        <v>-0.4761104357405897</v>
      </c>
      <c r="J816">
        <f>($B$1+Table4[[#This Row],[Home Differential]])-Table4[[#This Row],[Away Differential]]</f>
        <v>0.28507918722241954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0.57328720257672994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-0.53137605086483863</v>
      </c>
      <c r="H817" t="s">
        <v>25</v>
      </c>
      <c r="I817">
        <f>VLOOKUP(Table4[[#This Row],[Visitor]],'NHL Model'!$A$6:$B$38,2,FALSE)</f>
        <v>0.42567513732855267</v>
      </c>
      <c r="J817">
        <f>($B$1+Table4[[#This Row],[Home Differential]])-Table4[[#This Row],[Away Differential]]</f>
        <v>-0.90715043927022876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0.63604368429743785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-1.3944783719477225</v>
      </c>
      <c r="H818" t="s">
        <v>13</v>
      </c>
      <c r="I818">
        <f>VLOOKUP(Table4[[#This Row],[Visitor]],'NHL Model'!$A$6:$B$38,2,FALSE)</f>
        <v>-0.33828359867721369</v>
      </c>
      <c r="J818">
        <f>($B$1+Table4[[#This Row],[Home Differential]])-Table4[[#This Row],[Away Differential]]</f>
        <v>-1.0062940243473464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0.64381546865604655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-0.31324182378279158</v>
      </c>
      <c r="H819" t="s">
        <v>26</v>
      </c>
      <c r="I819">
        <f>VLOOKUP(Table4[[#This Row],[Visitor]],'NHL Model'!$A$6:$B$38,2,FALSE)</f>
        <v>-0.87533956503230947</v>
      </c>
      <c r="J819">
        <f>($B$1+Table4[[#This Row],[Home Differential]])-Table4[[#This Row],[Away Differential]]</f>
        <v>0.61199849017268038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0.61395533538506064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-1.0657812790446208</v>
      </c>
      <c r="H820" t="s">
        <v>31</v>
      </c>
      <c r="I820">
        <f>VLOOKUP(Table4[[#This Row],[Visitor]],'NHL Model'!$A$6:$B$38,2,FALSE)</f>
        <v>0.17870302183926629</v>
      </c>
      <c r="J820">
        <f>($B$1+Table4[[#This Row],[Home Differential]])-Table4[[#This Row],[Away Differential]]</f>
        <v>-1.1945835519607246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0.62025449125554588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-0.17619625518431364</v>
      </c>
      <c r="H821" t="s">
        <v>11</v>
      </c>
      <c r="I821">
        <f>VLOOKUP(Table4[[#This Row],[Visitor]],'NHL Model'!$A$6:$B$38,2,FALSE)</f>
        <v>-0.39711829106410657</v>
      </c>
      <c r="J821">
        <f>($B$1+Table4[[#This Row],[Home Differential]])-Table4[[#This Row],[Away Differential]]</f>
        <v>0.27082278480295541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0.57162255718477495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-0.53137605086483863</v>
      </c>
      <c r="H822" t="s">
        <v>20</v>
      </c>
      <c r="I822">
        <f>VLOOKUP(Table4[[#This Row],[Visitor]],'NHL Model'!$A$6:$B$38,2,FALSE)</f>
        <v>-0.24444083032063643</v>
      </c>
      <c r="J822">
        <f>($B$1+Table4[[#This Row],[Home Differential]])-Table4[[#This Row],[Away Differential]]</f>
        <v>-0.23703447162103972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0.48518179373653497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-0.64937723527808999</v>
      </c>
      <c r="H823" t="s">
        <v>24</v>
      </c>
      <c r="I823">
        <f>VLOOKUP(Table4[[#This Row],[Visitor]],'NHL Model'!$A$6:$B$38,2,FALSE)</f>
        <v>1.5302507646042616E-3</v>
      </c>
      <c r="J823">
        <f>($B$1+Table4[[#This Row],[Home Differential]])-Table4[[#This Row],[Away Differential]]</f>
        <v>-0.60100673711953179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0.55094563755429959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-0.63447859131898054</v>
      </c>
      <c r="H824" t="s">
        <v>12</v>
      </c>
      <c r="I824">
        <f>VLOOKUP(Table4[[#This Row],[Visitor]],'NHL Model'!$A$6:$B$38,2,FALSE)</f>
        <v>1.6319036584269762</v>
      </c>
      <c r="J824">
        <f>($B$1+Table4[[#This Row],[Home Differential]])-Table4[[#This Row],[Away Differential]]</f>
        <v>-2.2164815008227943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0.79143009726111702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-0.9476777551108041</v>
      </c>
      <c r="H825" t="s">
        <v>14</v>
      </c>
      <c r="I825">
        <f>VLOOKUP(Table4[[#This Row],[Visitor]],'NHL Model'!$A$6:$B$38,2,FALSE)</f>
        <v>-0.14226422156549004</v>
      </c>
      <c r="J825">
        <f>($B$1+Table4[[#This Row],[Home Differential]])-Table4[[#This Row],[Away Differential]]</f>
        <v>-0.75551278462215166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0.58750400141574155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-0.59498940435054026</v>
      </c>
      <c r="H826" t="s">
        <v>13</v>
      </c>
      <c r="I826">
        <f>VLOOKUP(Table4[[#This Row],[Visitor]],'NHL Model'!$A$6:$B$38,2,FALSE)</f>
        <v>-0.33828359867721369</v>
      </c>
      <c r="J826">
        <f>($B$1+Table4[[#This Row],[Home Differential]])-Table4[[#This Row],[Away Differential]]</f>
        <v>-0.20680505675016414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0.55046333207406328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-0.81774666423752174</v>
      </c>
      <c r="H827" t="s">
        <v>31</v>
      </c>
      <c r="I827">
        <f>VLOOKUP(Table4[[#This Row],[Visitor]],'NHL Model'!$A$6:$B$38,2,FALSE)</f>
        <v>0.17870302183926629</v>
      </c>
      <c r="J827">
        <f>($B$1+Table4[[#This Row],[Home Differential]])-Table4[[#This Row],[Away Differential]]</f>
        <v>-0.94654893715362554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0.5842077690042573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-0.29003398448394263</v>
      </c>
      <c r="H828" t="s">
        <v>21</v>
      </c>
      <c r="I828">
        <f>VLOOKUP(Table4[[#This Row],[Visitor]],'NHL Model'!$A$6:$B$38,2,FALSE)</f>
        <v>-0.21976976044773161</v>
      </c>
      <c r="J828">
        <f>($B$1+Table4[[#This Row],[Home Differential]])-Table4[[#This Row],[Away Differential]]</f>
        <v>-2.0363475113048563E-2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0.46320722935044856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-0.38023958350631604</v>
      </c>
      <c r="H829" t="s">
        <v>30</v>
      </c>
      <c r="I829">
        <f>VLOOKUP(Table4[[#This Row],[Visitor]],'NHL Model'!$A$6:$B$38,2,FALSE)</f>
        <v>-0.24093199744133265</v>
      </c>
      <c r="J829">
        <f>($B$1+Table4[[#This Row],[Home Differential]])-Table4[[#This Row],[Away Differential]]</f>
        <v>-8.9406837141820905E-2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0.52895808630556485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0.51050494674660429</v>
      </c>
      <c r="H830" t="s">
        <v>55</v>
      </c>
      <c r="I830">
        <f>VLOOKUP(Table4[[#This Row],[Visitor]],'NHL Model'!$A$6:$B$38,2,FALSE)</f>
        <v>-0.4031232890211825</v>
      </c>
      <c r="J830">
        <f>($B$1+Table4[[#This Row],[Home Differential]])-Table4[[#This Row],[Away Differential]]</f>
        <v>0.96352898469094916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0.6847522954438372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-0.21976976044773161</v>
      </c>
      <c r="H831" t="s">
        <v>29</v>
      </c>
      <c r="I831">
        <f>VLOOKUP(Table4[[#This Row],[Visitor]],'NHL Model'!$A$6:$B$38,2,FALSE)</f>
        <v>-1.384917283810061</v>
      </c>
      <c r="J831">
        <f>($B$1+Table4[[#This Row],[Home Differential]])-Table4[[#This Row],[Away Differential]]</f>
        <v>1.2150482722854918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0.7247763730260921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-0.87533956503230947</v>
      </c>
      <c r="H832" t="s">
        <v>13</v>
      </c>
      <c r="I832">
        <f>VLOOKUP(Table4[[#This Row],[Visitor]],'NHL Model'!$A$6:$B$38,2,FALSE)</f>
        <v>-0.33828359867721369</v>
      </c>
      <c r="J832">
        <f>($B$1+Table4[[#This Row],[Home Differential]])-Table4[[#This Row],[Away Differential]]</f>
        <v>-0.48715521743193335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0.5831983510067219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-0.39711829106410657</v>
      </c>
      <c r="H833" t="s">
        <v>55</v>
      </c>
      <c r="I833">
        <f>VLOOKUP(Table4[[#This Row],[Visitor]],'NHL Model'!$A$6:$B$38,2,FALSE)</f>
        <v>-0.4031232890211825</v>
      </c>
      <c r="J833">
        <f>($B$1+Table4[[#This Row],[Home Differential]])-Table4[[#This Row],[Away Differential]]</f>
        <v>5.5905746880238416E-2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0.56054444155681793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-5.5124787449478845E-2</v>
      </c>
      <c r="H834" t="s">
        <v>10</v>
      </c>
      <c r="I834">
        <f>VLOOKUP(Table4[[#This Row],[Visitor]],'NHL Model'!$A$6:$B$38,2,FALSE)</f>
        <v>-0.17619625518431364</v>
      </c>
      <c r="J834">
        <f>($B$1+Table4[[#This Row],[Home Differential]])-Table4[[#This Row],[Away Differential]]</f>
        <v>0.17097221665799728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0.5599635296646438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-0.59288962827382519</v>
      </c>
      <c r="H835" t="s">
        <v>20</v>
      </c>
      <c r="I835">
        <f>VLOOKUP(Table4[[#This Row],[Visitor]],'NHL Model'!$A$6:$B$38,2,FALSE)</f>
        <v>-0.24444083032063643</v>
      </c>
      <c r="J835">
        <f>($B$1+Table4[[#This Row],[Home Differential]])-Table4[[#This Row],[Away Differential]]</f>
        <v>-0.2985480490300263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0.49485989097898075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1.5302507646042616E-3</v>
      </c>
      <c r="H836" t="s">
        <v>40</v>
      </c>
      <c r="I836">
        <f>VLOOKUP(Table4[[#This Row],[Visitor]],'NHL Model'!$A$6:$B$38,2,FALSE)</f>
        <v>-0.31324182378279158</v>
      </c>
      <c r="J836">
        <f>($B$1+Table4[[#This Row],[Home Differential]])-Table4[[#This Row],[Away Differential]]</f>
        <v>0.36467282347055829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0.64258093432693042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-0.64937723527808999</v>
      </c>
      <c r="H837" t="s">
        <v>22</v>
      </c>
      <c r="I837">
        <f>VLOOKUP(Table4[[#This Row],[Visitor]],'NHL Model'!$A$6:$B$38,2,FALSE)</f>
        <v>0.4407072328537569</v>
      </c>
      <c r="J837">
        <f>($B$1+Table4[[#This Row],[Home Differential]])-Table4[[#This Row],[Away Differential]]</f>
        <v>-1.0401837192086845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0.62396936404769199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-1.3944783719477225</v>
      </c>
      <c r="H838" t="s">
        <v>39</v>
      </c>
      <c r="I838">
        <f>VLOOKUP(Table4[[#This Row],[Visitor]],'NHL Model'!$A$6:$B$38,2,FALSE)</f>
        <v>0.41344250185511977</v>
      </c>
      <c r="J838">
        <f>($B$1+Table4[[#This Row],[Home Differential]])-Table4[[#This Row],[Away Differential]]</f>
        <v>-1.7580201248796798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0.76707254891390675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-0.63447859131898054</v>
      </c>
      <c r="H839" t="s">
        <v>23</v>
      </c>
      <c r="I839">
        <f>VLOOKUP(Table4[[#This Row],[Visitor]],'NHL Model'!$A$6:$B$38,2,FALSE)</f>
        <v>-0.4761104357405897</v>
      </c>
      <c r="J839">
        <f>($B$1+Table4[[#This Row],[Home Differential]])-Table4[[#This Row],[Away Differential]]</f>
        <v>-0.10846740665522842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0.47266517059166496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-0.9476777551108041</v>
      </c>
      <c r="H840" t="s">
        <v>33</v>
      </c>
      <c r="I840">
        <f>VLOOKUP(Table4[[#This Row],[Visitor]],'NHL Model'!$A$6:$B$38,2,FALSE)</f>
        <v>-0.45133099238224339</v>
      </c>
      <c r="J840">
        <f>($B$1+Table4[[#This Row],[Home Differential]])-Table4[[#This Row],[Away Differential]]</f>
        <v>-0.44644601380539828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0.51212916118467577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-0.59498940435054026</v>
      </c>
      <c r="H841" t="s">
        <v>27</v>
      </c>
      <c r="I841">
        <f>VLOOKUP(Table4[[#This Row],[Visitor]],'NHL Model'!$A$6:$B$38,2,FALSE)</f>
        <v>-0.38023958350631604</v>
      </c>
      <c r="J841">
        <f>($B$1+Table4[[#This Row],[Home Differential]])-Table4[[#This Row],[Away Differential]]</f>
        <v>-0.1648490719210618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0.52176112495951044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-0.24093199744133265</v>
      </c>
      <c r="H842" t="s">
        <v>15</v>
      </c>
      <c r="I842">
        <f>VLOOKUP(Table4[[#This Row],[Visitor]],'NHL Model'!$A$6:$B$38,2,FALSE)</f>
        <v>-0.29003398448394263</v>
      </c>
      <c r="J842">
        <f>($B$1+Table4[[#This Row],[Home Differential]])-Table4[[#This Row],[Away Differential]]</f>
        <v>9.9002735965772443E-2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0.45147856420498927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-0.53137605086483863</v>
      </c>
      <c r="H843" t="s">
        <v>12</v>
      </c>
      <c r="I843">
        <f>VLOOKUP(Table4[[#This Row],[Visitor]],'NHL Model'!$A$6:$B$38,2,FALSE)</f>
        <v>1.6319036584269762</v>
      </c>
      <c r="J843">
        <f>($B$1+Table4[[#This Row],[Home Differential]])-Table4[[#This Row],[Away Differential]]</f>
        <v>-2.1133789603686521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0.77688866679805757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-0.21976976044773161</v>
      </c>
      <c r="H844" t="s">
        <v>27</v>
      </c>
      <c r="I844">
        <f>VLOOKUP(Table4[[#This Row],[Visitor]],'NHL Model'!$A$6:$B$38,2,FALSE)</f>
        <v>-0.38023958350631604</v>
      </c>
      <c r="J844">
        <f>($B$1+Table4[[#This Row],[Home Differential]])-Table4[[#This Row],[Away Differential]]</f>
        <v>0.21037057198174688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0.56554747568429253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-0.4761104357405897</v>
      </c>
      <c r="H845" t="s">
        <v>13</v>
      </c>
      <c r="I845">
        <f>VLOOKUP(Table4[[#This Row],[Visitor]],'NHL Model'!$A$6:$B$38,2,FALSE)</f>
        <v>-0.33828359867721369</v>
      </c>
      <c r="J845">
        <f>($B$1+Table4[[#This Row],[Home Differential]])-Table4[[#This Row],[Away Differential]]</f>
        <v>-8.7926088140213521E-2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0.52639570074487763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0.42567513732855267</v>
      </c>
      <c r="H846" t="s">
        <v>55</v>
      </c>
      <c r="I846">
        <f>VLOOKUP(Table4[[#This Row],[Visitor]],'NHL Model'!$A$6:$B$38,2,FALSE)</f>
        <v>-0.4031232890211825</v>
      </c>
      <c r="J846">
        <f>($B$1+Table4[[#This Row],[Home Differential]])-Table4[[#This Row],[Away Differential]]</f>
        <v>0.87869917527289765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0.69431707371871232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-0.87533956503230947</v>
      </c>
      <c r="H847" t="s">
        <v>22</v>
      </c>
      <c r="I847">
        <f>VLOOKUP(Table4[[#This Row],[Visitor]],'NHL Model'!$A$6:$B$38,2,FALSE)</f>
        <v>0.4407072328537569</v>
      </c>
      <c r="J847">
        <f>($B$1+Table4[[#This Row],[Home Differential]])-Table4[[#This Row],[Away Differential]]</f>
        <v>-1.2661460489629039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0.65035380101246465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-0.81774666423752174</v>
      </c>
      <c r="H848" t="s">
        <v>33</v>
      </c>
      <c r="I848">
        <f>VLOOKUP(Table4[[#This Row],[Visitor]],'NHL Model'!$A$6:$B$38,2,FALSE)</f>
        <v>-0.45133099238224339</v>
      </c>
      <c r="J848">
        <f>($B$1+Table4[[#This Row],[Home Differential]])-Table4[[#This Row],[Away Differential]]</f>
        <v>-0.31651492293211592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0.48991183681922673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-5.5124787449478845E-2</v>
      </c>
      <c r="H849" t="s">
        <v>16</v>
      </c>
      <c r="I849">
        <f>VLOOKUP(Table4[[#This Row],[Visitor]],'NHL Model'!$A$6:$B$38,2,FALSE)</f>
        <v>-1.0657812790446208</v>
      </c>
      <c r="J849">
        <f>($B$1+Table4[[#This Row],[Home Differential]])-Table4[[#This Row],[Away Differential]]</f>
        <v>1.0605572405183044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0.66383571053823376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-0.59288962827382519</v>
      </c>
      <c r="H850" t="s">
        <v>12</v>
      </c>
      <c r="I850">
        <f>VLOOKUP(Table4[[#This Row],[Visitor]],'NHL Model'!$A$6:$B$38,2,FALSE)</f>
        <v>1.6319036584269762</v>
      </c>
      <c r="J850">
        <f>($B$1+Table4[[#This Row],[Home Differential]])-Table4[[#This Row],[Away Differential]]</f>
        <v>-2.1748925377776391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0.78657397201630874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1.5302507646042616E-3</v>
      </c>
      <c r="H851" t="s">
        <v>29</v>
      </c>
      <c r="I851">
        <f>VLOOKUP(Table4[[#This Row],[Visitor]],'NHL Model'!$A$6:$B$38,2,FALSE)</f>
        <v>-1.384917283810061</v>
      </c>
      <c r="J851">
        <f>($B$1+Table4[[#This Row],[Home Differential]])-Table4[[#This Row],[Away Differential]]</f>
        <v>1.4363482834978276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0.78754957182984597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-0.29003398448394263</v>
      </c>
      <c r="H852" t="s">
        <v>30</v>
      </c>
      <c r="I852">
        <f>VLOOKUP(Table4[[#This Row],[Visitor]],'NHL Model'!$A$6:$B$38,2,FALSE)</f>
        <v>-0.24093199744133265</v>
      </c>
      <c r="J852">
        <f>($B$1+Table4[[#This Row],[Home Differential]])-Table4[[#This Row],[Away Differential]]</f>
        <v>7.9876188055247321E-4</v>
      </c>
      <c r="K852" t="str">
        <f>IF(Table4[[#This Row],[HomeIce Differential]]&gt;0,Table4[[#This Row],[Home]],Table4[[#This Row],[Visitor]])</f>
        <v>New York Rangers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0.46747009813058232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-0.14226422156549004</v>
      </c>
      <c r="H853" t="s">
        <v>10</v>
      </c>
      <c r="I853">
        <f>VLOOKUP(Table4[[#This Row],[Visitor]],'NHL Model'!$A$6:$B$38,2,FALSE)</f>
        <v>-0.17619625518431364</v>
      </c>
      <c r="J853">
        <f>($B$1+Table4[[#This Row],[Home Differential]])-Table4[[#This Row],[Away Differential]]</f>
        <v>8.3832782541986062E-2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0.54978871464534118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-0.64937723527808999</v>
      </c>
      <c r="H854" t="s">
        <v>19</v>
      </c>
      <c r="I854">
        <f>VLOOKUP(Table4[[#This Row],[Visitor]],'NHL Model'!$A$6:$B$38,2,FALSE)</f>
        <v>-0.63447859131898054</v>
      </c>
      <c r="J854">
        <f>($B$1+Table4[[#This Row],[Home Differential]])-Table4[[#This Row],[Away Differential]]</f>
        <v>3.5002104964052982E-2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0.54408701234875267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-1.3944783719477225</v>
      </c>
      <c r="H855" t="s">
        <v>11</v>
      </c>
      <c r="I855">
        <f>VLOOKUP(Table4[[#This Row],[Visitor]],'NHL Model'!$A$6:$B$38,2,FALSE)</f>
        <v>-0.39711829106410657</v>
      </c>
      <c r="J855">
        <f>($B$1+Table4[[#This Row],[Home Differential]])-Table4[[#This Row],[Away Differential]]</f>
        <v>-0.94745933196045351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0.57062986050810705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0.51050494674660429</v>
      </c>
      <c r="H856" t="s">
        <v>40</v>
      </c>
      <c r="I856">
        <f>VLOOKUP(Table4[[#This Row],[Visitor]],'NHL Model'!$A$6:$B$38,2,FALSE)</f>
        <v>-0.31324182378279158</v>
      </c>
      <c r="J856">
        <f>($B$1+Table4[[#This Row],[Home Differential]])-Table4[[#This Row],[Away Differential]]</f>
        <v>0.87364751945255836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0.65373537994424258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-0.9476777551108041</v>
      </c>
      <c r="H857" t="s">
        <v>31</v>
      </c>
      <c r="I857">
        <f>VLOOKUP(Table4[[#This Row],[Visitor]],'NHL Model'!$A$6:$B$38,2,FALSE)</f>
        <v>0.17870302183926629</v>
      </c>
      <c r="J857">
        <f>($B$1+Table4[[#This Row],[Home Differential]])-Table4[[#This Row],[Away Differential]]</f>
        <v>-1.076480028026908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0.60646416175266515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-0.24444083032063643</v>
      </c>
      <c r="H858" t="s">
        <v>39</v>
      </c>
      <c r="I858">
        <f>VLOOKUP(Table4[[#This Row],[Visitor]],'NHL Model'!$A$6:$B$38,2,FALSE)</f>
        <v>0.41344250185511977</v>
      </c>
      <c r="J858">
        <f>($B$1+Table4[[#This Row],[Home Differential]])-Table4[[#This Row],[Away Differential]]</f>
        <v>-0.6079825832525938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0.63278869258623338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-0.17619625518431364</v>
      </c>
      <c r="H859" t="s">
        <v>28</v>
      </c>
      <c r="I859">
        <f>VLOOKUP(Table4[[#This Row],[Visitor]],'NHL Model'!$A$6:$B$38,2,FALSE)</f>
        <v>-0.59498940435054026</v>
      </c>
      <c r="J859">
        <f>($B$1+Table4[[#This Row],[Home Differential]])-Table4[[#This Row],[Away Differential]]</f>
        <v>0.4686938980893891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0.59115077108977121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-0.4761104357405897</v>
      </c>
      <c r="H860" t="s">
        <v>18</v>
      </c>
      <c r="I860">
        <f>VLOOKUP(Table4[[#This Row],[Visitor]],'NHL Model'!$A$6:$B$38,2,FALSE)</f>
        <v>-0.59288962827382519</v>
      </c>
      <c r="J860">
        <f>($B$1+Table4[[#This Row],[Home Differential]])-Table4[[#This Row],[Away Differential]]</f>
        <v>0.16667994145639797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0.51037143409448726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-1.0657812790446208</v>
      </c>
      <c r="H861" t="s">
        <v>33</v>
      </c>
      <c r="I861">
        <f>VLOOKUP(Table4[[#This Row],[Visitor]],'NHL Model'!$A$6:$B$38,2,FALSE)</f>
        <v>-0.45133099238224339</v>
      </c>
      <c r="J861">
        <f>($B$1+Table4[[#This Row],[Home Differential]])-Table4[[#This Row],[Away Differential]]</f>
        <v>-0.56454953773921501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0.52591949068755661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-0.87533956503230947</v>
      </c>
      <c r="H862" t="s">
        <v>12</v>
      </c>
      <c r="I862">
        <f>VLOOKUP(Table4[[#This Row],[Visitor]],'NHL Model'!$A$6:$B$38,2,FALSE)</f>
        <v>1.6319036584269762</v>
      </c>
      <c r="J862">
        <f>($B$1+Table4[[#This Row],[Home Differential]])-Table4[[#This Row],[Away Differential]]</f>
        <v>-2.457342474536123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0.81955417079640691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-0.81774666423752174</v>
      </c>
      <c r="H863" t="s">
        <v>34</v>
      </c>
      <c r="I863">
        <f>VLOOKUP(Table4[[#This Row],[Visitor]],'NHL Model'!$A$6:$B$38,2,FALSE)</f>
        <v>-5.5124787449478845E-2</v>
      </c>
      <c r="J863">
        <f>($B$1+Table4[[#This Row],[Home Differential]])-Table4[[#This Row],[Away Differential]]</f>
        <v>-0.71272112786488051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0.57863355472801747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-0.39711829106410657</v>
      </c>
      <c r="H864" t="s">
        <v>40</v>
      </c>
      <c r="I864">
        <f>VLOOKUP(Table4[[#This Row],[Visitor]],'NHL Model'!$A$6:$B$38,2,FALSE)</f>
        <v>-0.31324182378279158</v>
      </c>
      <c r="J864">
        <f>($B$1+Table4[[#This Row],[Home Differential]])-Table4[[#This Row],[Away Differential]]</f>
        <v>-3.3975718358152496E-2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0.47063383323079527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-0.24093199744133265</v>
      </c>
      <c r="H865" t="s">
        <v>29</v>
      </c>
      <c r="I865">
        <f>VLOOKUP(Table4[[#This Row],[Visitor]],'NHL Model'!$A$6:$B$38,2,FALSE)</f>
        <v>-1.384917283810061</v>
      </c>
      <c r="J865">
        <f>($B$1+Table4[[#This Row],[Home Differential]])-Table4[[#This Row],[Away Differential]]</f>
        <v>1.1938860352918907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0.67940381512061765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-0.53137605086483863</v>
      </c>
      <c r="H866" t="s">
        <v>24</v>
      </c>
      <c r="I866">
        <f>VLOOKUP(Table4[[#This Row],[Visitor]],'NHL Model'!$A$6:$B$38,2,FALSE)</f>
        <v>1.5302507646042616E-3</v>
      </c>
      <c r="J866">
        <f>($B$1+Table4[[#This Row],[Home Differential]])-Table4[[#This Row],[Away Differential]]</f>
        <v>-0.48300555270628043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0.53465889649685494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-0.38023958350631604</v>
      </c>
      <c r="H867" t="s">
        <v>13</v>
      </c>
      <c r="I867">
        <f>VLOOKUP(Table4[[#This Row],[Visitor]],'NHL Model'!$A$6:$B$38,2,FALSE)</f>
        <v>-0.33828359867721369</v>
      </c>
      <c r="J867">
        <f>($B$1+Table4[[#This Row],[Home Differential]])-Table4[[#This Row],[Away Differential]]</f>
        <v>7.9447640940601416E-3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0.48873254651311138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-0.14226422156549004</v>
      </c>
      <c r="H868" t="s">
        <v>15</v>
      </c>
      <c r="I868">
        <f>VLOOKUP(Table4[[#This Row],[Visitor]],'NHL Model'!$A$6:$B$38,2,FALSE)</f>
        <v>-0.29003398448394263</v>
      </c>
      <c r="J868">
        <f>($B$1+Table4[[#This Row],[Home Differential]])-Table4[[#This Row],[Away Differential]]</f>
        <v>0.19767051184161505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0.46299948327093315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-1.3944783719477225</v>
      </c>
      <c r="H869" t="s">
        <v>28</v>
      </c>
      <c r="I869">
        <f>VLOOKUP(Table4[[#This Row],[Visitor]],'NHL Model'!$A$6:$B$38,2,FALSE)</f>
        <v>-0.59498940435054026</v>
      </c>
      <c r="J869">
        <f>($B$1+Table4[[#This Row],[Home Differential]])-Table4[[#This Row],[Away Differential]]</f>
        <v>-0.74958821867401981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0.55110164660311056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-0.4031232890211825</v>
      </c>
      <c r="H870" t="s">
        <v>39</v>
      </c>
      <c r="I870">
        <f>VLOOKUP(Table4[[#This Row],[Visitor]],'NHL Model'!$A$6:$B$38,2,FALSE)</f>
        <v>0.41344250185511977</v>
      </c>
      <c r="J870">
        <f>($B$1+Table4[[#This Row],[Home Differential]])-Table4[[#This Row],[Away Differential]]</f>
        <v>-0.76666504195313978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0.61057209039542149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-0.9476777551108041</v>
      </c>
      <c r="H871" t="s">
        <v>19</v>
      </c>
      <c r="I871">
        <f>VLOOKUP(Table4[[#This Row],[Visitor]],'NHL Model'!$A$6:$B$38,2,FALSE)</f>
        <v>-0.63447859131898054</v>
      </c>
      <c r="J871">
        <f>($B$1+Table4[[#This Row],[Home Differential]])-Table4[[#This Row],[Away Differential]]</f>
        <v>-0.26329841486866112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0.49074397594317171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-0.24444083032063643</v>
      </c>
      <c r="H872" t="s">
        <v>32</v>
      </c>
      <c r="I872">
        <f>VLOOKUP(Table4[[#This Row],[Visitor]],'NHL Model'!$A$6:$B$38,2,FALSE)</f>
        <v>-0.64937723527808999</v>
      </c>
      <c r="J872">
        <f>($B$1+Table4[[#This Row],[Home Differential]])-Table4[[#This Row],[Away Differential]]</f>
        <v>0.45483715388061602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0.59310895063284608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0.4407072328537569</v>
      </c>
      <c r="H873" t="s">
        <v>25</v>
      </c>
      <c r="I873">
        <f>VLOOKUP(Table4[[#This Row],[Visitor]],'NHL Model'!$A$6:$B$38,2,FALSE)</f>
        <v>0.42567513732855267</v>
      </c>
      <c r="J873">
        <f>($B$1+Table4[[#This Row],[Home Differential]])-Table4[[#This Row],[Away Differential]]</f>
        <v>6.4932844448366722E-2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0.50125275400568248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0.17870302183926629</v>
      </c>
      <c r="H874" t="s">
        <v>20</v>
      </c>
      <c r="I874">
        <f>VLOOKUP(Table4[[#This Row],[Visitor]],'NHL Model'!$A$6:$B$38,2,FALSE)</f>
        <v>-0.24444083032063643</v>
      </c>
      <c r="J874">
        <f>($B$1+Table4[[#This Row],[Home Differential]])-Table4[[#This Row],[Away Differential]]</f>
        <v>0.47304460108306517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0.67506964956027538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0.42567513732855267</v>
      </c>
      <c r="H875" t="s">
        <v>13</v>
      </c>
      <c r="I875">
        <f>VLOOKUP(Table4[[#This Row],[Visitor]],'NHL Model'!$A$6:$B$38,2,FALSE)</f>
        <v>-0.33828359867721369</v>
      </c>
      <c r="J875">
        <f>($B$1+Table4[[#This Row],[Home Differential]])-Table4[[#This Row],[Away Differential]]</f>
        <v>0.8138594849289289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0.62134589604784729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0.51050494674660429</v>
      </c>
      <c r="H876" t="s">
        <v>21</v>
      </c>
      <c r="I876">
        <f>VLOOKUP(Table4[[#This Row],[Visitor]],'NHL Model'!$A$6:$B$38,2,FALSE)</f>
        <v>-0.21976976044773161</v>
      </c>
      <c r="J876">
        <f>($B$1+Table4[[#This Row],[Home Differential]])-Table4[[#This Row],[Away Differential]]</f>
        <v>0.78017545611749828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0.66252557049821614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-1.0657812790446208</v>
      </c>
      <c r="H877" t="s">
        <v>19</v>
      </c>
      <c r="I877">
        <f>VLOOKUP(Table4[[#This Row],[Visitor]],'NHL Model'!$A$6:$B$38,2,FALSE)</f>
        <v>-0.63447859131898054</v>
      </c>
      <c r="J877">
        <f>($B$1+Table4[[#This Row],[Home Differential]])-Table4[[#This Row],[Away Differential]]</f>
        <v>-0.38140193880247786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0.5045343054460526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-0.17619625518431364</v>
      </c>
      <c r="H878" t="s">
        <v>33</v>
      </c>
      <c r="I878">
        <f>VLOOKUP(Table4[[#This Row],[Visitor]],'NHL Model'!$A$6:$B$38,2,FALSE)</f>
        <v>-0.45133099238224339</v>
      </c>
      <c r="J878">
        <f>($B$1+Table4[[#This Row],[Home Differential]])-Table4[[#This Row],[Away Differential]]</f>
        <v>0.32503548612109223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0.57795269018603335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1.6319036584269762</v>
      </c>
      <c r="H879" t="s">
        <v>26</v>
      </c>
      <c r="I879">
        <f>VLOOKUP(Table4[[#This Row],[Visitor]],'NHL Model'!$A$6:$B$38,2,FALSE)</f>
        <v>-0.87533956503230947</v>
      </c>
      <c r="J879">
        <f>($B$1+Table4[[#This Row],[Home Differential]])-Table4[[#This Row],[Away Differential]]</f>
        <v>2.5571439723824483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0.94291419643430685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0.41344250185511977</v>
      </c>
      <c r="H880" t="s">
        <v>40</v>
      </c>
      <c r="I880">
        <f>VLOOKUP(Table4[[#This Row],[Visitor]],'NHL Model'!$A$6:$B$38,2,FALSE)</f>
        <v>-0.31324182378279158</v>
      </c>
      <c r="J880">
        <f>($B$1+Table4[[#This Row],[Home Differential]])-Table4[[#This Row],[Away Differential]]</f>
        <v>0.77658507456107384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0.6424019069637168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-0.39711829106410657</v>
      </c>
      <c r="H881" t="s">
        <v>23</v>
      </c>
      <c r="I881">
        <f>VLOOKUP(Table4[[#This Row],[Visitor]],'NHL Model'!$A$6:$B$38,2,FALSE)</f>
        <v>-0.4761104357405897</v>
      </c>
      <c r="J881">
        <f>($B$1+Table4[[#This Row],[Home Differential]])-Table4[[#This Row],[Away Differential]]</f>
        <v>0.12889289359964562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0.56906676814971258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-5.5124787449478845E-2</v>
      </c>
      <c r="H882" t="s">
        <v>18</v>
      </c>
      <c r="I882">
        <f>VLOOKUP(Table4[[#This Row],[Visitor]],'NHL Model'!$A$6:$B$38,2,FALSE)</f>
        <v>-0.59288962827382519</v>
      </c>
      <c r="J882">
        <f>($B$1+Table4[[#This Row],[Home Differential]])-Table4[[#This Row],[Away Differential]]</f>
        <v>0.58766558974750882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0.54933079710020971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-1.384917283810061</v>
      </c>
      <c r="H883" t="s">
        <v>35</v>
      </c>
      <c r="I883">
        <f>VLOOKUP(Table4[[#This Row],[Visitor]],'NHL Model'!$A$6:$B$38,2,FALSE)</f>
        <v>-1.3944783719477225</v>
      </c>
      <c r="J883">
        <f>($B$1+Table4[[#This Row],[Home Differential]])-Table4[[#This Row],[Away Differential]]</f>
        <v>5.9461837060823974E-2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0.54694304707093155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-0.14226422156549004</v>
      </c>
      <c r="H884" t="s">
        <v>36</v>
      </c>
      <c r="I884">
        <f>VLOOKUP(Table4[[#This Row],[Visitor]],'NHL Model'!$A$6:$B$38,2,FALSE)</f>
        <v>-0.53137605086483863</v>
      </c>
      <c r="J884">
        <f>($B$1+Table4[[#This Row],[Home Differential]])-Table4[[#This Row],[Away Differential]]</f>
        <v>0.43901257822251105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0.59126119787069453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-0.4031232890211825</v>
      </c>
      <c r="H885" t="s">
        <v>38</v>
      </c>
      <c r="I885">
        <f>VLOOKUP(Table4[[#This Row],[Visitor]],'NHL Model'!$A$6:$B$38,2,FALSE)</f>
        <v>-0.9476777551108041</v>
      </c>
      <c r="J885">
        <f>($B$1+Table4[[#This Row],[Home Differential]])-Table4[[#This Row],[Away Differential]]</f>
        <v>0.59445521501278409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0.64633449680861776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0.4407072328537569</v>
      </c>
      <c r="H886" t="s">
        <v>30</v>
      </c>
      <c r="I886">
        <f>VLOOKUP(Table4[[#This Row],[Visitor]],'NHL Model'!$A$6:$B$38,2,FALSE)</f>
        <v>-0.24093199744133265</v>
      </c>
      <c r="J886">
        <f>($B$1+Table4[[#This Row],[Home Differential]])-Table4[[#This Row],[Away Differential]]</f>
        <v>0.73153997921825198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0.57908897540919857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0.17870302183926629</v>
      </c>
      <c r="H887" t="s">
        <v>32</v>
      </c>
      <c r="I887">
        <f>VLOOKUP(Table4[[#This Row],[Visitor]],'NHL Model'!$A$6:$B$38,2,FALSE)</f>
        <v>-0.64937723527808999</v>
      </c>
      <c r="J887">
        <f>($B$1+Table4[[#This Row],[Home Differential]])-Table4[[#This Row],[Away Differential]]</f>
        <v>0.87798100604051876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0.72235195127385143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0.42567513732855267</v>
      </c>
      <c r="H888" t="s">
        <v>36</v>
      </c>
      <c r="I888">
        <f>VLOOKUP(Table4[[#This Row],[Visitor]],'NHL Model'!$A$6:$B$38,2,FALSE)</f>
        <v>-0.53137605086483863</v>
      </c>
      <c r="J888">
        <f>($B$1+Table4[[#This Row],[Home Differential]])-Table4[[#This Row],[Away Differential]]</f>
        <v>1.0069519371165538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0.70929247653962768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-0.81774666423752174</v>
      </c>
      <c r="H889" t="s">
        <v>19</v>
      </c>
      <c r="I889">
        <f>VLOOKUP(Table4[[#This Row],[Visitor]],'NHL Model'!$A$6:$B$38,2,FALSE)</f>
        <v>-0.63447859131898054</v>
      </c>
      <c r="J889">
        <f>($B$1+Table4[[#This Row],[Home Differential]])-Table4[[#This Row],[Away Differential]]</f>
        <v>-0.13336732399537876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0.46852665157772266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1.5302507646042616E-3</v>
      </c>
      <c r="H890" t="s">
        <v>28</v>
      </c>
      <c r="I890">
        <f>VLOOKUP(Table4[[#This Row],[Visitor]],'NHL Model'!$A$6:$B$38,2,FALSE)</f>
        <v>-0.59498940435054026</v>
      </c>
      <c r="J890">
        <f>($B$1+Table4[[#This Row],[Home Differential]])-Table4[[#This Row],[Away Differential]]</f>
        <v>0.64642040403830703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0.69191747882010612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-0.24093199744133265</v>
      </c>
      <c r="H891" t="s">
        <v>14</v>
      </c>
      <c r="I891">
        <f>VLOOKUP(Table4[[#This Row],[Visitor]],'NHL Model'!$A$6:$B$38,2,FALSE)</f>
        <v>-0.14226422156549004</v>
      </c>
      <c r="J891">
        <f>($B$1+Table4[[#This Row],[Home Differential]])-Table4[[#This Row],[Away Differential]]</f>
        <v>-4.8767026952680148E-2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0.50498100338490515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-0.38023958350631604</v>
      </c>
      <c r="H892" t="s">
        <v>22</v>
      </c>
      <c r="I892">
        <f>VLOOKUP(Table4[[#This Row],[Visitor]],'NHL Model'!$A$6:$B$38,2,FALSE)</f>
        <v>0.4407072328537569</v>
      </c>
      <c r="J892">
        <f>($B$1+Table4[[#This Row],[Home Differential]])-Table4[[#This Row],[Away Differential]]</f>
        <v>-0.7710460674369104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0.57840310122428151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0.51050494674660429</v>
      </c>
      <c r="H893" t="s">
        <v>23</v>
      </c>
      <c r="I893">
        <f>VLOOKUP(Table4[[#This Row],[Visitor]],'NHL Model'!$A$6:$B$38,2,FALSE)</f>
        <v>-0.4761104357405897</v>
      </c>
      <c r="J893">
        <f>($B$1+Table4[[#This Row],[Home Differential]])-Table4[[#This Row],[Away Differential]]</f>
        <v>1.0365161314103564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0.69327462203673185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-0.59498940435054026</v>
      </c>
      <c r="H894" t="s">
        <v>10</v>
      </c>
      <c r="I894">
        <f>VLOOKUP(Table4[[#This Row],[Visitor]],'NHL Model'!$A$6:$B$38,2,FALSE)</f>
        <v>-0.17619625518431364</v>
      </c>
      <c r="J894">
        <f>($B$1+Table4[[#This Row],[Home Differential]])-Table4[[#This Row],[Away Differential]]</f>
        <v>-0.36889240024306419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0.50307363219162893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-1.0657812790446208</v>
      </c>
      <c r="H895" t="s">
        <v>17</v>
      </c>
      <c r="I895">
        <f>VLOOKUP(Table4[[#This Row],[Visitor]],'NHL Model'!$A$6:$B$38,2,FALSE)</f>
        <v>-0.81774666423752174</v>
      </c>
      <c r="J895">
        <f>($B$1+Table4[[#This Row],[Home Differential]])-Table4[[#This Row],[Away Differential]]</f>
        <v>-0.19813386588393667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0.48313505308910382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1.6319036584269762</v>
      </c>
      <c r="H896" t="s">
        <v>33</v>
      </c>
      <c r="I896">
        <f>VLOOKUP(Table4[[#This Row],[Visitor]],'NHL Model'!$A$6:$B$38,2,FALSE)</f>
        <v>-0.45133099238224339</v>
      </c>
      <c r="J896">
        <f>($B$1+Table4[[#This Row],[Home Differential]])-Table4[[#This Row],[Away Differential]]</f>
        <v>2.1331353997323821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0.89340493765751294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0.41344250185511977</v>
      </c>
      <c r="H897" t="s">
        <v>35</v>
      </c>
      <c r="I897">
        <f>VLOOKUP(Table4[[#This Row],[Visitor]],'NHL Model'!$A$6:$B$38,2,FALSE)</f>
        <v>-1.3944783719477225</v>
      </c>
      <c r="J897">
        <f>($B$1+Table4[[#This Row],[Home Differential]])-Table4[[#This Row],[Away Differential]]</f>
        <v>1.8578216227260047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0.78917415975175542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-0.39711829106410657</v>
      </c>
      <c r="H898" t="s">
        <v>21</v>
      </c>
      <c r="I898">
        <f>VLOOKUP(Table4[[#This Row],[Visitor]],'NHL Model'!$A$6:$B$38,2,FALSE)</f>
        <v>-0.21976976044773161</v>
      </c>
      <c r="J898">
        <f>($B$1+Table4[[#This Row],[Home Differential]])-Table4[[#This Row],[Away Differential]]</f>
        <v>-0.12744778169321247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0.46168992014598992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-0.33828359867721369</v>
      </c>
      <c r="H899" t="s">
        <v>32</v>
      </c>
      <c r="I899">
        <f>VLOOKUP(Table4[[#This Row],[Visitor]],'NHL Model'!$A$6:$B$38,2,FALSE)</f>
        <v>-0.64937723527808999</v>
      </c>
      <c r="J899">
        <f>($B$1+Table4[[#This Row],[Home Differential]])-Table4[[#This Row],[Away Differential]]</f>
        <v>0.36099438552403879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0.58215142240680495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-1.384917283810061</v>
      </c>
      <c r="H900" t="s">
        <v>34</v>
      </c>
      <c r="I900">
        <f>VLOOKUP(Table4[[#This Row],[Visitor]],'NHL Model'!$A$6:$B$38,2,FALSE)</f>
        <v>-5.5124787449478845E-2</v>
      </c>
      <c r="J900">
        <f>($B$1+Table4[[#This Row],[Home Differential]])-Table4[[#This Row],[Away Differential]]</f>
        <v>-1.2798917474374196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0.65195881418139467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-0.4031232890211825</v>
      </c>
      <c r="H901" t="s">
        <v>26</v>
      </c>
      <c r="I901">
        <f>VLOOKUP(Table4[[#This Row],[Visitor]],'NHL Model'!$A$6:$B$38,2,FALSE)</f>
        <v>-0.87533956503230947</v>
      </c>
      <c r="J901">
        <f>($B$1+Table4[[#This Row],[Home Differential]])-Table4[[#This Row],[Away Differential]]</f>
        <v>0.52211702493428946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0.64139604600449196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-0.24444083032063643</v>
      </c>
      <c r="H902" t="s">
        <v>38</v>
      </c>
      <c r="I902">
        <f>VLOOKUP(Table4[[#This Row],[Visitor]],'NHL Model'!$A$6:$B$38,2,FALSE)</f>
        <v>-0.9476777551108041</v>
      </c>
      <c r="J902">
        <f>($B$1+Table4[[#This Row],[Home Differential]])-Table4[[#This Row],[Away Differential]]</f>
        <v>0.75313767371333018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0.62436377998437298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-0.31324182378279158</v>
      </c>
      <c r="H903" t="s">
        <v>18</v>
      </c>
      <c r="I903">
        <f>VLOOKUP(Table4[[#This Row],[Visitor]],'NHL Model'!$A$6:$B$38,2,FALSE)</f>
        <v>-0.59288962827382519</v>
      </c>
      <c r="J903">
        <f>($B$1+Table4[[#This Row],[Home Differential]])-Table4[[#This Row],[Away Differential]]</f>
        <v>0.32954855341419609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0.52170113391068962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-0.4761104357405897</v>
      </c>
      <c r="H904" t="s">
        <v>14</v>
      </c>
      <c r="I904">
        <f>VLOOKUP(Table4[[#This Row],[Visitor]],'NHL Model'!$A$6:$B$38,2,FALSE)</f>
        <v>-0.14226422156549004</v>
      </c>
      <c r="J904">
        <f>($B$1+Table4[[#This Row],[Home Differential]])-Table4[[#This Row],[Away Differential]]</f>
        <v>-0.2839454652519372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0.52223779323644848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1.5302507646042616E-3</v>
      </c>
      <c r="H905" t="s">
        <v>30</v>
      </c>
      <c r="I905">
        <f>VLOOKUP(Table4[[#This Row],[Visitor]],'NHL Model'!$A$6:$B$38,2,FALSE)</f>
        <v>-0.24093199744133265</v>
      </c>
      <c r="J905">
        <f>($B$1+Table4[[#This Row],[Home Differential]])-Table4[[#This Row],[Away Differential]]</f>
        <v>0.29236299712909936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0.58343346953258379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-0.29003398448394263</v>
      </c>
      <c r="H906" t="s">
        <v>25</v>
      </c>
      <c r="I906">
        <f>VLOOKUP(Table4[[#This Row],[Visitor]],'NHL Model'!$A$6:$B$38,2,FALSE)</f>
        <v>0.42567513732855267</v>
      </c>
      <c r="J906">
        <f>($B$1+Table4[[#This Row],[Home Differential]])-Table4[[#This Row],[Away Differential]]</f>
        <v>-0.66580837288933281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0.61036612327293382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-0.38023958350631604</v>
      </c>
      <c r="H907" t="s">
        <v>36</v>
      </c>
      <c r="I907">
        <f>VLOOKUP(Table4[[#This Row],[Visitor]],'NHL Model'!$A$6:$B$38,2,FALSE)</f>
        <v>-0.53137605086483863</v>
      </c>
      <c r="J907">
        <f>($B$1+Table4[[#This Row],[Home Differential]])-Table4[[#This Row],[Away Differential]]</f>
        <v>0.20103721628168508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0.5774906825970495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0.51050494674660429</v>
      </c>
      <c r="H908" t="s">
        <v>11</v>
      </c>
      <c r="I908">
        <f>VLOOKUP(Table4[[#This Row],[Visitor]],'NHL Model'!$A$6:$B$38,2,FALSE)</f>
        <v>-0.39711829106410657</v>
      </c>
      <c r="J908">
        <f>($B$1+Table4[[#This Row],[Home Differential]])-Table4[[#This Row],[Away Differential]]</f>
        <v>0.95752398673387329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0.68405112330490425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-0.24444083032063643</v>
      </c>
      <c r="H909" t="s">
        <v>13</v>
      </c>
      <c r="I909">
        <f>VLOOKUP(Table4[[#This Row],[Visitor]],'NHL Model'!$A$6:$B$38,2,FALSE)</f>
        <v>-0.33828359867721369</v>
      </c>
      <c r="J909">
        <f>($B$1+Table4[[#This Row],[Home Differential]])-Table4[[#This Row],[Away Differential]]</f>
        <v>0.14374351727973972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0.49046838767162676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0.4407072328537569</v>
      </c>
      <c r="H910" t="s">
        <v>29</v>
      </c>
      <c r="I910">
        <f>VLOOKUP(Table4[[#This Row],[Visitor]],'NHL Model'!$A$6:$B$38,2,FALSE)</f>
        <v>-1.384917283810061</v>
      </c>
      <c r="J910">
        <f>($B$1+Table4[[#This Row],[Home Differential]])-Table4[[#This Row],[Away Differential]]</f>
        <v>1.8755252655869803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0.78503299138365357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0.17870302183926629</v>
      </c>
      <c r="H911" t="s">
        <v>17</v>
      </c>
      <c r="I911">
        <f>VLOOKUP(Table4[[#This Row],[Visitor]],'NHL Model'!$A$6:$B$38,2,FALSE)</f>
        <v>-0.81774666423752174</v>
      </c>
      <c r="J911">
        <f>($B$1+Table4[[#This Row],[Home Differential]])-Table4[[#This Row],[Away Differential]]</f>
        <v>1.0463504349999504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0.74201156706028293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0.41344250185511977</v>
      </c>
      <c r="H912" t="s">
        <v>32</v>
      </c>
      <c r="I912">
        <f>VLOOKUP(Table4[[#This Row],[Visitor]],'NHL Model'!$A$6:$B$38,2,FALSE)</f>
        <v>-0.64937723527808999</v>
      </c>
      <c r="J912">
        <f>($B$1+Table4[[#This Row],[Home Differential]])-Table4[[#This Row],[Away Differential]]</f>
        <v>1.1127204860563722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0.70217260513765822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-0.33828359867721369</v>
      </c>
      <c r="H913" t="s">
        <v>20</v>
      </c>
      <c r="I913">
        <f>VLOOKUP(Table4[[#This Row],[Visitor]],'NHL Model'!$A$6:$B$38,2,FALSE)</f>
        <v>-0.24444083032063643</v>
      </c>
      <c r="J913">
        <f>($B$1+Table4[[#This Row],[Home Differential]])-Table4[[#This Row],[Away Differential]]</f>
        <v>-4.3942019433414775E-2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0.46513087930677127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1.5302507646042616E-3</v>
      </c>
      <c r="H914" t="s">
        <v>23</v>
      </c>
      <c r="I914">
        <f>VLOOKUP(Table4[[#This Row],[Visitor]],'NHL Model'!$A$6:$B$38,2,FALSE)</f>
        <v>-0.4761104357405897</v>
      </c>
      <c r="J914">
        <f>($B$1+Table4[[#This Row],[Home Differential]])-Table4[[#This Row],[Away Differential]]</f>
        <v>0.52754143542835641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0.68143295928595826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0.51050494674660429</v>
      </c>
      <c r="H915" t="s">
        <v>19</v>
      </c>
      <c r="I915">
        <f>VLOOKUP(Table4[[#This Row],[Visitor]],'NHL Model'!$A$6:$B$38,2,FALSE)</f>
        <v>-0.63447859131898054</v>
      </c>
      <c r="J915">
        <f>($B$1+Table4[[#This Row],[Home Differential]])-Table4[[#This Row],[Away Differential]]</f>
        <v>1.1948842869887473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0.71176644154766677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-0.4031232890211825</v>
      </c>
      <c r="H916" t="s">
        <v>12</v>
      </c>
      <c r="I916">
        <f>VLOOKUP(Table4[[#This Row],[Visitor]],'NHL Model'!$A$6:$B$38,2,FALSE)</f>
        <v>1.6319036584269762</v>
      </c>
      <c r="J916">
        <f>($B$1+Table4[[#This Row],[Home Differential]])-Table4[[#This Row],[Away Differential]]</f>
        <v>-1.9851261985249962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0.72341289378127493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-0.9476777551108041</v>
      </c>
      <c r="H917" t="s">
        <v>40</v>
      </c>
      <c r="I917">
        <f>VLOOKUP(Table4[[#This Row],[Visitor]],'NHL Model'!$A$6:$B$38,2,FALSE)</f>
        <v>-0.31324182378279158</v>
      </c>
      <c r="J917">
        <f>($B$1+Table4[[#This Row],[Home Differential]])-Table4[[#This Row],[Away Differential]]</f>
        <v>-0.58453518240485014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0.54902234043856335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0.4407072328537569</v>
      </c>
      <c r="H918" t="s">
        <v>27</v>
      </c>
      <c r="I918">
        <f>VLOOKUP(Table4[[#This Row],[Visitor]],'NHL Model'!$A$6:$B$38,2,FALSE)</f>
        <v>-0.38023958350631604</v>
      </c>
      <c r="J918">
        <f>($B$1+Table4[[#This Row],[Home Differential]])-Table4[[#This Row],[Away Differential]]</f>
        <v>0.87084756528323548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0.62549382984908919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-0.21976976044773161</v>
      </c>
      <c r="H919" t="s">
        <v>28</v>
      </c>
      <c r="I919">
        <f>VLOOKUP(Table4[[#This Row],[Visitor]],'NHL Model'!$A$6:$B$38,2,FALSE)</f>
        <v>-0.59498940435054026</v>
      </c>
      <c r="J919">
        <f>($B$1+Table4[[#This Row],[Home Differential]])-Table4[[#This Row],[Away Differential]]</f>
        <v>0.42512039282597114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0.62903822182252678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0.42567513732855267</v>
      </c>
      <c r="H920" t="s">
        <v>37</v>
      </c>
      <c r="I920">
        <f>VLOOKUP(Table4[[#This Row],[Visitor]],'NHL Model'!$A$6:$B$38,2,FALSE)</f>
        <v>0.51050494674660429</v>
      </c>
      <c r="J920">
        <f>($B$1+Table4[[#This Row],[Home Differential]])-Table4[[#This Row],[Away Differential]]</f>
        <v>-3.4929060494889141E-2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0.50407848332891836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1.6319036584269762</v>
      </c>
      <c r="H921" t="s">
        <v>34</v>
      </c>
      <c r="I921">
        <f>VLOOKUP(Table4[[#This Row],[Visitor]],'NHL Model'!$A$6:$B$38,2,FALSE)</f>
        <v>-5.5124787449478845E-2</v>
      </c>
      <c r="J921">
        <f>($B$1+Table4[[#This Row],[Home Differential]])-Table4[[#This Row],[Away Differential]]</f>
        <v>1.7369291947996175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0.80720772313376354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-0.39711829106410657</v>
      </c>
      <c r="H922" t="s">
        <v>19</v>
      </c>
      <c r="I922">
        <f>VLOOKUP(Table4[[#This Row],[Visitor]],'NHL Model'!$A$6:$B$38,2,FALSE)</f>
        <v>-0.63447859131898054</v>
      </c>
      <c r="J922">
        <f>($B$1+Table4[[#This Row],[Home Differential]])-Table4[[#This Row],[Away Differential]]</f>
        <v>0.28726104917803646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0.58755858766064739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-0.33828359867721369</v>
      </c>
      <c r="H923" t="s">
        <v>17</v>
      </c>
      <c r="I923">
        <f>VLOOKUP(Table4[[#This Row],[Visitor]],'NHL Model'!$A$6:$B$38,2,FALSE)</f>
        <v>-0.81774666423752174</v>
      </c>
      <c r="J923">
        <f>($B$1+Table4[[#This Row],[Home Differential]])-Table4[[#This Row],[Away Differential]]</f>
        <v>0.52936381448347047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0.60181103819323645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-0.59288962827382519</v>
      </c>
      <c r="H924" t="s">
        <v>30</v>
      </c>
      <c r="I924">
        <f>VLOOKUP(Table4[[#This Row],[Visitor]],'NHL Model'!$A$6:$B$38,2,FALSE)</f>
        <v>-0.24093199744133265</v>
      </c>
      <c r="J924">
        <f>($B$1+Table4[[#This Row],[Home Differential]])-Table4[[#This Row],[Away Differential]]</f>
        <v>-0.30205688190933011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0.56789276811217293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-1.384917283810061</v>
      </c>
      <c r="H925" t="s">
        <v>10</v>
      </c>
      <c r="I925">
        <f>VLOOKUP(Table4[[#This Row],[Visitor]],'NHL Model'!$A$6:$B$38,2,FALSE)</f>
        <v>-0.17619625518431364</v>
      </c>
      <c r="J925">
        <f>($B$1+Table4[[#This Row],[Home Differential]])-Table4[[#This Row],[Away Differential]]</f>
        <v>-1.1588202797025848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0.59530937062195044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-0.29003398448394263</v>
      </c>
      <c r="H926" t="s">
        <v>27</v>
      </c>
      <c r="I926">
        <f>VLOOKUP(Table4[[#This Row],[Visitor]],'NHL Model'!$A$6:$B$38,2,FALSE)</f>
        <v>-0.38023958350631604</v>
      </c>
      <c r="J926">
        <f>($B$1+Table4[[#This Row],[Home Differential]])-Table4[[#This Row],[Away Differential]]</f>
        <v>0.14010634794553586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0.51384692113068431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-0.53137605086483863</v>
      </c>
      <c r="H927" t="s">
        <v>26</v>
      </c>
      <c r="I927">
        <f>VLOOKUP(Table4[[#This Row],[Visitor]],'NHL Model'!$A$6:$B$38,2,FALSE)</f>
        <v>-0.87533956503230947</v>
      </c>
      <c r="J927">
        <f>($B$1+Table4[[#This Row],[Home Differential]])-Table4[[#This Row],[Away Differential]]</f>
        <v>0.39386426309063333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0.5884849449418138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-0.14226422156549004</v>
      </c>
      <c r="H928" t="s">
        <v>24</v>
      </c>
      <c r="I928">
        <f>VLOOKUP(Table4[[#This Row],[Visitor]],'NHL Model'!$A$6:$B$38,2,FALSE)</f>
        <v>1.5302507646042616E-3</v>
      </c>
      <c r="J928">
        <f>($B$1+Table4[[#This Row],[Home Differential]])-Table4[[#This Row],[Away Differential]]</f>
        <v>-9.3893723406931848E-2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0.49173270874944364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-0.45133099238224339</v>
      </c>
      <c r="H929" t="s">
        <v>16</v>
      </c>
      <c r="I929">
        <f>VLOOKUP(Table4[[#This Row],[Visitor]],'NHL Model'!$A$6:$B$38,2,FALSE)</f>
        <v>-1.0657812790446208</v>
      </c>
      <c r="J929">
        <f>($B$1+Table4[[#This Row],[Home Differential]])-Table4[[#This Row],[Away Differential]]</f>
        <v>0.66435103558553998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0.62769503791484937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-1.3944783719477225</v>
      </c>
      <c r="H930" t="s">
        <v>32</v>
      </c>
      <c r="I930">
        <f>VLOOKUP(Table4[[#This Row],[Visitor]],'NHL Model'!$A$6:$B$38,2,FALSE)</f>
        <v>-0.64937723527808999</v>
      </c>
      <c r="J930">
        <f>($B$1+Table4[[#This Row],[Home Differential]])-Table4[[#This Row],[Away Differential]]</f>
        <v>-0.69520038774647008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0.5411749056948274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0.17870302183926629</v>
      </c>
      <c r="H931" t="s">
        <v>40</v>
      </c>
      <c r="I931">
        <f>VLOOKUP(Table4[[#This Row],[Visitor]],'NHL Model'!$A$6:$B$38,2,FALSE)</f>
        <v>-0.31324182378279158</v>
      </c>
      <c r="J931">
        <f>($B$1+Table4[[#This Row],[Home Differential]])-Table4[[#This Row],[Away Differential]]</f>
        <v>0.5418455945452203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0.66326847023337154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-0.39711829106410657</v>
      </c>
      <c r="H932" t="s">
        <v>23</v>
      </c>
      <c r="I932">
        <f>VLOOKUP(Table4[[#This Row],[Visitor]],'NHL Model'!$A$6:$B$38,2,FALSE)</f>
        <v>-0.4761104357405897</v>
      </c>
      <c r="J932">
        <f>($B$1+Table4[[#This Row],[Home Differential]])-Table4[[#This Row],[Away Differential]]</f>
        <v>0.12889289359964562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0.56906676814971258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-0.4031232890211825</v>
      </c>
      <c r="H933" t="s">
        <v>34</v>
      </c>
      <c r="I933">
        <f>VLOOKUP(Table4[[#This Row],[Visitor]],'NHL Model'!$A$6:$B$38,2,FALSE)</f>
        <v>-5.5124787449478845E-2</v>
      </c>
      <c r="J933">
        <f>($B$1+Table4[[#This Row],[Home Differential]])-Table4[[#This Row],[Away Differential]]</f>
        <v>-0.29809775264854116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0.49634577376900363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0.4407072328537569</v>
      </c>
      <c r="H934" t="s">
        <v>20</v>
      </c>
      <c r="I934">
        <f>VLOOKUP(Table4[[#This Row],[Visitor]],'NHL Model'!$A$6:$B$38,2,FALSE)</f>
        <v>-0.24444083032063643</v>
      </c>
      <c r="J934">
        <f>($B$1+Table4[[#This Row],[Home Differential]])-Table4[[#This Row],[Away Differential]]</f>
        <v>0.73504881209755579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0.65186553320764185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0.42567513732855267</v>
      </c>
      <c r="H935" t="s">
        <v>26</v>
      </c>
      <c r="I935">
        <f>VLOOKUP(Table4[[#This Row],[Visitor]],'NHL Model'!$A$6:$B$38,2,FALSE)</f>
        <v>-0.87533956503230947</v>
      </c>
      <c r="J935">
        <f>($B$1+Table4[[#This Row],[Home Differential]])-Table4[[#This Row],[Away Differential]]</f>
        <v>1.3509154512840247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0.74945529335783156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-0.59498940435054026</v>
      </c>
      <c r="H936" t="s">
        <v>30</v>
      </c>
      <c r="I936">
        <f>VLOOKUP(Table4[[#This Row],[Visitor]],'NHL Model'!$A$6:$B$38,2,FALSE)</f>
        <v>-0.24093199744133265</v>
      </c>
      <c r="J936">
        <f>($B$1+Table4[[#This Row],[Home Differential]])-Table4[[#This Row],[Away Differential]]</f>
        <v>-0.30415665798604519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0.56813794795961248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1.6319036584269762</v>
      </c>
      <c r="H937" t="s">
        <v>10</v>
      </c>
      <c r="I937">
        <f>VLOOKUP(Table4[[#This Row],[Visitor]],'NHL Model'!$A$6:$B$38,2,FALSE)</f>
        <v>-0.17619625518431364</v>
      </c>
      <c r="J937">
        <f>($B$1+Table4[[#This Row],[Home Differential]])-Table4[[#This Row],[Away Differential]]</f>
        <v>1.8580006625344523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0.8612788963907495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0.41344250185511977</v>
      </c>
      <c r="H938" t="s">
        <v>29</v>
      </c>
      <c r="I938">
        <f>VLOOKUP(Table4[[#This Row],[Visitor]],'NHL Model'!$A$6:$B$38,2,FALSE)</f>
        <v>-1.384917283810061</v>
      </c>
      <c r="J938">
        <f>($B$1+Table4[[#This Row],[Home Differential]])-Table4[[#This Row],[Away Differential]]</f>
        <v>1.8482605345883432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0.78805776160009378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-0.33828359867721369</v>
      </c>
      <c r="H939" t="s">
        <v>16</v>
      </c>
      <c r="I939">
        <f>VLOOKUP(Table4[[#This Row],[Visitor]],'NHL Model'!$A$6:$B$38,2,FALSE)</f>
        <v>-1.0657812790446208</v>
      </c>
      <c r="J939">
        <f>($B$1+Table4[[#This Row],[Home Differential]])-Table4[[#This Row],[Away Differential]]</f>
        <v>0.77739842929056957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0.63077274020161012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-0.59288962827382519</v>
      </c>
      <c r="H940" t="s">
        <v>22</v>
      </c>
      <c r="I940">
        <f>VLOOKUP(Table4[[#This Row],[Visitor]],'NHL Model'!$A$6:$B$38,2,FALSE)</f>
        <v>0.4407072328537569</v>
      </c>
      <c r="J940">
        <f>($B$1+Table4[[#This Row],[Home Differential]])-Table4[[#This Row],[Away Differential]]</f>
        <v>-0.98369611220441966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0.61737360223236648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-0.29003398448394263</v>
      </c>
      <c r="H941" t="s">
        <v>14</v>
      </c>
      <c r="I941">
        <f>VLOOKUP(Table4[[#This Row],[Visitor]],'NHL Model'!$A$6:$B$38,2,FALSE)</f>
        <v>-0.14226422156549004</v>
      </c>
      <c r="J941">
        <f>($B$1+Table4[[#This Row],[Home Differential]])-Table4[[#This Row],[Away Differential]]</f>
        <v>-9.7869013995290133E-2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0.51071438506573652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-0.38023958350631604</v>
      </c>
      <c r="H942" t="s">
        <v>21</v>
      </c>
      <c r="I942">
        <f>VLOOKUP(Table4[[#This Row],[Visitor]],'NHL Model'!$A$6:$B$38,2,FALSE)</f>
        <v>-0.21976976044773161</v>
      </c>
      <c r="J942">
        <f>($B$1+Table4[[#This Row],[Home Differential]])-Table4[[#This Row],[Away Differential]]</f>
        <v>-0.11056907413542194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0.45971908192667371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-0.64937723527808999</v>
      </c>
      <c r="H943" t="s">
        <v>38</v>
      </c>
      <c r="I943">
        <f>VLOOKUP(Table4[[#This Row],[Visitor]],'NHL Model'!$A$6:$B$38,2,FALSE)</f>
        <v>-0.9476777551108041</v>
      </c>
      <c r="J943">
        <f>($B$1+Table4[[#This Row],[Home Differential]])-Table4[[#This Row],[Away Differential]]</f>
        <v>0.34820126875587654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0.57708147827079681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-0.45133099238224339</v>
      </c>
      <c r="H944" t="s">
        <v>17</v>
      </c>
      <c r="I944">
        <f>VLOOKUP(Table4[[#This Row],[Visitor]],'NHL Model'!$A$6:$B$38,2,FALSE)</f>
        <v>-0.81774666423752174</v>
      </c>
      <c r="J944">
        <f>($B$1+Table4[[#This Row],[Home Differential]])-Table4[[#This Row],[Away Differential]]</f>
        <v>0.41631642077844083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0.59873333590647571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-1.3944783719477225</v>
      </c>
      <c r="H945" t="s">
        <v>24</v>
      </c>
      <c r="I945">
        <f>VLOOKUP(Table4[[#This Row],[Visitor]],'NHL Model'!$A$6:$B$38,2,FALSE)</f>
        <v>1.5302507646042616E-3</v>
      </c>
      <c r="J945">
        <f>($B$1+Table4[[#This Row],[Home Differential]])-Table4[[#This Row],[Away Differential]]</f>
        <v>-1.3461078737891643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0.63794719216839679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0.51050494674660429</v>
      </c>
      <c r="H946" t="s">
        <v>23</v>
      </c>
      <c r="I946">
        <f>VLOOKUP(Table4[[#This Row],[Visitor]],'NHL Model'!$A$6:$B$38,2,FALSE)</f>
        <v>-0.4761104357405897</v>
      </c>
      <c r="J946">
        <f>($B$1+Table4[[#This Row],[Home Differential]])-Table4[[#This Row],[Away Differential]]</f>
        <v>1.0365161314103564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0.69327462203673185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-0.63447859131898054</v>
      </c>
      <c r="H947" t="s">
        <v>36</v>
      </c>
      <c r="I947">
        <f>VLOOKUP(Table4[[#This Row],[Visitor]],'NHL Model'!$A$6:$B$38,2,FALSE)</f>
        <v>-0.53137605086483863</v>
      </c>
      <c r="J947">
        <f>($B$1+Table4[[#This Row],[Home Differential]])-Table4[[#This Row],[Away Differential]]</f>
        <v>-5.3201791530979481E-2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0.46621209436364425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0.17870302183926629</v>
      </c>
      <c r="H948" t="s">
        <v>16</v>
      </c>
      <c r="I948">
        <f>VLOOKUP(Table4[[#This Row],[Visitor]],'NHL Model'!$A$6:$B$38,2,FALSE)</f>
        <v>-1.0657812790446208</v>
      </c>
      <c r="J948">
        <f>($B$1+Table4[[#This Row],[Home Differential]])-Table4[[#This Row],[Away Differential]]</f>
        <v>1.2943850498070495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0.7709732690686566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-5.5124787449478845E-2</v>
      </c>
      <c r="H949" t="s">
        <v>35</v>
      </c>
      <c r="I949">
        <f>VLOOKUP(Table4[[#This Row],[Visitor]],'NHL Model'!$A$6:$B$38,2,FALSE)</f>
        <v>-1.3944783719477225</v>
      </c>
      <c r="J949">
        <f>($B$1+Table4[[#This Row],[Home Differential]])-Table4[[#This Row],[Away Differential]]</f>
        <v>1.389254333421406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0.70221594735752579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-0.24093199744133265</v>
      </c>
      <c r="H950" t="s">
        <v>11</v>
      </c>
      <c r="I950">
        <f>VLOOKUP(Table4[[#This Row],[Visitor]],'NHL Model'!$A$6:$B$38,2,FALSE)</f>
        <v>-0.39711829106410657</v>
      </c>
      <c r="J950">
        <f>($B$1+Table4[[#This Row],[Home Differential]])-Table4[[#This Row],[Away Differential]]</f>
        <v>0.20608704254593638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0.56406370384490223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-0.14226422156549004</v>
      </c>
      <c r="H951" t="s">
        <v>20</v>
      </c>
      <c r="I951">
        <f>VLOOKUP(Table4[[#This Row],[Visitor]],'NHL Model'!$A$6:$B$38,2,FALSE)</f>
        <v>-0.24444083032063643</v>
      </c>
      <c r="J951">
        <f>($B$1+Table4[[#This Row],[Home Differential]])-Table4[[#This Row],[Away Differential]]</f>
        <v>0.15207735767830885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0.5577572760105497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-0.45133099238224339</v>
      </c>
      <c r="H952" t="s">
        <v>40</v>
      </c>
      <c r="I952">
        <f>VLOOKUP(Table4[[#This Row],[Visitor]],'NHL Model'!$A$6:$B$38,2,FALSE)</f>
        <v>-0.31324182378279158</v>
      </c>
      <c r="J952">
        <f>($B$1+Table4[[#This Row],[Home Differential]])-Table4[[#This Row],[Away Differential]]</f>
        <v>-8.818841967628932E-2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0.48088553485950469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-0.4031232890211825</v>
      </c>
      <c r="H953" t="s">
        <v>10</v>
      </c>
      <c r="I953">
        <f>VLOOKUP(Table4[[#This Row],[Visitor]],'NHL Model'!$A$6:$B$38,2,FALSE)</f>
        <v>-0.17619625518431364</v>
      </c>
      <c r="J953">
        <f>($B$1+Table4[[#This Row],[Home Differential]])-Table4[[#This Row],[Away Differential]]</f>
        <v>-0.17702628491370637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0.44023925403906533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-0.33828359867721369</v>
      </c>
      <c r="H954" t="s">
        <v>12</v>
      </c>
      <c r="I954">
        <f>VLOOKUP(Table4[[#This Row],[Visitor]],'NHL Model'!$A$6:$B$38,2,FALSE)</f>
        <v>1.6319036584269762</v>
      </c>
      <c r="J954">
        <f>($B$1+Table4[[#This Row],[Home Differential]])-Table4[[#This Row],[Away Differential]]</f>
        <v>-1.9202865081810274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0.7568449603440992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-1.384917283810061</v>
      </c>
      <c r="H955" t="s">
        <v>26</v>
      </c>
      <c r="I955">
        <f>VLOOKUP(Table4[[#This Row],[Visitor]],'NHL Model'!$A$6:$B$38,2,FALSE)</f>
        <v>-0.87533956503230947</v>
      </c>
      <c r="J955">
        <f>($B$1+Table4[[#This Row],[Home Differential]])-Table4[[#This Row],[Away Differential]]</f>
        <v>-0.45967696985458906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0.51367407057839309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-0.29003398448394263</v>
      </c>
      <c r="H956" t="s">
        <v>28</v>
      </c>
      <c r="I956">
        <f>VLOOKUP(Table4[[#This Row],[Visitor]],'NHL Model'!$A$6:$B$38,2,FALSE)</f>
        <v>-0.59498940435054026</v>
      </c>
      <c r="J956">
        <f>($B$1+Table4[[#This Row],[Home Differential]])-Table4[[#This Row],[Away Differential]]</f>
        <v>0.35485616878976012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0.57785853606906723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-0.64937723527808999</v>
      </c>
      <c r="H957" t="s">
        <v>25</v>
      </c>
      <c r="I957">
        <f>VLOOKUP(Table4[[#This Row],[Visitor]],'NHL Model'!$A$6:$B$38,2,FALSE)</f>
        <v>0.42567513732855267</v>
      </c>
      <c r="J957">
        <f>($B$1+Table4[[#This Row],[Home Differential]])-Table4[[#This Row],[Away Differential]]</f>
        <v>-1.0251516236834801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0.65232475133101453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-0.63447859131898054</v>
      </c>
      <c r="H958" t="s">
        <v>27</v>
      </c>
      <c r="I958">
        <f>VLOOKUP(Table4[[#This Row],[Visitor]],'NHL Model'!$A$6:$B$38,2,FALSE)</f>
        <v>-0.38023958350631604</v>
      </c>
      <c r="J958">
        <f>($B$1+Table4[[#This Row],[Home Differential]])-Table4[[#This Row],[Away Differential]]</f>
        <v>-0.20433825888950208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0.52637207035687916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-0.9476777551108041</v>
      </c>
      <c r="H959" t="s">
        <v>39</v>
      </c>
      <c r="I959">
        <f>VLOOKUP(Table4[[#This Row],[Visitor]],'NHL Model'!$A$6:$B$38,2,FALSE)</f>
        <v>0.41344250185511977</v>
      </c>
      <c r="J959">
        <f>($B$1+Table4[[#This Row],[Home Differential]])-Table4[[#This Row],[Away Differential]]</f>
        <v>-1.3112195080427616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0.71490198259173388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0.17870302183926629</v>
      </c>
      <c r="H960" t="s">
        <v>12</v>
      </c>
      <c r="I960">
        <f>VLOOKUP(Table4[[#This Row],[Visitor]],'NHL Model'!$A$6:$B$38,2,FALSE)</f>
        <v>1.6319036584269762</v>
      </c>
      <c r="J960">
        <f>($B$1+Table4[[#This Row],[Home Differential]])-Table4[[#This Row],[Away Differential]]</f>
        <v>-1.4032998876645475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0.61456019846511079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-0.21976976044773161</v>
      </c>
      <c r="H961" t="s">
        <v>14</v>
      </c>
      <c r="I961">
        <f>VLOOKUP(Table4[[#This Row],[Visitor]],'NHL Model'!$A$6:$B$38,2,FALSE)</f>
        <v>-0.14226422156549004</v>
      </c>
      <c r="J961">
        <f>($B$1+Table4[[#This Row],[Home Differential]])-Table4[[#This Row],[Away Differential]]</f>
        <v>-2.7604789959079112E-2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0.45903722013371656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-0.4761104357405897</v>
      </c>
      <c r="H962" t="s">
        <v>20</v>
      </c>
      <c r="I962">
        <f>VLOOKUP(Table4[[#This Row],[Visitor]],'NHL Model'!$A$6:$B$38,2,FALSE)</f>
        <v>-0.24444083032063643</v>
      </c>
      <c r="J962">
        <f>($B$1+Table4[[#This Row],[Home Differential]])-Table4[[#This Row],[Away Differential]]</f>
        <v>-0.18176885649679078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0.47110194732410116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-0.59498940435054026</v>
      </c>
      <c r="H963" t="s">
        <v>29</v>
      </c>
      <c r="I963">
        <f>VLOOKUP(Table4[[#This Row],[Visitor]],'NHL Model'!$A$6:$B$38,2,FALSE)</f>
        <v>-1.384917283810061</v>
      </c>
      <c r="J963">
        <f>($B$1+Table4[[#This Row],[Home Differential]])-Table4[[#This Row],[Away Differential]]</f>
        <v>0.83982862838268313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0.63806238734959142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-1.0657812790446208</v>
      </c>
      <c r="H964" t="s">
        <v>39</v>
      </c>
      <c r="I964">
        <f>VLOOKUP(Table4[[#This Row],[Visitor]],'NHL Model'!$A$6:$B$38,2,FALSE)</f>
        <v>0.41344250185511977</v>
      </c>
      <c r="J964">
        <f>($B$1+Table4[[#This Row],[Home Differential]])-Table4[[#This Row],[Away Differential]]</f>
        <v>-1.4293230319765782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0.72869231209461471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-0.81774666423752174</v>
      </c>
      <c r="H965" t="s">
        <v>36</v>
      </c>
      <c r="I965">
        <f>VLOOKUP(Table4[[#This Row],[Visitor]],'NHL Model'!$A$6:$B$38,2,FALSE)</f>
        <v>-0.53137605086483863</v>
      </c>
      <c r="J965">
        <f>($B$1+Table4[[#This Row],[Home Differential]])-Table4[[#This Row],[Away Differential]]</f>
        <v>-0.23646986444952067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0.48056539486063676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-5.5124787449478845E-2</v>
      </c>
      <c r="H966" t="s">
        <v>37</v>
      </c>
      <c r="I966">
        <f>VLOOKUP(Table4[[#This Row],[Visitor]],'NHL Model'!$A$6:$B$38,2,FALSE)</f>
        <v>0.51050494674660429</v>
      </c>
      <c r="J966">
        <f>($B$1+Table4[[#This Row],[Home Differential]])-Table4[[#This Row],[Away Differential]]</f>
        <v>-0.51572898527292066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0.61270515849249185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1.5302507646042616E-3</v>
      </c>
      <c r="H967" t="s">
        <v>11</v>
      </c>
      <c r="I967">
        <f>VLOOKUP(Table4[[#This Row],[Visitor]],'NHL Model'!$A$6:$B$38,2,FALSE)</f>
        <v>-0.39711829106410657</v>
      </c>
      <c r="J967">
        <f>($B$1+Table4[[#This Row],[Home Differential]])-Table4[[#This Row],[Away Differential]]</f>
        <v>0.44854929075187328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0.67220946055413056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-0.45133099238224339</v>
      </c>
      <c r="H968" t="s">
        <v>18</v>
      </c>
      <c r="I968">
        <f>VLOOKUP(Table4[[#This Row],[Visitor]],'NHL Model'!$A$6:$B$38,2,FALSE)</f>
        <v>-0.59288962827382519</v>
      </c>
      <c r="J968">
        <f>($B$1+Table4[[#This Row],[Home Differential]])-Table4[[#This Row],[Away Differential]]</f>
        <v>0.19145938481474428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0.51326479982505646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-0.31324182378279158</v>
      </c>
      <c r="H969" t="s">
        <v>10</v>
      </c>
      <c r="I969">
        <f>VLOOKUP(Table4[[#This Row],[Visitor]],'NHL Model'!$A$6:$B$38,2,FALSE)</f>
        <v>-0.17619625518431364</v>
      </c>
      <c r="J969">
        <f>($B$1+Table4[[#This Row],[Home Differential]])-Table4[[#This Row],[Away Differential]]</f>
        <v>-8.7144819675315455E-2</v>
      </c>
      <c r="K969" t="str">
        <f>IF(Table4[[#This Row],[HomeIce Differential]]&gt;0,Table4[[#This Row],[Home]],Table4[[#This Row],[Visitor]])</f>
        <v>Chicago Blackhawks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0.46767996465849671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0.4407072328537569</v>
      </c>
      <c r="H970" t="s">
        <v>55</v>
      </c>
      <c r="I970">
        <f>VLOOKUP(Table4[[#This Row],[Visitor]],'NHL Model'!$A$6:$B$38,2,FALSE)</f>
        <v>-0.4031232890211825</v>
      </c>
      <c r="J970">
        <f>($B$1+Table4[[#This Row],[Home Differential]])-Table4[[#This Row],[Away Differential]]</f>
        <v>0.89373127079810188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0.67039405224687132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0.17870302183926629</v>
      </c>
      <c r="H971" t="s">
        <v>30</v>
      </c>
      <c r="I971">
        <f>VLOOKUP(Table4[[#This Row],[Visitor]],'NHL Model'!$A$6:$B$38,2,FALSE)</f>
        <v>-0.24093199744133265</v>
      </c>
      <c r="J971">
        <f>($B$1+Table4[[#This Row],[Home Differential]])-Table4[[#This Row],[Away Differential]]</f>
        <v>0.46953576820376142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0.60412100543902492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-0.87533956503230947</v>
      </c>
      <c r="H972" t="s">
        <v>20</v>
      </c>
      <c r="I972">
        <f>VLOOKUP(Table4[[#This Row],[Visitor]],'NHL Model'!$A$6:$B$38,2,FALSE)</f>
        <v>-0.24444083032063643</v>
      </c>
      <c r="J972">
        <f>($B$1+Table4[[#This Row],[Home Differential]])-Table4[[#This Row],[Away Differential]]</f>
        <v>-0.58099798578851058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0.52784008975907892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1.5302507646042616E-3</v>
      </c>
      <c r="H973" t="s">
        <v>19</v>
      </c>
      <c r="I973">
        <f>VLOOKUP(Table4[[#This Row],[Visitor]],'NHL Model'!$A$6:$B$38,2,FALSE)</f>
        <v>-0.63447859131898054</v>
      </c>
      <c r="J973">
        <f>($B$1+Table4[[#This Row],[Home Differential]])-Table4[[#This Row],[Away Differential]]</f>
        <v>0.68590959100674731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0.69992477879689308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-0.64937723527808999</v>
      </c>
      <c r="H974" t="s">
        <v>35</v>
      </c>
      <c r="I974">
        <f>VLOOKUP(Table4[[#This Row],[Visitor]],'NHL Model'!$A$6:$B$38,2,FALSE)</f>
        <v>-1.3944783719477225</v>
      </c>
      <c r="J974">
        <f>($B$1+Table4[[#This Row],[Home Differential]])-Table4[[#This Row],[Away Differential]]</f>
        <v>0.79500188559279494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0.63282820353336711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-0.9476777551108041</v>
      </c>
      <c r="H975" t="s">
        <v>25</v>
      </c>
      <c r="I975">
        <f>VLOOKUP(Table4[[#This Row],[Visitor]],'NHL Model'!$A$6:$B$38,2,FALSE)</f>
        <v>0.42567513732855267</v>
      </c>
      <c r="J975">
        <f>($B$1+Table4[[#This Row],[Home Differential]])-Table4[[#This Row],[Away Differential]]</f>
        <v>-1.3234521435161943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0.68715573962293885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-0.59498940435054026</v>
      </c>
      <c r="H976" t="s">
        <v>11</v>
      </c>
      <c r="I976">
        <f>VLOOKUP(Table4[[#This Row],[Visitor]],'NHL Model'!$A$6:$B$38,2,FALSE)</f>
        <v>-0.39711829106410657</v>
      </c>
      <c r="J976">
        <f>($B$1+Table4[[#This Row],[Home Differential]])-Table4[[#This Row],[Away Differential]]</f>
        <v>-0.14797036436327127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0.47727772392612389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-1.0657812790446208</v>
      </c>
      <c r="H977" t="s">
        <v>36</v>
      </c>
      <c r="I977">
        <f>VLOOKUP(Table4[[#This Row],[Visitor]],'NHL Model'!$A$6:$B$38,2,FALSE)</f>
        <v>-0.53137605086483863</v>
      </c>
      <c r="J977">
        <f>($B$1+Table4[[#This Row],[Home Differential]])-Table4[[#This Row],[Away Differential]]</f>
        <v>-0.48450447925661977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0.5165730487289667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-0.33828359867721369</v>
      </c>
      <c r="H978" t="s">
        <v>30</v>
      </c>
      <c r="I978">
        <f>VLOOKUP(Table4[[#This Row],[Visitor]],'NHL Model'!$A$6:$B$38,2,FALSE)</f>
        <v>-0.24093199744133265</v>
      </c>
      <c r="J978">
        <f>($B$1+Table4[[#This Row],[Home Differential]])-Table4[[#This Row],[Away Differential]]</f>
        <v>-4.7450852312718561E-2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0.53816375643996339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-1.384917283810061</v>
      </c>
      <c r="H979" t="s">
        <v>21</v>
      </c>
      <c r="I979">
        <f>VLOOKUP(Table4[[#This Row],[Visitor]],'NHL Model'!$A$6:$B$38,2,FALSE)</f>
        <v>-0.21976976044773161</v>
      </c>
      <c r="J979">
        <f>($B$1+Table4[[#This Row],[Home Differential]])-Table4[[#This Row],[Away Differential]]</f>
        <v>-1.115246774439167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0.59105101387096481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-0.29003398448394263</v>
      </c>
      <c r="H980" t="s">
        <v>19</v>
      </c>
      <c r="I980">
        <f>VLOOKUP(Table4[[#This Row],[Visitor]],'NHL Model'!$A$6:$B$38,2,FALSE)</f>
        <v>-0.63447859131898054</v>
      </c>
      <c r="J980">
        <f>($B$1+Table4[[#This Row],[Home Differential]])-Table4[[#This Row],[Away Differential]]</f>
        <v>0.3943453557582004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0.58604564040683338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-0.38023958350631604</v>
      </c>
      <c r="H981" t="s">
        <v>55</v>
      </c>
      <c r="I981">
        <f>VLOOKUP(Table4[[#This Row],[Visitor]],'NHL Model'!$A$6:$B$38,2,FALSE)</f>
        <v>-0.4031232890211825</v>
      </c>
      <c r="J981">
        <f>($B$1+Table4[[#This Row],[Home Differential]])-Table4[[#This Row],[Away Differential]]</f>
        <v>7.2784454438028945E-2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0.56251527977613414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-0.14226422156549004</v>
      </c>
      <c r="H982" t="s">
        <v>23</v>
      </c>
      <c r="I982">
        <f>VLOOKUP(Table4[[#This Row],[Visitor]],'NHL Model'!$A$6:$B$38,2,FALSE)</f>
        <v>-0.4761104357405897</v>
      </c>
      <c r="J982">
        <f>($B$1+Table4[[#This Row],[Home Differential]])-Table4[[#This Row],[Away Differential]]</f>
        <v>0.38374696309826212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0.58480812164267382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-0.31324182378279158</v>
      </c>
      <c r="H983" t="s">
        <v>37</v>
      </c>
      <c r="I983">
        <f>VLOOKUP(Table4[[#This Row],[Visitor]],'NHL Model'!$A$6:$B$38,2,FALSE)</f>
        <v>0.51050494674660429</v>
      </c>
      <c r="J983">
        <f>($B$1+Table4[[#This Row],[Home Differential]])-Table4[[#This Row],[Away Differential]]</f>
        <v>-0.77384602160623339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0.6403579441746684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0.17870302183926629</v>
      </c>
      <c r="H984" t="s">
        <v>18</v>
      </c>
      <c r="I984">
        <f>VLOOKUP(Table4[[#This Row],[Visitor]],'NHL Model'!$A$6:$B$38,2,FALSE)</f>
        <v>-0.59288962827382519</v>
      </c>
      <c r="J984">
        <f>($B$1+Table4[[#This Row],[Home Differential]])-Table4[[#This Row],[Away Differential]]</f>
        <v>0.82149339903625396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0.65842147871472412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-0.17619625518431364</v>
      </c>
      <c r="H985" t="s">
        <v>38</v>
      </c>
      <c r="I985">
        <f>VLOOKUP(Table4[[#This Row],[Visitor]],'NHL Model'!$A$6:$B$38,2,FALSE)</f>
        <v>-0.9476777551108041</v>
      </c>
      <c r="J985">
        <f>($B$1+Table4[[#This Row],[Home Differential]])-Table4[[#This Row],[Away Differential]]</f>
        <v>0.82138224884965294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0.63233234134958161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0.41344250185511977</v>
      </c>
      <c r="H986" t="s">
        <v>12</v>
      </c>
      <c r="I986">
        <f>VLOOKUP(Table4[[#This Row],[Visitor]],'NHL Model'!$A$6:$B$38,2,FALSE)</f>
        <v>1.6319036584269762</v>
      </c>
      <c r="J986">
        <f>($B$1+Table4[[#This Row],[Home Differential]])-Table4[[#This Row],[Away Differential]]</f>
        <v>-1.168560407648694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0.63644667431368729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-0.87533956503230947</v>
      </c>
      <c r="H987" t="s">
        <v>11</v>
      </c>
      <c r="I987">
        <f>VLOOKUP(Table4[[#This Row],[Visitor]],'NHL Model'!$A$6:$B$38,2,FALSE)</f>
        <v>-0.39711829106410657</v>
      </c>
      <c r="J987">
        <f>($B$1+Table4[[#This Row],[Home Differential]])-Table4[[#This Row],[Away Differential]]</f>
        <v>-0.42832052504504048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0.51001274285878251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-0.81774666423752174</v>
      </c>
      <c r="H988" t="s">
        <v>25</v>
      </c>
      <c r="I988">
        <f>VLOOKUP(Table4[[#This Row],[Visitor]],'NHL Model'!$A$6:$B$38,2,FALSE)</f>
        <v>0.42567513732855267</v>
      </c>
      <c r="J988">
        <f>($B$1+Table4[[#This Row],[Home Differential]])-Table4[[#This Row],[Away Differential]]</f>
        <v>-1.1935210526429119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0.66490864326506427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-0.45133099238224339</v>
      </c>
      <c r="H989" t="s">
        <v>35</v>
      </c>
      <c r="I989">
        <f>VLOOKUP(Table4[[#This Row],[Visitor]],'NHL Model'!$A$6:$B$38,2,FALSE)</f>
        <v>-1.3944783719477225</v>
      </c>
      <c r="J989">
        <f>($B$1+Table4[[#This Row],[Home Differential]])-Table4[[#This Row],[Away Differential]]</f>
        <v>0.99304812848864166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0.66607527473414152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-0.24444083032063643</v>
      </c>
      <c r="H990" t="s">
        <v>34</v>
      </c>
      <c r="I990">
        <f>VLOOKUP(Table4[[#This Row],[Visitor]],'NHL Model'!$A$6:$B$38,2,FALSE)</f>
        <v>-5.5124787449478845E-2</v>
      </c>
      <c r="J990">
        <f>($B$1+Table4[[#This Row],[Home Differential]])-Table4[[#This Row],[Away Differential]]</f>
        <v>-0.13941529394799512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0.51879135600538295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-0.21976976044773161</v>
      </c>
      <c r="H991" t="s">
        <v>22</v>
      </c>
      <c r="I991">
        <f>VLOOKUP(Table4[[#This Row],[Visitor]],'NHL Model'!$A$6:$B$38,2,FALSE)</f>
        <v>0.4407072328537569</v>
      </c>
      <c r="J991">
        <f>($B$1+Table4[[#This Row],[Home Differential]])-Table4[[#This Row],[Away Differential]]</f>
        <v>-0.61057624437832603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0.53031018143600306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-0.4761104357405897</v>
      </c>
      <c r="H992" t="s">
        <v>29</v>
      </c>
      <c r="I992">
        <f>VLOOKUP(Table4[[#This Row],[Visitor]],'NHL Model'!$A$6:$B$38,2,FALSE)</f>
        <v>-1.384917283810061</v>
      </c>
      <c r="J992">
        <f>($B$1+Table4[[#This Row],[Home Differential]])-Table4[[#This Row],[Away Differential]]</f>
        <v>0.95870759699263375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0.66206551085191068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-0.59498940435054026</v>
      </c>
      <c r="H993" t="s">
        <v>55</v>
      </c>
      <c r="I993">
        <f>VLOOKUP(Table4[[#This Row],[Visitor]],'NHL Model'!$A$6:$B$38,2,FALSE)</f>
        <v>-0.4031232890211825</v>
      </c>
      <c r="J993">
        <f>($B$1+Table4[[#This Row],[Home Differential]])-Table4[[#This Row],[Away Differential]]</f>
        <v>-0.14196536640619534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0.47657655178719088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-1.0657812790446208</v>
      </c>
      <c r="H994" t="s">
        <v>25</v>
      </c>
      <c r="I994">
        <f>VLOOKUP(Table4[[#This Row],[Visitor]],'NHL Model'!$A$6:$B$38,2,FALSE)</f>
        <v>0.42567513732855267</v>
      </c>
      <c r="J994">
        <f>($B$1+Table4[[#This Row],[Home Differential]])-Table4[[#This Row],[Away Differential]]</f>
        <v>-1.441555667450011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0.70094606912581969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-0.33828359867721369</v>
      </c>
      <c r="H995" t="s">
        <v>18</v>
      </c>
      <c r="I995">
        <f>VLOOKUP(Table4[[#This Row],[Visitor]],'NHL Model'!$A$6:$B$38,2,FALSE)</f>
        <v>-0.59288962827382519</v>
      </c>
      <c r="J995">
        <f>($B$1+Table4[[#This Row],[Home Differential]])-Table4[[#This Row],[Away Differential]]</f>
        <v>0.30450677851977398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0.51626782676358607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1.5302507646042616E-3</v>
      </c>
      <c r="H996" t="s">
        <v>15</v>
      </c>
      <c r="I996">
        <f>VLOOKUP(Table4[[#This Row],[Visitor]],'NHL Model'!$A$6:$B$38,2,FALSE)</f>
        <v>-0.29003398448394263</v>
      </c>
      <c r="J996">
        <f>($B$1+Table4[[#This Row],[Home Differential]])-Table4[[#This Row],[Away Differential]]</f>
        <v>0.34146498417170934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0.5616102070003105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-0.14226422156549004</v>
      </c>
      <c r="H997" t="s">
        <v>27</v>
      </c>
      <c r="I997">
        <f>VLOOKUP(Table4[[#This Row],[Visitor]],'NHL Model'!$A$6:$B$38,2,FALSE)</f>
        <v>-0.38023958350631604</v>
      </c>
      <c r="J997">
        <f>($B$1+Table4[[#This Row],[Home Differential]])-Table4[[#This Row],[Away Differential]]</f>
        <v>0.28787611086398845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0.53110122187745956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-0.64937723527808999</v>
      </c>
      <c r="H998" t="s">
        <v>36</v>
      </c>
      <c r="I998">
        <f>VLOOKUP(Table4[[#This Row],[Visitor]],'NHL Model'!$A$6:$B$38,2,FALSE)</f>
        <v>-0.53137605086483863</v>
      </c>
      <c r="J998">
        <f>($B$1+Table4[[#This Row],[Home Differential]])-Table4[[#This Row],[Away Differential]]</f>
        <v>-6.8100435490088929E-2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0.46795173093416148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-0.45133099238224339</v>
      </c>
      <c r="H999" t="s">
        <v>30</v>
      </c>
      <c r="I999">
        <f>VLOOKUP(Table4[[#This Row],[Visitor]],'NHL Model'!$A$6:$B$38,2,FALSE)</f>
        <v>-0.24093199744133265</v>
      </c>
      <c r="J999">
        <f>($B$1+Table4[[#This Row],[Home Differential]])-Table4[[#This Row],[Away Differential]]</f>
        <v>-0.16049824601774826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0.54118951859945774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-0.63447859131898054</v>
      </c>
      <c r="H1000" t="s">
        <v>37</v>
      </c>
      <c r="I1000">
        <f>VLOOKUP(Table4[[#This Row],[Visitor]],'NHL Model'!$A$6:$B$38,2,FALSE)</f>
        <v>0.51050494674660429</v>
      </c>
      <c r="J1000">
        <f>($B$1+Table4[[#This Row],[Home Differential]])-Table4[[#This Row],[Away Differential]]</f>
        <v>-1.0950827891424224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0.6803532657461332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-0.31324182378279158</v>
      </c>
      <c r="H1001" t="s">
        <v>38</v>
      </c>
      <c r="I1001">
        <f>VLOOKUP(Table4[[#This Row],[Visitor]],'NHL Model'!$A$6:$B$38,2,FALSE)</f>
        <v>-0.9476777551108041</v>
      </c>
      <c r="J1001">
        <f>($B$1+Table4[[#This Row],[Home Differential]])-Table4[[#This Row],[Away Differential]]</f>
        <v>0.684336680251175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0.61882856319649504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0.17870302183926629</v>
      </c>
      <c r="H1002" t="s">
        <v>35</v>
      </c>
      <c r="I1002">
        <f>VLOOKUP(Table4[[#This Row],[Visitor]],'NHL Model'!$A$6:$B$38,2,FALSE)</f>
        <v>-1.3944783719477225</v>
      </c>
      <c r="J1002">
        <f>($B$1+Table4[[#This Row],[Home Differential]])-Table4[[#This Row],[Away Differential]]</f>
        <v>1.6230821427101512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0.80935350588794874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-0.4761104357405897</v>
      </c>
      <c r="H1003" t="s">
        <v>37</v>
      </c>
      <c r="I1003">
        <f>VLOOKUP(Table4[[#This Row],[Visitor]],'NHL Model'!$A$6:$B$38,2,FALSE)</f>
        <v>0.51050494674660429</v>
      </c>
      <c r="J1003">
        <f>($B$1+Table4[[#This Row],[Home Differential]])-Table4[[#This Row],[Away Differential]]</f>
        <v>-0.93671463356403151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0.65174813974582668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1.6319036584269762</v>
      </c>
      <c r="H1004" t="s">
        <v>34</v>
      </c>
      <c r="I1004">
        <f>VLOOKUP(Table4[[#This Row],[Visitor]],'NHL Model'!$A$6:$B$38,2,FALSE)</f>
        <v>-5.5124787449478845E-2</v>
      </c>
      <c r="J1004">
        <f>($B$1+Table4[[#This Row],[Home Differential]])-Table4[[#This Row],[Away Differential]]</f>
        <v>1.7369291947996175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0.80720772313376354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0.41344250185511977</v>
      </c>
      <c r="H1005" t="s">
        <v>10</v>
      </c>
      <c r="I1005">
        <f>VLOOKUP(Table4[[#This Row],[Visitor]],'NHL Model'!$A$6:$B$38,2,FALSE)</f>
        <v>-0.17619625518431364</v>
      </c>
      <c r="J1005">
        <f>($B$1+Table4[[#This Row],[Home Differential]])-Table4[[#This Row],[Away Differential]]</f>
        <v>0.6395395059625959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0.64692174205887343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1.5302507646042616E-3</v>
      </c>
      <c r="H1006" t="s">
        <v>26</v>
      </c>
      <c r="I1006">
        <f>VLOOKUP(Table4[[#This Row],[Visitor]],'NHL Model'!$A$6:$B$38,2,FALSE)</f>
        <v>-0.87533956503230947</v>
      </c>
      <c r="J1006">
        <f>($B$1+Table4[[#This Row],[Home Differential]])-Table4[[#This Row],[Away Differential]]</f>
        <v>0.92677056472007624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0.72804885233218297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-0.14226422156549004</v>
      </c>
      <c r="H1007" t="s">
        <v>21</v>
      </c>
      <c r="I1007">
        <f>VLOOKUP(Table4[[#This Row],[Visitor]],'NHL Model'!$A$6:$B$38,2,FALSE)</f>
        <v>-0.21976976044773161</v>
      </c>
      <c r="J1007">
        <f>($B$1+Table4[[#This Row],[Home Differential]])-Table4[[#This Row],[Away Differential]]</f>
        <v>0.12740628780540403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0.5540470713963267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-0.24444083032063643</v>
      </c>
      <c r="H1008" t="s">
        <v>17</v>
      </c>
      <c r="I1008">
        <f>VLOOKUP(Table4[[#This Row],[Visitor]],'NHL Model'!$A$6:$B$38,2,FALSE)</f>
        <v>-0.81774666423752174</v>
      </c>
      <c r="J1008">
        <f>($B$1+Table4[[#This Row],[Home Differential]])-Table4[[#This Row],[Away Differential]]</f>
        <v>0.62320658284004771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0.61276856641927757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-0.17619625518431364</v>
      </c>
      <c r="H1009" t="s">
        <v>55</v>
      </c>
      <c r="I1009">
        <f>VLOOKUP(Table4[[#This Row],[Visitor]],'NHL Model'!$A$6:$B$38,2,FALSE)</f>
        <v>-0.4031232890211825</v>
      </c>
      <c r="J1009">
        <f>($B$1+Table4[[#This Row],[Home Differential]])-Table4[[#This Row],[Away Differential]]</f>
        <v>0.27682778276003128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0.57232372932370801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-0.38023958350631604</v>
      </c>
      <c r="H1010" t="s">
        <v>15</v>
      </c>
      <c r="I1010">
        <f>VLOOKUP(Table4[[#This Row],[Visitor]],'NHL Model'!$A$6:$B$38,2,FALSE)</f>
        <v>-0.29003398448394263</v>
      </c>
      <c r="J1010">
        <f>($B$1+Table4[[#This Row],[Home Differential]])-Table4[[#This Row],[Away Differential]]</f>
        <v>-4.030485009921092E-2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0.55080547688635673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-0.9476777551108041</v>
      </c>
      <c r="H1011" t="s">
        <v>36</v>
      </c>
      <c r="I1011">
        <f>VLOOKUP(Table4[[#This Row],[Visitor]],'NHL Model'!$A$6:$B$38,2,FALSE)</f>
        <v>-0.53137605086483863</v>
      </c>
      <c r="J1011">
        <f>($B$1+Table4[[#This Row],[Home Differential]])-Table4[[#This Row],[Away Differential]]</f>
        <v>-0.36640095532280303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0.50278271922608575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0.4407072328537569</v>
      </c>
      <c r="H1012" t="s">
        <v>16</v>
      </c>
      <c r="I1012">
        <f>VLOOKUP(Table4[[#This Row],[Visitor]],'NHL Model'!$A$6:$B$38,2,FALSE)</f>
        <v>-1.0657812790446208</v>
      </c>
      <c r="J1012">
        <f>($B$1+Table4[[#This Row],[Home Differential]])-Table4[[#This Row],[Away Differential]]</f>
        <v>1.5563892608215402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0.74776915271602318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-0.21976976044773161</v>
      </c>
      <c r="H1013" t="s">
        <v>13</v>
      </c>
      <c r="I1013">
        <f>VLOOKUP(Table4[[#This Row],[Visitor]],'NHL Model'!$A$6:$B$38,2,FALSE)</f>
        <v>-0.33828359867721369</v>
      </c>
      <c r="J1013">
        <f>($B$1+Table4[[#This Row],[Home Differential]])-Table4[[#This Row],[Away Differential]]</f>
        <v>0.16841458715264454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0.53690626798232133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-0.4761104357405897</v>
      </c>
      <c r="H1014" t="s">
        <v>33</v>
      </c>
      <c r="I1014">
        <f>VLOOKUP(Table4[[#This Row],[Visitor]],'NHL Model'!$A$6:$B$38,2,FALSE)</f>
        <v>-0.45133099238224339</v>
      </c>
      <c r="J1014">
        <f>($B$1+Table4[[#This Row],[Home Differential]])-Table4[[#This Row],[Away Differential]]</f>
        <v>2.5121305564816176E-2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0.55305553257745377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0.42567513732855267</v>
      </c>
      <c r="H1015" t="s">
        <v>14</v>
      </c>
      <c r="I1015">
        <f>VLOOKUP(Table4[[#This Row],[Visitor]],'NHL Model'!$A$6:$B$38,2,FALSE)</f>
        <v>-0.14226422156549004</v>
      </c>
      <c r="J1015">
        <f>($B$1+Table4[[#This Row],[Home Differential]])-Table4[[#This Row],[Away Differential]]</f>
        <v>0.61784010781720522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0.62533344061854423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1.6319036584269762</v>
      </c>
      <c r="H1016" t="s">
        <v>17</v>
      </c>
      <c r="I1016">
        <f>VLOOKUP(Table4[[#This Row],[Visitor]],'NHL Model'!$A$6:$B$38,2,FALSE)</f>
        <v>-0.81774666423752174</v>
      </c>
      <c r="J1016">
        <f>($B$1+Table4[[#This Row],[Home Differential]])-Table4[[#This Row],[Away Differential]]</f>
        <v>2.4995510715876605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0.93618937525596579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0.41344250185511977</v>
      </c>
      <c r="H1017" t="s">
        <v>20</v>
      </c>
      <c r="I1017">
        <f>VLOOKUP(Table4[[#This Row],[Visitor]],'NHL Model'!$A$6:$B$38,2,FALSE)</f>
        <v>-0.24444083032063643</v>
      </c>
      <c r="J1017">
        <f>($B$1+Table4[[#This Row],[Home Differential]])-Table4[[#This Row],[Away Differential]]</f>
        <v>0.70778408109891866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0.65489030342408205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-0.39711829106410657</v>
      </c>
      <c r="H1018" t="s">
        <v>26</v>
      </c>
      <c r="I1018">
        <f>VLOOKUP(Table4[[#This Row],[Visitor]],'NHL Model'!$A$6:$B$38,2,FALSE)</f>
        <v>-0.87533956503230947</v>
      </c>
      <c r="J1018">
        <f>($B$1+Table4[[#This Row],[Home Differential]])-Table4[[#This Row],[Away Differential]]</f>
        <v>0.52812202289136545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0.61568266119593729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-5.5124787449478845E-2</v>
      </c>
      <c r="H1019" t="s">
        <v>55</v>
      </c>
      <c r="I1019">
        <f>VLOOKUP(Table4[[#This Row],[Visitor]],'NHL Model'!$A$6:$B$38,2,FALSE)</f>
        <v>-0.4031232890211825</v>
      </c>
      <c r="J1019">
        <f>($B$1+Table4[[#This Row],[Home Differential]])-Table4[[#This Row],[Away Differential]]</f>
        <v>0.39789925049486613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0.5864606100690819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-0.59288962827382519</v>
      </c>
      <c r="H1020" t="s">
        <v>19</v>
      </c>
      <c r="I1020">
        <f>VLOOKUP(Table4[[#This Row],[Visitor]],'NHL Model'!$A$6:$B$38,2,FALSE)</f>
        <v>-0.63447859131898054</v>
      </c>
      <c r="J1020">
        <f>($B$1+Table4[[#This Row],[Home Differential]])-Table4[[#This Row],[Away Differential]]</f>
        <v>9.1489711968317788E-2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0.55068277416407818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-0.29003398448394263</v>
      </c>
      <c r="H1021" t="s">
        <v>16</v>
      </c>
      <c r="I1021">
        <f>VLOOKUP(Table4[[#This Row],[Visitor]],'NHL Model'!$A$6:$B$38,2,FALSE)</f>
        <v>-1.0657812790446208</v>
      </c>
      <c r="J1021">
        <f>($B$1+Table4[[#This Row],[Home Differential]])-Table4[[#This Row],[Away Differential]]</f>
        <v>0.82564804348384069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0.63640659477215578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-0.64937723527808999</v>
      </c>
      <c r="H1022" t="s">
        <v>29</v>
      </c>
      <c r="I1022">
        <f>VLOOKUP(Table4[[#This Row],[Visitor]],'NHL Model'!$A$6:$B$38,2,FALSE)</f>
        <v>-1.384917283810061</v>
      </c>
      <c r="J1022">
        <f>($B$1+Table4[[#This Row],[Home Differential]])-Table4[[#This Row],[Away Differential]]</f>
        <v>0.7854407974551334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0.63171180538170546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-1.3944783719477225</v>
      </c>
      <c r="H1023" t="s">
        <v>30</v>
      </c>
      <c r="I1023">
        <f>VLOOKUP(Table4[[#This Row],[Visitor]],'NHL Model'!$A$6:$B$38,2,FALSE)</f>
        <v>-0.24093199744133265</v>
      </c>
      <c r="J1023">
        <f>($B$1+Table4[[#This Row],[Home Differential]])-Table4[[#This Row],[Away Differential]]</f>
        <v>-1.1036456255832274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0.66149008454159564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0.51050494674660429</v>
      </c>
      <c r="H1024" t="s">
        <v>28</v>
      </c>
      <c r="I1024">
        <f>VLOOKUP(Table4[[#This Row],[Visitor]],'NHL Model'!$A$6:$B$38,2,FALSE)</f>
        <v>-0.59498940435054026</v>
      </c>
      <c r="J1024">
        <f>($B$1+Table4[[#This Row],[Home Differential]])-Table4[[#This Row],[Away Differential]]</f>
        <v>1.1553951000203071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0.70362980948891973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-0.31324182378279158</v>
      </c>
      <c r="H1025" t="s">
        <v>31</v>
      </c>
      <c r="I1025">
        <f>VLOOKUP(Table4[[#This Row],[Visitor]],'NHL Model'!$A$6:$B$38,2,FALSE)</f>
        <v>0.17870302183926629</v>
      </c>
      <c r="J1025">
        <f>($B$1+Table4[[#This Row],[Home Differential]])-Table4[[#This Row],[Away Differential]]</f>
        <v>-0.44204409669889538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0.52987604196004923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-0.53137605086483863</v>
      </c>
      <c r="H1026" t="s">
        <v>18</v>
      </c>
      <c r="I1026">
        <f>VLOOKUP(Table4[[#This Row],[Visitor]],'NHL Model'!$A$6:$B$38,2,FALSE)</f>
        <v>-0.59288962827382519</v>
      </c>
      <c r="J1026">
        <f>($B$1+Table4[[#This Row],[Home Differential]])-Table4[[#This Row],[Away Differential]]</f>
        <v>0.11141432633214904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0.49623074346744273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-0.38023958350631604</v>
      </c>
      <c r="H1027" t="s">
        <v>22</v>
      </c>
      <c r="I1027">
        <f>VLOOKUP(Table4[[#This Row],[Visitor]],'NHL Model'!$A$6:$B$38,2,FALSE)</f>
        <v>0.4407072328537569</v>
      </c>
      <c r="J1027">
        <f>($B$1+Table4[[#This Row],[Home Differential]])-Table4[[#This Row],[Away Differential]]</f>
        <v>-0.7710460674369104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0.57840310122428151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-0.21976976044773161</v>
      </c>
      <c r="H1028" t="s">
        <v>33</v>
      </c>
      <c r="I1028">
        <f>VLOOKUP(Table4[[#This Row],[Visitor]],'NHL Model'!$A$6:$B$38,2,FALSE)</f>
        <v>-0.45133099238224339</v>
      </c>
      <c r="J1028">
        <f>($B$1+Table4[[#This Row],[Home Differential]])-Table4[[#This Row],[Away Differential]]</f>
        <v>0.28146198085767427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0.61576639475163519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-0.4761104357405897</v>
      </c>
      <c r="H1029" t="s">
        <v>22</v>
      </c>
      <c r="I1029">
        <f>VLOOKUP(Table4[[#This Row],[Visitor]],'NHL Model'!$A$6:$B$38,2,FALSE)</f>
        <v>0.4407072328537569</v>
      </c>
      <c r="J1029">
        <f>($B$1+Table4[[#This Row],[Home Differential]])-Table4[[#This Row],[Away Differential]]</f>
        <v>-0.86691691967118412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0.59353303745986197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0.42567513732855267</v>
      </c>
      <c r="H1030" t="s">
        <v>35</v>
      </c>
      <c r="I1030">
        <f>VLOOKUP(Table4[[#This Row],[Visitor]],'NHL Model'!$A$6:$B$38,2,FALSE)</f>
        <v>-1.3944783719477225</v>
      </c>
      <c r="J1030">
        <f>($B$1+Table4[[#This Row],[Home Differential]])-Table4[[#This Row],[Away Differential]]</f>
        <v>1.8700542581994377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0.81007241100715621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0.41344250185511977</v>
      </c>
      <c r="H1031" t="s">
        <v>17</v>
      </c>
      <c r="I1031">
        <f>VLOOKUP(Table4[[#This Row],[Visitor]],'NHL Model'!$A$6:$B$38,2,FALSE)</f>
        <v>-0.81774666423752174</v>
      </c>
      <c r="J1031">
        <f>($B$1+Table4[[#This Row],[Home Differential]])-Table4[[#This Row],[Away Differential]]</f>
        <v>1.2810899150158039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0.72183222092408972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-0.39711829106410657</v>
      </c>
      <c r="H1032" t="s">
        <v>28</v>
      </c>
      <c r="I1032">
        <f>VLOOKUP(Table4[[#This Row],[Visitor]],'NHL Model'!$A$6:$B$38,2,FALSE)</f>
        <v>-0.59498940435054026</v>
      </c>
      <c r="J1032">
        <f>($B$1+Table4[[#This Row],[Home Differential]])-Table4[[#This Row],[Away Differential]]</f>
        <v>0.24777186220959618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0.57938973736099397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-5.5124787449478845E-2</v>
      </c>
      <c r="H1033" t="s">
        <v>27</v>
      </c>
      <c r="I1033">
        <f>VLOOKUP(Table4[[#This Row],[Visitor]],'NHL Model'!$A$6:$B$38,2,FALSE)</f>
        <v>-0.38023958350631604</v>
      </c>
      <c r="J1033">
        <f>($B$1+Table4[[#This Row],[Home Differential]])-Table4[[#This Row],[Away Differential]]</f>
        <v>0.37501554497999967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0.54127603689676229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1.5302507646042616E-3</v>
      </c>
      <c r="H1034" t="s">
        <v>16</v>
      </c>
      <c r="I1034">
        <f>VLOOKUP(Table4[[#This Row],[Visitor]],'NHL Model'!$A$6:$B$38,2,FALSE)</f>
        <v>-1.0657812790446208</v>
      </c>
      <c r="J1034">
        <f>($B$1+Table4[[#This Row],[Home Differential]])-Table4[[#This Row],[Away Differential]]</f>
        <v>1.1172122787323875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0.75028573316221547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-0.64937723527808999</v>
      </c>
      <c r="H1035" t="s">
        <v>12</v>
      </c>
      <c r="I1035">
        <f>VLOOKUP(Table4[[#This Row],[Visitor]],'NHL Model'!$A$6:$B$38,2,FALSE)</f>
        <v>1.6319036584269762</v>
      </c>
      <c r="J1035">
        <f>($B$1+Table4[[#This Row],[Home Differential]])-Table4[[#This Row],[Away Differential]]</f>
        <v>-2.2313801447819035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0.79316973383163425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0.51050494674660429</v>
      </c>
      <c r="H1036" t="s">
        <v>26</v>
      </c>
      <c r="I1036">
        <f>VLOOKUP(Table4[[#This Row],[Visitor]],'NHL Model'!$A$6:$B$38,2,FALSE)</f>
        <v>-0.87533956503230947</v>
      </c>
      <c r="J1036">
        <f>($B$1+Table4[[#This Row],[Home Differential]])-Table4[[#This Row],[Away Differential]]</f>
        <v>1.4357452607020762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0.73989051508295656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-0.63447859131898054</v>
      </c>
      <c r="H1037" t="s">
        <v>31</v>
      </c>
      <c r="I1037">
        <f>VLOOKUP(Table4[[#This Row],[Visitor]],'NHL Model'!$A$6:$B$38,2,FALSE)</f>
        <v>0.17870302183926629</v>
      </c>
      <c r="J1037">
        <f>($B$1+Table4[[#This Row],[Home Differential]])-Table4[[#This Row],[Away Differential]]</f>
        <v>-0.76328086423508434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0.56989353689022348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-0.4031232890211825</v>
      </c>
      <c r="H1038" t="s">
        <v>10</v>
      </c>
      <c r="I1038">
        <f>VLOOKUP(Table4[[#This Row],[Visitor]],'NHL Model'!$A$6:$B$38,2,FALSE)</f>
        <v>-0.17619625518431364</v>
      </c>
      <c r="J1038">
        <f>($B$1+Table4[[#This Row],[Home Differential]])-Table4[[#This Row],[Away Differential]]</f>
        <v>-0.17702628491370637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0.44023925403906533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-0.9476777551108041</v>
      </c>
      <c r="H1039" t="s">
        <v>29</v>
      </c>
      <c r="I1039">
        <f>VLOOKUP(Table4[[#This Row],[Visitor]],'NHL Model'!$A$6:$B$38,2,FALSE)</f>
        <v>-1.384917283810061</v>
      </c>
      <c r="J1039">
        <f>($B$1+Table4[[#This Row],[Home Differential]])-Table4[[#This Row],[Away Differential]]</f>
        <v>0.48714027762241929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0.59688081708978125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-0.24444083032063643</v>
      </c>
      <c r="H1040" t="s">
        <v>14</v>
      </c>
      <c r="I1040">
        <f>VLOOKUP(Table4[[#This Row],[Visitor]],'NHL Model'!$A$6:$B$38,2,FALSE)</f>
        <v>-0.14226422156549004</v>
      </c>
      <c r="J1040">
        <f>($B$1+Table4[[#This Row],[Home Differential]])-Table4[[#This Row],[Away Differential]]</f>
        <v>-5.2275859831983934E-2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0.50539071141024106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-0.31324182378279158</v>
      </c>
      <c r="H1041" t="s">
        <v>15</v>
      </c>
      <c r="I1041">
        <f>VLOOKUP(Table4[[#This Row],[Visitor]],'NHL Model'!$A$6:$B$38,2,FALSE)</f>
        <v>-0.29003398448394263</v>
      </c>
      <c r="J1041">
        <f>($B$1+Table4[[#This Row],[Home Differential]])-Table4[[#This Row],[Away Differential]]</f>
        <v>2.6692909624313532E-2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0.44551310452192266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-0.24093199744133265</v>
      </c>
      <c r="H1042" t="s">
        <v>13</v>
      </c>
      <c r="I1042">
        <f>VLOOKUP(Table4[[#This Row],[Visitor]],'NHL Model'!$A$6:$B$38,2,FALSE)</f>
        <v>-0.33828359867721369</v>
      </c>
      <c r="J1042">
        <f>($B$1+Table4[[#This Row],[Home Differential]])-Table4[[#This Row],[Away Differential]]</f>
        <v>0.1472523501590435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0.49087809569696272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-1.3944783719477225</v>
      </c>
      <c r="H1043" t="s">
        <v>17</v>
      </c>
      <c r="I1043">
        <f>VLOOKUP(Table4[[#This Row],[Visitor]],'NHL Model'!$A$6:$B$38,2,FALSE)</f>
        <v>-0.81774666423752174</v>
      </c>
      <c r="J1043">
        <f>($B$1+Table4[[#This Row],[Home Differential]])-Table4[[#This Row],[Away Differential]]</f>
        <v>-0.52683095878703834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0.52151528990839591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-0.4761104357405897</v>
      </c>
      <c r="H1044" t="s">
        <v>19</v>
      </c>
      <c r="I1044">
        <f>VLOOKUP(Table4[[#This Row],[Visitor]],'NHL Model'!$A$6:$B$38,2,FALSE)</f>
        <v>-0.63447859131898054</v>
      </c>
      <c r="J1044">
        <f>($B$1+Table4[[#This Row],[Home Differential]])-Table4[[#This Row],[Away Differential]]</f>
        <v>0.20826890450155333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0.57444071781895778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0.41344250185511977</v>
      </c>
      <c r="H1045" t="s">
        <v>26</v>
      </c>
      <c r="I1045">
        <f>VLOOKUP(Table4[[#This Row],[Visitor]],'NHL Model'!$A$6:$B$38,2,FALSE)</f>
        <v>-0.87533956503230947</v>
      </c>
      <c r="J1045">
        <f>($B$1+Table4[[#This Row],[Home Differential]])-Table4[[#This Row],[Away Differential]]</f>
        <v>1.3386828158105917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0.72855704210243089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-5.5124787449478845E-2</v>
      </c>
      <c r="H1046" t="s">
        <v>15</v>
      </c>
      <c r="I1046">
        <f>VLOOKUP(Table4[[#This Row],[Visitor]],'NHL Model'!$A$6:$B$38,2,FALSE)</f>
        <v>-0.29003398448394263</v>
      </c>
      <c r="J1046">
        <f>($B$1+Table4[[#This Row],[Home Differential]])-Table4[[#This Row],[Away Differential]]</f>
        <v>0.28480994595762626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0.47317429829023583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-0.59288962827382519</v>
      </c>
      <c r="H1047" t="s">
        <v>33</v>
      </c>
      <c r="I1047">
        <f>VLOOKUP(Table4[[#This Row],[Visitor]],'NHL Model'!$A$6:$B$38,2,FALSE)</f>
        <v>-0.45133099238224339</v>
      </c>
      <c r="J1047">
        <f>($B$1+Table4[[#This Row],[Home Differential]])-Table4[[#This Row],[Away Differential]]</f>
        <v>-9.1657886968419366E-2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0.47070241107742589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1.5302507646042616E-3</v>
      </c>
      <c r="H1048" t="s">
        <v>13</v>
      </c>
      <c r="I1048">
        <f>VLOOKUP(Table4[[#This Row],[Visitor]],'NHL Model'!$A$6:$B$38,2,FALSE)</f>
        <v>-0.33828359867721369</v>
      </c>
      <c r="J1048">
        <f>($B$1+Table4[[#This Row],[Home Differential]])-Table4[[#This Row],[Away Differential]]</f>
        <v>0.3897145983649804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0.60106048669162915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-0.24093199744133265</v>
      </c>
      <c r="H1049" t="s">
        <v>16</v>
      </c>
      <c r="I1049">
        <f>VLOOKUP(Table4[[#This Row],[Visitor]],'NHL Model'!$A$6:$B$38,2,FALSE)</f>
        <v>-1.0657812790446208</v>
      </c>
      <c r="J1049">
        <f>($B$1+Table4[[#This Row],[Home Differential]])-Table4[[#This Row],[Away Differential]]</f>
        <v>0.87475003052645062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0.64213997645298715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-0.53137605086483863</v>
      </c>
      <c r="H1050" t="s">
        <v>31</v>
      </c>
      <c r="I1050">
        <f>VLOOKUP(Table4[[#This Row],[Visitor]],'NHL Model'!$A$6:$B$38,2,FALSE)</f>
        <v>0.17870302183926629</v>
      </c>
      <c r="J1050">
        <f>($B$1+Table4[[#This Row],[Home Differential]])-Table4[[#This Row],[Away Differential]]</f>
        <v>-0.66017832378094243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0.55534643240329606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-0.38023958350631604</v>
      </c>
      <c r="H1051" t="s">
        <v>28</v>
      </c>
      <c r="I1051">
        <f>VLOOKUP(Table4[[#This Row],[Visitor]],'NHL Model'!$A$6:$B$38,2,FALSE)</f>
        <v>-0.59498940435054026</v>
      </c>
      <c r="J1051">
        <f>($B$1+Table4[[#This Row],[Home Differential]])-Table4[[#This Row],[Away Differential]]</f>
        <v>0.26465056976738671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0.58136057558031018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0.51050494674660429</v>
      </c>
      <c r="H1052" t="s">
        <v>25</v>
      </c>
      <c r="I1052">
        <f>VLOOKUP(Table4[[#This Row],[Visitor]],'NHL Model'!$A$6:$B$38,2,FALSE)</f>
        <v>0.42567513732855267</v>
      </c>
      <c r="J1052">
        <f>($B$1+Table4[[#This Row],[Home Differential]])-Table4[[#This Row],[Away Differential]]</f>
        <v>0.13473055834121406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0.5157317811674581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-0.4031232890211825</v>
      </c>
      <c r="H1053" t="s">
        <v>14</v>
      </c>
      <c r="I1053">
        <f>VLOOKUP(Table4[[#This Row],[Visitor]],'NHL Model'!$A$6:$B$38,2,FALSE)</f>
        <v>-0.14226422156549004</v>
      </c>
      <c r="J1053">
        <f>($B$1+Table4[[#This Row],[Home Differential]])-Table4[[#This Row],[Away Differential]]</f>
        <v>-0.21095831853252997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0.48296583054457271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-0.9476777551108041</v>
      </c>
      <c r="H1054" t="s">
        <v>32</v>
      </c>
      <c r="I1054">
        <f>VLOOKUP(Table4[[#This Row],[Visitor]],'NHL Model'!$A$6:$B$38,2,FALSE)</f>
        <v>-0.64937723527808999</v>
      </c>
      <c r="J1054">
        <f>($B$1+Table4[[#This Row],[Home Differential]])-Table4[[#This Row],[Away Differential]]</f>
        <v>-0.24839977090955168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0.48900433937265447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-0.24444083032063643</v>
      </c>
      <c r="H1055" t="s">
        <v>10</v>
      </c>
      <c r="I1055">
        <f>VLOOKUP(Table4[[#This Row],[Visitor]],'NHL Model'!$A$6:$B$38,2,FALSE)</f>
        <v>-0.17619625518431364</v>
      </c>
      <c r="J1055">
        <f>($B$1+Table4[[#This Row],[Home Differential]])-Table4[[#This Row],[Away Differential]]</f>
        <v>-1.834382621316033E-2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0.46214191244593872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-0.31324182378279158</v>
      </c>
      <c r="H1056" t="s">
        <v>12</v>
      </c>
      <c r="I1056">
        <f>VLOOKUP(Table4[[#This Row],[Visitor]],'NHL Model'!$A$6:$B$38,2,FALSE)</f>
        <v>1.6319036584269762</v>
      </c>
      <c r="J1056">
        <f>($B$1+Table4[[#This Row],[Home Differential]])-Table4[[#This Row],[Away Differential]]</f>
        <v>-1.8952447332866051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0.75141827635481073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0.4407072328537569</v>
      </c>
      <c r="H1057" t="s">
        <v>21</v>
      </c>
      <c r="I1057">
        <f>VLOOKUP(Table4[[#This Row],[Visitor]],'NHL Model'!$A$6:$B$38,2,FALSE)</f>
        <v>-0.21976976044773161</v>
      </c>
      <c r="J1057">
        <f>($B$1+Table4[[#This Row],[Home Differential]])-Table4[[#This Row],[Away Differential]]</f>
        <v>0.710377742224651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0.64816447713626768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-0.81774666423752174</v>
      </c>
      <c r="H1058" t="s">
        <v>29</v>
      </c>
      <c r="I1058">
        <f>VLOOKUP(Table4[[#This Row],[Visitor]],'NHL Model'!$A$6:$B$38,2,FALSE)</f>
        <v>-1.384917283810061</v>
      </c>
      <c r="J1058">
        <f>($B$1+Table4[[#This Row],[Home Differential]])-Table4[[#This Row],[Away Differential]]</f>
        <v>0.61707136849570166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0.61909814145523023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-5.5124787449478845E-2</v>
      </c>
      <c r="H1059" t="s">
        <v>19</v>
      </c>
      <c r="I1059">
        <f>VLOOKUP(Table4[[#This Row],[Visitor]],'NHL Model'!$A$6:$B$38,2,FALSE)</f>
        <v>-0.63447859131898054</v>
      </c>
      <c r="J1059">
        <f>($B$1+Table4[[#This Row],[Home Differential]])-Table4[[#This Row],[Away Differential]]</f>
        <v>0.62925455279266418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0.61347475617291136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-0.59288962827382519</v>
      </c>
      <c r="H1060" t="s">
        <v>31</v>
      </c>
      <c r="I1060">
        <f>VLOOKUP(Table4[[#This Row],[Visitor]],'NHL Model'!$A$6:$B$38,2,FALSE)</f>
        <v>0.17870302183926629</v>
      </c>
      <c r="J1060">
        <f>($B$1+Table4[[#This Row],[Home Differential]])-Table4[[#This Row],[Away Differential]]</f>
        <v>-0.72169190118992899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0.56503741164541521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-0.53137605086483863</v>
      </c>
      <c r="H1061" t="s">
        <v>33</v>
      </c>
      <c r="I1061">
        <f>VLOOKUP(Table4[[#This Row],[Visitor]],'NHL Model'!$A$6:$B$38,2,FALSE)</f>
        <v>-0.45133099238224339</v>
      </c>
      <c r="J1061">
        <f>($B$1+Table4[[#This Row],[Home Differential]])-Table4[[#This Row],[Away Differential]]</f>
        <v>-3.0144309559432758E-2</v>
      </c>
      <c r="K1061" t="str">
        <f>IF(Table4[[#This Row],[HomeIce Differential]]&gt;0,Table4[[#This Row],[Home]],Table4[[#This Row],[Visitor]])</f>
        <v>San Jose Sharks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0.4610243138349801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-0.64937723527808999</v>
      </c>
      <c r="H1062" t="s">
        <v>11</v>
      </c>
      <c r="I1062">
        <f>VLOOKUP(Table4[[#This Row],[Visitor]],'NHL Model'!$A$6:$B$38,2,FALSE)</f>
        <v>-0.39711829106410657</v>
      </c>
      <c r="J1062">
        <f>($B$1+Table4[[#This Row],[Home Differential]])-Table4[[#This Row],[Away Differential]]</f>
        <v>-0.202358195290821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0.48362830589400985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-0.31324182378279158</v>
      </c>
      <c r="H1063" t="s">
        <v>35</v>
      </c>
      <c r="I1063">
        <f>VLOOKUP(Table4[[#This Row],[Visitor]],'NHL Model'!$A$6:$B$38,2,FALSE)</f>
        <v>-1.3944783719477225</v>
      </c>
      <c r="J1063">
        <f>($B$1+Table4[[#This Row],[Home Differential]])-Table4[[#This Row],[Away Differential]]</f>
        <v>1.1311372970880935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0.67457245303438529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1.6319036584269762</v>
      </c>
      <c r="H1064" t="s">
        <v>14</v>
      </c>
      <c r="I1064">
        <f>VLOOKUP(Table4[[#This Row],[Visitor]],'NHL Model'!$A$6:$B$38,2,FALSE)</f>
        <v>-0.14226422156549004</v>
      </c>
      <c r="J1064">
        <f>($B$1+Table4[[#This Row],[Home Differential]])-Table4[[#This Row],[Away Differential]]</f>
        <v>1.8240686289156287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0.82046356927148056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0.41344250185511977</v>
      </c>
      <c r="H1065" t="s">
        <v>55</v>
      </c>
      <c r="I1065">
        <f>VLOOKUP(Table4[[#This Row],[Visitor]],'NHL Model'!$A$6:$B$38,2,FALSE)</f>
        <v>-0.4031232890211825</v>
      </c>
      <c r="J1065">
        <f>($B$1+Table4[[#This Row],[Home Differential]])-Table4[[#This Row],[Away Differential]]</f>
        <v>0.86646653979946475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0.67341882246331153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-0.87533956503230947</v>
      </c>
      <c r="H1066" t="s">
        <v>16</v>
      </c>
      <c r="I1066">
        <f>VLOOKUP(Table4[[#This Row],[Visitor]],'NHL Model'!$A$6:$B$38,2,FALSE)</f>
        <v>-1.0657812790446208</v>
      </c>
      <c r="J1066">
        <f>($B$1+Table4[[#This Row],[Home Differential]])-Table4[[#This Row],[Away Differential]]</f>
        <v>0.24034246293547379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0.56806352974930241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1.5302507646042616E-3</v>
      </c>
      <c r="H1067" t="s">
        <v>21</v>
      </c>
      <c r="I1067">
        <f>VLOOKUP(Table4[[#This Row],[Visitor]],'NHL Model'!$A$6:$B$38,2,FALSE)</f>
        <v>-0.21976976044773161</v>
      </c>
      <c r="J1067">
        <f>($B$1+Table4[[#This Row],[Home Differential]])-Table4[[#This Row],[Away Differential]]</f>
        <v>0.27120076013549832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0.65071431043098604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-0.29003398448394263</v>
      </c>
      <c r="H1068" t="s">
        <v>13</v>
      </c>
      <c r="I1068">
        <f>VLOOKUP(Table4[[#This Row],[Visitor]],'NHL Model'!$A$6:$B$38,2,FALSE)</f>
        <v>-0.33828359867721369</v>
      </c>
      <c r="J1068">
        <f>($B$1+Table4[[#This Row],[Home Differential]])-Table4[[#This Row],[Away Differential]]</f>
        <v>9.815036311643352E-2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0.48514471401613135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-0.59498940435054026</v>
      </c>
      <c r="H1069" t="s">
        <v>25</v>
      </c>
      <c r="I1069">
        <f>VLOOKUP(Table4[[#This Row],[Visitor]],'NHL Model'!$A$6:$B$38,2,FALSE)</f>
        <v>0.42567513732855267</v>
      </c>
      <c r="J1069">
        <f>($B$1+Table4[[#This Row],[Home Differential]])-Table4[[#This Row],[Away Differential]]</f>
        <v>-0.9707637927559305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0.64597416936312857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-0.17619625518431364</v>
      </c>
      <c r="H1070" t="s">
        <v>34</v>
      </c>
      <c r="I1070">
        <f>VLOOKUP(Table4[[#This Row],[Visitor]],'NHL Model'!$A$6:$B$38,2,FALSE)</f>
        <v>-5.5124787449478845E-2</v>
      </c>
      <c r="J1070">
        <f>($B$1+Table4[[#This Row],[Home Differential]])-Table4[[#This Row],[Away Differential]]</f>
        <v>-7.1170718811672334E-2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0.51082279464017433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-0.81774666423752174</v>
      </c>
      <c r="H1071" t="s">
        <v>33</v>
      </c>
      <c r="I1071">
        <f>VLOOKUP(Table4[[#This Row],[Visitor]],'NHL Model'!$A$6:$B$38,2,FALSE)</f>
        <v>-0.45133099238224339</v>
      </c>
      <c r="J1071">
        <f>($B$1+Table4[[#This Row],[Home Differential]])-Table4[[#This Row],[Away Differential]]</f>
        <v>-0.31651492293211592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0.48991183681922673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-0.59288962827382519</v>
      </c>
      <c r="H1072" t="s">
        <v>21</v>
      </c>
      <c r="I1072">
        <f>VLOOKUP(Table4[[#This Row],[Visitor]],'NHL Model'!$A$6:$B$38,2,FALSE)</f>
        <v>-0.21976976044773161</v>
      </c>
      <c r="J1072">
        <f>($B$1+Table4[[#This Row],[Home Differential]])-Table4[[#This Row],[Away Differential]]</f>
        <v>-0.32321911890293115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0.49857009559320375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-0.64937723527808999</v>
      </c>
      <c r="H1073" t="s">
        <v>37</v>
      </c>
      <c r="I1073">
        <f>VLOOKUP(Table4[[#This Row],[Visitor]],'NHL Model'!$A$6:$B$38,2,FALSE)</f>
        <v>0.51050494674660429</v>
      </c>
      <c r="J1073">
        <f>($B$1+Table4[[#This Row],[Home Differential]])-Table4[[#This Row],[Away Differential]]</f>
        <v>-1.1099814331015319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0.68209290231665043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-0.63447859131898054</v>
      </c>
      <c r="H1074" t="s">
        <v>30</v>
      </c>
      <c r="I1074">
        <f>VLOOKUP(Table4[[#This Row],[Visitor]],'NHL Model'!$A$6:$B$38,2,FALSE)</f>
        <v>-0.24093199744133265</v>
      </c>
      <c r="J1074">
        <f>($B$1+Table4[[#This Row],[Home Differential]])-Table4[[#This Row],[Away Differential]]</f>
        <v>-0.34364584495448547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0.5727488933569812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-0.9476777551108041</v>
      </c>
      <c r="H1075" t="s">
        <v>11</v>
      </c>
      <c r="I1075">
        <f>VLOOKUP(Table4[[#This Row],[Visitor]],'NHL Model'!$A$6:$B$38,2,FALSE)</f>
        <v>-0.39711829106410657</v>
      </c>
      <c r="J1075">
        <f>($B$1+Table4[[#This Row],[Home Differential]])-Table4[[#This Row],[Away Differential]]</f>
        <v>-0.5006587151235351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0.51845929418593417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-0.24444083032063643</v>
      </c>
      <c r="H1076" t="s">
        <v>23</v>
      </c>
      <c r="I1076">
        <f>VLOOKUP(Table4[[#This Row],[Visitor]],'NHL Model'!$A$6:$B$38,2,FALSE)</f>
        <v>-0.4761104357405897</v>
      </c>
      <c r="J1076">
        <f>($B$1+Table4[[#This Row],[Home Differential]])-Table4[[#This Row],[Away Differential]]</f>
        <v>0.28157035434311573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0.57287749455139403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-0.31324182378279158</v>
      </c>
      <c r="H1077" t="s">
        <v>29</v>
      </c>
      <c r="I1077">
        <f>VLOOKUP(Table4[[#This Row],[Visitor]],'NHL Model'!$A$6:$B$38,2,FALSE)</f>
        <v>-1.384917283810061</v>
      </c>
      <c r="J1077">
        <f>($B$1+Table4[[#This Row],[Home Differential]])-Table4[[#This Row],[Away Differential]]</f>
        <v>1.1215762089504318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0.67345605488272364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0.17870302183926629</v>
      </c>
      <c r="H1078" t="s">
        <v>27</v>
      </c>
      <c r="I1078">
        <f>VLOOKUP(Table4[[#This Row],[Visitor]],'NHL Model'!$A$6:$B$38,2,FALSE)</f>
        <v>-0.38023958350631604</v>
      </c>
      <c r="J1078">
        <f>($B$1+Table4[[#This Row],[Home Differential]])-Table4[[#This Row],[Away Differential]]</f>
        <v>0.60884335426874481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0.65003881591850643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0.42567513732855267</v>
      </c>
      <c r="H1079" t="s">
        <v>14</v>
      </c>
      <c r="I1079">
        <f>VLOOKUP(Table4[[#This Row],[Visitor]],'NHL Model'!$A$6:$B$38,2,FALSE)</f>
        <v>-0.14226422156549004</v>
      </c>
      <c r="J1079">
        <f>($B$1+Table4[[#This Row],[Home Differential]])-Table4[[#This Row],[Away Differential]]</f>
        <v>0.61784010781720522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0.62533344061854423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-1.0657812790446208</v>
      </c>
      <c r="H1080" t="s">
        <v>35</v>
      </c>
      <c r="I1080">
        <f>VLOOKUP(Table4[[#This Row],[Visitor]],'NHL Model'!$A$6:$B$38,2,FALSE)</f>
        <v>-1.3944783719477225</v>
      </c>
      <c r="J1080">
        <f>($B$1+Table4[[#This Row],[Home Differential]])-Table4[[#This Row],[Away Differential]]</f>
        <v>0.3785978418262641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0.58420688573856194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1.6319036584269762</v>
      </c>
      <c r="H1081" t="s">
        <v>39</v>
      </c>
      <c r="I1081">
        <f>VLOOKUP(Table4[[#This Row],[Visitor]],'NHL Model'!$A$6:$B$38,2,FALSE)</f>
        <v>0.41344250185511977</v>
      </c>
      <c r="J1081">
        <f>($B$1+Table4[[#This Row],[Home Differential]])-Table4[[#This Row],[Away Differential]]</f>
        <v>1.2683619054950188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0.69431845954718507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-0.29003398448394263</v>
      </c>
      <c r="H1082" t="s">
        <v>24</v>
      </c>
      <c r="I1082">
        <f>VLOOKUP(Table4[[#This Row],[Visitor]],'NHL Model'!$A$6:$B$38,2,FALSE)</f>
        <v>1.5302507646042616E-3</v>
      </c>
      <c r="J1082">
        <f>($B$1+Table4[[#This Row],[Home Differential]])-Table4[[#This Row],[Away Differential]]</f>
        <v>-0.24166348632538442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0.50898700949621889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0.4407072328537569</v>
      </c>
      <c r="H1083" t="s">
        <v>36</v>
      </c>
      <c r="I1083">
        <f>VLOOKUP(Table4[[#This Row],[Visitor]],'NHL Model'!$A$6:$B$38,2,FALSE)</f>
        <v>-0.53137605086483863</v>
      </c>
      <c r="J1083">
        <f>($B$1+Table4[[#This Row],[Home Differential]])-Table4[[#This Row],[Away Differential]]</f>
        <v>1.021984032641758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0.68536945506778668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-0.21976976044773161</v>
      </c>
      <c r="H1084" t="s">
        <v>40</v>
      </c>
      <c r="I1084">
        <f>VLOOKUP(Table4[[#This Row],[Visitor]],'NHL Model'!$A$6:$B$38,2,FALSE)</f>
        <v>-0.31324182378279158</v>
      </c>
      <c r="J1084">
        <f>($B$1+Table4[[#This Row],[Home Differential]])-Table4[[#This Row],[Away Differential]]</f>
        <v>0.14337281225822243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0.57924089186283334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-0.59498940435054026</v>
      </c>
      <c r="H1085" t="s">
        <v>15</v>
      </c>
      <c r="I1085">
        <f>VLOOKUP(Table4[[#This Row],[Visitor]],'NHL Model'!$A$6:$B$38,2,FALSE)</f>
        <v>-0.29003398448394263</v>
      </c>
      <c r="J1085">
        <f>($B$1+Table4[[#This Row],[Home Differential]])-Table4[[#This Row],[Away Differential]]</f>
        <v>-0.2550546709434352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0.5898628635660369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-0.87533956503230947</v>
      </c>
      <c r="H1086" t="s">
        <v>18</v>
      </c>
      <c r="I1086">
        <f>VLOOKUP(Table4[[#This Row],[Visitor]],'NHL Model'!$A$6:$B$38,2,FALSE)</f>
        <v>-0.59288962827382519</v>
      </c>
      <c r="J1086">
        <f>($B$1+Table4[[#This Row],[Home Differential]])-Table4[[#This Row],[Away Differential]]</f>
        <v>-0.23254918783532186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0.54644138368872142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-0.81774666423752174</v>
      </c>
      <c r="H1087" t="s">
        <v>11</v>
      </c>
      <c r="I1087">
        <f>VLOOKUP(Table4[[#This Row],[Visitor]],'NHL Model'!$A$6:$B$38,2,FALSE)</f>
        <v>-0.39711829106410657</v>
      </c>
      <c r="J1087">
        <f>($B$1+Table4[[#This Row],[Home Differential]])-Table4[[#This Row],[Away Differential]]</f>
        <v>-0.37072762425025274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0.49624196982048518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-0.33828359867721369</v>
      </c>
      <c r="H1088" t="s">
        <v>27</v>
      </c>
      <c r="I1088">
        <f>VLOOKUP(Table4[[#This Row],[Visitor]],'NHL Model'!$A$6:$B$38,2,FALSE)</f>
        <v>-0.38023958350631604</v>
      </c>
      <c r="J1088">
        <f>($B$1+Table4[[#This Row],[Home Differential]])-Table4[[#This Row],[Away Differential]]</f>
        <v>9.185673375226483E-2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0.50821306656013865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-5.5124787449478845E-2</v>
      </c>
      <c r="H1089" t="s">
        <v>10</v>
      </c>
      <c r="I1089">
        <f>VLOOKUP(Table4[[#This Row],[Visitor]],'NHL Model'!$A$6:$B$38,2,FALSE)</f>
        <v>-0.17619625518431364</v>
      </c>
      <c r="J1089">
        <f>($B$1+Table4[[#This Row],[Home Differential]])-Table4[[#This Row],[Away Differential]]</f>
        <v>0.17097221665799728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0.5599635296646438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-1.384917283810061</v>
      </c>
      <c r="H1090" t="s">
        <v>32</v>
      </c>
      <c r="I1090">
        <f>VLOOKUP(Table4[[#This Row],[Visitor]],'NHL Model'!$A$6:$B$38,2,FALSE)</f>
        <v>-0.64937723527808999</v>
      </c>
      <c r="J1090">
        <f>($B$1+Table4[[#This Row],[Home Differential]])-Table4[[#This Row],[Away Differential]]</f>
        <v>-0.68563929960880854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0.54005850754316576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-0.53137605086483863</v>
      </c>
      <c r="H1091" t="s">
        <v>30</v>
      </c>
      <c r="I1091">
        <f>VLOOKUP(Table4[[#This Row],[Visitor]],'NHL Model'!$A$6:$B$38,2,FALSE)</f>
        <v>-0.24093199744133265</v>
      </c>
      <c r="J1091">
        <f>($B$1+Table4[[#This Row],[Home Differential]])-Table4[[#This Row],[Away Differential]]</f>
        <v>-0.2405433045003435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0.55820746289392176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-0.45133099238224339</v>
      </c>
      <c r="H1092" t="s">
        <v>23</v>
      </c>
      <c r="I1092">
        <f>VLOOKUP(Table4[[#This Row],[Visitor]],'NHL Model'!$A$6:$B$38,2,FALSE)</f>
        <v>-0.4761104357405897</v>
      </c>
      <c r="J1092">
        <f>($B$1+Table4[[#This Row],[Home Differential]])-Table4[[#This Row],[Away Differential]]</f>
        <v>7.4680192281508795E-2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0.55884226403859216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-0.9476777551108041</v>
      </c>
      <c r="H1093" t="s">
        <v>37</v>
      </c>
      <c r="I1093">
        <f>VLOOKUP(Table4[[#This Row],[Visitor]],'NHL Model'!$A$6:$B$38,2,FALSE)</f>
        <v>0.51050494674660429</v>
      </c>
      <c r="J1093">
        <f>($B$1+Table4[[#This Row],[Home Differential]])-Table4[[#This Row],[Away Differential]]</f>
        <v>-1.4082819529342459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0.71692389060857475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-0.24444083032063643</v>
      </c>
      <c r="H1094" t="s">
        <v>55</v>
      </c>
      <c r="I1094">
        <f>VLOOKUP(Table4[[#This Row],[Visitor]],'NHL Model'!$A$6:$B$38,2,FALSE)</f>
        <v>-0.4031232890211825</v>
      </c>
      <c r="J1094">
        <f>($B$1+Table4[[#This Row],[Home Differential]])-Table4[[#This Row],[Away Differential]]</f>
        <v>0.20858320762370852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0.56435516795849938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-1.0657812790446208</v>
      </c>
      <c r="H1095" t="s">
        <v>11</v>
      </c>
      <c r="I1095">
        <f>VLOOKUP(Table4[[#This Row],[Visitor]],'NHL Model'!$A$6:$B$38,2,FALSE)</f>
        <v>-0.39711829106410657</v>
      </c>
      <c r="J1095">
        <f>($B$1+Table4[[#This Row],[Home Differential]])-Table4[[#This Row],[Away Differential]]</f>
        <v>-0.61876223905735184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0.53224962368881501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-0.17619625518431364</v>
      </c>
      <c r="H1096" t="s">
        <v>12</v>
      </c>
      <c r="I1096">
        <f>VLOOKUP(Table4[[#This Row],[Visitor]],'NHL Model'!$A$6:$B$38,2,FALSE)</f>
        <v>1.6319036584269762</v>
      </c>
      <c r="J1096">
        <f>($B$1+Table4[[#This Row],[Home Differential]])-Table4[[#This Row],[Away Differential]]</f>
        <v>-1.7581991646881274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0.73791887075284956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-0.63447859131898054</v>
      </c>
      <c r="H1097" t="s">
        <v>25</v>
      </c>
      <c r="I1097">
        <f>VLOOKUP(Table4[[#This Row],[Visitor]],'NHL Model'!$A$6:$B$38,2,FALSE)</f>
        <v>0.42567513732855267</v>
      </c>
      <c r="J1097">
        <f>($B$1+Table4[[#This Row],[Home Differential]])-Table4[[#This Row],[Away Differential]]</f>
        <v>-1.0102529797243709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0.6505851147604973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-0.4031232890211825</v>
      </c>
      <c r="H1098" t="s">
        <v>31</v>
      </c>
      <c r="I1098">
        <f>VLOOKUP(Table4[[#This Row],[Visitor]],'NHL Model'!$A$6:$B$38,2,FALSE)</f>
        <v>0.17870302183926629</v>
      </c>
      <c r="J1098">
        <f>($B$1+Table4[[#This Row],[Home Differential]])-Table4[[#This Row],[Away Differential]]</f>
        <v>-0.53192556193728624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0.50211016001716335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0.4407072328537569</v>
      </c>
      <c r="H1099" t="s">
        <v>24</v>
      </c>
      <c r="I1099">
        <f>VLOOKUP(Table4[[#This Row],[Visitor]],'NHL Model'!$A$6:$B$38,2,FALSE)</f>
        <v>1.5302507646042616E-3</v>
      </c>
      <c r="J1099">
        <f>($B$1+Table4[[#This Row],[Home Differential]])-Table4[[#This Row],[Away Differential]]</f>
        <v>0.48907773101231511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0.6025615888223681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-0.59498940435054026</v>
      </c>
      <c r="H1100" t="s">
        <v>32</v>
      </c>
      <c r="I1100">
        <f>VLOOKUP(Table4[[#This Row],[Visitor]],'NHL Model'!$A$6:$B$38,2,FALSE)</f>
        <v>-0.64937723527808999</v>
      </c>
      <c r="J1100">
        <f>($B$1+Table4[[#This Row],[Home Differential]])-Table4[[#This Row],[Away Differential]]</f>
        <v>0.10428857985071216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0.55217723088715587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-0.87533956503230947</v>
      </c>
      <c r="H1101" t="s">
        <v>21</v>
      </c>
      <c r="I1101">
        <f>VLOOKUP(Table4[[#This Row],[Visitor]],'NHL Model'!$A$6:$B$38,2,FALSE)</f>
        <v>-0.21976976044773161</v>
      </c>
      <c r="J1101">
        <f>($B$1+Table4[[#This Row],[Home Differential]])-Table4[[#This Row],[Away Differential]]</f>
        <v>-0.60566905566141549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0.53155029437330192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-0.81774666423752174</v>
      </c>
      <c r="H1102" t="s">
        <v>37</v>
      </c>
      <c r="I1102">
        <f>VLOOKUP(Table4[[#This Row],[Visitor]],'NHL Model'!$A$6:$B$38,2,FALSE)</f>
        <v>0.51050494674660429</v>
      </c>
      <c r="J1102">
        <f>($B$1+Table4[[#This Row],[Home Differential]])-Table4[[#This Row],[Away Differential]]</f>
        <v>-1.2783508620609636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0.69472087571232355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-0.33828359867721369</v>
      </c>
      <c r="H1103" t="s">
        <v>23</v>
      </c>
      <c r="I1103">
        <f>VLOOKUP(Table4[[#This Row],[Visitor]],'NHL Model'!$A$6:$B$38,2,FALSE)</f>
        <v>-0.4761104357405897</v>
      </c>
      <c r="J1103">
        <f>($B$1+Table4[[#This Row],[Home Differential]])-Table4[[#This Row],[Away Differential]]</f>
        <v>0.18772758598653849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0.5619199663253529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-5.5124787449478845E-2</v>
      </c>
      <c r="H1104" t="s">
        <v>39</v>
      </c>
      <c r="I1104">
        <f>VLOOKUP(Table4[[#This Row],[Visitor]],'NHL Model'!$A$6:$B$38,2,FALSE)</f>
        <v>0.41344250185511977</v>
      </c>
      <c r="J1104">
        <f>($B$1+Table4[[#This Row],[Home Differential]])-Table4[[#This Row],[Away Differential]]</f>
        <v>-0.41866654038143614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0.61068325047565086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-0.59288962827382519</v>
      </c>
      <c r="H1105" t="s">
        <v>30</v>
      </c>
      <c r="I1105">
        <f>VLOOKUP(Table4[[#This Row],[Visitor]],'NHL Model'!$A$6:$B$38,2,FALSE)</f>
        <v>-0.24093199744133265</v>
      </c>
      <c r="J1105">
        <f>($B$1+Table4[[#This Row],[Home Differential]])-Table4[[#This Row],[Away Differential]]</f>
        <v>-0.30205688190933011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0.56789276811217293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-1.384917283810061</v>
      </c>
      <c r="H1106" t="s">
        <v>20</v>
      </c>
      <c r="I1106">
        <f>VLOOKUP(Table4[[#This Row],[Visitor]],'NHL Model'!$A$6:$B$38,2,FALSE)</f>
        <v>-0.24444083032063643</v>
      </c>
      <c r="J1106">
        <f>($B$1+Table4[[#This Row],[Home Differential]])-Table4[[#This Row],[Away Differential]]</f>
        <v>-1.0905757045662621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0.58734080925674181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-0.53137605086483863</v>
      </c>
      <c r="H1107" t="s">
        <v>19</v>
      </c>
      <c r="I1107">
        <f>VLOOKUP(Table4[[#This Row],[Visitor]],'NHL Model'!$A$6:$B$38,2,FALSE)</f>
        <v>-0.63447859131898054</v>
      </c>
      <c r="J1107">
        <f>($B$1+Table4[[#This Row],[Home Differential]])-Table4[[#This Row],[Away Differential]]</f>
        <v>0.1530032893773044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0.56036087140652391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-0.14226422156549004</v>
      </c>
      <c r="H1108" t="s">
        <v>40</v>
      </c>
      <c r="I1108">
        <f>VLOOKUP(Table4[[#This Row],[Visitor]],'NHL Model'!$A$6:$B$38,2,FALSE)</f>
        <v>-0.31324182378279158</v>
      </c>
      <c r="J1108">
        <f>($B$1+Table4[[#This Row],[Home Differential]])-Table4[[#This Row],[Away Differential]]</f>
        <v>0.220878351140464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0.54502157665821693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-0.45133099238224339</v>
      </c>
      <c r="H1109" t="s">
        <v>27</v>
      </c>
      <c r="I1109">
        <f>VLOOKUP(Table4[[#This Row],[Visitor]],'NHL Model'!$A$6:$B$38,2,FALSE)</f>
        <v>-0.38023958350631604</v>
      </c>
      <c r="J1109">
        <f>($B$1+Table4[[#This Row],[Home Differential]])-Table4[[#This Row],[Away Differential]]</f>
        <v>-2.1190659952764868E-2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0.49478201460899707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-0.9476777551108041</v>
      </c>
      <c r="H1110" t="s">
        <v>35</v>
      </c>
      <c r="I1110">
        <f>VLOOKUP(Table4[[#This Row],[Visitor]],'NHL Model'!$A$6:$B$38,2,FALSE)</f>
        <v>-1.3944783719477225</v>
      </c>
      <c r="J1110">
        <f>($B$1+Table4[[#This Row],[Home Differential]])-Table4[[#This Row],[Away Differential]]</f>
        <v>0.49670136576008084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0.59799721524144278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0.17870302183926629</v>
      </c>
      <c r="H1111" t="s">
        <v>23</v>
      </c>
      <c r="I1111">
        <f>VLOOKUP(Table4[[#This Row],[Visitor]],'NHL Model'!$A$6:$B$38,2,FALSE)</f>
        <v>-0.4761104357405897</v>
      </c>
      <c r="J1111">
        <f>($B$1+Table4[[#This Row],[Home Differential]])-Table4[[#This Row],[Away Differential]]</f>
        <v>0.70471420650301841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0.70212049519239939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-1.0657812790446208</v>
      </c>
      <c r="H1112" t="s">
        <v>37</v>
      </c>
      <c r="I1112">
        <f>VLOOKUP(Table4[[#This Row],[Visitor]],'NHL Model'!$A$6:$B$38,2,FALSE)</f>
        <v>0.51050494674660429</v>
      </c>
      <c r="J1112">
        <f>($B$1+Table4[[#This Row],[Home Differential]])-Table4[[#This Row],[Away Differential]]</f>
        <v>-1.5263854768680627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0.73071422011145559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-0.17619625518431364</v>
      </c>
      <c r="H1113" t="s">
        <v>29</v>
      </c>
      <c r="I1113">
        <f>VLOOKUP(Table4[[#This Row],[Visitor]],'NHL Model'!$A$6:$B$38,2,FALSE)</f>
        <v>-1.384917283810061</v>
      </c>
      <c r="J1113">
        <f>($B$1+Table4[[#This Row],[Home Differential]])-Table4[[#This Row],[Away Differential]]</f>
        <v>1.2586217775489097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0.68696266846049026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0.41344250185511977</v>
      </c>
      <c r="H1114" t="s">
        <v>20</v>
      </c>
      <c r="I1114">
        <f>VLOOKUP(Table4[[#This Row],[Visitor]],'NHL Model'!$A$6:$B$38,2,FALSE)</f>
        <v>-0.24444083032063643</v>
      </c>
      <c r="J1114">
        <f>($B$1+Table4[[#This Row],[Home Differential]])-Table4[[#This Row],[Away Differential]]</f>
        <v>0.70778408109891866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0.65489030342408205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-0.24093199744133265</v>
      </c>
      <c r="H1115" t="s">
        <v>28</v>
      </c>
      <c r="I1115">
        <f>VLOOKUP(Table4[[#This Row],[Visitor]],'NHL Model'!$A$6:$B$38,2,FALSE)</f>
        <v>-0.59498940435054026</v>
      </c>
      <c r="J1115">
        <f>($B$1+Table4[[#This Row],[Home Differential]])-Table4[[#This Row],[Away Differential]]</f>
        <v>0.40395815583237005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0.5835919177498986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-0.29003398448394263</v>
      </c>
      <c r="H1116" t="s">
        <v>40</v>
      </c>
      <c r="I1116">
        <f>VLOOKUP(Table4[[#This Row],[Visitor]],'NHL Model'!$A$6:$B$38,2,FALSE)</f>
        <v>-0.31324182378279158</v>
      </c>
      <c r="J1116">
        <f>($B$1+Table4[[#This Row],[Home Differential]])-Table4[[#This Row],[Away Differential]]</f>
        <v>7.3108588222011411E-2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0.52776727591144157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-0.14226422156549004</v>
      </c>
      <c r="H1117" t="s">
        <v>25</v>
      </c>
      <c r="I1117">
        <f>VLOOKUP(Table4[[#This Row],[Visitor]],'NHL Model'!$A$6:$B$38,2,FALSE)</f>
        <v>0.42567513732855267</v>
      </c>
      <c r="J1117">
        <f>($B$1+Table4[[#This Row],[Home Differential]])-Table4[[#This Row],[Away Differential]]</f>
        <v>-0.51803860997088025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0.59311182252615857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-0.4031232890211825</v>
      </c>
      <c r="H1118" t="s">
        <v>13</v>
      </c>
      <c r="I1118">
        <f>VLOOKUP(Table4[[#This Row],[Visitor]],'NHL Model'!$A$6:$B$38,2,FALSE)</f>
        <v>-0.33828359867721369</v>
      </c>
      <c r="J1118">
        <f>($B$1+Table4[[#This Row],[Home Differential]])-Table4[[#This Row],[Away Differential]]</f>
        <v>-1.4938941420806318E-2</v>
      </c>
      <c r="K1118" t="str">
        <f>IF(Table4[[#This Row],[HomeIce Differential]]&gt;0,Table4[[#This Row],[Home]],Table4[[#This Row],[Visitor]])</f>
        <v>Los Angeles Kings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0.48703845954097724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0.4407072328537569</v>
      </c>
      <c r="H1119" t="s">
        <v>12</v>
      </c>
      <c r="I1119">
        <f>VLOOKUP(Table4[[#This Row],[Visitor]],'NHL Model'!$A$6:$B$38,2,FALSE)</f>
        <v>1.6319036584269762</v>
      </c>
      <c r="J1119">
        <f>($B$1+Table4[[#This Row],[Home Differential]])-Table4[[#This Row],[Away Differential]]</f>
        <v>-1.1412956766500568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0.63959222849493702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-0.29003398448394263</v>
      </c>
      <c r="H1120" t="s">
        <v>36</v>
      </c>
      <c r="I1120">
        <f>VLOOKUP(Table4[[#This Row],[Visitor]],'NHL Model'!$A$6:$B$38,2,FALSE)</f>
        <v>-0.53137605086483863</v>
      </c>
      <c r="J1120">
        <f>($B$1+Table4[[#This Row],[Home Differential]])-Table4[[#This Row],[Away Differential]]</f>
        <v>0.29124281530405849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0.57400689712391928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-0.21976976044773161</v>
      </c>
      <c r="H1121" t="s">
        <v>19</v>
      </c>
      <c r="I1121">
        <f>VLOOKUP(Table4[[#This Row],[Visitor]],'NHL Model'!$A$6:$B$38,2,FALSE)</f>
        <v>-0.63447859131898054</v>
      </c>
      <c r="J1121">
        <f>($B$1+Table4[[#This Row],[Home Differential]])-Table4[[#This Row],[Away Differential]]</f>
        <v>0.46460957979441142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0.63715157999313932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-1.0657812790446208</v>
      </c>
      <c r="H1122" t="s">
        <v>13</v>
      </c>
      <c r="I1122">
        <f>VLOOKUP(Table4[[#This Row],[Visitor]],'NHL Model'!$A$6:$B$38,2,FALSE)</f>
        <v>-0.33828359867721369</v>
      </c>
      <c r="J1122">
        <f>($B$1+Table4[[#This Row],[Home Differential]])-Table4[[#This Row],[Away Differential]]</f>
        <v>-0.67759693144424471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0.60543523183675452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0.41344250185511977</v>
      </c>
      <c r="H1123" t="s">
        <v>24</v>
      </c>
      <c r="I1123">
        <f>VLOOKUP(Table4[[#This Row],[Visitor]],'NHL Model'!$A$6:$B$38,2,FALSE)</f>
        <v>1.5302507646042616E-3</v>
      </c>
      <c r="J1123">
        <f>($B$1+Table4[[#This Row],[Home Differential]])-Table4[[#This Row],[Away Differential]]</f>
        <v>0.46181300001367798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0.60564762155605634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-0.87533956503230947</v>
      </c>
      <c r="H1124" t="s">
        <v>36</v>
      </c>
      <c r="I1124">
        <f>VLOOKUP(Table4[[#This Row],[Visitor]],'NHL Model'!$A$6:$B$38,2,FALSE)</f>
        <v>-0.53137605086483863</v>
      </c>
      <c r="J1124">
        <f>($B$1+Table4[[#This Row],[Home Differential]])-Table4[[#This Row],[Away Differential]]</f>
        <v>-0.29406276524430841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0.49433616789893414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-0.39711829106410657</v>
      </c>
      <c r="H1125" t="s">
        <v>32</v>
      </c>
      <c r="I1125">
        <f>VLOOKUP(Table4[[#This Row],[Visitor]],'NHL Model'!$A$6:$B$38,2,FALSE)</f>
        <v>-0.64937723527808999</v>
      </c>
      <c r="J1125">
        <f>($B$1+Table4[[#This Row],[Home Differential]])-Table4[[#This Row],[Away Differential]]</f>
        <v>0.30215969313714591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0.58929822423116462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-0.59288962827382519</v>
      </c>
      <c r="H1126" t="s">
        <v>25</v>
      </c>
      <c r="I1126">
        <f>VLOOKUP(Table4[[#This Row],[Visitor]],'NHL Model'!$A$6:$B$38,2,FALSE)</f>
        <v>0.42567513732855267</v>
      </c>
      <c r="J1126">
        <f>($B$1+Table4[[#This Row],[Home Differential]])-Table4[[#This Row],[Away Differential]]</f>
        <v>-0.96866401667921542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0.64572898951568902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-1.384917283810061</v>
      </c>
      <c r="H1127" t="s">
        <v>33</v>
      </c>
      <c r="I1127">
        <f>VLOOKUP(Table4[[#This Row],[Visitor]],'NHL Model'!$A$6:$B$38,2,FALSE)</f>
        <v>-0.45133099238224339</v>
      </c>
      <c r="J1127">
        <f>($B$1+Table4[[#This Row],[Home Differential]])-Table4[[#This Row],[Away Differential]]</f>
        <v>-0.88368554250465514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0.563183329355187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-0.24093199744133265</v>
      </c>
      <c r="H1128" t="s">
        <v>10</v>
      </c>
      <c r="I1128">
        <f>VLOOKUP(Table4[[#This Row],[Visitor]],'NHL Model'!$A$6:$B$38,2,FALSE)</f>
        <v>-0.17619625518431364</v>
      </c>
      <c r="J1128">
        <f>($B$1+Table4[[#This Row],[Home Differential]])-Table4[[#This Row],[Away Differential]]</f>
        <v>-1.4834993333856544E-2</v>
      </c>
      <c r="K1128" t="str">
        <f>IF(Table4[[#This Row],[HomeIce Differential]]&gt;0,Table4[[#This Row],[Home]],Table4[[#This Row],[Visitor]])</f>
        <v>Chicago Blackhawks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0.46173220442060281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-0.38023958350631604</v>
      </c>
      <c r="H1129" t="s">
        <v>28</v>
      </c>
      <c r="I1129">
        <f>VLOOKUP(Table4[[#This Row],[Visitor]],'NHL Model'!$A$6:$B$38,2,FALSE)</f>
        <v>-0.59498940435054026</v>
      </c>
      <c r="J1129">
        <f>($B$1+Table4[[#This Row],[Home Differential]])-Table4[[#This Row],[Away Differential]]</f>
        <v>0.26465056976738671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0.58136057558031018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-0.14226422156549004</v>
      </c>
      <c r="H1130" t="s">
        <v>12</v>
      </c>
      <c r="I1130">
        <f>VLOOKUP(Table4[[#This Row],[Visitor]],'NHL Model'!$A$6:$B$38,2,FALSE)</f>
        <v>1.6319036584269762</v>
      </c>
      <c r="J1130">
        <f>($B$1+Table4[[#This Row],[Home Differential]])-Table4[[#This Row],[Away Differential]]</f>
        <v>-1.7242671310693036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0.73395680502677829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-1.3944783719477225</v>
      </c>
      <c r="H1131" t="s">
        <v>22</v>
      </c>
      <c r="I1131">
        <f>VLOOKUP(Table4[[#This Row],[Visitor]],'NHL Model'!$A$6:$B$38,2,FALSE)</f>
        <v>0.4407072328537569</v>
      </c>
      <c r="J1131">
        <f>($B$1+Table4[[#This Row],[Home Differential]])-Table4[[#This Row],[Away Differential]]</f>
        <v>-1.785284855878317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0.71097091866178919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0.51050494674660429</v>
      </c>
      <c r="H1132" t="s">
        <v>34</v>
      </c>
      <c r="I1132">
        <f>VLOOKUP(Table4[[#This Row],[Visitor]],'NHL Model'!$A$6:$B$38,2,FALSE)</f>
        <v>-5.5124787449478845E-2</v>
      </c>
      <c r="J1132">
        <f>($B$1+Table4[[#This Row],[Home Differential]])-Table4[[#This Row],[Away Differential]]</f>
        <v>0.61553048311924552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0.60199275041343858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-0.4031232890211825</v>
      </c>
      <c r="H1133" t="s">
        <v>17</v>
      </c>
      <c r="I1133">
        <f>VLOOKUP(Table4[[#This Row],[Visitor]],'NHL Model'!$A$6:$B$38,2,FALSE)</f>
        <v>-0.81774666423752174</v>
      </c>
      <c r="J1133">
        <f>($B$1+Table4[[#This Row],[Home Differential]])-Table4[[#This Row],[Away Differential]]</f>
        <v>0.46452412413950173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0.63467122482615079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-0.9476777551108041</v>
      </c>
      <c r="H1134" t="s">
        <v>31</v>
      </c>
      <c r="I1134">
        <f>VLOOKUP(Table4[[#This Row],[Visitor]],'NHL Model'!$A$6:$B$38,2,FALSE)</f>
        <v>0.17870302183926629</v>
      </c>
      <c r="J1134">
        <f>($B$1+Table4[[#This Row],[Home Differential]])-Table4[[#This Row],[Away Differential]]</f>
        <v>-1.076480028026908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0.60646416175266515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-0.31324182378279158</v>
      </c>
      <c r="H1135" t="s">
        <v>20</v>
      </c>
      <c r="I1135">
        <f>VLOOKUP(Table4[[#This Row],[Visitor]],'NHL Model'!$A$6:$B$38,2,FALSE)</f>
        <v>-0.24444083032063643</v>
      </c>
      <c r="J1135">
        <f>($B$1+Table4[[#This Row],[Home Differential]])-Table4[[#This Row],[Away Differential]]</f>
        <v>-1.8900244538992667E-2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0.45971140329328808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-0.4761104357405897</v>
      </c>
      <c r="H1136" t="s">
        <v>21</v>
      </c>
      <c r="I1136">
        <f>VLOOKUP(Table4[[#This Row],[Visitor]],'NHL Model'!$A$6:$B$38,2,FALSE)</f>
        <v>-0.21976976044773161</v>
      </c>
      <c r="J1136">
        <f>($B$1+Table4[[#This Row],[Home Differential]])-Table4[[#This Row],[Away Differential]]</f>
        <v>-0.2064399263696956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0.47480913359163229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-0.63447859131898054</v>
      </c>
      <c r="H1137" t="s">
        <v>15</v>
      </c>
      <c r="I1137">
        <f>VLOOKUP(Table4[[#This Row],[Visitor]],'NHL Model'!$A$6:$B$38,2,FALSE)</f>
        <v>-0.29003398448394263</v>
      </c>
      <c r="J1137">
        <f>($B$1+Table4[[#This Row],[Home Differential]])-Table4[[#This Row],[Away Differential]]</f>
        <v>-0.29454385791187548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0.59447380896340563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-1.0657812790446208</v>
      </c>
      <c r="H1138" t="s">
        <v>31</v>
      </c>
      <c r="I1138">
        <f>VLOOKUP(Table4[[#This Row],[Visitor]],'NHL Model'!$A$6:$B$38,2,FALSE)</f>
        <v>0.17870302183926629</v>
      </c>
      <c r="J1138">
        <f>($B$1+Table4[[#This Row],[Home Differential]])-Table4[[#This Row],[Away Differential]]</f>
        <v>-1.1945835519607246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0.62025449125554588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-0.39711829106410657</v>
      </c>
      <c r="H1139" t="s">
        <v>34</v>
      </c>
      <c r="I1139">
        <f>VLOOKUP(Table4[[#This Row],[Visitor]],'NHL Model'!$A$6:$B$38,2,FALSE)</f>
        <v>-5.5124787449478845E-2</v>
      </c>
      <c r="J1139">
        <f>($B$1+Table4[[#This Row],[Home Differential]])-Table4[[#This Row],[Away Differential]]</f>
        <v>-0.29209275469146523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0.52247823311486485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-0.59288962827382519</v>
      </c>
      <c r="H1140" t="s">
        <v>28</v>
      </c>
      <c r="I1140">
        <f>VLOOKUP(Table4[[#This Row],[Visitor]],'NHL Model'!$A$6:$B$38,2,FALSE)</f>
        <v>-0.59498940435054026</v>
      </c>
      <c r="J1140">
        <f>($B$1+Table4[[#This Row],[Home Differential]])-Table4[[#This Row],[Away Differential]]</f>
        <v>5.2000524999877507E-2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0.54249566982631203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-1.384917283810061</v>
      </c>
      <c r="H1141" t="s">
        <v>24</v>
      </c>
      <c r="I1141">
        <f>VLOOKUP(Table4[[#This Row],[Visitor]],'NHL Model'!$A$6:$B$38,2,FALSE)</f>
        <v>1.5302507646042616E-3</v>
      </c>
      <c r="J1141">
        <f>($B$1+Table4[[#This Row],[Home Differential]])-Table4[[#This Row],[Away Differential]]</f>
        <v>-1.3365467856515028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0.63683079401673515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-0.24093199744133265</v>
      </c>
      <c r="H1142" t="s">
        <v>39</v>
      </c>
      <c r="I1142">
        <f>VLOOKUP(Table4[[#This Row],[Visitor]],'NHL Model'!$A$6:$B$38,2,FALSE)</f>
        <v>0.41344250185511977</v>
      </c>
      <c r="J1142">
        <f>($B$1+Table4[[#This Row],[Home Differential]])-Table4[[#This Row],[Away Differential]]</f>
        <v>-0.60447375037328999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0.63237898456089747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-0.53137605086483863</v>
      </c>
      <c r="H1143" t="s">
        <v>14</v>
      </c>
      <c r="I1143">
        <f>VLOOKUP(Table4[[#This Row],[Visitor]],'NHL Model'!$A$6:$B$38,2,FALSE)</f>
        <v>-0.14226422156549004</v>
      </c>
      <c r="J1143">
        <f>($B$1+Table4[[#This Row],[Home Differential]])-Table4[[#This Row],[Away Differential]]</f>
        <v>-0.33921108037618608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0.5363820935805419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-0.38023958350631604</v>
      </c>
      <c r="H1144" t="s">
        <v>10</v>
      </c>
      <c r="I1144">
        <f>VLOOKUP(Table4[[#This Row],[Visitor]],'NHL Model'!$A$6:$B$38,2,FALSE)</f>
        <v>-0.17619625518431364</v>
      </c>
      <c r="J1144">
        <f>($B$1+Table4[[#This Row],[Home Differential]])-Table4[[#This Row],[Away Differential]]</f>
        <v>-0.15414257939883991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0.46398180062830402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-1.3944783719477225</v>
      </c>
      <c r="H1145" t="s">
        <v>33</v>
      </c>
      <c r="I1145">
        <f>VLOOKUP(Table4[[#This Row],[Visitor]],'NHL Model'!$A$6:$B$38,2,FALSE)</f>
        <v>-0.45133099238224339</v>
      </c>
      <c r="J1145">
        <f>($B$1+Table4[[#This Row],[Home Differential]])-Table4[[#This Row],[Away Differential]]</f>
        <v>-0.89324663064231669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0.56429972750684865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0.51050494674660429</v>
      </c>
      <c r="H1146" t="s">
        <v>32</v>
      </c>
      <c r="I1146">
        <f>VLOOKUP(Table4[[#This Row],[Visitor]],'NHL Model'!$A$6:$B$38,2,FALSE)</f>
        <v>-0.64937723527808999</v>
      </c>
      <c r="J1146">
        <f>($B$1+Table4[[#This Row],[Home Differential]])-Table4[[#This Row],[Away Differential]]</f>
        <v>1.2097829309478567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0.7135060781181839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-0.4031232890211825</v>
      </c>
      <c r="H1147" t="s">
        <v>22</v>
      </c>
      <c r="I1147">
        <f>VLOOKUP(Table4[[#This Row],[Visitor]],'NHL Model'!$A$6:$B$38,2,FALSE)</f>
        <v>0.4407072328537569</v>
      </c>
      <c r="J1147">
        <f>($B$1+Table4[[#This Row],[Home Differential]])-Table4[[#This Row],[Away Differential]]</f>
        <v>-0.79392977295177691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0.55424148009773655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-0.9476777551108041</v>
      </c>
      <c r="H1148" t="s">
        <v>13</v>
      </c>
      <c r="I1148">
        <f>VLOOKUP(Table4[[#This Row],[Visitor]],'NHL Model'!$A$6:$B$38,2,FALSE)</f>
        <v>-0.33828359867721369</v>
      </c>
      <c r="J1148">
        <f>($B$1+Table4[[#This Row],[Home Differential]])-Table4[[#This Row],[Away Differential]]</f>
        <v>-0.55949340751042798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0.59164490233387368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-0.24444083032063643</v>
      </c>
      <c r="H1149" t="s">
        <v>17</v>
      </c>
      <c r="I1149">
        <f>VLOOKUP(Table4[[#This Row],[Visitor]],'NHL Model'!$A$6:$B$38,2,FALSE)</f>
        <v>-0.81774666423752174</v>
      </c>
      <c r="J1149">
        <f>($B$1+Table4[[#This Row],[Home Differential]])-Table4[[#This Row],[Away Differential]]</f>
        <v>0.62320658284004771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0.61276856641927757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-0.31324182378279158</v>
      </c>
      <c r="H1150" t="s">
        <v>12</v>
      </c>
      <c r="I1150">
        <f>VLOOKUP(Table4[[#This Row],[Visitor]],'NHL Model'!$A$6:$B$38,2,FALSE)</f>
        <v>1.6319036584269762</v>
      </c>
      <c r="J1150">
        <f>($B$1+Table4[[#This Row],[Home Differential]])-Table4[[#This Row],[Away Differential]]</f>
        <v>-1.8952447332866051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0.75141827635481073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-0.4761104357405897</v>
      </c>
      <c r="H1151" t="s">
        <v>26</v>
      </c>
      <c r="I1151">
        <f>VLOOKUP(Table4[[#This Row],[Visitor]],'NHL Model'!$A$6:$B$38,2,FALSE)</f>
        <v>-0.87533956503230947</v>
      </c>
      <c r="J1151">
        <f>($B$1+Table4[[#This Row],[Home Differential]])-Table4[[#This Row],[Away Differential]]</f>
        <v>0.44912987821488226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0.60256479135424768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-0.29003398448394263</v>
      </c>
      <c r="H1152" t="s">
        <v>10</v>
      </c>
      <c r="I1152">
        <f>VLOOKUP(Table4[[#This Row],[Visitor]],'NHL Model'!$A$6:$B$38,2,FALSE)</f>
        <v>-0.17619625518431364</v>
      </c>
      <c r="J1152">
        <f>($B$1+Table4[[#This Row],[Home Differential]])-Table4[[#This Row],[Away Differential]]</f>
        <v>-6.3936980376466529E-2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0.46746558610143418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-0.21976976044773161</v>
      </c>
      <c r="H1153" t="s">
        <v>34</v>
      </c>
      <c r="I1153">
        <f>VLOOKUP(Table4[[#This Row],[Visitor]],'NHL Model'!$A$6:$B$38,2,FALSE)</f>
        <v>-5.5124787449478845E-2</v>
      </c>
      <c r="J1153">
        <f>($B$1+Table4[[#This Row],[Home Differential]])-Table4[[#This Row],[Away Differential]]</f>
        <v>-0.1147442240750903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0.47241447510727014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-0.4761104357405897</v>
      </c>
      <c r="H1154" t="s">
        <v>32</v>
      </c>
      <c r="I1154">
        <f>VLOOKUP(Table4[[#This Row],[Visitor]],'NHL Model'!$A$6:$B$38,2,FALSE)</f>
        <v>-0.64937723527808999</v>
      </c>
      <c r="J1154">
        <f>($B$1+Table4[[#This Row],[Home Differential]])-Table4[[#This Row],[Away Differential]]</f>
        <v>0.22316754846066278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0.57618035438947501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0.42567513732855267</v>
      </c>
      <c r="H1155" t="s">
        <v>24</v>
      </c>
      <c r="I1155">
        <f>VLOOKUP(Table4[[#This Row],[Visitor]],'NHL Model'!$A$6:$B$38,2,FALSE)</f>
        <v>1.5302507646042616E-3</v>
      </c>
      <c r="J1155">
        <f>($B$1+Table4[[#This Row],[Home Differential]])-Table4[[#This Row],[Away Differential]]</f>
        <v>0.47404563548711087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0.62678039578593081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-0.59498940435054026</v>
      </c>
      <c r="H1156" t="s">
        <v>33</v>
      </c>
      <c r="I1156">
        <f>VLOOKUP(Table4[[#This Row],[Visitor]],'NHL Model'!$A$6:$B$38,2,FALSE)</f>
        <v>-0.45133099238224339</v>
      </c>
      <c r="J1156">
        <f>($B$1+Table4[[#This Row],[Home Differential]])-Table4[[#This Row],[Away Differential]]</f>
        <v>-9.3757663045134443E-2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0.47094759092486543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-1.0657812790446208</v>
      </c>
      <c r="H1157" t="s">
        <v>38</v>
      </c>
      <c r="I1157">
        <f>VLOOKUP(Table4[[#This Row],[Visitor]],'NHL Model'!$A$6:$B$38,2,FALSE)</f>
        <v>-0.9476777551108041</v>
      </c>
      <c r="J1157">
        <f>($B$1+Table4[[#This Row],[Home Differential]])-Table4[[#This Row],[Away Differential]]</f>
        <v>-6.8202775010654304E-2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0.47153983952400824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1.6319036584269762</v>
      </c>
      <c r="H1158" t="s">
        <v>40</v>
      </c>
      <c r="I1158">
        <f>VLOOKUP(Table4[[#This Row],[Visitor]],'NHL Model'!$A$6:$B$38,2,FALSE)</f>
        <v>-0.31324182378279158</v>
      </c>
      <c r="J1158">
        <f>($B$1+Table4[[#This Row],[Home Differential]])-Table4[[#This Row],[Away Differential]]</f>
        <v>1.9950462311329302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0.85795109226563959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-0.87533956503230947</v>
      </c>
      <c r="H1159" t="s">
        <v>27</v>
      </c>
      <c r="I1159">
        <f>VLOOKUP(Table4[[#This Row],[Visitor]],'NHL Model'!$A$6:$B$38,2,FALSE)</f>
        <v>-0.38023958350631604</v>
      </c>
      <c r="J1159">
        <f>($B$1+Table4[[#This Row],[Home Differential]])-Table4[[#This Row],[Away Differential]]</f>
        <v>-0.44519923260283101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0.55449614389216906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-0.81774666423752174</v>
      </c>
      <c r="H1160" t="s">
        <v>31</v>
      </c>
      <c r="I1160">
        <f>VLOOKUP(Table4[[#This Row],[Visitor]],'NHL Model'!$A$6:$B$38,2,FALSE)</f>
        <v>0.17870302183926629</v>
      </c>
      <c r="J1160">
        <f>($B$1+Table4[[#This Row],[Home Differential]])-Table4[[#This Row],[Away Differential]]</f>
        <v>-0.94654893715362554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0.5842077690042573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-0.33828359867721369</v>
      </c>
      <c r="H1161" t="s">
        <v>55</v>
      </c>
      <c r="I1161">
        <f>VLOOKUP(Table4[[#This Row],[Visitor]],'NHL Model'!$A$6:$B$38,2,FALSE)</f>
        <v>-0.4031232890211825</v>
      </c>
      <c r="J1161">
        <f>($B$1+Table4[[#This Row],[Home Differential]])-Table4[[#This Row],[Away Differential]]</f>
        <v>0.11474043926713129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0.55339763973245826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-1.384917283810061</v>
      </c>
      <c r="H1162" t="s">
        <v>18</v>
      </c>
      <c r="I1162">
        <f>VLOOKUP(Table4[[#This Row],[Visitor]],'NHL Model'!$A$6:$B$38,2,FALSE)</f>
        <v>-0.59288962827382519</v>
      </c>
      <c r="J1162">
        <f>($B$1+Table4[[#This Row],[Home Differential]])-Table4[[#This Row],[Away Differential]]</f>
        <v>-0.74212690661307334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0.60594210318638431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-0.24093199744133265</v>
      </c>
      <c r="H1163" t="s">
        <v>11</v>
      </c>
      <c r="I1163">
        <f>VLOOKUP(Table4[[#This Row],[Visitor]],'NHL Model'!$A$6:$B$38,2,FALSE)</f>
        <v>-0.39711829106410657</v>
      </c>
      <c r="J1163">
        <f>($B$1+Table4[[#This Row],[Home Differential]])-Table4[[#This Row],[Away Differential]]</f>
        <v>0.20608704254593638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0.56406370384490223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-0.14226422156549004</v>
      </c>
      <c r="H1164" t="s">
        <v>39</v>
      </c>
      <c r="I1164">
        <f>VLOOKUP(Table4[[#This Row],[Visitor]],'NHL Model'!$A$6:$B$38,2,FALSE)</f>
        <v>0.41344250185511977</v>
      </c>
      <c r="J1164">
        <f>($B$1+Table4[[#This Row],[Home Differential]])-Table4[[#This Row],[Away Differential]]</f>
        <v>-0.50580597449744735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0.62085806549495359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-1.3944783719477225</v>
      </c>
      <c r="H1165" t="s">
        <v>19</v>
      </c>
      <c r="I1165">
        <f>VLOOKUP(Table4[[#This Row],[Visitor]],'NHL Model'!$A$6:$B$38,2,FALSE)</f>
        <v>-0.63447859131898054</v>
      </c>
      <c r="J1165">
        <f>($B$1+Table4[[#This Row],[Home Differential]])-Table4[[#This Row],[Away Differential]]</f>
        <v>-0.71009903170557953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0.54291454226534464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0.51050494674660429</v>
      </c>
      <c r="H1166" t="s">
        <v>36</v>
      </c>
      <c r="I1166">
        <f>VLOOKUP(Table4[[#This Row],[Visitor]],'NHL Model'!$A$6:$B$38,2,FALSE)</f>
        <v>-0.53137605086483863</v>
      </c>
      <c r="J1166">
        <f>($B$1+Table4[[#This Row],[Home Differential]])-Table4[[#This Row],[Away Differential]]</f>
        <v>1.0917817465346054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0.69972769826475267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-0.24444083032063643</v>
      </c>
      <c r="H1167" t="s">
        <v>22</v>
      </c>
      <c r="I1167">
        <f>VLOOKUP(Table4[[#This Row],[Visitor]],'NHL Model'!$A$6:$B$38,2,FALSE)</f>
        <v>0.4407072328537569</v>
      </c>
      <c r="J1167">
        <f>($B$1+Table4[[#This Row],[Home Differential]])-Table4[[#This Row],[Away Differential]]</f>
        <v>-0.63524731425123093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0.57668706233411582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0.42567513732855267</v>
      </c>
      <c r="H1168" t="s">
        <v>18</v>
      </c>
      <c r="I1168">
        <f>VLOOKUP(Table4[[#This Row],[Visitor]],'NHL Model'!$A$6:$B$38,2,FALSE)</f>
        <v>-0.59288962827382519</v>
      </c>
      <c r="J1168">
        <f>($B$1+Table4[[#This Row],[Home Differential]])-Table4[[#This Row],[Away Differential]]</f>
        <v>1.0684655145255404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0.65809245157970586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-0.59498940435054026</v>
      </c>
      <c r="H1169" t="s">
        <v>21</v>
      </c>
      <c r="I1169">
        <f>VLOOKUP(Table4[[#This Row],[Visitor]],'NHL Model'!$A$6:$B$38,2,FALSE)</f>
        <v>-0.21976976044773161</v>
      </c>
      <c r="J1169">
        <f>($B$1+Table4[[#This Row],[Home Differential]])-Table4[[#This Row],[Away Differential]]</f>
        <v>-0.32531889497964622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0.4988152754406433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1.5302507646042616E-3</v>
      </c>
      <c r="H1170" t="s">
        <v>10</v>
      </c>
      <c r="I1170">
        <f>VLOOKUP(Table4[[#This Row],[Visitor]],'NHL Model'!$A$6:$B$38,2,FALSE)</f>
        <v>-0.17619625518431364</v>
      </c>
      <c r="J1170">
        <f>($B$1+Table4[[#This Row],[Home Differential]])-Table4[[#This Row],[Away Differential]]</f>
        <v>0.22762725487208035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0.64641355228862563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-0.29003398448394263</v>
      </c>
      <c r="H1171" t="s">
        <v>11</v>
      </c>
      <c r="I1171">
        <f>VLOOKUP(Table4[[#This Row],[Visitor]],'NHL Model'!$A$6:$B$38,2,FALSE)</f>
        <v>-0.39711829106410657</v>
      </c>
      <c r="J1171">
        <f>($B$1+Table4[[#This Row],[Home Differential]])-Table4[[#This Row],[Away Differential]]</f>
        <v>0.15698505550332639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0.55833032216407086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-0.38023958350631604</v>
      </c>
      <c r="H1172" t="s">
        <v>39</v>
      </c>
      <c r="I1172">
        <f>VLOOKUP(Table4[[#This Row],[Visitor]],'NHL Model'!$A$6:$B$38,2,FALSE)</f>
        <v>0.41344250185511977</v>
      </c>
      <c r="J1172">
        <f>($B$1+Table4[[#This Row],[Home Differential]])-Table4[[#This Row],[Away Differential]]</f>
        <v>-0.74378133643827327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0.63467353541474658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0.51050494674660429</v>
      </c>
      <c r="H1173" t="s">
        <v>29</v>
      </c>
      <c r="I1173">
        <f>VLOOKUP(Table4[[#This Row],[Visitor]],'NHL Model'!$A$6:$B$38,2,FALSE)</f>
        <v>-1.384917283810061</v>
      </c>
      <c r="J1173">
        <f>($B$1+Table4[[#This Row],[Home Differential]])-Table4[[#This Row],[Away Differential]]</f>
        <v>1.9453229794798277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0.79939123458061956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0.17870302183926629</v>
      </c>
      <c r="H1174" t="s">
        <v>19</v>
      </c>
      <c r="I1174">
        <f>VLOOKUP(Table4[[#This Row],[Visitor]],'NHL Model'!$A$6:$B$38,2,FALSE)</f>
        <v>-0.63447859131898054</v>
      </c>
      <c r="J1174">
        <f>($B$1+Table4[[#This Row],[Home Differential]])-Table4[[#This Row],[Away Differential]]</f>
        <v>0.86308236208140932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0.72061231470333431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1.6319036584269762</v>
      </c>
      <c r="H1175" t="s">
        <v>16</v>
      </c>
      <c r="I1175">
        <f>VLOOKUP(Table4[[#This Row],[Visitor]],'NHL Model'!$A$6:$B$38,2,FALSE)</f>
        <v>-1.0657812790446208</v>
      </c>
      <c r="J1175">
        <f>($B$1+Table4[[#This Row],[Home Differential]])-Table4[[#This Row],[Away Differential]]</f>
        <v>2.7475856863947596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0.96515107726433946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-0.24093199744133265</v>
      </c>
      <c r="H1176" t="s">
        <v>14</v>
      </c>
      <c r="I1176">
        <f>VLOOKUP(Table4[[#This Row],[Visitor]],'NHL Model'!$A$6:$B$38,2,FALSE)</f>
        <v>-0.14226422156549004</v>
      </c>
      <c r="J1176">
        <f>($B$1+Table4[[#This Row],[Home Differential]])-Table4[[#This Row],[Away Differential]]</f>
        <v>-4.8767026952680148E-2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0.50498100338490515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-0.45133099238224339</v>
      </c>
      <c r="H1177" t="s">
        <v>35</v>
      </c>
      <c r="I1177">
        <f>VLOOKUP(Table4[[#This Row],[Visitor]],'NHL Model'!$A$6:$B$38,2,FALSE)</f>
        <v>-1.3944783719477225</v>
      </c>
      <c r="J1177">
        <f>($B$1+Table4[[#This Row],[Home Differential]])-Table4[[#This Row],[Away Differential]]</f>
        <v>0.99304812848864166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0.66607527473414152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-0.24444083032063643</v>
      </c>
      <c r="H1178" t="s">
        <v>38</v>
      </c>
      <c r="I1178">
        <f>VLOOKUP(Table4[[#This Row],[Visitor]],'NHL Model'!$A$6:$B$38,2,FALSE)</f>
        <v>-0.9476777551108041</v>
      </c>
      <c r="J1178">
        <f>($B$1+Table4[[#This Row],[Home Differential]])-Table4[[#This Row],[Away Differential]]</f>
        <v>0.75313767371333018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0.62436377998437298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-0.21976976044773161</v>
      </c>
      <c r="H1179" t="s">
        <v>39</v>
      </c>
      <c r="I1179">
        <f>VLOOKUP(Table4[[#This Row],[Visitor]],'NHL Model'!$A$6:$B$38,2,FALSE)</f>
        <v>0.41344250185511977</v>
      </c>
      <c r="J1179">
        <f>($B$1+Table4[[#This Row],[Home Differential]])-Table4[[#This Row],[Away Differential]]</f>
        <v>-0.5833115133796889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0.58662874676909771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-0.4761104357405897</v>
      </c>
      <c r="H1180" t="s">
        <v>30</v>
      </c>
      <c r="I1180">
        <f>VLOOKUP(Table4[[#This Row],[Visitor]],'NHL Model'!$A$6:$B$38,2,FALSE)</f>
        <v>-0.24093199744133265</v>
      </c>
      <c r="J1180">
        <f>($B$1+Table4[[#This Row],[Home Differential]])-Table4[[#This Row],[Away Differential]]</f>
        <v>-0.18527768937609457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0.54408288433002694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-0.59498940435054026</v>
      </c>
      <c r="H1181" t="s">
        <v>25</v>
      </c>
      <c r="I1181">
        <f>VLOOKUP(Table4[[#This Row],[Visitor]],'NHL Model'!$A$6:$B$38,2,FALSE)</f>
        <v>0.42567513732855267</v>
      </c>
      <c r="J1181">
        <f>($B$1+Table4[[#This Row],[Home Differential]])-Table4[[#This Row],[Away Differential]]</f>
        <v>-0.9707637927559305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0.64597416936312857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-0.17619625518431364</v>
      </c>
      <c r="H1182" t="s">
        <v>40</v>
      </c>
      <c r="I1182">
        <f>VLOOKUP(Table4[[#This Row],[Visitor]],'NHL Model'!$A$6:$B$38,2,FALSE)</f>
        <v>-0.31324182378279158</v>
      </c>
      <c r="J1182">
        <f>($B$1+Table4[[#This Row],[Home Differential]])-Table4[[#This Row],[Away Differential]]</f>
        <v>0.1869463175216404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0.54105951093214566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-0.81774666423752174</v>
      </c>
      <c r="H1183" t="s">
        <v>32</v>
      </c>
      <c r="I1183">
        <f>VLOOKUP(Table4[[#This Row],[Visitor]],'NHL Model'!$A$6:$B$38,2,FALSE)</f>
        <v>-0.64937723527808999</v>
      </c>
      <c r="J1183">
        <f>($B$1+Table4[[#This Row],[Home Differential]])-Table4[[#This Row],[Away Differential]]</f>
        <v>-0.11846868003626931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0.46678701500720543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-0.39711829106410657</v>
      </c>
      <c r="H1184" t="s">
        <v>36</v>
      </c>
      <c r="I1184">
        <f>VLOOKUP(Table4[[#This Row],[Visitor]],'NHL Model'!$A$6:$B$38,2,FALSE)</f>
        <v>-0.53137605086483863</v>
      </c>
      <c r="J1184">
        <f>($B$1+Table4[[#This Row],[Home Differential]])-Table4[[#This Row],[Away Differential]]</f>
        <v>0.18415850872389455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0.57551984437773329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-0.29003398448394263</v>
      </c>
      <c r="H1185" t="s">
        <v>24</v>
      </c>
      <c r="I1185">
        <f>VLOOKUP(Table4[[#This Row],[Visitor]],'NHL Model'!$A$6:$B$38,2,FALSE)</f>
        <v>1.5302507646042616E-3</v>
      </c>
      <c r="J1185">
        <f>($B$1+Table4[[#This Row],[Home Differential]])-Table4[[#This Row],[Away Differential]]</f>
        <v>-0.24166348632538442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0.50898700949621889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-0.14226422156549004</v>
      </c>
      <c r="H1186" t="s">
        <v>26</v>
      </c>
      <c r="I1186">
        <f>VLOOKUP(Table4[[#This Row],[Visitor]],'NHL Model'!$A$6:$B$38,2,FALSE)</f>
        <v>-0.87533956503230947</v>
      </c>
      <c r="J1186">
        <f>($B$1+Table4[[#This Row],[Home Differential]])-Table4[[#This Row],[Away Differential]]</f>
        <v>0.78297609238998189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0.63142401468889853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0.51050494674660429</v>
      </c>
      <c r="H1187" t="s">
        <v>18</v>
      </c>
      <c r="I1187">
        <f>VLOOKUP(Table4[[#This Row],[Visitor]],'NHL Model'!$A$6:$B$38,2,FALSE)</f>
        <v>-0.59288962827382519</v>
      </c>
      <c r="J1187">
        <f>($B$1+Table4[[#This Row],[Home Differential]])-Table4[[#This Row],[Away Differential]]</f>
        <v>1.1532953239435919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0.64803323445177996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0.4407072328537569</v>
      </c>
      <c r="H1188" t="s">
        <v>27</v>
      </c>
      <c r="I1188">
        <f>VLOOKUP(Table4[[#This Row],[Visitor]],'NHL Model'!$A$6:$B$38,2,FALSE)</f>
        <v>-0.38023958350631604</v>
      </c>
      <c r="J1188">
        <f>($B$1+Table4[[#This Row],[Home Differential]])-Table4[[#This Row],[Away Differential]]</f>
        <v>0.87084756528323548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0.62549382984908919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1.6319036584269762</v>
      </c>
      <c r="H1189" t="s">
        <v>38</v>
      </c>
      <c r="I1189">
        <f>VLOOKUP(Table4[[#This Row],[Visitor]],'NHL Model'!$A$6:$B$38,2,FALSE)</f>
        <v>-0.9476777551108041</v>
      </c>
      <c r="J1189">
        <f>($B$1+Table4[[#This Row],[Home Differential]])-Table4[[#This Row],[Away Differential]]</f>
        <v>2.6294821624609428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0.94805649187988317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-0.33828359867721369</v>
      </c>
      <c r="H1190" t="s">
        <v>35</v>
      </c>
      <c r="I1190">
        <f>VLOOKUP(Table4[[#This Row],[Visitor]],'NHL Model'!$A$6:$B$38,2,FALSE)</f>
        <v>-1.3944783719477225</v>
      </c>
      <c r="J1190">
        <f>($B$1+Table4[[#This Row],[Home Differential]])-Table4[[#This Row],[Away Differential]]</f>
        <v>1.1060955221936712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0.66915297702090215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-0.45133099238224339</v>
      </c>
      <c r="H1191" t="s">
        <v>31</v>
      </c>
      <c r="I1191">
        <f>VLOOKUP(Table4[[#This Row],[Visitor]],'NHL Model'!$A$6:$B$38,2,FALSE)</f>
        <v>0.17870302183926629</v>
      </c>
      <c r="J1191">
        <f>($B$1+Table4[[#This Row],[Home Differential]])-Table4[[#This Row],[Away Differential]]</f>
        <v>-0.58013326529834719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0.53832735617360639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0.42567513732855267</v>
      </c>
      <c r="H1192" t="s">
        <v>28</v>
      </c>
      <c r="I1192">
        <f>VLOOKUP(Table4[[#This Row],[Visitor]],'NHL Model'!$A$6:$B$38,2,FALSE)</f>
        <v>-0.59498940435054026</v>
      </c>
      <c r="J1192">
        <f>($B$1+Table4[[#This Row],[Home Differential]])-Table4[[#This Row],[Away Differential]]</f>
        <v>1.0705652906022554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0.71323959221145916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0.41344250185511977</v>
      </c>
      <c r="H1193" t="s">
        <v>40</v>
      </c>
      <c r="I1193">
        <f>VLOOKUP(Table4[[#This Row],[Visitor]],'NHL Model'!$A$6:$B$38,2,FALSE)</f>
        <v>-0.31324182378279158</v>
      </c>
      <c r="J1193">
        <f>($B$1+Table4[[#This Row],[Home Differential]])-Table4[[#This Row],[Away Differential]]</f>
        <v>0.77658507456107384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0.6424019069637168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-0.81774666423752174</v>
      </c>
      <c r="H1194" t="s">
        <v>10</v>
      </c>
      <c r="I1194">
        <f>VLOOKUP(Table4[[#This Row],[Visitor]],'NHL Model'!$A$6:$B$38,2,FALSE)</f>
        <v>-0.17619625518431364</v>
      </c>
      <c r="J1194">
        <f>($B$1+Table4[[#This Row],[Home Differential]])-Table4[[#This Row],[Away Differential]]</f>
        <v>-0.59164966013004561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0.52203787808599023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-0.39711829106410657</v>
      </c>
      <c r="H1195" t="s">
        <v>21</v>
      </c>
      <c r="I1195">
        <f>VLOOKUP(Table4[[#This Row],[Visitor]],'NHL Model'!$A$6:$B$38,2,FALSE)</f>
        <v>-0.21976976044773161</v>
      </c>
      <c r="J1195">
        <f>($B$1+Table4[[#This Row],[Home Differential]])-Table4[[#This Row],[Away Differential]]</f>
        <v>-0.12744778169321247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0.46168992014598992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-0.33828359867721369</v>
      </c>
      <c r="H1196" t="s">
        <v>29</v>
      </c>
      <c r="I1196">
        <f>VLOOKUP(Table4[[#This Row],[Visitor]],'NHL Model'!$A$6:$B$38,2,FALSE)</f>
        <v>-1.384917283810061</v>
      </c>
      <c r="J1196">
        <f>($B$1+Table4[[#This Row],[Home Differential]])-Table4[[#This Row],[Away Differential]]</f>
        <v>1.0965344340560097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0.6680365788692405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-5.5124787449478845E-2</v>
      </c>
      <c r="H1197" t="s">
        <v>38</v>
      </c>
      <c r="I1197">
        <f>VLOOKUP(Table4[[#This Row],[Visitor]],'NHL Model'!$A$6:$B$38,2,FALSE)</f>
        <v>-0.9476777551108041</v>
      </c>
      <c r="J1197">
        <f>($B$1+Table4[[#This Row],[Home Differential]])-Table4[[#This Row],[Away Differential]]</f>
        <v>0.94245371658448773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0.6464692220949555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1.5302507646042616E-3</v>
      </c>
      <c r="H1198" t="s">
        <v>22</v>
      </c>
      <c r="I1198">
        <f>VLOOKUP(Table4[[#This Row],[Visitor]],'NHL Model'!$A$6:$B$38,2,FALSE)</f>
        <v>0.4407072328537569</v>
      </c>
      <c r="J1198">
        <f>($B$1+Table4[[#This Row],[Home Differential]])-Table4[[#This Row],[Away Differential]]</f>
        <v>-0.38927623316599019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0.46650637710823029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-0.29003398448394263</v>
      </c>
      <c r="H1199" t="s">
        <v>18</v>
      </c>
      <c r="I1199">
        <f>VLOOKUP(Table4[[#This Row],[Visitor]],'NHL Model'!$A$6:$B$38,2,FALSE)</f>
        <v>-0.59288962827382519</v>
      </c>
      <c r="J1199">
        <f>($B$1+Table4[[#This Row],[Home Differential]])-Table4[[#This Row],[Away Differential]]</f>
        <v>0.35275639271304504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0.52190168133413184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-0.53137605086483863</v>
      </c>
      <c r="H1200" t="s">
        <v>23</v>
      </c>
      <c r="I1200">
        <f>VLOOKUP(Table4[[#This Row],[Visitor]],'NHL Model'!$A$6:$B$38,2,FALSE)</f>
        <v>-0.4761104357405897</v>
      </c>
      <c r="J1200">
        <f>($B$1+Table4[[#This Row],[Home Differential]])-Table4[[#This Row],[Away Differential]]</f>
        <v>-5.364866201086449E-3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0.45813094810441091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-0.38023958350631604</v>
      </c>
      <c r="H1201" t="s">
        <v>26</v>
      </c>
      <c r="I1201">
        <f>VLOOKUP(Table4[[#This Row],[Visitor]],'NHL Model'!$A$6:$B$38,2,FALSE)</f>
        <v>-0.87533956503230947</v>
      </c>
      <c r="J1201">
        <f>($B$1+Table4[[#This Row],[Home Differential]])-Table4[[#This Row],[Away Differential]]</f>
        <v>0.54500073044915598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0.61765349941525349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-0.64937723527808999</v>
      </c>
      <c r="H1202" t="s">
        <v>55</v>
      </c>
      <c r="I1202">
        <f>VLOOKUP(Table4[[#This Row],[Visitor]],'NHL Model'!$A$6:$B$38,2,FALSE)</f>
        <v>-0.4031232890211825</v>
      </c>
      <c r="J1202">
        <f>($B$1+Table4[[#This Row],[Home Differential]])-Table4[[#This Row],[Away Differential]]</f>
        <v>-0.19635319733374507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0.48292713375507684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-0.45133099238224339</v>
      </c>
      <c r="H1203" t="s">
        <v>19</v>
      </c>
      <c r="I1203">
        <f>VLOOKUP(Table4[[#This Row],[Visitor]],'NHL Model'!$A$6:$B$38,2,FALSE)</f>
        <v>-0.63447859131898054</v>
      </c>
      <c r="J1203">
        <f>($B$1+Table4[[#This Row],[Home Differential]])-Table4[[#This Row],[Away Differential]]</f>
        <v>0.23304834785989964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0.57733408354952698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0.51050494674660429</v>
      </c>
      <c r="H1204" t="s">
        <v>14</v>
      </c>
      <c r="I1204">
        <f>VLOOKUP(Table4[[#This Row],[Visitor]],'NHL Model'!$A$6:$B$38,2,FALSE)</f>
        <v>-0.14226422156549004</v>
      </c>
      <c r="J1204">
        <f>($B$1+Table4[[#This Row],[Home Differential]])-Table4[[#This Row],[Away Differential]]</f>
        <v>0.70266991723525674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0.61538041683836375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-0.24444083032063643</v>
      </c>
      <c r="H1205" t="s">
        <v>16</v>
      </c>
      <c r="I1205">
        <f>VLOOKUP(Table4[[#This Row],[Visitor]],'NHL Model'!$A$6:$B$38,2,FALSE)</f>
        <v>-1.0657812790446208</v>
      </c>
      <c r="J1205">
        <f>($B$1+Table4[[#This Row],[Home Differential]])-Table4[[#This Row],[Away Differential]]</f>
        <v>0.8712411976471468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0.64173026842765124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0.17870302183926629</v>
      </c>
      <c r="H1206" t="s">
        <v>35</v>
      </c>
      <c r="I1206">
        <f>VLOOKUP(Table4[[#This Row],[Visitor]],'NHL Model'!$A$6:$B$38,2,FALSE)</f>
        <v>-1.3944783719477225</v>
      </c>
      <c r="J1206">
        <f>($B$1+Table4[[#This Row],[Home Differential]])-Table4[[#This Row],[Away Differential]]</f>
        <v>1.6230821427101512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0.80935350588794874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-0.24093199744133265</v>
      </c>
      <c r="H1207" t="s">
        <v>27</v>
      </c>
      <c r="I1207">
        <f>VLOOKUP(Table4[[#This Row],[Visitor]],'NHL Model'!$A$6:$B$38,2,FALSE)</f>
        <v>-0.38023958350631604</v>
      </c>
      <c r="J1207">
        <f>($B$1+Table4[[#This Row],[Home Differential]])-Table4[[#This Row],[Away Differential]]</f>
        <v>0.18920833498814585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0.51958030281151568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0.17870302183926629</v>
      </c>
      <c r="H1208" t="s">
        <v>16</v>
      </c>
      <c r="I1208">
        <f>VLOOKUP(Table4[[#This Row],[Visitor]],'NHL Model'!$A$6:$B$38,2,FALSE)</f>
        <v>-1.0657812790446208</v>
      </c>
      <c r="J1208">
        <f>($B$1+Table4[[#This Row],[Home Differential]])-Table4[[#This Row],[Away Differential]]</f>
        <v>1.2943850498070495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0.7709732690686566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0.42567513732855267</v>
      </c>
      <c r="H1209" t="s">
        <v>30</v>
      </c>
      <c r="I1209">
        <f>VLOOKUP(Table4[[#This Row],[Visitor]],'NHL Model'!$A$6:$B$38,2,FALSE)</f>
        <v>-0.24093199744133265</v>
      </c>
      <c r="J1209">
        <f>($B$1+Table4[[#This Row],[Home Differential]])-Table4[[#This Row],[Away Differential]]</f>
        <v>0.71650788369304785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0.60366287032278598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-0.59498940435054026</v>
      </c>
      <c r="H1210" t="s">
        <v>40</v>
      </c>
      <c r="I1210">
        <f>VLOOKUP(Table4[[#This Row],[Visitor]],'NHL Model'!$A$6:$B$38,2,FALSE)</f>
        <v>-0.31324182378279158</v>
      </c>
      <c r="J1210">
        <f>($B$1+Table4[[#This Row],[Home Differential]])-Table4[[#This Row],[Away Differential]]</f>
        <v>-0.23184683164458625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0.50784077017875306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0.41344250185511977</v>
      </c>
      <c r="H1211" t="s">
        <v>12</v>
      </c>
      <c r="I1211">
        <f>VLOOKUP(Table4[[#This Row],[Visitor]],'NHL Model'!$A$6:$B$38,2,FALSE)</f>
        <v>1.6319036584269762</v>
      </c>
      <c r="J1211">
        <f>($B$1+Table4[[#This Row],[Home Differential]])-Table4[[#This Row],[Away Differential]]</f>
        <v>-1.168560407648694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0.63644667431368729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-0.81774666423752174</v>
      </c>
      <c r="H1212" t="s">
        <v>20</v>
      </c>
      <c r="I1212">
        <f>VLOOKUP(Table4[[#This Row],[Visitor]],'NHL Model'!$A$6:$B$38,2,FALSE)</f>
        <v>-0.24444083032063643</v>
      </c>
      <c r="J1212">
        <f>($B$1+Table4[[#This Row],[Home Differential]])-Table4[[#This Row],[Away Differential]]</f>
        <v>-0.52340508499372285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0.5140693167207816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-0.33828359867721369</v>
      </c>
      <c r="H1213" t="s">
        <v>19</v>
      </c>
      <c r="I1213">
        <f>VLOOKUP(Table4[[#This Row],[Visitor]],'NHL Model'!$A$6:$B$38,2,FALSE)</f>
        <v>-0.63447859131898054</v>
      </c>
      <c r="J1213">
        <f>($B$1+Table4[[#This Row],[Home Differential]])-Table4[[#This Row],[Away Differential]]</f>
        <v>0.34609574156492934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0.58041178583628772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1.5302507646042616E-3</v>
      </c>
      <c r="H1214" t="s">
        <v>18</v>
      </c>
      <c r="I1214">
        <f>VLOOKUP(Table4[[#This Row],[Visitor]],'NHL Model'!$A$6:$B$38,2,FALSE)</f>
        <v>-0.59288962827382519</v>
      </c>
      <c r="J1214">
        <f>($B$1+Table4[[#This Row],[Home Differential]])-Table4[[#This Row],[Away Differential]]</f>
        <v>0.64432062796159195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0.63773394280828299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-0.29003398448394263</v>
      </c>
      <c r="H1215" t="s">
        <v>26</v>
      </c>
      <c r="I1215">
        <f>VLOOKUP(Table4[[#This Row],[Visitor]],'NHL Model'!$A$6:$B$38,2,FALSE)</f>
        <v>-0.87533956503230947</v>
      </c>
      <c r="J1215">
        <f>($B$1+Table4[[#This Row],[Home Differential]])-Table4[[#This Row],[Away Differential]]</f>
        <v>0.63520632947152933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0.61416971394212327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-0.53137605086483863</v>
      </c>
      <c r="H1216" t="s">
        <v>34</v>
      </c>
      <c r="I1216">
        <f>VLOOKUP(Table4[[#This Row],[Visitor]],'NHL Model'!$A$6:$B$38,2,FALSE)</f>
        <v>-5.5124787449478845E-2</v>
      </c>
      <c r="J1216">
        <f>($B$1+Table4[[#This Row],[Home Differential]])-Table4[[#This Row],[Away Differential]]</f>
        <v>-0.4263505144921973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0.54978271505145748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-0.14226422156549004</v>
      </c>
      <c r="H1217" t="s">
        <v>11</v>
      </c>
      <c r="I1217">
        <f>VLOOKUP(Table4[[#This Row],[Visitor]],'NHL Model'!$A$6:$B$38,2,FALSE)</f>
        <v>-0.39711829106410657</v>
      </c>
      <c r="J1217">
        <f>($B$1+Table4[[#This Row],[Home Differential]])-Table4[[#This Row],[Away Differential]]</f>
        <v>0.30475481842177898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0.57558462291084611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-0.64937723527808999</v>
      </c>
      <c r="H1218" t="s">
        <v>10</v>
      </c>
      <c r="I1218">
        <f>VLOOKUP(Table4[[#This Row],[Visitor]],'NHL Model'!$A$6:$B$38,2,FALSE)</f>
        <v>-0.17619625518431364</v>
      </c>
      <c r="J1218">
        <f>($B$1+Table4[[#This Row],[Home Differential]])-Table4[[#This Row],[Away Differential]]</f>
        <v>-0.42328023117061392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0.50942421415951489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-0.45133099238224339</v>
      </c>
      <c r="H1219" t="s">
        <v>29</v>
      </c>
      <c r="I1219">
        <f>VLOOKUP(Table4[[#This Row],[Visitor]],'NHL Model'!$A$6:$B$38,2,FALSE)</f>
        <v>-1.384917283810061</v>
      </c>
      <c r="J1219">
        <f>($B$1+Table4[[#This Row],[Home Differential]])-Table4[[#This Row],[Away Differential]]</f>
        <v>0.98348704035098011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0.66495887658247987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0.51050494674660429</v>
      </c>
      <c r="H1220" t="s">
        <v>21</v>
      </c>
      <c r="I1220">
        <f>VLOOKUP(Table4[[#This Row],[Visitor]],'NHL Model'!$A$6:$B$38,2,FALSE)</f>
        <v>-0.21976976044773161</v>
      </c>
      <c r="J1220">
        <f>($B$1+Table4[[#This Row],[Home Differential]])-Table4[[#This Row],[Away Differential]]</f>
        <v>0.78017545611749828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0.66252557049821614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-0.9476777551108041</v>
      </c>
      <c r="H1221" t="s">
        <v>55</v>
      </c>
      <c r="I1221">
        <f>VLOOKUP(Table4[[#This Row],[Visitor]],'NHL Model'!$A$6:$B$38,2,FALSE)</f>
        <v>-0.4031232890211825</v>
      </c>
      <c r="J1221">
        <f>($B$1+Table4[[#This Row],[Home Differential]])-Table4[[#This Row],[Away Differential]]</f>
        <v>-0.49465371716645917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0.51775812204700111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0.4407072328537569</v>
      </c>
      <c r="H1222" t="s">
        <v>23</v>
      </c>
      <c r="I1222">
        <f>VLOOKUP(Table4[[#This Row],[Visitor]],'NHL Model'!$A$6:$B$38,2,FALSE)</f>
        <v>-0.4761104357405897</v>
      </c>
      <c r="J1222">
        <f>($B$1+Table4[[#This Row],[Home Differential]])-Table4[[#This Row],[Away Differential]]</f>
        <v>0.96671841751750909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0.67891637883976597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1.6319036584269762</v>
      </c>
      <c r="H1223" t="s">
        <v>35</v>
      </c>
      <c r="I1223">
        <f>VLOOKUP(Table4[[#This Row],[Visitor]],'NHL Model'!$A$6:$B$38,2,FALSE)</f>
        <v>-1.3944783719477225</v>
      </c>
      <c r="J1223">
        <f>($B$1+Table4[[#This Row],[Home Differential]])-Table4[[#This Row],[Away Differential]]</f>
        <v>3.0762827792978609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-0.87533956503230947</v>
      </c>
      <c r="H1224" t="s">
        <v>34</v>
      </c>
      <c r="I1224">
        <f>VLOOKUP(Table4[[#This Row],[Visitor]],'NHL Model'!$A$6:$B$38,2,FALSE)</f>
        <v>-5.5124787449478845E-2</v>
      </c>
      <c r="J1224">
        <f>($B$1+Table4[[#This Row],[Home Differential]])-Table4[[#This Row],[Away Differential]]</f>
        <v>-0.77031402865966825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0.59245809468373167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-0.59288962827382519</v>
      </c>
      <c r="H1225" t="s">
        <v>24</v>
      </c>
      <c r="I1225">
        <f>VLOOKUP(Table4[[#This Row],[Visitor]],'NHL Model'!$A$6:$B$38,2,FALSE)</f>
        <v>1.5302507646042616E-3</v>
      </c>
      <c r="J1225">
        <f>($B$1+Table4[[#This Row],[Home Differential]])-Table4[[#This Row],[Away Differential]]</f>
        <v>-0.54451913011526698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0.54434987573897409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-0.29003398448394263</v>
      </c>
      <c r="H1226" t="s">
        <v>22</v>
      </c>
      <c r="I1226">
        <f>VLOOKUP(Table4[[#This Row],[Visitor]],'NHL Model'!$A$6:$B$38,2,FALSE)</f>
        <v>0.4407072328537569</v>
      </c>
      <c r="J1226">
        <f>($B$1+Table4[[#This Row],[Home Differential]])-Table4[[#This Row],[Away Differential]]</f>
        <v>-0.68084046841453705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0.58201073598961128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-0.53137605086483863</v>
      </c>
      <c r="H1227" t="s">
        <v>25</v>
      </c>
      <c r="I1227">
        <f>VLOOKUP(Table4[[#This Row],[Visitor]],'NHL Model'!$A$6:$B$38,2,FALSE)</f>
        <v>0.42567513732855267</v>
      </c>
      <c r="J1227">
        <f>($B$1+Table4[[#This Row],[Home Differential]])-Table4[[#This Row],[Away Differential]]</f>
        <v>-0.90715043927022876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0.63604368429743785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-0.38023958350631604</v>
      </c>
      <c r="H1228" t="s">
        <v>21</v>
      </c>
      <c r="I1228">
        <f>VLOOKUP(Table4[[#This Row],[Visitor]],'NHL Model'!$A$6:$B$38,2,FALSE)</f>
        <v>-0.21976976044773161</v>
      </c>
      <c r="J1228">
        <f>($B$1+Table4[[#This Row],[Home Differential]])-Table4[[#This Row],[Away Differential]]</f>
        <v>-0.11056907413542194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0.45971908192667371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-0.14226422156549004</v>
      </c>
      <c r="H1229" t="s">
        <v>11</v>
      </c>
      <c r="I1229">
        <f>VLOOKUP(Table4[[#This Row],[Visitor]],'NHL Model'!$A$6:$B$38,2,FALSE)</f>
        <v>-0.39711829106410657</v>
      </c>
      <c r="J1229">
        <f>($B$1+Table4[[#This Row],[Home Differential]])-Table4[[#This Row],[Away Differential]]</f>
        <v>0.30475481842177898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0.57558462291084611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-0.4761104357405897</v>
      </c>
      <c r="H1230" t="s">
        <v>37</v>
      </c>
      <c r="I1230">
        <f>VLOOKUP(Table4[[#This Row],[Visitor]],'NHL Model'!$A$6:$B$38,2,FALSE)</f>
        <v>0.51050494674660429</v>
      </c>
      <c r="J1230">
        <f>($B$1+Table4[[#This Row],[Home Differential]])-Table4[[#This Row],[Away Differential]]</f>
        <v>-0.93671463356403151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0.65174813974582668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-0.33828359867721369</v>
      </c>
      <c r="H1231" t="s">
        <v>29</v>
      </c>
      <c r="I1231">
        <f>VLOOKUP(Table4[[#This Row],[Visitor]],'NHL Model'!$A$6:$B$38,2,FALSE)</f>
        <v>-1.384917283810061</v>
      </c>
      <c r="J1231">
        <f>($B$1+Table4[[#This Row],[Home Differential]])-Table4[[#This Row],[Away Differential]]</f>
        <v>1.0965344340560097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0.6680365788692405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-0.45133099238224339</v>
      </c>
      <c r="H1232" t="s">
        <v>10</v>
      </c>
      <c r="I1232">
        <f>VLOOKUP(Table4[[#This Row],[Visitor]],'NHL Model'!$A$6:$B$38,2,FALSE)</f>
        <v>-0.17619625518431364</v>
      </c>
      <c r="J1232">
        <f>($B$1+Table4[[#This Row],[Home Differential]])-Table4[[#This Row],[Away Differential]]</f>
        <v>-0.22523398827476726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0.47617714295874053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-0.31324182378279158</v>
      </c>
      <c r="H1233" t="s">
        <v>32</v>
      </c>
      <c r="I1233">
        <f>VLOOKUP(Table4[[#This Row],[Visitor]],'NHL Model'!$A$6:$B$38,2,FALSE)</f>
        <v>-0.64937723527808999</v>
      </c>
      <c r="J1233">
        <f>($B$1+Table4[[#This Row],[Home Differential]])-Table4[[#This Row],[Away Differential]]</f>
        <v>0.38603616041846089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0.58757089842028809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0.17870302183926629</v>
      </c>
      <c r="H1234" t="s">
        <v>29</v>
      </c>
      <c r="I1234">
        <f>VLOOKUP(Table4[[#This Row],[Visitor]],'NHL Model'!$A$6:$B$38,2,FALSE)</f>
        <v>-1.384917283810061</v>
      </c>
      <c r="J1234">
        <f>($B$1+Table4[[#This Row],[Home Differential]])-Table4[[#This Row],[Away Differential]]</f>
        <v>1.6135210545724896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0.8082371077362871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0.42567513732855267</v>
      </c>
      <c r="H1235" t="s">
        <v>21</v>
      </c>
      <c r="I1235">
        <f>VLOOKUP(Table4[[#This Row],[Visitor]],'NHL Model'!$A$6:$B$38,2,FALSE)</f>
        <v>-0.21976976044773161</v>
      </c>
      <c r="J1235">
        <f>($B$1+Table4[[#This Row],[Home Differential]])-Table4[[#This Row],[Away Differential]]</f>
        <v>0.69534564669944676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0.67210095773054734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0.41344250185511977</v>
      </c>
      <c r="H1236" t="s">
        <v>16</v>
      </c>
      <c r="I1236">
        <f>VLOOKUP(Table4[[#This Row],[Visitor]],'NHL Model'!$A$6:$B$38,2,FALSE)</f>
        <v>-1.0657812790446208</v>
      </c>
      <c r="J1236">
        <f>($B$1+Table4[[#This Row],[Home Differential]])-Table4[[#This Row],[Away Differential]]</f>
        <v>1.529124529822903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0.75079392293246339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-0.87533956503230947</v>
      </c>
      <c r="H1237" t="s">
        <v>28</v>
      </c>
      <c r="I1237">
        <f>VLOOKUP(Table4[[#This Row],[Visitor]],'NHL Model'!$A$6:$B$38,2,FALSE)</f>
        <v>-0.59498940435054026</v>
      </c>
      <c r="J1237">
        <f>($B$1+Table4[[#This Row],[Home Differential]])-Table4[[#This Row],[Away Differential]]</f>
        <v>-0.23044941175860678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0.49048452895378603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-5.5124787449478845E-2</v>
      </c>
      <c r="H1238" t="s">
        <v>32</v>
      </c>
      <c r="I1238">
        <f>VLOOKUP(Table4[[#This Row],[Visitor]],'NHL Model'!$A$6:$B$38,2,FALSE)</f>
        <v>-0.64937723527808999</v>
      </c>
      <c r="J1238">
        <f>($B$1+Table4[[#This Row],[Home Differential]])-Table4[[#This Row],[Away Differential]]</f>
        <v>0.64415319675177363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0.6152143927434286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-0.59288962827382519</v>
      </c>
      <c r="H1239" t="s">
        <v>11</v>
      </c>
      <c r="I1239">
        <f>VLOOKUP(Table4[[#This Row],[Visitor]],'NHL Model'!$A$6:$B$38,2,FALSE)</f>
        <v>-0.39711829106410657</v>
      </c>
      <c r="J1239">
        <f>($B$1+Table4[[#This Row],[Home Differential]])-Table4[[#This Row],[Away Differential]]</f>
        <v>-0.14587058828655619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0.47703254407868434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1.5302507646042616E-3</v>
      </c>
      <c r="H1240" t="s">
        <v>27</v>
      </c>
      <c r="I1240">
        <f>VLOOKUP(Table4[[#This Row],[Visitor]],'NHL Model'!$A$6:$B$38,2,FALSE)</f>
        <v>-0.38023958350631604</v>
      </c>
      <c r="J1240">
        <f>($B$1+Table4[[#This Row],[Home Differential]])-Table4[[#This Row],[Away Differential]]</f>
        <v>0.43167058319408275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0.62935128001206531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-0.53137605086483863</v>
      </c>
      <c r="H1241" t="s">
        <v>37</v>
      </c>
      <c r="I1241">
        <f>VLOOKUP(Table4[[#This Row],[Visitor]],'NHL Model'!$A$6:$B$38,2,FALSE)</f>
        <v>0.51050494674660429</v>
      </c>
      <c r="J1241">
        <f>($B$1+Table4[[#This Row],[Home Differential]])-Table4[[#This Row],[Away Differential]]</f>
        <v>-0.9919802486882805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0.66582833461791524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-1.3944783719477225</v>
      </c>
      <c r="H1242" t="s">
        <v>12</v>
      </c>
      <c r="I1242">
        <f>VLOOKUP(Table4[[#This Row],[Visitor]],'NHL Model'!$A$6:$B$38,2,FALSE)</f>
        <v>1.6319036584269762</v>
      </c>
      <c r="J1242">
        <f>($B$1+Table4[[#This Row],[Home Differential]])-Table4[[#This Row],[Away Differential]]</f>
        <v>-2.9764812814515365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0.88017128844573156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-0.4031232890211825</v>
      </c>
      <c r="H1243" t="s">
        <v>17</v>
      </c>
      <c r="I1243">
        <f>VLOOKUP(Table4[[#This Row],[Visitor]],'NHL Model'!$A$6:$B$38,2,FALSE)</f>
        <v>-0.81774666423752174</v>
      </c>
      <c r="J1243">
        <f>($B$1+Table4[[#This Row],[Home Differential]])-Table4[[#This Row],[Away Differential]]</f>
        <v>0.46452412413950173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0.63467122482615079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-0.9476777551108041</v>
      </c>
      <c r="H1244" t="s">
        <v>20</v>
      </c>
      <c r="I1244">
        <f>VLOOKUP(Table4[[#This Row],[Visitor]],'NHL Model'!$A$6:$B$38,2,FALSE)</f>
        <v>-0.24444083032063643</v>
      </c>
      <c r="J1244">
        <f>($B$1+Table4[[#This Row],[Home Differential]])-Table4[[#This Row],[Away Differential]]</f>
        <v>-0.65333617586700521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0.53628664108623059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-0.29003398448394263</v>
      </c>
      <c r="H1245" t="s">
        <v>23</v>
      </c>
      <c r="I1245">
        <f>VLOOKUP(Table4[[#This Row],[Visitor]],'NHL Model'!$A$6:$B$38,2,FALSE)</f>
        <v>-0.4761104357405897</v>
      </c>
      <c r="J1245">
        <f>($B$1+Table4[[#This Row],[Home Differential]])-Table4[[#This Row],[Away Differential]]</f>
        <v>0.23597720017980953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0.56755382089589856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-0.45133099238224339</v>
      </c>
      <c r="H1246" t="s">
        <v>17</v>
      </c>
      <c r="I1246">
        <f>VLOOKUP(Table4[[#This Row],[Visitor]],'NHL Model'!$A$6:$B$38,2,FALSE)</f>
        <v>-0.81774666423752174</v>
      </c>
      <c r="J1246">
        <f>($B$1+Table4[[#This Row],[Home Differential]])-Table4[[#This Row],[Away Differential]]</f>
        <v>0.41631642077844083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0.59873333590647571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-0.63447859131898054</v>
      </c>
      <c r="H1247" t="s">
        <v>22</v>
      </c>
      <c r="I1247">
        <f>VLOOKUP(Table4[[#This Row],[Visitor]],'NHL Model'!$A$6:$B$38,2,FALSE)</f>
        <v>0.4407072328537569</v>
      </c>
      <c r="J1247">
        <f>($B$1+Table4[[#This Row],[Home Differential]])-Table4[[#This Row],[Away Differential]]</f>
        <v>-1.025285075249575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0.62222972747717475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0.17870302183926629</v>
      </c>
      <c r="H1248" t="s">
        <v>33</v>
      </c>
      <c r="I1248">
        <f>VLOOKUP(Table4[[#This Row],[Visitor]],'NHL Model'!$A$6:$B$38,2,FALSE)</f>
        <v>-0.45133099238224339</v>
      </c>
      <c r="J1248">
        <f>($B$1+Table4[[#This Row],[Home Differential]])-Table4[[#This Row],[Away Differential]]</f>
        <v>0.67993476314467216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0.69922712946183019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-0.4761104357405897</v>
      </c>
      <c r="H1249" t="s">
        <v>28</v>
      </c>
      <c r="I1249">
        <f>VLOOKUP(Table4[[#This Row],[Visitor]],'NHL Model'!$A$6:$B$38,2,FALSE)</f>
        <v>-0.59498940435054026</v>
      </c>
      <c r="J1249">
        <f>($B$1+Table4[[#This Row],[Home Differential]])-Table4[[#This Row],[Away Differential]]</f>
        <v>0.16877971753311305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0.5662662274862772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-0.17619625518431364</v>
      </c>
      <c r="H1250" t="s">
        <v>25</v>
      </c>
      <c r="I1250">
        <f>VLOOKUP(Table4[[#This Row],[Visitor]],'NHL Model'!$A$6:$B$38,2,FALSE)</f>
        <v>0.42567513732855267</v>
      </c>
      <c r="J1250">
        <f>($B$1+Table4[[#This Row],[Home Differential]])-Table4[[#This Row],[Away Differential]]</f>
        <v>-0.55197064358970382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0.59707388825222985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1.6319036584269762</v>
      </c>
      <c r="H1251" t="s">
        <v>16</v>
      </c>
      <c r="I1251">
        <f>VLOOKUP(Table4[[#This Row],[Visitor]],'NHL Model'!$A$6:$B$38,2,FALSE)</f>
        <v>-1.0657812790446208</v>
      </c>
      <c r="J1251">
        <f>($B$1+Table4[[#This Row],[Home Differential]])-Table4[[#This Row],[Away Differential]]</f>
        <v>2.7475856863947596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0.96515107726433946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0.41344250185511977</v>
      </c>
      <c r="H1252" t="s">
        <v>34</v>
      </c>
      <c r="I1252">
        <f>VLOOKUP(Table4[[#This Row],[Visitor]],'NHL Model'!$A$6:$B$38,2,FALSE)</f>
        <v>-5.5124787449478845E-2</v>
      </c>
      <c r="J1252">
        <f>($B$1+Table4[[#This Row],[Home Differential]])-Table4[[#This Row],[Away Differential]]</f>
        <v>0.51846803822776111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0.5906592774329128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-0.87533956503230947</v>
      </c>
      <c r="H1253" t="s">
        <v>27</v>
      </c>
      <c r="I1253">
        <f>VLOOKUP(Table4[[#This Row],[Visitor]],'NHL Model'!$A$6:$B$38,2,FALSE)</f>
        <v>-0.38023958350631604</v>
      </c>
      <c r="J1253">
        <f>($B$1+Table4[[#This Row],[Home Differential]])-Table4[[#This Row],[Away Differential]]</f>
        <v>-0.44519923260283101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0.55449614389216906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-0.33828359867721369</v>
      </c>
      <c r="H1254" t="s">
        <v>38</v>
      </c>
      <c r="I1254">
        <f>VLOOKUP(Table4[[#This Row],[Visitor]],'NHL Model'!$A$6:$B$38,2,FALSE)</f>
        <v>-0.9476777551108041</v>
      </c>
      <c r="J1254">
        <f>($B$1+Table4[[#This Row],[Home Differential]])-Table4[[#This Row],[Away Differential]]</f>
        <v>0.65929490535675295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0.61340625175833186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-0.59288962827382519</v>
      </c>
      <c r="H1255" t="s">
        <v>37</v>
      </c>
      <c r="I1255">
        <f>VLOOKUP(Table4[[#This Row],[Visitor]],'NHL Model'!$A$6:$B$38,2,FALSE)</f>
        <v>0.51050494674660429</v>
      </c>
      <c r="J1255">
        <f>($B$1+Table4[[#This Row],[Home Differential]])-Table4[[#This Row],[Away Differential]]</f>
        <v>-1.053493826097267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0.67549714050132492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1.5302507646042616E-3</v>
      </c>
      <c r="H1256" t="s">
        <v>14</v>
      </c>
      <c r="I1256">
        <f>VLOOKUP(Table4[[#This Row],[Visitor]],'NHL Model'!$A$6:$B$38,2,FALSE)</f>
        <v>-0.14226422156549004</v>
      </c>
      <c r="J1256">
        <f>($B$1+Table4[[#This Row],[Home Differential]])-Table4[[#This Row],[Away Differential]]</f>
        <v>0.19369522125325678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0.60470632805755864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-0.24093199744133265</v>
      </c>
      <c r="H1257" t="s">
        <v>19</v>
      </c>
      <c r="I1257">
        <f>VLOOKUP(Table4[[#This Row],[Visitor]],'NHL Model'!$A$6:$B$38,2,FALSE)</f>
        <v>-0.63447859131898054</v>
      </c>
      <c r="J1257">
        <f>($B$1+Table4[[#This Row],[Home Differential]])-Table4[[#This Row],[Away Differential]]</f>
        <v>0.44344734280081033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0.59177902208766475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-0.53137605086483863</v>
      </c>
      <c r="H1258" t="s">
        <v>11</v>
      </c>
      <c r="I1258">
        <f>VLOOKUP(Table4[[#This Row],[Visitor]],'NHL Model'!$A$6:$B$38,2,FALSE)</f>
        <v>-0.39711829106410657</v>
      </c>
      <c r="J1258">
        <f>($B$1+Table4[[#This Row],[Home Differential]])-Table4[[#This Row],[Away Differential]]</f>
        <v>-8.4357010877569583E-2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0.46735444683623856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-0.64937723527808999</v>
      </c>
      <c r="H1259" t="s">
        <v>20</v>
      </c>
      <c r="I1259">
        <f>VLOOKUP(Table4[[#This Row],[Visitor]],'NHL Model'!$A$6:$B$38,2,FALSE)</f>
        <v>-0.24444083032063643</v>
      </c>
      <c r="J1259">
        <f>($B$1+Table4[[#This Row],[Home Differential]])-Table4[[#This Row],[Away Differential]]</f>
        <v>-0.3550356560342911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0.50145565279430626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-1.3944783719477225</v>
      </c>
      <c r="H1260" t="s">
        <v>40</v>
      </c>
      <c r="I1260">
        <f>VLOOKUP(Table4[[#This Row],[Visitor]],'NHL Model'!$A$6:$B$38,2,FALSE)</f>
        <v>-0.31324182378279158</v>
      </c>
      <c r="J1260">
        <f>($B$1+Table4[[#This Row],[Home Differential]])-Table4[[#This Row],[Away Differential]]</f>
        <v>-1.0313357992417684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0.60119290676073633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-0.4031232890211825</v>
      </c>
      <c r="H1261" t="s">
        <v>29</v>
      </c>
      <c r="I1261">
        <f>VLOOKUP(Table4[[#This Row],[Visitor]],'NHL Model'!$A$6:$B$38,2,FALSE)</f>
        <v>-1.384917283810061</v>
      </c>
      <c r="J1261">
        <f>($B$1+Table4[[#This Row],[Home Differential]])-Table4[[#This Row],[Away Differential]]</f>
        <v>1.031694743712041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0.70089676550215485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-0.21976976044773161</v>
      </c>
      <c r="H1262" t="s">
        <v>37</v>
      </c>
      <c r="I1262">
        <f>VLOOKUP(Table4[[#This Row],[Visitor]],'NHL Model'!$A$6:$B$38,2,FALSE)</f>
        <v>0.51050494674660429</v>
      </c>
      <c r="J1262">
        <f>($B$1+Table4[[#This Row],[Home Differential]])-Table4[[#This Row],[Away Differential]]</f>
        <v>-0.68037395827117342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0.58853461032201404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-0.17619625518431364</v>
      </c>
      <c r="H1263" t="s">
        <v>35</v>
      </c>
      <c r="I1263">
        <f>VLOOKUP(Table4[[#This Row],[Visitor]],'NHL Model'!$A$6:$B$38,2,FALSE)</f>
        <v>-1.3944783719477225</v>
      </c>
      <c r="J1263">
        <f>($B$1+Table4[[#This Row],[Home Differential]])-Table4[[#This Row],[Away Differential]]</f>
        <v>1.2681828656865712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0.6880790666121519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1.6319036584269762</v>
      </c>
      <c r="H1264" t="s">
        <v>20</v>
      </c>
      <c r="I1264">
        <f>VLOOKUP(Table4[[#This Row],[Visitor]],'NHL Model'!$A$6:$B$38,2,FALSE)</f>
        <v>-0.24444083032063643</v>
      </c>
      <c r="J1264">
        <f>($B$1+Table4[[#This Row],[Home Differential]])-Table4[[#This Row],[Away Differential]]</f>
        <v>1.926245237670775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0.86924745775595813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0.41344250185511977</v>
      </c>
      <c r="H1265" t="s">
        <v>15</v>
      </c>
      <c r="I1265">
        <f>VLOOKUP(Table4[[#This Row],[Visitor]],'NHL Model'!$A$6:$B$38,2,FALSE)</f>
        <v>-0.29003398448394263</v>
      </c>
      <c r="J1265">
        <f>($B$1+Table4[[#This Row],[Home Differential]])-Table4[[#This Row],[Away Differential]]</f>
        <v>0.75337723526222489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0.56029263451851241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-0.87533956503230947</v>
      </c>
      <c r="H1266" t="s">
        <v>24</v>
      </c>
      <c r="I1266">
        <f>VLOOKUP(Table4[[#This Row],[Visitor]],'NHL Model'!$A$6:$B$38,2,FALSE)</f>
        <v>1.5302507646042616E-3</v>
      </c>
      <c r="J1266">
        <f>($B$1+Table4[[#This Row],[Home Differential]])-Table4[[#This Row],[Away Differential]]</f>
        <v>-0.82696906687375127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0.57733007451907226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-0.33828359867721369</v>
      </c>
      <c r="H1267" t="s">
        <v>17</v>
      </c>
      <c r="I1267">
        <f>VLOOKUP(Table4[[#This Row],[Visitor]],'NHL Model'!$A$6:$B$38,2,FALSE)</f>
        <v>-0.81774666423752174</v>
      </c>
      <c r="J1267">
        <f>($B$1+Table4[[#This Row],[Home Differential]])-Table4[[#This Row],[Away Differential]]</f>
        <v>0.52936381448347047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0.60181103819323645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-0.59288962827382519</v>
      </c>
      <c r="H1268" t="s">
        <v>28</v>
      </c>
      <c r="I1268">
        <f>VLOOKUP(Table4[[#This Row],[Visitor]],'NHL Model'!$A$6:$B$38,2,FALSE)</f>
        <v>-0.59498940435054026</v>
      </c>
      <c r="J1268">
        <f>($B$1+Table4[[#This Row],[Home Differential]])-Table4[[#This Row],[Away Differential]]</f>
        <v>5.2000524999877507E-2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0.54249566982631203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-1.384917283810061</v>
      </c>
      <c r="H1269" t="s">
        <v>34</v>
      </c>
      <c r="I1269">
        <f>VLOOKUP(Table4[[#This Row],[Visitor]],'NHL Model'!$A$6:$B$38,2,FALSE)</f>
        <v>-5.5124787449478845E-2</v>
      </c>
      <c r="J1269">
        <f>($B$1+Table4[[#This Row],[Home Differential]])-Table4[[#This Row],[Away Differential]]</f>
        <v>-1.2798917474374196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0.65195881418139467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-0.24093199744133265</v>
      </c>
      <c r="H1270" t="s">
        <v>36</v>
      </c>
      <c r="I1270">
        <f>VLOOKUP(Table4[[#This Row],[Visitor]],'NHL Model'!$A$6:$B$38,2,FALSE)</f>
        <v>-0.53137605086483863</v>
      </c>
      <c r="J1270">
        <f>($B$1+Table4[[#This Row],[Home Differential]])-Table4[[#This Row],[Away Differential]]</f>
        <v>0.34034480234666842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0.57974027880475065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-0.14226422156549004</v>
      </c>
      <c r="H1271" t="s">
        <v>22</v>
      </c>
      <c r="I1271">
        <f>VLOOKUP(Table4[[#This Row],[Visitor]],'NHL Model'!$A$6:$B$38,2,FALSE)</f>
        <v>0.4407072328537569</v>
      </c>
      <c r="J1271">
        <f>($B$1+Table4[[#This Row],[Home Differential]])-Table4[[#This Row],[Away Differential]]</f>
        <v>-0.53307070549608448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0.56475643524283603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-0.64937723527808999</v>
      </c>
      <c r="H1272" t="s">
        <v>16</v>
      </c>
      <c r="I1272">
        <f>VLOOKUP(Table4[[#This Row],[Visitor]],'NHL Model'!$A$6:$B$38,2,FALSE)</f>
        <v>-1.0657812790446208</v>
      </c>
      <c r="J1272">
        <f>($B$1+Table4[[#This Row],[Home Differential]])-Table4[[#This Row],[Away Differential]]</f>
        <v>0.46630479268969327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0.59444796671407507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-0.45133099238224339</v>
      </c>
      <c r="H1273" t="s">
        <v>38</v>
      </c>
      <c r="I1273">
        <f>VLOOKUP(Table4[[#This Row],[Visitor]],'NHL Model'!$A$6:$B$38,2,FALSE)</f>
        <v>-0.9476777551108041</v>
      </c>
      <c r="J1273">
        <f>($B$1+Table4[[#This Row],[Home Differential]])-Table4[[#This Row],[Away Differential]]</f>
        <v>0.54624751165172314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0.61034116347665668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-0.63447859131898054</v>
      </c>
      <c r="H1274" t="s">
        <v>11</v>
      </c>
      <c r="I1274">
        <f>VLOOKUP(Table4[[#This Row],[Visitor]],'NHL Model'!$A$6:$B$38,2,FALSE)</f>
        <v>-0.39711829106410657</v>
      </c>
      <c r="J1274">
        <f>($B$1+Table4[[#This Row],[Home Differential]])-Table4[[#This Row],[Away Differential]]</f>
        <v>-0.18745955133171155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0.48188866932349261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-0.4031232890211825</v>
      </c>
      <c r="H1275" t="s">
        <v>25</v>
      </c>
      <c r="I1275">
        <f>VLOOKUP(Table4[[#This Row],[Visitor]],'NHL Model'!$A$6:$B$38,2,FALSE)</f>
        <v>0.42567513732855267</v>
      </c>
      <c r="J1275">
        <f>($B$1+Table4[[#This Row],[Home Differential]])-Table4[[#This Row],[Away Differential]]</f>
        <v>-0.77889767742657268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0.58256791128065522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-0.31324182378279158</v>
      </c>
      <c r="H1276" t="s">
        <v>27</v>
      </c>
      <c r="I1276">
        <f>VLOOKUP(Table4[[#This Row],[Visitor]],'NHL Model'!$A$6:$B$38,2,FALSE)</f>
        <v>-0.38023958350631604</v>
      </c>
      <c r="J1276">
        <f>($B$1+Table4[[#This Row],[Home Differential]])-Table4[[#This Row],[Away Differential]]</f>
        <v>0.11689850864668694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0.51364962618335208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0.17870302183926629</v>
      </c>
      <c r="H1277" t="s">
        <v>38</v>
      </c>
      <c r="I1277">
        <f>VLOOKUP(Table4[[#This Row],[Visitor]],'NHL Model'!$A$6:$B$38,2,FALSE)</f>
        <v>-0.9476777551108041</v>
      </c>
      <c r="J1277">
        <f>($B$1+Table4[[#This Row],[Home Differential]])-Table4[[#This Row],[Away Differential]]</f>
        <v>1.1762815258732329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0.75378658498635764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-0.59498940435054026</v>
      </c>
      <c r="H1278" t="s">
        <v>21</v>
      </c>
      <c r="I1278">
        <f>VLOOKUP(Table4[[#This Row],[Visitor]],'NHL Model'!$A$6:$B$38,2,FALSE)</f>
        <v>-0.21976976044773161</v>
      </c>
      <c r="J1278">
        <f>($B$1+Table4[[#This Row],[Home Differential]])-Table4[[#This Row],[Away Differential]]</f>
        <v>-0.32531889497964622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0.4988152754406433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-1.0657812790446208</v>
      </c>
      <c r="H1279" t="s">
        <v>55</v>
      </c>
      <c r="I1279">
        <f>VLOOKUP(Table4[[#This Row],[Visitor]],'NHL Model'!$A$6:$B$38,2,FALSE)</f>
        <v>-0.4031232890211825</v>
      </c>
      <c r="J1279">
        <f>($B$1+Table4[[#This Row],[Home Differential]])-Table4[[#This Row],[Away Differential]]</f>
        <v>-0.61275724110027596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0.53154845154988206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1.5302507646042616E-3</v>
      </c>
      <c r="H1280" t="s">
        <v>36</v>
      </c>
      <c r="I1280">
        <f>VLOOKUP(Table4[[#This Row],[Visitor]],'NHL Model'!$A$6:$B$38,2,FALSE)</f>
        <v>-0.53137605086483863</v>
      </c>
      <c r="J1280">
        <f>($B$1+Table4[[#This Row],[Home Differential]])-Table4[[#This Row],[Away Differential]]</f>
        <v>0.5828070505526054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0.68788603551397898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-0.24093199744133265</v>
      </c>
      <c r="H1281" t="s">
        <v>18</v>
      </c>
      <c r="I1281">
        <f>VLOOKUP(Table4[[#This Row],[Visitor]],'NHL Model'!$A$6:$B$38,2,FALSE)</f>
        <v>-0.59288962827382519</v>
      </c>
      <c r="J1281">
        <f>($B$1+Table4[[#This Row],[Home Differential]])-Table4[[#This Row],[Away Differential]]</f>
        <v>0.40185837975565497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0.52763506301496321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0.4407072328537569</v>
      </c>
      <c r="H1282" t="s">
        <v>14</v>
      </c>
      <c r="I1282">
        <f>VLOOKUP(Table4[[#This Row],[Visitor]],'NHL Model'!$A$6:$B$38,2,FALSE)</f>
        <v>-0.14226422156549004</v>
      </c>
      <c r="J1282">
        <f>($B$1+Table4[[#This Row],[Home Differential]])-Table4[[#This Row],[Away Differential]]</f>
        <v>0.63287220334240946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0.60092419729433255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-0.17619625518431364</v>
      </c>
      <c r="H1283" t="s">
        <v>23</v>
      </c>
      <c r="I1283">
        <f>VLOOKUP(Table4[[#This Row],[Visitor]],'NHL Model'!$A$6:$B$38,2,FALSE)</f>
        <v>-0.4761104357405897</v>
      </c>
      <c r="J1283">
        <f>($B$1+Table4[[#This Row],[Home Differential]])-Table4[[#This Row],[Away Differential]]</f>
        <v>0.34981492947943849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0.58084605591660265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-0.81774666423752174</v>
      </c>
      <c r="H1284" t="s">
        <v>12</v>
      </c>
      <c r="I1284">
        <f>VLOOKUP(Table4[[#This Row],[Visitor]],'NHL Model'!$A$6:$B$38,2,FALSE)</f>
        <v>1.6319036584269762</v>
      </c>
      <c r="J1284">
        <f>($B$1+Table4[[#This Row],[Home Differential]])-Table4[[#This Row],[Away Differential]]</f>
        <v>-2.3997495737413352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0.80575362576568399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-0.39711829106410657</v>
      </c>
      <c r="H1285" t="s">
        <v>15</v>
      </c>
      <c r="I1285">
        <f>VLOOKUP(Table4[[#This Row],[Visitor]],'NHL Model'!$A$6:$B$38,2,FALSE)</f>
        <v>-0.29003398448394263</v>
      </c>
      <c r="J1285">
        <f>($B$1+Table4[[#This Row],[Home Differential]])-Table4[[#This Row],[Away Differential]]</f>
        <v>-5.7183557657001449E-2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0.55277631510567293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-1.384917283810061</v>
      </c>
      <c r="H1286" t="s">
        <v>33</v>
      </c>
      <c r="I1286">
        <f>VLOOKUP(Table4[[#This Row],[Visitor]],'NHL Model'!$A$6:$B$38,2,FALSE)</f>
        <v>-0.45133099238224339</v>
      </c>
      <c r="J1286">
        <f>($B$1+Table4[[#This Row],[Home Differential]])-Table4[[#This Row],[Away Differential]]</f>
        <v>-0.88368554250465514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0.563183329355187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-0.38023958350631604</v>
      </c>
      <c r="H1287" t="s">
        <v>25</v>
      </c>
      <c r="I1287">
        <f>VLOOKUP(Table4[[#This Row],[Visitor]],'NHL Model'!$A$6:$B$38,2,FALSE)</f>
        <v>0.42567513732855267</v>
      </c>
      <c r="J1287">
        <f>($B$1+Table4[[#This Row],[Home Differential]])-Table4[[#This Row],[Away Differential]]</f>
        <v>-0.75601397191170627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0.60679430770908094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-0.64937723527808999</v>
      </c>
      <c r="H1288" t="s">
        <v>13</v>
      </c>
      <c r="I1288">
        <f>VLOOKUP(Table4[[#This Row],[Visitor]],'NHL Model'!$A$6:$B$38,2,FALSE)</f>
        <v>-0.33828359867721369</v>
      </c>
      <c r="J1288">
        <f>($B$1+Table4[[#This Row],[Home Differential]])-Table4[[#This Row],[Away Differential]]</f>
        <v>-0.26119288767771387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0.55681391404194935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-1.3944783719477225</v>
      </c>
      <c r="H1289" t="s">
        <v>34</v>
      </c>
      <c r="I1289">
        <f>VLOOKUP(Table4[[#This Row],[Visitor]],'NHL Model'!$A$6:$B$38,2,FALSE)</f>
        <v>-5.5124787449478845E-2</v>
      </c>
      <c r="J1289">
        <f>($B$1+Table4[[#This Row],[Home Differential]])-Table4[[#This Row],[Away Differential]]</f>
        <v>-1.2894528355750812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0.65307521233305632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0.51050494674660429</v>
      </c>
      <c r="H1290" t="s">
        <v>26</v>
      </c>
      <c r="I1290">
        <f>VLOOKUP(Table4[[#This Row],[Visitor]],'NHL Model'!$A$6:$B$38,2,FALSE)</f>
        <v>-0.87533956503230947</v>
      </c>
      <c r="J1290">
        <f>($B$1+Table4[[#This Row],[Home Differential]])-Table4[[#This Row],[Away Differential]]</f>
        <v>1.4357452607020762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0.73989051508295656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-0.63447859131898054</v>
      </c>
      <c r="H1291" t="s">
        <v>39</v>
      </c>
      <c r="I1291">
        <f>VLOOKUP(Table4[[#This Row],[Visitor]],'NHL Model'!$A$6:$B$38,2,FALSE)</f>
        <v>0.41344250185511977</v>
      </c>
      <c r="J1291">
        <f>($B$1+Table4[[#This Row],[Home Differential]])-Table4[[#This Row],[Away Differential]]</f>
        <v>-0.99802034425093789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0.67833135772929232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-0.24444083032063643</v>
      </c>
      <c r="H1292" t="s">
        <v>40</v>
      </c>
      <c r="I1292">
        <f>VLOOKUP(Table4[[#This Row],[Visitor]],'NHL Model'!$A$6:$B$38,2,FALSE)</f>
        <v>-0.31324182378279158</v>
      </c>
      <c r="J1292">
        <f>($B$1+Table4[[#This Row],[Home Differential]])-Table4[[#This Row],[Away Differential]]</f>
        <v>0.11870174238531761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0.53309094956693703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-0.21976976044773161</v>
      </c>
      <c r="H1293" t="s">
        <v>24</v>
      </c>
      <c r="I1293">
        <f>VLOOKUP(Table4[[#This Row],[Visitor]],'NHL Model'!$A$6:$B$38,2,FALSE)</f>
        <v>1.5302507646042616E-3</v>
      </c>
      <c r="J1293">
        <f>($B$1+Table4[[#This Row],[Home Differential]])-Table4[[#This Row],[Away Differential]]</f>
        <v>-0.1713992622891734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0.45751339354482728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-0.59498940435054026</v>
      </c>
      <c r="H1294" t="s">
        <v>22</v>
      </c>
      <c r="I1294">
        <f>VLOOKUP(Table4[[#This Row],[Visitor]],'NHL Model'!$A$6:$B$38,2,FALSE)</f>
        <v>0.4407072328537569</v>
      </c>
      <c r="J1294">
        <f>($B$1+Table4[[#This Row],[Home Differential]])-Table4[[#This Row],[Away Differential]]</f>
        <v>-0.98579588828113474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0.61761878207980603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-1.0657812790446208</v>
      </c>
      <c r="H1295" t="s">
        <v>12</v>
      </c>
      <c r="I1295">
        <f>VLOOKUP(Table4[[#This Row],[Visitor]],'NHL Model'!$A$6:$B$38,2,FALSE)</f>
        <v>1.6319036584269762</v>
      </c>
      <c r="J1295">
        <f>($B$1+Table4[[#This Row],[Home Differential]])-Table4[[#This Row],[Away Differential]]</f>
        <v>-2.6477841885484343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0.84179105162643941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-5.5124787449478845E-2</v>
      </c>
      <c r="H1296" t="s">
        <v>31</v>
      </c>
      <c r="I1296">
        <f>VLOOKUP(Table4[[#This Row],[Visitor]],'NHL Model'!$A$6:$B$38,2,FALSE)</f>
        <v>0.17870302183926629</v>
      </c>
      <c r="J1296">
        <f>($B$1+Table4[[#This Row],[Home Differential]])-Table4[[#This Row],[Away Differential]]</f>
        <v>-0.18392706036558265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0.50224542963658214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-0.24093199744133265</v>
      </c>
      <c r="H1297" t="s">
        <v>25</v>
      </c>
      <c r="I1297">
        <f>VLOOKUP(Table4[[#This Row],[Visitor]],'NHL Model'!$A$6:$B$38,2,FALSE)</f>
        <v>0.42567513732855267</v>
      </c>
      <c r="J1297">
        <f>($B$1+Table4[[#This Row],[Home Differential]])-Table4[[#This Row],[Away Differential]]</f>
        <v>-0.61670638584672288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0.60463274159210245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-0.38023958350631604</v>
      </c>
      <c r="H1298" t="s">
        <v>18</v>
      </c>
      <c r="I1298">
        <f>VLOOKUP(Table4[[#This Row],[Visitor]],'NHL Model'!$A$6:$B$38,2,FALSE)</f>
        <v>-0.59288962827382519</v>
      </c>
      <c r="J1298">
        <f>($B$1+Table4[[#This Row],[Home Differential]])-Table4[[#This Row],[Away Differential]]</f>
        <v>0.26255079369067164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0.52550204096128261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-1.3944783719477225</v>
      </c>
      <c r="H1299" t="s">
        <v>14</v>
      </c>
      <c r="I1299">
        <f>VLOOKUP(Table4[[#This Row],[Visitor]],'NHL Model'!$A$6:$B$38,2,FALSE)</f>
        <v>-0.14226422156549004</v>
      </c>
      <c r="J1299">
        <f>($B$1+Table4[[#This Row],[Home Differential]])-Table4[[#This Row],[Away Differential]]</f>
        <v>-1.20231340145907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0.63967456773791442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-0.4031232890211825</v>
      </c>
      <c r="H1300" t="s">
        <v>40</v>
      </c>
      <c r="I1300">
        <f>VLOOKUP(Table4[[#This Row],[Visitor]],'NHL Model'!$A$6:$B$38,2,FALSE)</f>
        <v>-0.31324182378279158</v>
      </c>
      <c r="J1300">
        <f>($B$1+Table4[[#This Row],[Home Differential]])-Table4[[#This Row],[Away Differential]]</f>
        <v>-3.9980716315228426E-2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0.44466833870306172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-0.9476777551108041</v>
      </c>
      <c r="H1301" t="s">
        <v>13</v>
      </c>
      <c r="I1301">
        <f>VLOOKUP(Table4[[#This Row],[Visitor]],'NHL Model'!$A$6:$B$38,2,FALSE)</f>
        <v>-0.33828359867721369</v>
      </c>
      <c r="J1301">
        <f>($B$1+Table4[[#This Row],[Home Differential]])-Table4[[#This Row],[Away Differential]]</f>
        <v>-0.55949340751042798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0.59164490233387368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-0.4761104357405897</v>
      </c>
      <c r="H1302" t="s">
        <v>39</v>
      </c>
      <c r="I1302">
        <f>VLOOKUP(Table4[[#This Row],[Visitor]],'NHL Model'!$A$6:$B$38,2,FALSE)</f>
        <v>0.41344250185511977</v>
      </c>
      <c r="J1302">
        <f>($B$1+Table4[[#This Row],[Home Differential]])-Table4[[#This Row],[Away Differential]]</f>
        <v>-0.83965218867254698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0.64976592334040328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-0.17619625518431364</v>
      </c>
      <c r="H1303" t="s">
        <v>33</v>
      </c>
      <c r="I1303">
        <f>VLOOKUP(Table4[[#This Row],[Visitor]],'NHL Model'!$A$6:$B$38,2,FALSE)</f>
        <v>-0.45133099238224339</v>
      </c>
      <c r="J1303">
        <f>($B$1+Table4[[#This Row],[Home Differential]])-Table4[[#This Row],[Away Differential]]</f>
        <v>0.32503548612109223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0.57795269018603335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-0.39711829106410657</v>
      </c>
      <c r="H1304" t="s">
        <v>26</v>
      </c>
      <c r="I1304">
        <f>VLOOKUP(Table4[[#This Row],[Visitor]],'NHL Model'!$A$6:$B$38,2,FALSE)</f>
        <v>-0.87533956503230947</v>
      </c>
      <c r="J1304">
        <f>($B$1+Table4[[#This Row],[Home Differential]])-Table4[[#This Row],[Away Differential]]</f>
        <v>0.52812202289136545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0.61568266119593729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-0.53137605086483863</v>
      </c>
      <c r="H1305" t="s">
        <v>19</v>
      </c>
      <c r="I1305">
        <f>VLOOKUP(Table4[[#This Row],[Visitor]],'NHL Model'!$A$6:$B$38,2,FALSE)</f>
        <v>-0.63447859131898054</v>
      </c>
      <c r="J1305">
        <f>($B$1+Table4[[#This Row],[Home Differential]])-Table4[[#This Row],[Away Differential]]</f>
        <v>0.1530032893773044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0.56036087140652391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0.51050494674660429</v>
      </c>
      <c r="H1306" t="s">
        <v>15</v>
      </c>
      <c r="I1306">
        <f>VLOOKUP(Table4[[#This Row],[Visitor]],'NHL Model'!$A$6:$B$38,2,FALSE)</f>
        <v>-0.29003398448394263</v>
      </c>
      <c r="J1306">
        <f>($B$1+Table4[[#This Row],[Home Differential]])-Table4[[#This Row],[Away Differential]]</f>
        <v>0.8504396801537093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0.57162610749903808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-0.24444083032063643</v>
      </c>
      <c r="H1307" t="s">
        <v>32</v>
      </c>
      <c r="I1307">
        <f>VLOOKUP(Table4[[#This Row],[Visitor]],'NHL Model'!$A$6:$B$38,2,FALSE)</f>
        <v>-0.64937723527808999</v>
      </c>
      <c r="J1307">
        <f>($B$1+Table4[[#This Row],[Home Differential]])-Table4[[#This Row],[Away Differential]]</f>
        <v>0.45483715388061602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0.59310895063284608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-1.0657812790446208</v>
      </c>
      <c r="H1308" t="s">
        <v>13</v>
      </c>
      <c r="I1308">
        <f>VLOOKUP(Table4[[#This Row],[Visitor]],'NHL Model'!$A$6:$B$38,2,FALSE)</f>
        <v>-0.33828359867721369</v>
      </c>
      <c r="J1308">
        <f>($B$1+Table4[[#This Row],[Home Differential]])-Table4[[#This Row],[Away Differential]]</f>
        <v>-0.67759693144424471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0.60543523183675452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1.6319036584269762</v>
      </c>
      <c r="H1309" t="s">
        <v>32</v>
      </c>
      <c r="I1309">
        <f>VLOOKUP(Table4[[#This Row],[Visitor]],'NHL Model'!$A$6:$B$38,2,FALSE)</f>
        <v>-0.64937723527808999</v>
      </c>
      <c r="J1309">
        <f>($B$1+Table4[[#This Row],[Home Differential]])-Table4[[#This Row],[Away Differential]]</f>
        <v>2.3311816426282288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0.9165297594695343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-0.81774666423752174</v>
      </c>
      <c r="H1310" t="s">
        <v>38</v>
      </c>
      <c r="I1310">
        <f>VLOOKUP(Table4[[#This Row],[Visitor]],'NHL Model'!$A$6:$B$38,2,FALSE)</f>
        <v>-0.9476777551108041</v>
      </c>
      <c r="J1310">
        <f>($B$1+Table4[[#This Row],[Home Differential]])-Table4[[#This Row],[Away Differential]]</f>
        <v>0.17983183979644479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0.564476282294328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-1.384917283810061</v>
      </c>
      <c r="H1311" t="s">
        <v>31</v>
      </c>
      <c r="I1311">
        <f>VLOOKUP(Table4[[#This Row],[Visitor]],'NHL Model'!$A$6:$B$38,2,FALSE)</f>
        <v>0.17870302183926629</v>
      </c>
      <c r="J1311">
        <f>($B$1+Table4[[#This Row],[Home Differential]])-Table4[[#This Row],[Away Differential]]</f>
        <v>-1.5137195567261648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0.65751832992317638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-0.4031232890211825</v>
      </c>
      <c r="H1312" t="s">
        <v>35</v>
      </c>
      <c r="I1312">
        <f>VLOOKUP(Table4[[#This Row],[Visitor]],'NHL Model'!$A$6:$B$38,2,FALSE)</f>
        <v>-1.3944783719477225</v>
      </c>
      <c r="J1312">
        <f>($B$1+Table4[[#This Row],[Home Differential]])-Table4[[#This Row],[Away Differential]]</f>
        <v>1.0412558318497025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0.7020131636538165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-0.31324182378279158</v>
      </c>
      <c r="H1313" t="s">
        <v>33</v>
      </c>
      <c r="I1313">
        <f>VLOOKUP(Table4[[#This Row],[Visitor]],'NHL Model'!$A$6:$B$38,2,FALSE)</f>
        <v>-0.45133099238224339</v>
      </c>
      <c r="J1313">
        <f>($B$1+Table4[[#This Row],[Home Differential]])-Table4[[#This Row],[Away Differential]]</f>
        <v>0.18798991752261429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0.56444607660826673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1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0" priority="9" operator="containsText" text="NO">
      <formula>NOT(ISERROR(SEARCH("NO",M2)))</formula>
    </cfRule>
    <cfRule type="containsText" dxfId="29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28" priority="3" operator="containsText" text="YES">
      <formula>NOT(ISERROR(SEARCH("YES",R1)))</formula>
    </cfRule>
    <cfRule type="containsText" dxfId="27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26</v>
      </c>
      <c r="C2">
        <f>COUNTIF(NHL2025_26Results[Winning Team],Standings!A2)</f>
        <v>16</v>
      </c>
      <c r="D2">
        <f>COUNTIFS('NHL2025-26Results'!$H:$H,A2,'NHL2025-26Results'!$F:$F,"")</f>
        <v>9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33</v>
      </c>
      <c r="G2">
        <f>COUNTIFS('NHL2025-26Results'!$D:$D,A2,'NHL2025-26Results'!$G:$G,A2)</f>
        <v>9</v>
      </c>
      <c r="H2">
        <f>COUNTIFS('NHL2025-26Results'!$D:$D,A2,'NHL2025-26Results'!$H:$H,A2,'NHL2025-26Results'!$F:$F,"")</f>
        <v>3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0.75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3.9166666666666665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2.8333333333333335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27</v>
      </c>
      <c r="C3">
        <f>COUNTIF(NHL2025_26Results[Winning Team],Standings!A3)</f>
        <v>15</v>
      </c>
      <c r="D3">
        <f>COUNTIFS('NHL2025-26Results'!$H:$H,A3,'NHL2025-26Results'!$F:$F,"")</f>
        <v>12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30</v>
      </c>
      <c r="G3">
        <f>COUNTIFS('NHL2025-26Results'!$D:$D,A3,'NHL2025-26Results'!$G:$G,A3)</f>
        <v>9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0.6428571428571429</v>
      </c>
      <c r="N3" s="11">
        <f>Table1[[#This Row],[AwayWins]]/SUM(Table1[[#This Row],[AwayWins]:[AwayOTL]])</f>
        <v>0.46153846153846156</v>
      </c>
      <c r="O3" s="14">
        <f>SUMIFS('NHL2025-26Results'!$E:$E,'NHL2025-26Results'!$D:$D,A3,'NHL2025-26Results'!$E:$E,"&gt;0")/COUNTIFS('NHL2025-26Results'!$D:$D,A3,'NHL2025-26Results'!$E:$E,"&gt;0")</f>
        <v>3.2857142857142856</v>
      </c>
      <c r="P3" s="14">
        <f>SUMIFS('NHL2025-26Results'!$C:$C,'NHL2025-26Results'!$B:$B,A3,'NHL2025-26Results'!$C:$C,"&gt;0")/COUNTIFS('NHL2025-26Results'!$B:$B,A3,'NHL2025-26Results'!$C:$C,"&gt;0")</f>
        <v>2.8461538461538463</v>
      </c>
      <c r="Q3" s="14">
        <f>SUMIFS('NHL2025-26Results'!$C:$C,'NHL2025-26Results'!$D:$D,A3,'NHL2025-26Results'!$C:$C,"&gt;0")/COUNTIFS('NHL2025-26Results'!$D:$D,A3,'NHL2025-26Results'!$C:$C,"&gt;0")</f>
        <v>3.0714285714285716</v>
      </c>
      <c r="R3" s="14">
        <f>SUMIFS('NHL2025-26Results'!$E:$E,'NHL2025-26Results'!$B:$B,A3,'NHL2025-26Results'!$E:$E,"&gt;0")/COUNTIFS('NHL2025-26Results'!$B:$B,A3,'NHL2025-26Results'!$E:$E,"&gt;0")</f>
        <v>3.3076923076923075</v>
      </c>
    </row>
    <row r="4" spans="1:18" x14ac:dyDescent="0.2">
      <c r="A4" s="4" t="s">
        <v>23</v>
      </c>
      <c r="B4">
        <f>SUM(Table1[[#This Row],[W]:[OTL]])</f>
        <v>26</v>
      </c>
      <c r="C4">
        <f>COUNTIF(NHL2025_26Results[Winning Team],Standings!A4)</f>
        <v>11</v>
      </c>
      <c r="D4">
        <f>COUNTIFS('NHL2025-26Results'!$H:$H,A4,'NHL2025-26Results'!$F:$F,"")</f>
        <v>11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6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0.2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</v>
      </c>
    </row>
    <row r="5" spans="1:18" x14ac:dyDescent="0.2">
      <c r="A5" s="4" t="s">
        <v>16</v>
      </c>
      <c r="B5">
        <f>SUM(Table1[[#This Row],[W]:[OTL]])</f>
        <v>27</v>
      </c>
      <c r="C5">
        <f>COUNTIF(NHL2025_26Results[Winning Team],Standings!A5)</f>
        <v>9</v>
      </c>
      <c r="D5">
        <f>COUNTIFS('NHL2025-26Results'!$H:$H,A5,'NHL2025-26Results'!$F:$F,"")</f>
        <v>14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22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10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0.29411764705882354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2.7333333333333334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3.4117647058823528</v>
      </c>
    </row>
    <row r="6" spans="1:18" x14ac:dyDescent="0.2">
      <c r="A6" s="4" t="s">
        <v>25</v>
      </c>
      <c r="B6">
        <f>SUM(Table1[[#This Row],[W]:[OTL]])</f>
        <v>25</v>
      </c>
      <c r="C6">
        <f>COUNTIF(NHL2025_26Results[Winning Team],Standings!A6)</f>
        <v>16</v>
      </c>
      <c r="D6">
        <f>COUNTIFS('NHL2025-26Results'!$H:$H,A6,'NHL2025-26Results'!$F:$F,"")</f>
        <v>7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34</v>
      </c>
      <c r="G6">
        <f>COUNTIFS('NHL2025-26Results'!$D:$D,A6,'NHL2025-26Results'!$G:$G,A6)</f>
        <v>8</v>
      </c>
      <c r="H6">
        <f>COUNTIFS('NHL2025-26Results'!$D:$D,A6,'NHL2025-26Results'!$H:$H,A6,'NHL2025-26Results'!$F:$F,"")</f>
        <v>3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3.75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3.2727272727272729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25</v>
      </c>
      <c r="C7">
        <f>COUNTIF(NHL2025_26Results[Winning Team],Standings!A7)</f>
        <v>11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5</v>
      </c>
      <c r="F7" s="3">
        <f>(Table1[[#This Row],[W]]*2)+Table1[[#This Row],[OTL]]</f>
        <v>27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25</v>
      </c>
      <c r="C8">
        <f>COUNTIF(NHL2025_26Results[Winning Team],Standings!A8)</f>
        <v>18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42</v>
      </c>
      <c r="G8">
        <f>COUNTIFS('NHL2025-26Results'!$D:$D,A8,'NHL2025-26Results'!$G:$G,A8)</f>
        <v>10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0.83333333333333337</v>
      </c>
      <c r="N8" s="11">
        <f>Table1[[#This Row],[AwayWins]]/SUM(Table1[[#This Row],[AwayWins]:[AwayOTL]])</f>
        <v>0.61538461538461542</v>
      </c>
      <c r="O8" s="14">
        <f>SUMIFS('NHL2025-26Results'!$E:$E,'NHL2025-26Results'!$D:$D,A8,'NHL2025-26Results'!$E:$E,"&gt;0")/COUNTIFS('NHL2025-26Results'!$D:$D,A8,'NHL2025-26Results'!$E:$E,"&gt;0")</f>
        <v>4.833333333333333</v>
      </c>
      <c r="P8" s="14">
        <f>SUMIFS('NHL2025-26Results'!$C:$C,'NHL2025-26Results'!$B:$B,A8,'NHL2025-26Results'!$C:$C,"&gt;0")/COUNTIFS('NHL2025-26Results'!$B:$B,A8,'NHL2025-26Results'!$C:$C,"&gt;0")</f>
        <v>3.4615384615384617</v>
      </c>
      <c r="Q8" s="14">
        <f>SUMIFS('NHL2025-26Results'!$C:$C,'NHL2025-26Results'!$D:$D,A8,'NHL2025-26Results'!$C:$C,"&gt;0")/COUNTIFS('NHL2025-26Results'!$D:$D,A8,'NHL2025-26Results'!$C:$C,"&gt;0")</f>
        <v>2.5454545454545454</v>
      </c>
      <c r="R8" s="14">
        <f>SUMIFS('NHL2025-26Results'!$E:$E,'NHL2025-26Results'!$B:$B,A8,'NHL2025-26Results'!$E:$E,"&gt;0")/COUNTIFS('NHL2025-26Results'!$B:$B,A8,'NHL2025-26Results'!$E:$E,"&gt;0")</f>
        <v>2.4545454545454546</v>
      </c>
    </row>
    <row r="9" spans="1:18" x14ac:dyDescent="0.2">
      <c r="A9" s="4" t="s">
        <v>28</v>
      </c>
      <c r="B9">
        <f>SUM(Table1[[#This Row],[W]:[OTL]])</f>
        <v>26</v>
      </c>
      <c r="C9">
        <f>COUNTIF(NHL2025_26Results[Winning Team],Standings!A9)</f>
        <v>12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29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0.45454545454545453</v>
      </c>
      <c r="N9" s="11">
        <f>Table1[[#This Row],[AwayWins]]/SUM(Table1[[#This Row],[AwayWins]:[AwayOTL]])</f>
        <v>0.46666666666666667</v>
      </c>
      <c r="O9" s="14">
        <f>SUMIFS('NHL2025-26Results'!$E:$E,'NHL2025-26Results'!$D:$D,A9,'NHL2025-26Results'!$E:$E,"&gt;0")/COUNTIFS('NHL2025-26Results'!$D:$D,A9,'NHL2025-26Results'!$E:$E,"&gt;0")</f>
        <v>2.7272727272727271</v>
      </c>
      <c r="P9" s="14">
        <f>SUMIFS('NHL2025-26Results'!$C:$C,'NHL2025-26Results'!$B:$B,A9,'NHL2025-26Results'!$C:$C,"&gt;0")/COUNTIFS('NHL2025-26Results'!$B:$B,A9,'NHL2025-26Results'!$C:$C,"&gt;0")</f>
        <v>3.2</v>
      </c>
      <c r="Q9" s="14">
        <f>SUMIFS('NHL2025-26Results'!$C:$C,'NHL2025-26Results'!$D:$D,A9,'NHL2025-26Results'!$C:$C,"&gt;0")/COUNTIFS('NHL2025-26Results'!$D:$D,A9,'NHL2025-26Results'!$C:$C,"&gt;0")</f>
        <v>3.0909090909090908</v>
      </c>
      <c r="R9" s="14">
        <f>SUMIFS('NHL2025-26Results'!$E:$E,'NHL2025-26Results'!$B:$B,A9,'NHL2025-26Results'!$E:$E,"&gt;0")/COUNTIFS('NHL2025-26Results'!$B:$B,A9,'NHL2025-26Results'!$E:$E,"&gt;0")</f>
        <v>3.4</v>
      </c>
    </row>
    <row r="10" spans="1:18" x14ac:dyDescent="0.2">
      <c r="A10" s="4" t="s">
        <v>39</v>
      </c>
      <c r="B10">
        <f>SUM(Table1[[#This Row],[W]:[OTL]])</f>
        <v>26</v>
      </c>
      <c r="C10">
        <f>COUNTIF(NHL2025_26Results[Winning Team],Standings!A10)</f>
        <v>17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38</v>
      </c>
      <c r="G10">
        <f>COUNTIFS('NHL2025-26Results'!$D:$D,A10,'NHL2025-26Results'!$G:$G,A10)</f>
        <v>8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9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0.61538461538461542</v>
      </c>
      <c r="N10" s="11">
        <f>Table1[[#This Row],[AwayWins]]/SUM(Table1[[#This Row],[AwayWins]:[AwayOTL]])</f>
        <v>0.69230769230769229</v>
      </c>
      <c r="O10" s="14">
        <f>SUMIFS('NHL2025-26Results'!$E:$E,'NHL2025-26Results'!$D:$D,A10,'NHL2025-26Results'!$E:$E,"&gt;0")/COUNTIFS('NHL2025-26Results'!$D:$D,A10,'NHL2025-26Results'!$E:$E,"&gt;0")</f>
        <v>3.3076923076923075</v>
      </c>
      <c r="P10" s="14">
        <f>SUMIFS('NHL2025-26Results'!$C:$C,'NHL2025-26Results'!$B:$B,A10,'NHL2025-26Results'!$C:$C,"&gt;0")/COUNTIFS('NHL2025-26Results'!$B:$B,A10,'NHL2025-26Results'!$C:$C,"&gt;0")</f>
        <v>3.8461538461538463</v>
      </c>
      <c r="Q10" s="14">
        <f>SUMIFS('NHL2025-26Results'!$C:$C,'NHL2025-26Results'!$D:$D,A10,'NHL2025-26Results'!$C:$C,"&gt;0")/COUNTIFS('NHL2025-26Results'!$D:$D,A10,'NHL2025-26Results'!$C:$C,"&gt;0")</f>
        <v>3</v>
      </c>
      <c r="R10" s="14">
        <f>SUMIFS('NHL2025-26Results'!$E:$E,'NHL2025-26Results'!$B:$B,A10,'NHL2025-26Results'!$E:$E,"&gt;0")/COUNTIFS('NHL2025-26Results'!$B:$B,A10,'NHL2025-26Results'!$E:$E,"&gt;0")</f>
        <v>2.9166666666666665</v>
      </c>
    </row>
    <row r="11" spans="1:18" x14ac:dyDescent="0.2">
      <c r="A11" s="4" t="s">
        <v>26</v>
      </c>
      <c r="B11">
        <f>SUM(Table1[[#This Row],[W]:[OTL]])</f>
        <v>26</v>
      </c>
      <c r="C11">
        <f>COUNTIF(NHL2025_26Results[Winning Team],Standings!A11)</f>
        <v>13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2</v>
      </c>
      <c r="F11" s="3">
        <f>(Table1[[#This Row],[W]]*2)+Table1[[#This Row],[OTL]]</f>
        <v>28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1</v>
      </c>
      <c r="M11" s="11">
        <f>Table1[[#This Row],[HomeWins]]/SUM(Table1[[#This Row],[HomeWins]:[HomeOTL]])</f>
        <v>0.53333333333333333</v>
      </c>
      <c r="N11" s="11">
        <f>Table1[[#This Row],[AwayWins]]/SUM(Table1[[#This Row],[AwayWins]:[AwayOTL]])</f>
        <v>0.45454545454545453</v>
      </c>
      <c r="O11" s="14">
        <f>SUMIFS('NHL2025-26Results'!$E:$E,'NHL2025-26Results'!$D:$D,A11,'NHL2025-26Results'!$E:$E,"&gt;0")/COUNTIFS('NHL2025-26Results'!$D:$D,A11,'NHL2025-26Results'!$E:$E,"&gt;0")</f>
        <v>3.5</v>
      </c>
      <c r="P11" s="14">
        <f>SUMIFS('NHL2025-26Results'!$C:$C,'NHL2025-26Results'!$B:$B,A11,'NHL2025-26Results'!$C:$C,"&gt;0")/COUNTIFS('NHL2025-26Results'!$B:$B,A11,'NHL2025-26Results'!$C:$C,"&gt;0")</f>
        <v>2.8</v>
      </c>
      <c r="Q11" s="14">
        <f>SUMIFS('NHL2025-26Results'!$C:$C,'NHL2025-26Results'!$D:$D,A11,'NHL2025-26Results'!$C:$C,"&gt;0")/COUNTIFS('NHL2025-26Results'!$D:$D,A11,'NHL2025-26Results'!$C:$C,"&gt;0")</f>
        <v>3.6666666666666665</v>
      </c>
      <c r="R11" s="14">
        <f>SUMIFS('NHL2025-26Results'!$E:$E,'NHL2025-26Results'!$B:$B,A11,'NHL2025-26Results'!$E:$E,"&gt;0")/COUNTIFS('NHL2025-26Results'!$B:$B,A11,'NHL2025-26Results'!$E:$E,"&gt;0")</f>
        <v>3.0909090909090908</v>
      </c>
    </row>
    <row r="12" spans="1:18" x14ac:dyDescent="0.2">
      <c r="A12" s="4" t="s">
        <v>17</v>
      </c>
      <c r="B12">
        <f>SUM(Table1[[#This Row],[W]:[OTL]])</f>
        <v>26</v>
      </c>
      <c r="C12">
        <f>COUNTIF(NHL2025_26Results[Winning Team],Standings!A12)</f>
        <v>11</v>
      </c>
      <c r="D12">
        <f>COUNTIFS('NHL2025-26Results'!$H:$H,A12,'NHL2025-26Results'!$F:$F,"")</f>
        <v>10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27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2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4.4444444444444446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24</v>
      </c>
      <c r="C13">
        <f>COUNTIF(NHL2025_26Results[Winning Team],Standings!A13)</f>
        <v>12</v>
      </c>
      <c r="D13">
        <f>COUNTIFS('NHL2025-26Results'!$H:$H,A13,'NHL2025-26Results'!$F:$F,"")</f>
        <v>11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5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3.3571428571428572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25</v>
      </c>
      <c r="C14">
        <f>COUNTIF(NHL2025_26Results[Winning Team],Standings!A14)</f>
        <v>12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31</v>
      </c>
      <c r="G14">
        <f>COUNTIFS('NHL2025-26Results'!$D:$D,A14,'NHL2025-26Results'!$G:$G,A14)</f>
        <v>3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0.3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3.2222222222222223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26</v>
      </c>
      <c r="C15">
        <f>COUNTIF(NHL2025_26Results[Winning Team],Standings!A15)</f>
        <v>14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33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6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0.54545454545454541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3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24</v>
      </c>
      <c r="C16">
        <f>COUNTIF(NHL2025_26Results[Winning Team],Standings!A16)</f>
        <v>13</v>
      </c>
      <c r="D16">
        <f>COUNTIFS('NHL2025-26Results'!$H:$H,A16,'NHL2025-26Results'!$F:$F,"")</f>
        <v>8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29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0.58333333333333337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3.4166666666666665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25</v>
      </c>
      <c r="C17">
        <f>COUNTIF(NHL2025_26Results[Winning Team],Standings!A17)</f>
        <v>8</v>
      </c>
      <c r="D17">
        <f>COUNTIFS('NHL2025-26Results'!$H:$H,A17,'NHL2025-26Results'!$F:$F,"")</f>
        <v>13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20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3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0.33333333333333331</v>
      </c>
      <c r="N17" s="11">
        <f>Table1[[#This Row],[AwayWins]]/SUM(Table1[[#This Row],[AwayWins]:[AwayOTL]])</f>
        <v>0.3</v>
      </c>
      <c r="O17" s="14">
        <f>SUMIFS('NHL2025-26Results'!$E:$E,'NHL2025-26Results'!$D:$D,A17,'NHL2025-26Results'!$E:$E,"&gt;0")/COUNTIFS('NHL2025-26Results'!$D:$D,A17,'NHL2025-26Results'!$E:$E,"&gt;0")</f>
        <v>2.6428571428571428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3.6</v>
      </c>
      <c r="R17" s="14">
        <f>SUMIFS('NHL2025-26Results'!$E:$E,'NHL2025-26Results'!$B:$B,A17,'NHL2025-26Results'!$E:$E,"&gt;0")/COUNTIFS('NHL2025-26Results'!$B:$B,A17,'NHL2025-26Results'!$E:$E,"&gt;0")</f>
        <v>3.8</v>
      </c>
    </row>
    <row r="18" spans="1:18" x14ac:dyDescent="0.2">
      <c r="A18" s="4" t="s">
        <v>24</v>
      </c>
      <c r="B18">
        <f>SUM(Table1[[#This Row],[W]:[OTL]])</f>
        <v>26</v>
      </c>
      <c r="C18">
        <f>COUNTIF(NHL2025_26Results[Winning Team],Standings!A18)</f>
        <v>16</v>
      </c>
      <c r="D18">
        <f>COUNTIFS('NHL2025-26Results'!$H:$H,A18,'NHL2025-26Results'!$F:$F,"")</f>
        <v>9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2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0.75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2.5833333333333335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26</v>
      </c>
      <c r="C19">
        <f>COUNTIF(NHL2025_26Results[Winning Team],Standings!A19)</f>
        <v>13</v>
      </c>
      <c r="D19">
        <f>COUNTIFS('NHL2025-26Results'!$H:$H,A19,'NHL2025-26Results'!$F:$F,"")</f>
        <v>10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29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0.38461538461538464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2.6153846153846154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3.3333333333333335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27</v>
      </c>
      <c r="C20">
        <f>COUNTIF(NHL2025_26Results[Winning Team],Standings!A20)</f>
        <v>13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28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11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0.18181818181818182</v>
      </c>
      <c r="N20" s="11">
        <f>Table1[[#This Row],[AwayWins]]/SUM(Table1[[#This Row],[AwayWins]:[AwayOTL]])</f>
        <v>0.6875</v>
      </c>
      <c r="O20" s="14">
        <f>SUMIFS('NHL2025-26Results'!$E:$E,'NHL2025-26Results'!$D:$D,A20,'NHL2025-26Results'!$E:$E,"&gt;0")/COUNTIFS('NHL2025-26Results'!$D:$D,A20,'NHL2025-26Results'!$E:$E,"&gt;0")</f>
        <v>2.8333333333333335</v>
      </c>
      <c r="P20" s="14">
        <f>SUMIFS('NHL2025-26Results'!$C:$C,'NHL2025-26Results'!$B:$B,A20,'NHL2025-26Results'!$C:$C,"&gt;0")/COUNTIFS('NHL2025-26Results'!$B:$B,A20,'NHL2025-26Results'!$C:$C,"&gt;0")</f>
        <v>3.4375</v>
      </c>
      <c r="Q20" s="14">
        <f>SUMIFS('NHL2025-26Results'!$C:$C,'NHL2025-26Results'!$D:$D,A20,'NHL2025-26Results'!$C:$C,"&gt;0")/COUNTIFS('NHL2025-26Results'!$D:$D,A20,'NHL2025-26Results'!$C:$C,"&gt;0")</f>
        <v>3.0909090909090908</v>
      </c>
      <c r="R20" s="14">
        <f>SUMIFS('NHL2025-26Results'!$E:$E,'NHL2025-26Results'!$B:$B,A20,'NHL2025-26Results'!$E:$E,"&gt;0")/COUNTIFS('NHL2025-26Results'!$B:$B,A20,'NHL2025-26Results'!$E:$E,"&gt;0")</f>
        <v>2.6428571428571428</v>
      </c>
    </row>
    <row r="21" spans="1:18" x14ac:dyDescent="0.2">
      <c r="A21" s="4" t="s">
        <v>36</v>
      </c>
      <c r="B21">
        <f>SUM(Table1[[#This Row],[W]:[OTL]])</f>
        <v>25</v>
      </c>
      <c r="C21">
        <f>COUNTIF(NHL2025_26Results[Winning Team],Standings!A21)</f>
        <v>12</v>
      </c>
      <c r="D21">
        <f>COUNTIFS('NHL2025-26Results'!$H:$H,A21,'NHL2025-26Results'!$F:$F,"")</f>
        <v>9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28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6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0.42857142857142855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3.1428571428571428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3.8571428571428572</v>
      </c>
    </row>
    <row r="22" spans="1:18" x14ac:dyDescent="0.2">
      <c r="A22" s="4" t="s">
        <v>27</v>
      </c>
      <c r="B22">
        <f>SUM(Table1[[#This Row],[W]:[OTL]])</f>
        <v>25</v>
      </c>
      <c r="C22">
        <f>COUNTIF(NHL2025_26Results[Winning Team],Standings!A22)</f>
        <v>14</v>
      </c>
      <c r="D22">
        <f>COUNTIFS('NHL2025-26Results'!$H:$H,A22,'NHL2025-26Results'!$F:$F,"")</f>
        <v>8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31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4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0.5714285714285714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2.9285714285714284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2.7142857142857144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25</v>
      </c>
      <c r="C23">
        <f>COUNTIF(NHL2025_26Results[Winning Team],Standings!A23)</f>
        <v>13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31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7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0.53846153846153844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3.0769230769230771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2.7272727272727271</v>
      </c>
    </row>
    <row r="24" spans="1:18" x14ac:dyDescent="0.2">
      <c r="A24" s="4" t="s">
        <v>33</v>
      </c>
      <c r="B24">
        <f>SUM(Table1[[#This Row],[W]:[OTL]])</f>
        <v>27</v>
      </c>
      <c r="C24">
        <f>COUNTIF(NHL2025_26Results[Winning Team],Standings!A24)</f>
        <v>13</v>
      </c>
      <c r="D24">
        <f>COUNTIFS('NHL2025-26Results'!$H:$H,A24,'NHL2025-26Results'!$F:$F,"")</f>
        <v>11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29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7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0.5625</v>
      </c>
      <c r="N24" s="11">
        <f>Table1[[#This Row],[AwayWins]]/SUM(Table1[[#This Row],[AwayWins]:[AwayOTL]])</f>
        <v>0.36363636363636365</v>
      </c>
      <c r="O24" s="14">
        <f>SUMIFS('NHL2025-26Results'!$E:$E,'NHL2025-26Results'!$D:$D,A24,'NHL2025-26Results'!$E:$E,"&gt;0")/COUNTIFS('NHL2025-26Results'!$D:$D,A24,'NHL2025-26Results'!$E:$E,"&gt;0")</f>
        <v>3.2666666666666666</v>
      </c>
      <c r="P24" s="14">
        <f>SUMIFS('NHL2025-26Results'!$C:$C,'NHL2025-26Results'!$B:$B,A24,'NHL2025-26Results'!$C:$C,"&gt;0")/COUNTIFS('NHL2025-26Results'!$B:$B,A24,'NHL2025-26Results'!$C:$C,"&gt;0")</f>
        <v>3.4444444444444446</v>
      </c>
      <c r="Q24" s="14">
        <f>SUMIFS('NHL2025-26Results'!$C:$C,'NHL2025-26Results'!$D:$D,A24,'NHL2025-26Results'!$C:$C,"&gt;0")/COUNTIFS('NHL2025-26Results'!$D:$D,A24,'NHL2025-26Results'!$C:$C,"&gt;0")</f>
        <v>2.875</v>
      </c>
      <c r="R24" s="14">
        <f>SUMIFS('NHL2025-26Results'!$E:$E,'NHL2025-26Results'!$B:$B,A24,'NHL2025-26Results'!$E:$E,"&gt;0")/COUNTIFS('NHL2025-26Results'!$B:$B,A24,'NHL2025-26Results'!$E:$E,"&gt;0")</f>
        <v>3.7272727272727271</v>
      </c>
    </row>
    <row r="25" spans="1:18" x14ac:dyDescent="0.2">
      <c r="A25" s="4" t="s">
        <v>32</v>
      </c>
      <c r="B25">
        <f>SUM(Table1[[#This Row],[W]:[OTL]])</f>
        <v>24</v>
      </c>
      <c r="C25">
        <f>COUNTIF(NHL2025_26Results[Winning Team],Standings!A25)</f>
        <v>11</v>
      </c>
      <c r="D25">
        <f>COUNTIFS('NHL2025-26Results'!$H:$H,A25,'NHL2025-26Results'!$F:$F,"")</f>
        <v>7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3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2.5833333333333335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27</v>
      </c>
      <c r="C26">
        <f>COUNTIF(NHL2025_26Results[Winning Team],Standings!A26)</f>
        <v>9</v>
      </c>
      <c r="D26">
        <f>COUNTIFS('NHL2025-26Results'!$H:$H,A26,'NHL2025-26Results'!$F:$F,"")</f>
        <v>11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25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0.33333333333333331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3.4545454545454546</v>
      </c>
    </row>
    <row r="27" spans="1:18" x14ac:dyDescent="0.2">
      <c r="A27" s="4" t="s">
        <v>37</v>
      </c>
      <c r="B27">
        <f>SUM(Table1[[#This Row],[W]:[OTL]])</f>
        <v>25</v>
      </c>
      <c r="C27">
        <f>COUNTIF(NHL2025_26Results[Winning Team],Standings!A27)</f>
        <v>16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0.61538461538461542</v>
      </c>
      <c r="N27" s="11">
        <f>Table1[[#This Row],[AwayWins]]/SUM(Table1[[#This Row],[AwayWins]:[AwayOTL]])</f>
        <v>0.66666666666666663</v>
      </c>
      <c r="O27" s="14">
        <f>SUMIFS('NHL2025-26Results'!$E:$E,'NHL2025-26Results'!$D:$D,A27,'NHL2025-26Results'!$E:$E,"&gt;0")/COUNTIFS('NHL2025-26Results'!$D:$D,A27,'NHL2025-26Results'!$E:$E,"&gt;0")</f>
        <v>3.0769230769230771</v>
      </c>
      <c r="P27" s="14">
        <f>SUMIFS('NHL2025-26Results'!$C:$C,'NHL2025-26Results'!$B:$B,A27,'NHL2025-26Results'!$C:$C,"&gt;0")/COUNTIFS('NHL2025-26Results'!$B:$B,A27,'NHL2025-26Results'!$C:$C,"&gt;0")</f>
        <v>3.6666666666666665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2.4166666666666665</v>
      </c>
    </row>
    <row r="28" spans="1:18" x14ac:dyDescent="0.2">
      <c r="A28" s="4" t="s">
        <v>19</v>
      </c>
      <c r="B28">
        <f>SUM(Table1[[#This Row],[W]:[OTL]])</f>
        <v>25</v>
      </c>
      <c r="C28">
        <f>COUNTIF(NHL2025_26Results[Winning Team],Standings!A28)</f>
        <v>11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25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3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0.3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3.2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3.9</v>
      </c>
    </row>
    <row r="29" spans="1:18" x14ac:dyDescent="0.2">
      <c r="A29" t="s">
        <v>55</v>
      </c>
      <c r="B29">
        <f>SUM(Table1[[#This Row],[W]:[OTL]])</f>
        <v>27</v>
      </c>
      <c r="C29">
        <f>COUNTIF(NHL2025_26Results[Winning Team],Standings!A29)</f>
        <v>12</v>
      </c>
      <c r="D29">
        <f>COUNTIFS('NHL2025-26Results'!$H:$H,A29,'NHL2025-26Results'!$F:$F,"")</f>
        <v>12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9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0.3125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2.8666666666666667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3.375</v>
      </c>
    </row>
    <row r="30" spans="1:18" x14ac:dyDescent="0.2">
      <c r="A30" s="4" t="s">
        <v>38</v>
      </c>
      <c r="B30">
        <f>SUM(Table1[[#This Row],[W]:[OTL]])</f>
        <v>26</v>
      </c>
      <c r="C30">
        <f>COUNTIF(NHL2025_26Results[Winning Team],Standings!A30)</f>
        <v>10</v>
      </c>
      <c r="D30">
        <f>COUNTIFS('NHL2025-26Results'!$H:$H,A30,'NHL2025-26Results'!$F:$F,"")</f>
        <v>13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23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6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0.46666666666666667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3.2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3.5333333333333332</v>
      </c>
    </row>
    <row r="31" spans="1:18" x14ac:dyDescent="0.2">
      <c r="A31" s="4" t="s">
        <v>20</v>
      </c>
      <c r="B31">
        <f>SUM(Table1[[#This Row],[W]:[OTL]])</f>
        <v>25</v>
      </c>
      <c r="C31">
        <f>COUNTIF(NHL2025_26Results[Winning Team],Standings!A31)</f>
        <v>11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30</v>
      </c>
      <c r="G31">
        <f>COUNTIFS('NHL2025-26Results'!$D:$D,A31,'NHL2025-26Results'!$G:$G,A31)</f>
        <v>6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0.42857142857142855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3.2857142857142856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3.6153846153846154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26</v>
      </c>
      <c r="C32">
        <f>COUNTIF(NHL2025_26Results[Winning Team],Standings!A32)</f>
        <v>15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32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6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0.54545454545454541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3.7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2.8</v>
      </c>
    </row>
    <row r="33" spans="1:18" x14ac:dyDescent="0.2">
      <c r="A33" s="4" t="s">
        <v>40</v>
      </c>
      <c r="B33">
        <f>SUM(Table1[[#This Row],[W]:[OTL]])</f>
        <v>25</v>
      </c>
      <c r="C33">
        <f>COUNTIF(NHL2025_26Results[Winning Team],Standings!A33)</f>
        <v>13</v>
      </c>
      <c r="D33">
        <f>COUNTIFS('NHL2025-26Results'!$H:$H,A33,'NHL2025-26Results'!$F:$F,"")</f>
        <v>12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26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7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0.5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3.0769230769230771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3.1428571428571428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120"/>
  <sheetViews>
    <sheetView tabSelected="1" topLeftCell="E70" zoomScale="59" workbookViewId="0">
      <selection activeCell="M76" sqref="M76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6" width="19.83203125" bestFit="1" customWidth="1"/>
    <col min="7" max="7" width="18" bestFit="1" customWidth="1"/>
    <col min="8" max="8" width="19.1640625" bestFit="1" customWidth="1"/>
    <col min="9" max="9" width="18.1640625" style="13" bestFit="1" customWidth="1"/>
    <col min="10" max="10" width="10.33203125" bestFit="1" customWidth="1"/>
    <col min="11" max="11" width="15.1640625" style="18" bestFit="1" customWidth="1"/>
    <col min="12" max="12" width="14.33203125" bestFit="1" customWidth="1"/>
    <col min="13" max="13" width="59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style="13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20" t="s">
        <v>216</v>
      </c>
      <c r="B2" s="20" t="s">
        <v>289</v>
      </c>
      <c r="C2" s="20" t="s">
        <v>55</v>
      </c>
      <c r="D2" s="20" t="s">
        <v>31</v>
      </c>
      <c r="E2" s="20" t="s">
        <v>290</v>
      </c>
      <c r="F2" s="20" t="s">
        <v>31</v>
      </c>
      <c r="G2" s="20">
        <v>4</v>
      </c>
      <c r="H2" s="20">
        <v>5</v>
      </c>
      <c r="I2" s="13">
        <v>0.96</v>
      </c>
      <c r="J2" s="20" t="s">
        <v>249</v>
      </c>
      <c r="L2" s="20" t="s">
        <v>248</v>
      </c>
      <c r="M2" s="20" t="s">
        <v>291</v>
      </c>
      <c r="N2" s="20" t="s">
        <v>31</v>
      </c>
      <c r="O2" s="20">
        <v>2</v>
      </c>
      <c r="P2" s="20">
        <v>4</v>
      </c>
      <c r="Q2" s="13">
        <v>0.75549999999999995</v>
      </c>
      <c r="R2" s="20" t="s">
        <v>249</v>
      </c>
      <c r="S2" s="20">
        <v>0.8</v>
      </c>
      <c r="T2" s="20" t="s">
        <v>248</v>
      </c>
      <c r="U2" s="20" t="s">
        <v>31</v>
      </c>
      <c r="V2" s="20">
        <v>2</v>
      </c>
      <c r="W2" s="20">
        <v>3</v>
      </c>
      <c r="X2" s="20" t="s">
        <v>379</v>
      </c>
      <c r="Y2" s="20" t="s">
        <v>292</v>
      </c>
      <c r="Z2" s="20" t="s">
        <v>60</v>
      </c>
      <c r="AA2" s="20" t="s">
        <v>380</v>
      </c>
    </row>
    <row r="3" spans="1:27" x14ac:dyDescent="0.2">
      <c r="A3" s="20" t="s">
        <v>216</v>
      </c>
      <c r="B3" s="20" t="s">
        <v>293</v>
      </c>
      <c r="C3" s="20" t="s">
        <v>25</v>
      </c>
      <c r="D3" s="20" t="s">
        <v>21</v>
      </c>
      <c r="E3" s="20" t="s">
        <v>294</v>
      </c>
      <c r="F3" s="20" t="s">
        <v>21</v>
      </c>
      <c r="G3" s="20">
        <v>3</v>
      </c>
      <c r="H3" s="20">
        <v>4</v>
      </c>
      <c r="I3" s="13">
        <v>0.54630000000000001</v>
      </c>
      <c r="J3" s="20" t="s">
        <v>249</v>
      </c>
      <c r="L3" s="20" t="s">
        <v>249</v>
      </c>
      <c r="M3" s="20" t="s">
        <v>381</v>
      </c>
      <c r="N3" s="20" t="s">
        <v>25</v>
      </c>
      <c r="O3" s="20">
        <v>2</v>
      </c>
      <c r="P3" s="20">
        <v>3</v>
      </c>
      <c r="Q3" s="13">
        <v>0.54330000000000001</v>
      </c>
      <c r="R3" s="20" t="s">
        <v>249</v>
      </c>
      <c r="S3" s="20">
        <v>-0.47</v>
      </c>
      <c r="T3" s="20" t="s">
        <v>248</v>
      </c>
      <c r="U3" s="20" t="s">
        <v>25</v>
      </c>
      <c r="V3" s="20">
        <v>3</v>
      </c>
      <c r="W3" s="20">
        <v>1</v>
      </c>
      <c r="X3" s="20" t="s">
        <v>379</v>
      </c>
      <c r="Y3" s="20" t="s">
        <v>292</v>
      </c>
      <c r="Z3" s="20" t="s">
        <v>60</v>
      </c>
      <c r="AA3" s="20" t="s">
        <v>380</v>
      </c>
    </row>
    <row r="4" spans="1:27" x14ac:dyDescent="0.2">
      <c r="A4" s="20" t="s">
        <v>216</v>
      </c>
      <c r="B4" s="20" t="s">
        <v>293</v>
      </c>
      <c r="C4" s="20" t="s">
        <v>17</v>
      </c>
      <c r="D4" s="20" t="s">
        <v>23</v>
      </c>
      <c r="E4" s="20" t="s">
        <v>295</v>
      </c>
      <c r="F4" s="20" t="s">
        <v>23</v>
      </c>
      <c r="G4" s="20">
        <v>3</v>
      </c>
      <c r="H4" s="20">
        <v>4</v>
      </c>
      <c r="I4" s="13">
        <v>0.55500000000000005</v>
      </c>
      <c r="J4" s="20" t="s">
        <v>249</v>
      </c>
      <c r="L4" s="20" t="s">
        <v>248</v>
      </c>
      <c r="M4" s="20" t="s">
        <v>296</v>
      </c>
      <c r="N4" s="20" t="s">
        <v>17</v>
      </c>
      <c r="O4" s="20">
        <v>2</v>
      </c>
      <c r="P4" s="20">
        <v>3</v>
      </c>
      <c r="Q4" s="13">
        <v>0.47189999999999999</v>
      </c>
      <c r="R4" s="20" t="s">
        <v>248</v>
      </c>
      <c r="S4" s="20">
        <v>-0.09</v>
      </c>
      <c r="T4" s="20" t="s">
        <v>249</v>
      </c>
      <c r="U4" s="20" t="s">
        <v>23</v>
      </c>
      <c r="V4" s="20">
        <v>1</v>
      </c>
      <c r="W4" s="20">
        <v>5</v>
      </c>
      <c r="X4" s="20" t="s">
        <v>379</v>
      </c>
      <c r="Y4" s="20" t="s">
        <v>292</v>
      </c>
      <c r="Z4" s="20" t="s">
        <v>60</v>
      </c>
      <c r="AA4" s="20" t="s">
        <v>380</v>
      </c>
    </row>
    <row r="5" spans="1:27" x14ac:dyDescent="0.2">
      <c r="A5" s="20" t="s">
        <v>216</v>
      </c>
      <c r="B5" s="20" t="s">
        <v>297</v>
      </c>
      <c r="C5" s="20" t="s">
        <v>18</v>
      </c>
      <c r="D5" s="20" t="s">
        <v>28</v>
      </c>
      <c r="E5" s="20" t="s">
        <v>298</v>
      </c>
      <c r="F5" s="20" t="s">
        <v>18</v>
      </c>
      <c r="G5" s="20">
        <v>4</v>
      </c>
      <c r="H5" s="20">
        <v>3</v>
      </c>
      <c r="I5" s="13">
        <v>0.7097</v>
      </c>
      <c r="J5" s="20" t="s">
        <v>249</v>
      </c>
      <c r="L5" s="20" t="s">
        <v>249</v>
      </c>
      <c r="M5" s="20" t="s">
        <v>382</v>
      </c>
      <c r="N5" s="20" t="s">
        <v>28</v>
      </c>
      <c r="O5" s="20">
        <v>2</v>
      </c>
      <c r="P5" s="20">
        <v>3</v>
      </c>
      <c r="Q5" s="13">
        <v>0.50209999999999999</v>
      </c>
      <c r="R5" s="20" t="s">
        <v>248</v>
      </c>
      <c r="S5" s="20">
        <v>0.28000000000000003</v>
      </c>
      <c r="T5" s="20" t="s">
        <v>248</v>
      </c>
      <c r="U5" s="20" t="s">
        <v>28</v>
      </c>
      <c r="V5" s="20">
        <v>3</v>
      </c>
      <c r="W5" s="20">
        <v>4</v>
      </c>
      <c r="X5" s="20" t="s">
        <v>379</v>
      </c>
      <c r="Y5" s="20" t="s">
        <v>292</v>
      </c>
      <c r="Z5" s="20" t="s">
        <v>60</v>
      </c>
      <c r="AA5" s="20" t="s">
        <v>380</v>
      </c>
    </row>
    <row r="6" spans="1:27" x14ac:dyDescent="0.2">
      <c r="A6" s="20" t="s">
        <v>216</v>
      </c>
      <c r="B6" s="20" t="s">
        <v>293</v>
      </c>
      <c r="C6" s="20" t="s">
        <v>38</v>
      </c>
      <c r="D6" s="20" t="s">
        <v>11</v>
      </c>
      <c r="E6" s="20" t="s">
        <v>299</v>
      </c>
      <c r="F6" s="20" t="s">
        <v>38</v>
      </c>
      <c r="G6" s="20">
        <v>5</v>
      </c>
      <c r="H6" s="20">
        <v>4</v>
      </c>
      <c r="I6" s="13">
        <v>0.5766</v>
      </c>
      <c r="J6" s="20" t="s">
        <v>249</v>
      </c>
      <c r="L6" s="20" t="s">
        <v>249</v>
      </c>
      <c r="M6" s="20" t="s">
        <v>383</v>
      </c>
      <c r="N6" s="20" t="s">
        <v>11</v>
      </c>
      <c r="O6" s="20">
        <v>2</v>
      </c>
      <c r="P6" s="20">
        <v>4</v>
      </c>
      <c r="Q6" s="13">
        <v>0.62919999999999998</v>
      </c>
      <c r="R6" s="20" t="s">
        <v>249</v>
      </c>
      <c r="S6" s="20">
        <v>0.56999999999999995</v>
      </c>
      <c r="T6" s="20" t="s">
        <v>248</v>
      </c>
      <c r="U6" s="20" t="s">
        <v>11</v>
      </c>
      <c r="V6" s="20">
        <v>5</v>
      </c>
      <c r="W6" s="20">
        <v>8</v>
      </c>
      <c r="X6" s="20" t="s">
        <v>379</v>
      </c>
      <c r="Y6" s="20" t="s">
        <v>292</v>
      </c>
      <c r="Z6" s="20" t="s">
        <v>60</v>
      </c>
      <c r="AA6" s="20" t="s">
        <v>380</v>
      </c>
    </row>
    <row r="7" spans="1:27" x14ac:dyDescent="0.2">
      <c r="A7" s="20" t="s">
        <v>216</v>
      </c>
      <c r="B7" s="20" t="s">
        <v>293</v>
      </c>
      <c r="C7" s="20" t="s">
        <v>13</v>
      </c>
      <c r="D7" s="20" t="s">
        <v>22</v>
      </c>
      <c r="E7" s="20" t="s">
        <v>300</v>
      </c>
      <c r="F7" s="20" t="s">
        <v>13</v>
      </c>
      <c r="G7" s="20">
        <v>4</v>
      </c>
      <c r="H7" s="20">
        <v>1</v>
      </c>
      <c r="I7" s="13">
        <v>0.84499999999999997</v>
      </c>
      <c r="J7" s="20" t="s">
        <v>249</v>
      </c>
      <c r="L7" s="20" t="s">
        <v>249</v>
      </c>
      <c r="M7" s="20" t="s">
        <v>384</v>
      </c>
      <c r="N7" s="20" t="s">
        <v>22</v>
      </c>
      <c r="O7" s="20">
        <v>2</v>
      </c>
      <c r="P7" s="20">
        <v>3</v>
      </c>
      <c r="Q7" s="13">
        <v>0.44309999999999999</v>
      </c>
      <c r="R7" s="20" t="s">
        <v>248</v>
      </c>
      <c r="S7" s="20">
        <v>0.18</v>
      </c>
      <c r="T7" s="20" t="s">
        <v>248</v>
      </c>
      <c r="U7" s="20" t="s">
        <v>22</v>
      </c>
      <c r="V7" s="20">
        <v>1</v>
      </c>
      <c r="W7" s="20">
        <v>2</v>
      </c>
      <c r="X7" s="20" t="s">
        <v>379</v>
      </c>
      <c r="Y7" s="20" t="s">
        <v>292</v>
      </c>
      <c r="Z7" s="20" t="s">
        <v>60</v>
      </c>
      <c r="AA7" s="20" t="s">
        <v>380</v>
      </c>
    </row>
    <row r="8" spans="1:27" x14ac:dyDescent="0.2">
      <c r="A8" s="20" t="s">
        <v>217</v>
      </c>
      <c r="B8" s="20" t="s">
        <v>301</v>
      </c>
      <c r="C8" s="20" t="s">
        <v>16</v>
      </c>
      <c r="D8" s="20" t="s">
        <v>10</v>
      </c>
      <c r="E8" s="20" t="s">
        <v>302</v>
      </c>
      <c r="F8" s="20" t="s">
        <v>10</v>
      </c>
      <c r="G8" s="20">
        <v>4</v>
      </c>
      <c r="H8" s="20">
        <v>5</v>
      </c>
      <c r="I8" s="13">
        <v>0.66520000000000001</v>
      </c>
      <c r="J8" s="20" t="s">
        <v>249</v>
      </c>
      <c r="L8" s="20" t="s">
        <v>248</v>
      </c>
      <c r="M8" s="20" t="s">
        <v>303</v>
      </c>
      <c r="N8" s="20" t="s">
        <v>10</v>
      </c>
      <c r="O8" s="20">
        <v>2</v>
      </c>
      <c r="P8" s="20">
        <v>5</v>
      </c>
      <c r="Q8" s="13">
        <v>0.80840000000000001</v>
      </c>
      <c r="R8" s="20" t="s">
        <v>249</v>
      </c>
      <c r="S8" s="20">
        <v>1.87</v>
      </c>
      <c r="T8" s="20" t="s">
        <v>248</v>
      </c>
      <c r="U8" s="20" t="s">
        <v>10</v>
      </c>
      <c r="V8" s="20">
        <v>2</v>
      </c>
      <c r="W8" s="20">
        <v>5</v>
      </c>
      <c r="X8" s="20" t="s">
        <v>379</v>
      </c>
      <c r="Y8" s="20" t="s">
        <v>292</v>
      </c>
      <c r="Z8" s="20" t="s">
        <v>60</v>
      </c>
      <c r="AA8" s="20" t="s">
        <v>380</v>
      </c>
    </row>
    <row r="9" spans="1:27" x14ac:dyDescent="0.2">
      <c r="A9" s="20" t="s">
        <v>217</v>
      </c>
      <c r="B9" s="20" t="s">
        <v>304</v>
      </c>
      <c r="C9" s="20" t="s">
        <v>30</v>
      </c>
      <c r="D9" s="20" t="s">
        <v>39</v>
      </c>
      <c r="E9" s="20" t="s">
        <v>305</v>
      </c>
      <c r="F9" s="20" t="s">
        <v>39</v>
      </c>
      <c r="G9" s="20">
        <v>3</v>
      </c>
      <c r="H9" s="20">
        <v>4</v>
      </c>
      <c r="I9" s="13">
        <v>0.60160000000000002</v>
      </c>
      <c r="J9" s="20" t="s">
        <v>249</v>
      </c>
      <c r="L9" s="20" t="s">
        <v>249</v>
      </c>
      <c r="M9" s="20" t="s">
        <v>385</v>
      </c>
      <c r="N9" s="20" t="s">
        <v>39</v>
      </c>
      <c r="O9" s="20">
        <v>2</v>
      </c>
      <c r="P9" s="20">
        <v>3</v>
      </c>
      <c r="Q9" s="13">
        <v>0.58560000000000001</v>
      </c>
      <c r="R9" s="20" t="s">
        <v>249</v>
      </c>
      <c r="S9" s="20">
        <v>0.43</v>
      </c>
      <c r="T9" s="20" t="s">
        <v>249</v>
      </c>
      <c r="U9" s="20" t="s">
        <v>30</v>
      </c>
      <c r="V9" s="20">
        <v>3</v>
      </c>
      <c r="W9" s="20">
        <v>2</v>
      </c>
      <c r="X9" s="20" t="s">
        <v>379</v>
      </c>
      <c r="Y9" s="20" t="s">
        <v>292</v>
      </c>
      <c r="Z9" s="20" t="s">
        <v>60</v>
      </c>
      <c r="AA9" s="20" t="s">
        <v>380</v>
      </c>
    </row>
    <row r="10" spans="1:27" x14ac:dyDescent="0.2">
      <c r="A10" s="20" t="s">
        <v>217</v>
      </c>
      <c r="B10" s="20" t="s">
        <v>293</v>
      </c>
      <c r="C10" s="20" t="s">
        <v>32</v>
      </c>
      <c r="D10" s="20" t="s">
        <v>26</v>
      </c>
      <c r="E10" s="20" t="s">
        <v>306</v>
      </c>
      <c r="F10" s="20" t="s">
        <v>26</v>
      </c>
      <c r="G10" s="20">
        <v>3</v>
      </c>
      <c r="H10" s="20">
        <v>4</v>
      </c>
      <c r="I10" s="13">
        <v>0.51580000000000004</v>
      </c>
      <c r="J10" s="20" t="s">
        <v>249</v>
      </c>
      <c r="L10" s="20" t="s">
        <v>248</v>
      </c>
      <c r="M10" s="20" t="s">
        <v>307</v>
      </c>
      <c r="N10" s="20" t="s">
        <v>26</v>
      </c>
      <c r="O10" s="20">
        <v>2</v>
      </c>
      <c r="P10" s="20">
        <v>3</v>
      </c>
      <c r="Q10" s="13">
        <v>0.57440000000000002</v>
      </c>
      <c r="R10" s="20" t="s">
        <v>248</v>
      </c>
      <c r="S10" s="20">
        <v>0.06</v>
      </c>
      <c r="T10" s="20" t="s">
        <v>248</v>
      </c>
      <c r="U10" s="20" t="s">
        <v>26</v>
      </c>
      <c r="V10" s="20">
        <v>2</v>
      </c>
      <c r="W10" s="20">
        <v>4</v>
      </c>
      <c r="X10" s="20" t="s">
        <v>379</v>
      </c>
      <c r="Y10" s="20" t="s">
        <v>292</v>
      </c>
      <c r="Z10" s="20" t="s">
        <v>60</v>
      </c>
      <c r="AA10" s="20" t="s">
        <v>380</v>
      </c>
    </row>
    <row r="11" spans="1:27" x14ac:dyDescent="0.2">
      <c r="A11" s="20" t="s">
        <v>217</v>
      </c>
      <c r="B11" s="20" t="s">
        <v>289</v>
      </c>
      <c r="C11" s="20" t="s">
        <v>55</v>
      </c>
      <c r="D11" s="20" t="s">
        <v>33</v>
      </c>
      <c r="E11" s="20" t="s">
        <v>308</v>
      </c>
      <c r="F11" s="20" t="s">
        <v>33</v>
      </c>
      <c r="G11" s="20">
        <v>3</v>
      </c>
      <c r="H11" s="20">
        <v>4</v>
      </c>
      <c r="I11" s="13">
        <v>0.51419999999999999</v>
      </c>
      <c r="J11" s="20" t="s">
        <v>249</v>
      </c>
      <c r="L11" s="20" t="s">
        <v>248</v>
      </c>
      <c r="M11" s="20" t="s">
        <v>309</v>
      </c>
      <c r="N11" s="20" t="s">
        <v>55</v>
      </c>
      <c r="O11" s="20">
        <v>2</v>
      </c>
      <c r="P11" s="20">
        <v>3</v>
      </c>
      <c r="Q11" s="13">
        <v>0.47210000000000002</v>
      </c>
      <c r="R11" s="20" t="s">
        <v>248</v>
      </c>
      <c r="S11" s="20">
        <v>-0.08</v>
      </c>
      <c r="T11" s="20" t="s">
        <v>249</v>
      </c>
      <c r="U11" s="20" t="s">
        <v>33</v>
      </c>
      <c r="V11" s="20">
        <v>2</v>
      </c>
      <c r="W11" s="20">
        <v>3</v>
      </c>
      <c r="X11" s="20" t="s">
        <v>379</v>
      </c>
      <c r="Y11" s="20" t="s">
        <v>292</v>
      </c>
      <c r="Z11" s="20" t="s">
        <v>60</v>
      </c>
      <c r="AA11" s="20" t="s">
        <v>380</v>
      </c>
    </row>
    <row r="12" spans="1:27" x14ac:dyDescent="0.2">
      <c r="A12" s="20" t="s">
        <v>217</v>
      </c>
      <c r="B12" s="20" t="s">
        <v>293</v>
      </c>
      <c r="C12" s="20" t="s">
        <v>24</v>
      </c>
      <c r="D12" s="20" t="s">
        <v>37</v>
      </c>
      <c r="E12" s="20" t="s">
        <v>310</v>
      </c>
      <c r="F12" s="20" t="s">
        <v>24</v>
      </c>
      <c r="G12" s="20">
        <v>4</v>
      </c>
      <c r="H12" s="20">
        <v>3</v>
      </c>
      <c r="I12" s="13">
        <v>0.66</v>
      </c>
      <c r="J12" s="20" t="s">
        <v>249</v>
      </c>
      <c r="L12" s="20" t="s">
        <v>249</v>
      </c>
      <c r="M12" s="20" t="s">
        <v>386</v>
      </c>
      <c r="N12" s="20" t="s">
        <v>24</v>
      </c>
      <c r="O12" s="20">
        <v>2</v>
      </c>
      <c r="P12" s="20">
        <v>3</v>
      </c>
      <c r="Q12" s="13">
        <v>0.59699999999999998</v>
      </c>
      <c r="R12" s="20" t="s">
        <v>249</v>
      </c>
      <c r="S12" s="20">
        <v>-0.49</v>
      </c>
      <c r="T12" s="20" t="s">
        <v>249</v>
      </c>
      <c r="U12" s="20" t="s">
        <v>37</v>
      </c>
      <c r="V12" s="20">
        <v>1</v>
      </c>
      <c r="W12" s="20">
        <v>5</v>
      </c>
      <c r="X12" s="20" t="s">
        <v>379</v>
      </c>
      <c r="Y12" s="20" t="s">
        <v>292</v>
      </c>
      <c r="Z12" s="20" t="s">
        <v>60</v>
      </c>
      <c r="AA12" s="20" t="s">
        <v>380</v>
      </c>
    </row>
    <row r="13" spans="1:27" x14ac:dyDescent="0.2">
      <c r="A13" s="20" t="s">
        <v>217</v>
      </c>
      <c r="B13" s="20" t="s">
        <v>293</v>
      </c>
      <c r="C13" s="20" t="s">
        <v>35</v>
      </c>
      <c r="D13" s="20" t="s">
        <v>19</v>
      </c>
      <c r="E13" s="20" t="s">
        <v>311</v>
      </c>
      <c r="F13" s="20" t="s">
        <v>19</v>
      </c>
      <c r="G13" s="20">
        <v>3</v>
      </c>
      <c r="H13" s="20">
        <v>4</v>
      </c>
      <c r="I13" s="13">
        <v>0.5917</v>
      </c>
      <c r="J13" s="20" t="s">
        <v>249</v>
      </c>
      <c r="L13" s="20" t="s">
        <v>248</v>
      </c>
      <c r="M13" s="20" t="s">
        <v>312</v>
      </c>
      <c r="N13" s="20" t="s">
        <v>19</v>
      </c>
      <c r="O13" s="20">
        <v>2</v>
      </c>
      <c r="P13" s="20">
        <v>4</v>
      </c>
      <c r="Q13" s="13">
        <v>0.7107</v>
      </c>
      <c r="R13" s="20" t="s">
        <v>249</v>
      </c>
      <c r="S13" s="20">
        <v>1.19</v>
      </c>
      <c r="T13" s="20" t="s">
        <v>248</v>
      </c>
      <c r="U13" s="20" t="s">
        <v>19</v>
      </c>
      <c r="V13" s="20">
        <v>2</v>
      </c>
      <c r="W13" s="20">
        <v>3</v>
      </c>
      <c r="X13" s="20" t="s">
        <v>379</v>
      </c>
      <c r="Y13" s="20" t="s">
        <v>292</v>
      </c>
      <c r="Z13" s="20" t="s">
        <v>60</v>
      </c>
      <c r="AA13" s="20" t="s">
        <v>380</v>
      </c>
    </row>
    <row r="14" spans="1:27" x14ac:dyDescent="0.2">
      <c r="A14" s="20" t="s">
        <v>217</v>
      </c>
      <c r="B14" s="20" t="s">
        <v>289</v>
      </c>
      <c r="C14" s="20" t="s">
        <v>15</v>
      </c>
      <c r="D14" s="20" t="s">
        <v>20</v>
      </c>
      <c r="E14" s="20" t="s">
        <v>313</v>
      </c>
      <c r="F14" s="20" t="s">
        <v>15</v>
      </c>
      <c r="G14" s="20">
        <v>5</v>
      </c>
      <c r="H14" s="20">
        <v>4</v>
      </c>
      <c r="I14" s="13">
        <v>0.55930000000000002</v>
      </c>
      <c r="J14" s="20" t="s">
        <v>249</v>
      </c>
      <c r="L14" s="20" t="s">
        <v>249</v>
      </c>
      <c r="M14" s="20" t="s">
        <v>387</v>
      </c>
      <c r="N14" s="20" t="s">
        <v>20</v>
      </c>
      <c r="O14" s="20">
        <v>2</v>
      </c>
      <c r="P14" s="20">
        <v>4</v>
      </c>
      <c r="Q14" s="13">
        <v>0.47089999999999999</v>
      </c>
      <c r="R14" s="20" t="s">
        <v>249</v>
      </c>
      <c r="S14" s="20">
        <v>0.51</v>
      </c>
      <c r="T14" s="20" t="s">
        <v>248</v>
      </c>
      <c r="U14" s="20" t="s">
        <v>20</v>
      </c>
      <c r="V14" s="20">
        <v>2</v>
      </c>
      <c r="W14" s="20">
        <v>3</v>
      </c>
      <c r="X14" s="20" t="s">
        <v>379</v>
      </c>
      <c r="Y14" s="20" t="s">
        <v>292</v>
      </c>
      <c r="Z14" s="20" t="s">
        <v>60</v>
      </c>
      <c r="AA14" s="20" t="s">
        <v>380</v>
      </c>
    </row>
    <row r="15" spans="1:27" x14ac:dyDescent="0.2">
      <c r="A15" s="20" t="s">
        <v>217</v>
      </c>
      <c r="B15" s="20" t="s">
        <v>304</v>
      </c>
      <c r="C15" s="20" t="s">
        <v>28</v>
      </c>
      <c r="D15" s="20" t="s">
        <v>40</v>
      </c>
      <c r="E15" s="20" t="s">
        <v>314</v>
      </c>
      <c r="F15" s="20" t="s">
        <v>40</v>
      </c>
      <c r="G15" s="20">
        <v>3</v>
      </c>
      <c r="H15" s="20">
        <v>4</v>
      </c>
      <c r="I15" s="13">
        <v>0.67559999999999998</v>
      </c>
      <c r="J15" s="20" t="s">
        <v>249</v>
      </c>
      <c r="L15" s="20" t="s">
        <v>248</v>
      </c>
      <c r="M15" s="20" t="s">
        <v>315</v>
      </c>
      <c r="N15" s="20" t="s">
        <v>40</v>
      </c>
      <c r="O15" s="20">
        <v>2</v>
      </c>
      <c r="P15" s="20">
        <v>4</v>
      </c>
      <c r="Q15" s="13">
        <v>0.64970000000000006</v>
      </c>
      <c r="R15" s="20" t="s">
        <v>249</v>
      </c>
      <c r="S15" s="20">
        <v>0.66</v>
      </c>
      <c r="T15" s="20" t="s">
        <v>248</v>
      </c>
      <c r="U15" s="20" t="s">
        <v>40</v>
      </c>
      <c r="V15" s="20">
        <v>2</v>
      </c>
      <c r="W15" s="20">
        <v>5</v>
      </c>
      <c r="X15" s="20" t="s">
        <v>379</v>
      </c>
      <c r="Y15" s="20" t="s">
        <v>292</v>
      </c>
      <c r="Z15" s="20" t="s">
        <v>60</v>
      </c>
      <c r="AA15" s="20" t="s">
        <v>380</v>
      </c>
    </row>
    <row r="16" spans="1:27" x14ac:dyDescent="0.2">
      <c r="A16" s="20" t="s">
        <v>218</v>
      </c>
      <c r="B16" s="20" t="s">
        <v>289</v>
      </c>
      <c r="C16" s="20" t="s">
        <v>21</v>
      </c>
      <c r="D16" s="20" t="s">
        <v>31</v>
      </c>
      <c r="E16" s="20" t="s">
        <v>316</v>
      </c>
      <c r="F16" s="20" t="s">
        <v>31</v>
      </c>
      <c r="G16" s="20">
        <v>4</v>
      </c>
      <c r="H16" s="20">
        <v>5</v>
      </c>
      <c r="I16" s="13">
        <v>0.84830000000000005</v>
      </c>
      <c r="J16" s="20" t="s">
        <v>249</v>
      </c>
      <c r="L16" s="20" t="s">
        <v>248</v>
      </c>
      <c r="M16" s="20" t="s">
        <v>291</v>
      </c>
      <c r="N16" s="20" t="s">
        <v>31</v>
      </c>
      <c r="O16" s="20">
        <v>2</v>
      </c>
      <c r="P16" s="20">
        <v>4</v>
      </c>
      <c r="Q16" s="13">
        <v>0.76080000000000003</v>
      </c>
      <c r="R16" s="20" t="s">
        <v>249</v>
      </c>
      <c r="S16" s="20">
        <v>0.77</v>
      </c>
      <c r="T16" s="20" t="s">
        <v>248</v>
      </c>
      <c r="U16" s="20" t="s">
        <v>31</v>
      </c>
      <c r="V16" s="20">
        <v>3</v>
      </c>
      <c r="W16" s="20">
        <v>4</v>
      </c>
      <c r="X16" s="20" t="s">
        <v>379</v>
      </c>
      <c r="Y16" s="20" t="s">
        <v>292</v>
      </c>
      <c r="Z16" s="20" t="s">
        <v>60</v>
      </c>
      <c r="AA16" s="20" t="s">
        <v>380</v>
      </c>
    </row>
    <row r="17" spans="1:27" x14ac:dyDescent="0.2">
      <c r="A17" s="20" t="s">
        <v>218</v>
      </c>
      <c r="B17" s="20" t="s">
        <v>297</v>
      </c>
      <c r="C17" s="20" t="s">
        <v>16</v>
      </c>
      <c r="D17" s="20" t="s">
        <v>23</v>
      </c>
      <c r="E17" s="20" t="s">
        <v>317</v>
      </c>
      <c r="F17" s="20" t="s">
        <v>23</v>
      </c>
      <c r="G17" s="20">
        <v>3</v>
      </c>
      <c r="H17" s="20">
        <v>4</v>
      </c>
      <c r="I17" s="13">
        <v>0.82420000000000004</v>
      </c>
      <c r="J17" s="20" t="s">
        <v>249</v>
      </c>
      <c r="L17" s="20" t="s">
        <v>249</v>
      </c>
      <c r="M17" s="20" t="s">
        <v>388</v>
      </c>
      <c r="N17" s="20" t="s">
        <v>23</v>
      </c>
      <c r="O17" s="20">
        <v>2</v>
      </c>
      <c r="P17" s="20">
        <v>4</v>
      </c>
      <c r="Q17" s="13">
        <v>0.68479999999999996</v>
      </c>
      <c r="R17" s="20" t="s">
        <v>249</v>
      </c>
      <c r="S17" s="20">
        <v>0.99</v>
      </c>
      <c r="T17" s="20" t="s">
        <v>249</v>
      </c>
      <c r="U17" s="20" t="s">
        <v>16</v>
      </c>
      <c r="V17" s="20">
        <v>6</v>
      </c>
      <c r="W17" s="20">
        <v>2</v>
      </c>
      <c r="X17" s="20" t="s">
        <v>379</v>
      </c>
      <c r="Y17" s="20" t="s">
        <v>292</v>
      </c>
      <c r="Z17" s="20" t="s">
        <v>60</v>
      </c>
      <c r="AA17" s="20" t="s">
        <v>380</v>
      </c>
    </row>
    <row r="18" spans="1:27" x14ac:dyDescent="0.2">
      <c r="A18" s="20" t="s">
        <v>218</v>
      </c>
      <c r="B18" s="20" t="s">
        <v>318</v>
      </c>
      <c r="C18" s="20" t="s">
        <v>25</v>
      </c>
      <c r="D18" s="20" t="s">
        <v>34</v>
      </c>
      <c r="E18" s="20" t="s">
        <v>319</v>
      </c>
      <c r="F18" s="20" t="s">
        <v>25</v>
      </c>
      <c r="G18" s="20">
        <v>5</v>
      </c>
      <c r="H18" s="20">
        <v>4</v>
      </c>
      <c r="I18" s="13">
        <v>0.62329999999999997</v>
      </c>
      <c r="J18" s="20" t="s">
        <v>249</v>
      </c>
      <c r="L18" s="20" t="s">
        <v>249</v>
      </c>
      <c r="M18" s="20" t="s">
        <v>389</v>
      </c>
      <c r="N18" s="20" t="s">
        <v>25</v>
      </c>
      <c r="O18" s="20">
        <v>2</v>
      </c>
      <c r="P18" s="20">
        <v>4</v>
      </c>
      <c r="Q18" s="13">
        <v>0.72150000000000003</v>
      </c>
      <c r="R18" s="20" t="s">
        <v>249</v>
      </c>
      <c r="S18" s="20">
        <v>-1.0900000000000001</v>
      </c>
      <c r="T18" s="20" t="s">
        <v>249</v>
      </c>
      <c r="U18" s="20" t="s">
        <v>34</v>
      </c>
      <c r="V18" s="20">
        <v>3</v>
      </c>
      <c r="W18" s="20">
        <v>4</v>
      </c>
      <c r="X18" s="20" t="s">
        <v>379</v>
      </c>
      <c r="Y18" s="20" t="s">
        <v>292</v>
      </c>
      <c r="Z18" s="20" t="s">
        <v>60</v>
      </c>
      <c r="AA18" s="20" t="s">
        <v>380</v>
      </c>
    </row>
    <row r="19" spans="1:27" x14ac:dyDescent="0.2">
      <c r="A19" s="20" t="s">
        <v>218</v>
      </c>
      <c r="B19" s="20" t="s">
        <v>293</v>
      </c>
      <c r="C19" s="20" t="s">
        <v>17</v>
      </c>
      <c r="D19" s="20" t="s">
        <v>22</v>
      </c>
      <c r="E19" s="20" t="s">
        <v>320</v>
      </c>
      <c r="F19" s="20" t="s">
        <v>22</v>
      </c>
      <c r="G19" s="20">
        <v>3</v>
      </c>
      <c r="H19" s="20">
        <v>4</v>
      </c>
      <c r="I19" s="13">
        <v>0.54659999999999997</v>
      </c>
      <c r="J19" s="20" t="s">
        <v>249</v>
      </c>
      <c r="L19" s="20" t="s">
        <v>248</v>
      </c>
      <c r="M19" s="20" t="s">
        <v>321</v>
      </c>
      <c r="N19" s="20" t="s">
        <v>22</v>
      </c>
      <c r="O19" s="20">
        <v>2</v>
      </c>
      <c r="P19" s="20">
        <v>4</v>
      </c>
      <c r="Q19" s="13">
        <v>0.68869999999999998</v>
      </c>
      <c r="R19" s="20" t="s">
        <v>249</v>
      </c>
      <c r="S19" s="20">
        <v>1.03</v>
      </c>
      <c r="T19" s="20" t="s">
        <v>248</v>
      </c>
      <c r="U19" s="20" t="s">
        <v>22</v>
      </c>
      <c r="V19" s="20">
        <v>4</v>
      </c>
      <c r="W19" s="20">
        <v>7</v>
      </c>
      <c r="X19" s="20" t="s">
        <v>379</v>
      </c>
      <c r="Y19" s="20" t="s">
        <v>292</v>
      </c>
      <c r="Z19" s="20" t="s">
        <v>60</v>
      </c>
      <c r="AA19" s="20" t="s">
        <v>380</v>
      </c>
    </row>
    <row r="20" spans="1:27" x14ac:dyDescent="0.2">
      <c r="A20" s="20" t="s">
        <v>219</v>
      </c>
      <c r="B20" s="20" t="s">
        <v>322</v>
      </c>
      <c r="C20" s="20" t="s">
        <v>36</v>
      </c>
      <c r="D20" s="20" t="s">
        <v>31</v>
      </c>
      <c r="E20" s="20" t="s">
        <v>323</v>
      </c>
      <c r="F20" s="20" t="s">
        <v>31</v>
      </c>
      <c r="G20" s="20">
        <v>3</v>
      </c>
      <c r="H20" s="20">
        <v>4</v>
      </c>
      <c r="I20" s="13">
        <v>0.79971067821067798</v>
      </c>
      <c r="J20" s="20" t="s">
        <v>248</v>
      </c>
      <c r="K20" s="18">
        <v>0.53300000000000003</v>
      </c>
      <c r="L20" s="20" t="s">
        <v>249</v>
      </c>
      <c r="M20" s="20" t="s">
        <v>390</v>
      </c>
      <c r="N20" s="20" t="s">
        <v>31</v>
      </c>
      <c r="O20" s="20">
        <v>2</v>
      </c>
      <c r="P20" s="20">
        <v>4</v>
      </c>
      <c r="Q20" s="13">
        <v>0.82141601872248204</v>
      </c>
      <c r="R20" s="20" t="s">
        <v>249</v>
      </c>
      <c r="S20" s="20">
        <v>1.21</v>
      </c>
      <c r="T20" s="20" t="s">
        <v>249</v>
      </c>
      <c r="U20" s="20" t="s">
        <v>36</v>
      </c>
      <c r="V20" s="20">
        <v>3</v>
      </c>
      <c r="W20" s="20">
        <v>2</v>
      </c>
      <c r="X20" s="20" t="s">
        <v>379</v>
      </c>
      <c r="Y20" s="20" t="s">
        <v>292</v>
      </c>
      <c r="Z20" s="20" t="s">
        <v>60</v>
      </c>
      <c r="AA20" s="20" t="s">
        <v>380</v>
      </c>
    </row>
    <row r="21" spans="1:27" x14ac:dyDescent="0.2">
      <c r="A21" s="20" t="s">
        <v>219</v>
      </c>
      <c r="B21" s="20" t="s">
        <v>324</v>
      </c>
      <c r="C21" s="20" t="s">
        <v>32</v>
      </c>
      <c r="D21" s="20" t="s">
        <v>10</v>
      </c>
      <c r="E21" s="20" t="s">
        <v>325</v>
      </c>
      <c r="F21" s="20" t="s">
        <v>10</v>
      </c>
      <c r="G21" s="20">
        <v>3</v>
      </c>
      <c r="H21" s="20">
        <v>4</v>
      </c>
      <c r="I21" s="13">
        <v>0.81409746588693999</v>
      </c>
      <c r="J21" s="20" t="s">
        <v>248</v>
      </c>
      <c r="K21" s="18">
        <v>0.50700000000000001</v>
      </c>
      <c r="L21" s="20" t="s">
        <v>249</v>
      </c>
      <c r="M21" s="20" t="s">
        <v>391</v>
      </c>
      <c r="N21" s="20" t="s">
        <v>10</v>
      </c>
      <c r="O21" s="20">
        <v>2</v>
      </c>
      <c r="P21" s="20">
        <v>4</v>
      </c>
      <c r="Q21" s="13">
        <v>0.68955873942591095</v>
      </c>
      <c r="R21" s="20" t="s">
        <v>249</v>
      </c>
      <c r="S21" s="20">
        <v>1.04</v>
      </c>
      <c r="T21" s="20" t="s">
        <v>249</v>
      </c>
      <c r="U21" s="20" t="s">
        <v>32</v>
      </c>
      <c r="V21" s="20">
        <v>3</v>
      </c>
      <c r="W21" s="20">
        <v>2</v>
      </c>
      <c r="X21" s="20" t="s">
        <v>379</v>
      </c>
      <c r="Y21" s="20" t="s">
        <v>292</v>
      </c>
      <c r="Z21" s="20" t="s">
        <v>60</v>
      </c>
      <c r="AA21" s="20" t="s">
        <v>380</v>
      </c>
    </row>
    <row r="22" spans="1:27" x14ac:dyDescent="0.2">
      <c r="A22" s="20" t="s">
        <v>219</v>
      </c>
      <c r="B22" s="20" t="s">
        <v>326</v>
      </c>
      <c r="C22" s="20" t="s">
        <v>15</v>
      </c>
      <c r="D22" s="20" t="s">
        <v>12</v>
      </c>
      <c r="E22" s="20" t="s">
        <v>327</v>
      </c>
      <c r="F22" s="20" t="s">
        <v>12</v>
      </c>
      <c r="G22" s="20">
        <v>3</v>
      </c>
      <c r="H22" s="20">
        <v>4</v>
      </c>
      <c r="I22" s="13">
        <v>0.68089417989418</v>
      </c>
      <c r="J22" s="20" t="s">
        <v>249</v>
      </c>
      <c r="K22" s="18">
        <v>0.28699999999999998</v>
      </c>
      <c r="L22" s="20" t="s">
        <v>248</v>
      </c>
      <c r="M22" s="20" t="s">
        <v>361</v>
      </c>
      <c r="N22" s="20" t="s">
        <v>12</v>
      </c>
      <c r="O22" s="20">
        <v>1</v>
      </c>
      <c r="P22" s="20">
        <v>5</v>
      </c>
      <c r="Q22" s="13">
        <v>0.79009355708149598</v>
      </c>
      <c r="R22" s="20" t="s">
        <v>249</v>
      </c>
      <c r="S22" s="20">
        <v>2.04</v>
      </c>
      <c r="T22" s="20" t="s">
        <v>248</v>
      </c>
      <c r="U22" s="20" t="s">
        <v>12</v>
      </c>
      <c r="V22" s="20">
        <v>3</v>
      </c>
      <c r="W22" s="20">
        <v>6</v>
      </c>
      <c r="X22" s="20" t="s">
        <v>379</v>
      </c>
      <c r="Y22" s="20" t="s">
        <v>292</v>
      </c>
      <c r="Z22" s="20" t="s">
        <v>60</v>
      </c>
      <c r="AA22" s="20" t="s">
        <v>380</v>
      </c>
    </row>
    <row r="23" spans="1:27" x14ac:dyDescent="0.2">
      <c r="A23" s="20" t="s">
        <v>219</v>
      </c>
      <c r="B23" s="20" t="s">
        <v>328</v>
      </c>
      <c r="C23" s="20" t="s">
        <v>30</v>
      </c>
      <c r="D23" s="20" t="s">
        <v>26</v>
      </c>
      <c r="E23" s="20" t="s">
        <v>329</v>
      </c>
      <c r="F23" s="20" t="s">
        <v>26</v>
      </c>
      <c r="G23" s="20">
        <v>3</v>
      </c>
      <c r="H23" s="20">
        <v>4</v>
      </c>
      <c r="I23" s="13">
        <v>0.507202173213117</v>
      </c>
      <c r="J23" s="20" t="s">
        <v>249</v>
      </c>
      <c r="K23" s="18">
        <v>0.44</v>
      </c>
      <c r="L23" s="20" t="s">
        <v>249</v>
      </c>
      <c r="M23" s="20" t="s">
        <v>392</v>
      </c>
      <c r="N23" s="20" t="s">
        <v>30</v>
      </c>
      <c r="O23" s="20">
        <v>2</v>
      </c>
      <c r="P23" s="20">
        <v>3</v>
      </c>
      <c r="Q23" s="13">
        <v>0.50783942088355705</v>
      </c>
      <c r="R23" s="20" t="s">
        <v>248</v>
      </c>
      <c r="S23" s="20">
        <v>-0.21</v>
      </c>
      <c r="T23" s="20" t="s">
        <v>248</v>
      </c>
      <c r="U23" s="20" t="s">
        <v>30</v>
      </c>
      <c r="V23" s="20">
        <v>5</v>
      </c>
      <c r="W23" s="20">
        <v>0</v>
      </c>
      <c r="X23" s="20" t="s">
        <v>379</v>
      </c>
      <c r="Y23" s="20" t="s">
        <v>292</v>
      </c>
      <c r="Z23" s="20" t="s">
        <v>60</v>
      </c>
      <c r="AA23" s="20" t="s">
        <v>380</v>
      </c>
    </row>
    <row r="24" spans="1:27" x14ac:dyDescent="0.2">
      <c r="A24" s="20" t="s">
        <v>219</v>
      </c>
      <c r="B24" s="20" t="s">
        <v>328</v>
      </c>
      <c r="C24" s="20" t="s">
        <v>24</v>
      </c>
      <c r="D24" s="20" t="s">
        <v>11</v>
      </c>
      <c r="E24" s="20" t="s">
        <v>330</v>
      </c>
      <c r="F24" s="20" t="s">
        <v>11</v>
      </c>
      <c r="G24" s="20">
        <v>3</v>
      </c>
      <c r="H24" s="20">
        <v>4</v>
      </c>
      <c r="I24" s="13">
        <v>0.61979461279461301</v>
      </c>
      <c r="J24" s="20" t="s">
        <v>249</v>
      </c>
      <c r="K24" s="18">
        <v>0.38100000000000001</v>
      </c>
      <c r="L24" s="20" t="s">
        <v>248</v>
      </c>
      <c r="M24" s="20" t="s">
        <v>393</v>
      </c>
      <c r="N24" s="20" t="s">
        <v>24</v>
      </c>
      <c r="O24" s="20">
        <v>2</v>
      </c>
      <c r="P24" s="20">
        <v>3</v>
      </c>
      <c r="Q24" s="13">
        <v>0.47717133510972898</v>
      </c>
      <c r="R24" s="20" t="s">
        <v>248</v>
      </c>
      <c r="S24" s="20">
        <v>-0.28000000000000003</v>
      </c>
      <c r="T24" s="20" t="s">
        <v>249</v>
      </c>
      <c r="U24" s="20" t="s">
        <v>11</v>
      </c>
      <c r="V24" s="20">
        <v>0</v>
      </c>
      <c r="W24" s="20">
        <v>1</v>
      </c>
      <c r="X24" s="20" t="s">
        <v>379</v>
      </c>
      <c r="Y24" s="20" t="s">
        <v>292</v>
      </c>
      <c r="Z24" s="20" t="s">
        <v>60</v>
      </c>
      <c r="AA24" s="20" t="s">
        <v>380</v>
      </c>
    </row>
    <row r="25" spans="1:27" x14ac:dyDescent="0.2">
      <c r="A25" s="20" t="s">
        <v>219</v>
      </c>
      <c r="B25" s="20" t="s">
        <v>328</v>
      </c>
      <c r="C25" s="20" t="s">
        <v>22</v>
      </c>
      <c r="D25" s="20" t="s">
        <v>18</v>
      </c>
      <c r="E25" s="20" t="s">
        <v>331</v>
      </c>
      <c r="F25" s="20" t="s">
        <v>18</v>
      </c>
      <c r="G25" s="20">
        <v>3</v>
      </c>
      <c r="H25" s="20">
        <v>4</v>
      </c>
      <c r="I25" s="13">
        <v>0.75639782537151001</v>
      </c>
      <c r="J25" s="20" t="s">
        <v>248</v>
      </c>
      <c r="K25" s="18">
        <v>0.63100000000000001</v>
      </c>
      <c r="L25" s="20" t="s">
        <v>249</v>
      </c>
      <c r="M25" s="20" t="s">
        <v>394</v>
      </c>
      <c r="N25" s="20" t="s">
        <v>22</v>
      </c>
      <c r="O25" s="20">
        <v>2</v>
      </c>
      <c r="P25" s="20">
        <v>3</v>
      </c>
      <c r="Q25" s="13">
        <v>0.52653488689618599</v>
      </c>
      <c r="R25" s="20" t="s">
        <v>249</v>
      </c>
      <c r="S25" s="20">
        <v>-0.48</v>
      </c>
      <c r="T25" s="20" t="s">
        <v>248</v>
      </c>
      <c r="U25" s="20" t="s">
        <v>22</v>
      </c>
      <c r="V25" s="20">
        <v>8</v>
      </c>
      <c r="W25" s="20">
        <v>4</v>
      </c>
      <c r="X25" s="20" t="s">
        <v>379</v>
      </c>
      <c r="Y25" s="20" t="s">
        <v>292</v>
      </c>
      <c r="Z25" s="20" t="s">
        <v>60</v>
      </c>
      <c r="AA25" s="20" t="s">
        <v>380</v>
      </c>
    </row>
    <row r="26" spans="1:27" x14ac:dyDescent="0.2">
      <c r="A26" s="20" t="s">
        <v>219</v>
      </c>
      <c r="B26" s="20" t="s">
        <v>328</v>
      </c>
      <c r="C26" s="20" t="s">
        <v>35</v>
      </c>
      <c r="D26" s="20" t="s">
        <v>27</v>
      </c>
      <c r="E26" s="20" t="s">
        <v>332</v>
      </c>
      <c r="F26" s="20" t="s">
        <v>27</v>
      </c>
      <c r="G26" s="20">
        <v>3</v>
      </c>
      <c r="H26" s="20">
        <v>4</v>
      </c>
      <c r="I26" s="13">
        <v>0.78318759018758999</v>
      </c>
      <c r="J26" s="20" t="s">
        <v>249</v>
      </c>
      <c r="K26" s="18">
        <v>0.42499999999999999</v>
      </c>
      <c r="L26" s="20" t="s">
        <v>248</v>
      </c>
      <c r="M26" s="20" t="s">
        <v>395</v>
      </c>
      <c r="N26" s="20" t="s">
        <v>27</v>
      </c>
      <c r="O26" s="20">
        <v>2</v>
      </c>
      <c r="P26" s="20">
        <v>4</v>
      </c>
      <c r="Q26" s="13">
        <v>0.72316153141538597</v>
      </c>
      <c r="R26" s="20" t="s">
        <v>249</v>
      </c>
      <c r="S26" s="20">
        <v>1.31</v>
      </c>
      <c r="T26" s="20" t="s">
        <v>248</v>
      </c>
      <c r="U26" s="20" t="s">
        <v>27</v>
      </c>
      <c r="V26" s="20">
        <v>2</v>
      </c>
      <c r="W26" s="20">
        <v>3</v>
      </c>
      <c r="X26" s="20" t="s">
        <v>379</v>
      </c>
      <c r="Y26" s="20" t="s">
        <v>292</v>
      </c>
      <c r="Z26" s="20" t="s">
        <v>60</v>
      </c>
      <c r="AA26" s="20" t="s">
        <v>380</v>
      </c>
    </row>
    <row r="27" spans="1:27" x14ac:dyDescent="0.2">
      <c r="A27" s="20" t="s">
        <v>219</v>
      </c>
      <c r="B27" s="20" t="s">
        <v>322</v>
      </c>
      <c r="C27" s="20" t="s">
        <v>13</v>
      </c>
      <c r="D27" s="20" t="s">
        <v>33</v>
      </c>
      <c r="E27" s="20" t="s">
        <v>333</v>
      </c>
      <c r="F27" s="20" t="s">
        <v>13</v>
      </c>
      <c r="G27" s="20">
        <v>5</v>
      </c>
      <c r="H27" s="20">
        <v>4</v>
      </c>
      <c r="I27" s="13">
        <v>0.68822126022125996</v>
      </c>
      <c r="J27" s="20" t="s">
        <v>249</v>
      </c>
      <c r="K27" s="18">
        <v>0.28199999999999997</v>
      </c>
      <c r="L27" s="20" t="s">
        <v>249</v>
      </c>
      <c r="M27" s="20" t="s">
        <v>396</v>
      </c>
      <c r="N27" s="20" t="s">
        <v>13</v>
      </c>
      <c r="O27" s="20">
        <v>2</v>
      </c>
      <c r="P27" s="20">
        <v>3</v>
      </c>
      <c r="Q27" s="13">
        <v>0.56836235759955001</v>
      </c>
      <c r="R27" s="20" t="s">
        <v>248</v>
      </c>
      <c r="S27" s="20">
        <v>-0.05</v>
      </c>
      <c r="T27" s="20" t="s">
        <v>249</v>
      </c>
      <c r="U27" s="20" t="s">
        <v>33</v>
      </c>
      <c r="V27" s="20">
        <v>3</v>
      </c>
      <c r="W27" s="20">
        <v>4</v>
      </c>
      <c r="X27" s="20" t="s">
        <v>379</v>
      </c>
      <c r="Y27" s="20" t="s">
        <v>292</v>
      </c>
      <c r="Z27" s="20" t="s">
        <v>60</v>
      </c>
      <c r="AA27" s="20" t="s">
        <v>380</v>
      </c>
    </row>
    <row r="28" spans="1:27" x14ac:dyDescent="0.2">
      <c r="A28" s="20" t="s">
        <v>219</v>
      </c>
      <c r="B28" s="20" t="s">
        <v>334</v>
      </c>
      <c r="C28" s="20" t="s">
        <v>17</v>
      </c>
      <c r="D28" s="20" t="s">
        <v>37</v>
      </c>
      <c r="E28" s="20" t="s">
        <v>335</v>
      </c>
      <c r="F28" s="20" t="s">
        <v>37</v>
      </c>
      <c r="G28" s="20">
        <v>3</v>
      </c>
      <c r="H28" s="20">
        <v>4</v>
      </c>
      <c r="I28" s="13">
        <v>0.77119047619047598</v>
      </c>
      <c r="J28" s="20" t="s">
        <v>248</v>
      </c>
      <c r="K28" s="18">
        <v>0.61599999999999999</v>
      </c>
      <c r="L28" s="20" t="s">
        <v>248</v>
      </c>
      <c r="M28" s="20" t="s">
        <v>397</v>
      </c>
      <c r="N28" s="20" t="s">
        <v>37</v>
      </c>
      <c r="O28" s="20">
        <v>2</v>
      </c>
      <c r="P28" s="20">
        <v>4</v>
      </c>
      <c r="Q28" s="13">
        <v>0.711970082114465</v>
      </c>
      <c r="R28" s="20" t="s">
        <v>249</v>
      </c>
      <c r="S28" s="20">
        <v>1.25</v>
      </c>
      <c r="T28" s="20" t="s">
        <v>248</v>
      </c>
      <c r="U28" s="20" t="s">
        <v>37</v>
      </c>
      <c r="V28" s="20">
        <v>1</v>
      </c>
      <c r="W28" s="20">
        <v>2</v>
      </c>
      <c r="X28" s="20" t="s">
        <v>379</v>
      </c>
      <c r="Y28" s="20" t="s">
        <v>292</v>
      </c>
      <c r="Z28" s="20" t="s">
        <v>60</v>
      </c>
      <c r="AA28" s="20" t="s">
        <v>380</v>
      </c>
    </row>
    <row r="29" spans="1:27" x14ac:dyDescent="0.2">
      <c r="A29" s="20" t="s">
        <v>219</v>
      </c>
      <c r="B29" s="20" t="s">
        <v>328</v>
      </c>
      <c r="C29" s="20" t="s">
        <v>28</v>
      </c>
      <c r="D29" s="20" t="s">
        <v>19</v>
      </c>
      <c r="E29" s="20" t="s">
        <v>336</v>
      </c>
      <c r="F29" s="20" t="s">
        <v>19</v>
      </c>
      <c r="G29" s="20">
        <v>3</v>
      </c>
      <c r="H29" s="20">
        <v>4</v>
      </c>
      <c r="I29" s="13">
        <v>0.56100667919398595</v>
      </c>
      <c r="J29" s="20" t="s">
        <v>249</v>
      </c>
      <c r="K29" s="18">
        <v>0.11600000000000001</v>
      </c>
      <c r="L29" s="20" t="s">
        <v>249</v>
      </c>
      <c r="M29" s="20" t="s">
        <v>398</v>
      </c>
      <c r="N29" s="20" t="s">
        <v>19</v>
      </c>
      <c r="O29" s="20">
        <v>2</v>
      </c>
      <c r="P29" s="20">
        <v>3</v>
      </c>
      <c r="Q29" s="13">
        <v>0.55864324773890295</v>
      </c>
      <c r="R29" s="20" t="s">
        <v>248</v>
      </c>
      <c r="S29" s="20">
        <v>0.03</v>
      </c>
      <c r="T29" s="20" t="s">
        <v>249</v>
      </c>
      <c r="U29" s="20" t="s">
        <v>28</v>
      </c>
      <c r="V29" s="20">
        <v>3</v>
      </c>
      <c r="W29" s="20">
        <v>2</v>
      </c>
      <c r="X29" s="20" t="s">
        <v>379</v>
      </c>
      <c r="Y29" s="20" t="s">
        <v>292</v>
      </c>
      <c r="Z29" s="20" t="s">
        <v>60</v>
      </c>
      <c r="AA29" s="20" t="s">
        <v>380</v>
      </c>
    </row>
    <row r="30" spans="1:27" x14ac:dyDescent="0.2">
      <c r="A30" s="20" t="s">
        <v>219</v>
      </c>
      <c r="B30" s="20" t="s">
        <v>326</v>
      </c>
      <c r="C30" s="20" t="s">
        <v>20</v>
      </c>
      <c r="D30" s="20" t="s">
        <v>55</v>
      </c>
      <c r="E30" s="20" t="s">
        <v>337</v>
      </c>
      <c r="F30" s="20" t="s">
        <v>55</v>
      </c>
      <c r="G30" s="20">
        <v>3</v>
      </c>
      <c r="H30" s="20">
        <v>4</v>
      </c>
      <c r="I30" s="13">
        <v>0.67815371762740195</v>
      </c>
      <c r="J30" s="20" t="s">
        <v>248</v>
      </c>
      <c r="K30" s="18">
        <v>0.54</v>
      </c>
      <c r="L30" s="20" t="s">
        <v>249</v>
      </c>
      <c r="M30" s="20" t="s">
        <v>399</v>
      </c>
      <c r="N30" s="20" t="s">
        <v>20</v>
      </c>
      <c r="O30" s="20">
        <v>2</v>
      </c>
      <c r="P30" s="20">
        <v>3</v>
      </c>
      <c r="Q30" s="13">
        <v>0.41674861628270699</v>
      </c>
      <c r="R30" s="20" t="s">
        <v>248</v>
      </c>
      <c r="S30" s="20">
        <v>-0.04</v>
      </c>
      <c r="T30" s="20" t="s">
        <v>248</v>
      </c>
      <c r="U30" s="20" t="s">
        <v>20</v>
      </c>
      <c r="V30" s="20">
        <v>4</v>
      </c>
      <c r="W30" s="20">
        <v>1</v>
      </c>
      <c r="X30" s="20" t="s">
        <v>379</v>
      </c>
      <c r="Y30" s="20" t="s">
        <v>292</v>
      </c>
      <c r="Z30" s="20" t="s">
        <v>60</v>
      </c>
      <c r="AA30" s="20" t="s">
        <v>380</v>
      </c>
    </row>
    <row r="31" spans="1:27" x14ac:dyDescent="0.2">
      <c r="A31" s="20" t="s">
        <v>219</v>
      </c>
      <c r="B31" s="20" t="s">
        <v>322</v>
      </c>
      <c r="C31" s="20" t="s">
        <v>39</v>
      </c>
      <c r="D31" s="20" t="s">
        <v>38</v>
      </c>
      <c r="E31" s="20" t="s">
        <v>338</v>
      </c>
      <c r="F31" s="20" t="s">
        <v>39</v>
      </c>
      <c r="G31" s="20">
        <v>5</v>
      </c>
      <c r="H31" s="20">
        <v>4</v>
      </c>
      <c r="I31" s="13">
        <v>0.73677777777777798</v>
      </c>
      <c r="J31" s="20" t="s">
        <v>249</v>
      </c>
      <c r="K31" s="18">
        <v>0.39100000000000001</v>
      </c>
      <c r="L31" s="20" t="s">
        <v>248</v>
      </c>
      <c r="M31" s="20" t="s">
        <v>400</v>
      </c>
      <c r="N31" s="20" t="s">
        <v>39</v>
      </c>
      <c r="O31" s="20">
        <v>2</v>
      </c>
      <c r="P31" s="20">
        <v>4</v>
      </c>
      <c r="Q31" s="13">
        <v>0.65070700646466895</v>
      </c>
      <c r="R31" s="20" t="s">
        <v>249</v>
      </c>
      <c r="S31" s="20">
        <v>-0.71</v>
      </c>
      <c r="T31" s="20" t="s">
        <v>248</v>
      </c>
      <c r="U31" s="20" t="s">
        <v>39</v>
      </c>
      <c r="V31" s="20">
        <v>4</v>
      </c>
      <c r="W31" s="20">
        <v>2</v>
      </c>
      <c r="X31" s="20" t="s">
        <v>379</v>
      </c>
      <c r="Y31" s="20" t="s">
        <v>292</v>
      </c>
      <c r="Z31" s="20" t="s">
        <v>60</v>
      </c>
      <c r="AA31" s="20" t="s">
        <v>380</v>
      </c>
    </row>
    <row r="32" spans="1:27" x14ac:dyDescent="0.2">
      <c r="A32" s="20" t="s">
        <v>220</v>
      </c>
      <c r="B32" s="20" t="s">
        <v>328</v>
      </c>
      <c r="C32" s="20" t="s">
        <v>10</v>
      </c>
      <c r="D32" s="20" t="s">
        <v>23</v>
      </c>
      <c r="E32" s="20" t="s">
        <v>339</v>
      </c>
      <c r="F32" s="20" t="s">
        <v>10</v>
      </c>
      <c r="G32" s="20">
        <v>4</v>
      </c>
      <c r="H32" s="20">
        <v>3</v>
      </c>
      <c r="I32" s="13">
        <v>0.58904761904761893</v>
      </c>
      <c r="J32" s="20" t="s">
        <v>248</v>
      </c>
      <c r="K32" s="18">
        <v>0.58099999999999996</v>
      </c>
      <c r="L32" s="20" t="s">
        <v>249</v>
      </c>
      <c r="M32" s="20" t="s">
        <v>401</v>
      </c>
      <c r="N32" s="20" t="s">
        <v>10</v>
      </c>
      <c r="O32" s="20">
        <v>2</v>
      </c>
      <c r="P32" s="20">
        <v>4</v>
      </c>
      <c r="Q32" s="13">
        <v>0.62127138852721631</v>
      </c>
      <c r="R32" s="20" t="s">
        <v>249</v>
      </c>
      <c r="S32" s="20">
        <v>-1.01</v>
      </c>
      <c r="T32" s="20" t="s">
        <v>249</v>
      </c>
      <c r="U32" s="20" t="s">
        <v>23</v>
      </c>
      <c r="V32" s="20">
        <v>3</v>
      </c>
      <c r="W32" s="20">
        <v>9</v>
      </c>
      <c r="X32" s="20" t="s">
        <v>379</v>
      </c>
      <c r="Y32" s="20" t="s">
        <v>292</v>
      </c>
      <c r="Z32" s="20" t="s">
        <v>60</v>
      </c>
      <c r="AA32" s="20" t="s">
        <v>380</v>
      </c>
    </row>
    <row r="33" spans="1:27" x14ac:dyDescent="0.2">
      <c r="A33" s="20" t="s">
        <v>220</v>
      </c>
      <c r="B33" s="20" t="s">
        <v>340</v>
      </c>
      <c r="C33" s="20" t="s">
        <v>21</v>
      </c>
      <c r="D33" s="20" t="s">
        <v>13</v>
      </c>
      <c r="E33" s="20" t="s">
        <v>341</v>
      </c>
      <c r="F33" s="20" t="s">
        <v>13</v>
      </c>
      <c r="G33" s="20">
        <v>3</v>
      </c>
      <c r="H33" s="20">
        <v>4</v>
      </c>
      <c r="I33" s="13">
        <v>0.54508201058201067</v>
      </c>
      <c r="J33" s="20" t="s">
        <v>248</v>
      </c>
      <c r="K33" s="18">
        <v>0.63700000000000001</v>
      </c>
      <c r="L33" s="20" t="s">
        <v>249</v>
      </c>
      <c r="M33" s="20" t="s">
        <v>402</v>
      </c>
      <c r="N33" s="20" t="s">
        <v>13</v>
      </c>
      <c r="O33" s="20">
        <v>2</v>
      </c>
      <c r="P33" s="20">
        <v>3</v>
      </c>
      <c r="Q33" s="13">
        <v>0.54352487978663888</v>
      </c>
      <c r="R33" s="20" t="s">
        <v>248</v>
      </c>
      <c r="S33" s="20">
        <v>0.03</v>
      </c>
      <c r="T33" s="20" t="s">
        <v>249</v>
      </c>
      <c r="U33" s="20" t="s">
        <v>21</v>
      </c>
      <c r="V33" s="20">
        <v>2</v>
      </c>
      <c r="W33" s="20">
        <v>1</v>
      </c>
      <c r="X33" s="20" t="s">
        <v>379</v>
      </c>
      <c r="Y33" s="20" t="s">
        <v>292</v>
      </c>
      <c r="Z33" s="20" t="s">
        <v>60</v>
      </c>
      <c r="AA33" s="20" t="s">
        <v>380</v>
      </c>
    </row>
    <row r="34" spans="1:27" x14ac:dyDescent="0.2">
      <c r="A34" s="20" t="s">
        <v>220</v>
      </c>
      <c r="B34" s="20" t="s">
        <v>328</v>
      </c>
      <c r="C34" s="20" t="s">
        <v>34</v>
      </c>
      <c r="D34" s="20" t="s">
        <v>14</v>
      </c>
      <c r="E34" s="20" t="s">
        <v>342</v>
      </c>
      <c r="F34" s="20" t="s">
        <v>34</v>
      </c>
      <c r="G34" s="20">
        <v>3</v>
      </c>
      <c r="H34" s="20">
        <v>2</v>
      </c>
      <c r="I34" s="13">
        <v>0.51067724867724873</v>
      </c>
      <c r="J34" s="20" t="s">
        <v>249</v>
      </c>
      <c r="K34" s="18">
        <v>0.44400000000000001</v>
      </c>
      <c r="L34" s="20" t="s">
        <v>248</v>
      </c>
      <c r="M34" s="20" t="s">
        <v>343</v>
      </c>
      <c r="N34" s="20" t="s">
        <v>14</v>
      </c>
      <c r="O34" s="20">
        <v>2</v>
      </c>
      <c r="P34" s="20">
        <v>4</v>
      </c>
      <c r="Q34" s="13">
        <v>0.69427003530691833</v>
      </c>
      <c r="R34" s="20" t="s">
        <v>249</v>
      </c>
      <c r="S34" s="20">
        <v>0.85</v>
      </c>
      <c r="T34" s="20" t="s">
        <v>249</v>
      </c>
      <c r="U34" s="20" t="s">
        <v>34</v>
      </c>
      <c r="V34" s="20">
        <v>5</v>
      </c>
      <c r="W34" s="20">
        <v>0</v>
      </c>
      <c r="X34" s="20" t="s">
        <v>379</v>
      </c>
      <c r="Y34" s="20" t="s">
        <v>292</v>
      </c>
      <c r="Z34" s="20" t="s">
        <v>60</v>
      </c>
      <c r="AA34" s="20" t="s">
        <v>380</v>
      </c>
    </row>
    <row r="35" spans="1:27" x14ac:dyDescent="0.2">
      <c r="A35" s="20" t="s">
        <v>220</v>
      </c>
      <c r="B35" s="20" t="s">
        <v>324</v>
      </c>
      <c r="C35" s="20" t="s">
        <v>25</v>
      </c>
      <c r="D35" s="20" t="s">
        <v>40</v>
      </c>
      <c r="E35" s="20" t="s">
        <v>344</v>
      </c>
      <c r="F35" s="20" t="s">
        <v>40</v>
      </c>
      <c r="G35" s="20">
        <v>3</v>
      </c>
      <c r="H35" s="20">
        <v>4</v>
      </c>
      <c r="I35" s="13">
        <v>0.75196825396825406</v>
      </c>
      <c r="J35" s="20" t="s">
        <v>248</v>
      </c>
      <c r="K35" s="18">
        <v>0.64800000000000002</v>
      </c>
      <c r="L35" s="20" t="s">
        <v>249</v>
      </c>
      <c r="M35" s="20" t="s">
        <v>403</v>
      </c>
      <c r="N35" s="20" t="s">
        <v>25</v>
      </c>
      <c r="O35" s="20">
        <v>2</v>
      </c>
      <c r="P35" s="20">
        <v>3</v>
      </c>
      <c r="Q35" s="13">
        <v>0.52384786307493458</v>
      </c>
      <c r="R35" s="20" t="s">
        <v>248</v>
      </c>
      <c r="S35" s="20">
        <v>-0.26</v>
      </c>
      <c r="T35" s="20" t="s">
        <v>248</v>
      </c>
      <c r="U35" s="20" t="s">
        <v>25</v>
      </c>
      <c r="V35" s="20">
        <v>4</v>
      </c>
      <c r="W35" s="20">
        <v>3</v>
      </c>
      <c r="X35" s="20" t="s">
        <v>379</v>
      </c>
      <c r="Y35" s="20" t="s">
        <v>292</v>
      </c>
      <c r="Z35" s="20" t="s">
        <v>60</v>
      </c>
      <c r="AA35" s="20" t="s">
        <v>380</v>
      </c>
    </row>
    <row r="36" spans="1:27" x14ac:dyDescent="0.2">
      <c r="A36" s="20" t="s">
        <v>221</v>
      </c>
      <c r="B36" s="20" t="s">
        <v>322</v>
      </c>
      <c r="C36" s="20" t="s">
        <v>20</v>
      </c>
      <c r="D36" s="20" t="s">
        <v>31</v>
      </c>
      <c r="E36" s="20" t="s">
        <v>345</v>
      </c>
      <c r="F36" s="20" t="s">
        <v>31</v>
      </c>
      <c r="G36" s="20">
        <v>3</v>
      </c>
      <c r="H36" s="20">
        <v>4</v>
      </c>
      <c r="I36" s="13">
        <v>0.7439365079365079</v>
      </c>
      <c r="J36" s="20" t="s">
        <v>248</v>
      </c>
      <c r="K36" s="18">
        <v>0.59399999999999997</v>
      </c>
      <c r="L36" s="20" t="s">
        <v>248</v>
      </c>
      <c r="M36" s="20" t="s">
        <v>291</v>
      </c>
      <c r="N36" s="20" t="s">
        <v>31</v>
      </c>
      <c r="O36" s="20">
        <v>2</v>
      </c>
      <c r="P36" s="20">
        <v>3</v>
      </c>
      <c r="Q36" s="13">
        <v>0.63411411850668342</v>
      </c>
      <c r="R36" s="20" t="s">
        <v>249</v>
      </c>
      <c r="S36" s="20">
        <v>0.35</v>
      </c>
      <c r="T36" s="20" t="s">
        <v>248</v>
      </c>
      <c r="U36" s="20" t="s">
        <v>31</v>
      </c>
      <c r="V36" s="20">
        <v>3</v>
      </c>
      <c r="W36" s="20">
        <v>4</v>
      </c>
      <c r="X36" s="20" t="s">
        <v>379</v>
      </c>
      <c r="Y36" s="20" t="s">
        <v>292</v>
      </c>
      <c r="Z36" s="20" t="s">
        <v>60</v>
      </c>
      <c r="AA36" s="20" t="s">
        <v>380</v>
      </c>
    </row>
    <row r="37" spans="1:27" x14ac:dyDescent="0.2">
      <c r="A37" s="20" t="s">
        <v>221</v>
      </c>
      <c r="B37" s="20" t="s">
        <v>322</v>
      </c>
      <c r="C37" s="20" t="s">
        <v>39</v>
      </c>
      <c r="D37" s="20" t="s">
        <v>16</v>
      </c>
      <c r="E37" s="20" t="s">
        <v>346</v>
      </c>
      <c r="F37" s="20" t="s">
        <v>39</v>
      </c>
      <c r="G37" s="20">
        <v>5</v>
      </c>
      <c r="H37" s="20">
        <v>4</v>
      </c>
      <c r="I37" s="13">
        <v>0.59559788359788357</v>
      </c>
      <c r="J37" s="20" t="s">
        <v>249</v>
      </c>
      <c r="K37" s="18">
        <v>0.39600000000000002</v>
      </c>
      <c r="L37" s="20" t="s">
        <v>249</v>
      </c>
      <c r="M37" s="20" t="s">
        <v>404</v>
      </c>
      <c r="N37" s="20" t="s">
        <v>39</v>
      </c>
      <c r="O37" s="20">
        <v>2</v>
      </c>
      <c r="P37" s="20">
        <v>4</v>
      </c>
      <c r="Q37" s="13">
        <v>0.75479145950448245</v>
      </c>
      <c r="R37" s="20" t="s">
        <v>249</v>
      </c>
      <c r="S37" s="20">
        <v>-1.31</v>
      </c>
      <c r="T37" s="20" t="s">
        <v>249</v>
      </c>
      <c r="U37" s="20" t="s">
        <v>16</v>
      </c>
      <c r="V37" s="20">
        <v>2</v>
      </c>
      <c r="W37" s="20">
        <v>3</v>
      </c>
      <c r="X37" s="20" t="s">
        <v>379</v>
      </c>
      <c r="Y37" s="20" t="s">
        <v>292</v>
      </c>
      <c r="Z37" s="20" t="s">
        <v>60</v>
      </c>
      <c r="AA37" s="20" t="s">
        <v>380</v>
      </c>
    </row>
    <row r="38" spans="1:27" x14ac:dyDescent="0.2">
      <c r="A38" s="20" t="s">
        <v>221</v>
      </c>
      <c r="B38" s="20" t="s">
        <v>347</v>
      </c>
      <c r="C38" s="20" t="s">
        <v>28</v>
      </c>
      <c r="D38" s="20" t="s">
        <v>26</v>
      </c>
      <c r="E38" s="20" t="s">
        <v>348</v>
      </c>
      <c r="F38" s="20" t="s">
        <v>26</v>
      </c>
      <c r="G38" s="20">
        <v>2</v>
      </c>
      <c r="H38" s="20">
        <v>3</v>
      </c>
      <c r="I38" s="13">
        <v>0.70020214957327953</v>
      </c>
      <c r="J38" s="20" t="s">
        <v>249</v>
      </c>
      <c r="K38" s="18">
        <v>0.36799999999999999</v>
      </c>
      <c r="L38" s="20" t="s">
        <v>248</v>
      </c>
      <c r="M38" s="20" t="s">
        <v>307</v>
      </c>
      <c r="N38" s="20" t="s">
        <v>28</v>
      </c>
      <c r="O38" s="20">
        <v>2</v>
      </c>
      <c r="P38" s="20">
        <v>3</v>
      </c>
      <c r="Q38" s="13">
        <v>0.46548155836437699</v>
      </c>
      <c r="R38" s="20" t="s">
        <v>248</v>
      </c>
      <c r="S38" s="20">
        <v>-0.03</v>
      </c>
      <c r="T38" s="20" t="s">
        <v>249</v>
      </c>
      <c r="U38" s="20" t="s">
        <v>26</v>
      </c>
      <c r="V38" s="20">
        <v>3</v>
      </c>
      <c r="W38" s="20">
        <v>4</v>
      </c>
      <c r="X38" s="20" t="s">
        <v>379</v>
      </c>
      <c r="Y38" s="20" t="s">
        <v>292</v>
      </c>
      <c r="Z38" s="20" t="s">
        <v>60</v>
      </c>
      <c r="AA38" s="20" t="s">
        <v>380</v>
      </c>
    </row>
    <row r="39" spans="1:27" x14ac:dyDescent="0.2">
      <c r="A39" s="20" t="s">
        <v>221</v>
      </c>
      <c r="B39" s="20" t="s">
        <v>328</v>
      </c>
      <c r="C39" s="20" t="s">
        <v>17</v>
      </c>
      <c r="D39" s="20" t="s">
        <v>11</v>
      </c>
      <c r="E39" s="20" t="s">
        <v>349</v>
      </c>
      <c r="F39" s="20" t="s">
        <v>11</v>
      </c>
      <c r="G39" s="20">
        <v>3</v>
      </c>
      <c r="H39" s="20">
        <v>4</v>
      </c>
      <c r="I39" s="13">
        <v>0.71271640211640208</v>
      </c>
      <c r="J39" s="20" t="s">
        <v>249</v>
      </c>
      <c r="K39" s="18">
        <v>0.317</v>
      </c>
      <c r="L39" s="20" t="s">
        <v>249</v>
      </c>
      <c r="M39" s="20" t="s">
        <v>405</v>
      </c>
      <c r="N39" s="20" t="s">
        <v>11</v>
      </c>
      <c r="O39" s="20">
        <v>2</v>
      </c>
      <c r="P39" s="20">
        <v>4</v>
      </c>
      <c r="Q39" s="13">
        <v>0.7567456775048037</v>
      </c>
      <c r="R39" s="20" t="s">
        <v>249</v>
      </c>
      <c r="S39" s="20">
        <v>1</v>
      </c>
      <c r="T39" s="20" t="s">
        <v>249</v>
      </c>
      <c r="U39" s="20" t="s">
        <v>17</v>
      </c>
      <c r="V39" s="20">
        <v>6</v>
      </c>
      <c r="W39" s="20">
        <v>3</v>
      </c>
      <c r="X39" s="20" t="s">
        <v>379</v>
      </c>
      <c r="Y39" s="20" t="s">
        <v>292</v>
      </c>
      <c r="Z39" s="20" t="s">
        <v>60</v>
      </c>
      <c r="AA39" s="20" t="s">
        <v>380</v>
      </c>
    </row>
    <row r="40" spans="1:27" x14ac:dyDescent="0.2">
      <c r="A40" s="20" t="s">
        <v>221</v>
      </c>
      <c r="B40" s="20" t="s">
        <v>328</v>
      </c>
      <c r="C40" s="20" t="s">
        <v>19</v>
      </c>
      <c r="D40" s="20" t="s">
        <v>18</v>
      </c>
      <c r="E40" s="20" t="s">
        <v>350</v>
      </c>
      <c r="F40" s="20" t="s">
        <v>18</v>
      </c>
      <c r="G40" s="20">
        <v>4</v>
      </c>
      <c r="H40" s="20">
        <v>5</v>
      </c>
      <c r="I40" s="13">
        <v>0.53974867724867714</v>
      </c>
      <c r="J40" s="20" t="s">
        <v>249</v>
      </c>
      <c r="K40" s="18">
        <v>0.46300000000000002</v>
      </c>
      <c r="L40" s="20" t="s">
        <v>248</v>
      </c>
      <c r="M40" s="20" t="s">
        <v>360</v>
      </c>
      <c r="N40" s="20" t="s">
        <v>18</v>
      </c>
      <c r="O40" s="20">
        <v>2</v>
      </c>
      <c r="P40" s="20">
        <v>3</v>
      </c>
      <c r="Q40" s="13">
        <v>0.55269401670466733</v>
      </c>
      <c r="R40" s="20" t="s">
        <v>248</v>
      </c>
      <c r="S40" s="20">
        <v>0.09</v>
      </c>
      <c r="T40" s="20" t="s">
        <v>248</v>
      </c>
      <c r="U40" s="20" t="s">
        <v>18</v>
      </c>
      <c r="V40" s="20">
        <v>2</v>
      </c>
      <c r="W40" s="20">
        <v>5</v>
      </c>
      <c r="X40" s="20" t="s">
        <v>379</v>
      </c>
      <c r="Y40" s="20" t="s">
        <v>292</v>
      </c>
      <c r="Z40" s="20" t="s">
        <v>60</v>
      </c>
      <c r="AA40" s="20" t="s">
        <v>380</v>
      </c>
    </row>
    <row r="41" spans="1:27" x14ac:dyDescent="0.2">
      <c r="A41" s="20" t="s">
        <v>221</v>
      </c>
      <c r="B41" s="20" t="s">
        <v>324</v>
      </c>
      <c r="C41" s="20" t="s">
        <v>12</v>
      </c>
      <c r="D41" s="20" t="s">
        <v>29</v>
      </c>
      <c r="E41" s="20" t="s">
        <v>351</v>
      </c>
      <c r="F41" s="20" t="s">
        <v>12</v>
      </c>
      <c r="G41" s="20">
        <v>4</v>
      </c>
      <c r="H41" s="20">
        <v>3</v>
      </c>
      <c r="I41" s="13">
        <v>0.79329100529100538</v>
      </c>
      <c r="J41" s="20" t="s">
        <v>249</v>
      </c>
      <c r="K41" s="18">
        <v>0.34200000000000003</v>
      </c>
      <c r="L41" s="20" t="s">
        <v>248</v>
      </c>
      <c r="M41" s="20" t="s">
        <v>361</v>
      </c>
      <c r="N41" s="20" t="s">
        <v>12</v>
      </c>
      <c r="O41" s="20">
        <v>1</v>
      </c>
      <c r="P41" s="20">
        <v>6</v>
      </c>
      <c r="Q41" s="13">
        <v>0.93629488580979003</v>
      </c>
      <c r="R41" s="20" t="s">
        <v>249</v>
      </c>
      <c r="S41" s="20">
        <v>-2.83</v>
      </c>
      <c r="T41" s="20" t="s">
        <v>248</v>
      </c>
      <c r="U41" s="20" t="s">
        <v>12</v>
      </c>
      <c r="V41" s="20">
        <v>3</v>
      </c>
      <c r="W41" s="20">
        <v>0</v>
      </c>
      <c r="X41" s="20" t="s">
        <v>379</v>
      </c>
      <c r="Y41" s="20" t="s">
        <v>292</v>
      </c>
      <c r="Z41" s="20" t="s">
        <v>60</v>
      </c>
      <c r="AA41" s="20" t="s">
        <v>380</v>
      </c>
    </row>
    <row r="42" spans="1:27" x14ac:dyDescent="0.2">
      <c r="A42" s="20" t="s">
        <v>221</v>
      </c>
      <c r="B42" s="20" t="s">
        <v>352</v>
      </c>
      <c r="C42" s="20" t="s">
        <v>35</v>
      </c>
      <c r="D42" s="20" t="s">
        <v>30</v>
      </c>
      <c r="E42" s="20" t="s">
        <v>353</v>
      </c>
      <c r="F42" s="20" t="s">
        <v>30</v>
      </c>
      <c r="G42" s="20">
        <v>3</v>
      </c>
      <c r="H42" s="20">
        <v>4</v>
      </c>
      <c r="I42" s="13">
        <v>0.82961190476190472</v>
      </c>
      <c r="J42" s="20" t="s">
        <v>249</v>
      </c>
      <c r="K42" s="18">
        <v>0.44800000000000001</v>
      </c>
      <c r="L42" s="20" t="s">
        <v>249</v>
      </c>
      <c r="M42" s="20" t="s">
        <v>406</v>
      </c>
      <c r="N42" s="20" t="s">
        <v>30</v>
      </c>
      <c r="O42" s="20">
        <v>1</v>
      </c>
      <c r="P42" s="20">
        <v>5</v>
      </c>
      <c r="Q42" s="13">
        <v>0.83238050643354911</v>
      </c>
      <c r="R42" s="20" t="s">
        <v>249</v>
      </c>
      <c r="S42" s="20">
        <v>2.02</v>
      </c>
      <c r="T42" s="20" t="s">
        <v>249</v>
      </c>
      <c r="U42" s="20" t="s">
        <v>35</v>
      </c>
      <c r="V42" s="20">
        <v>2</v>
      </c>
      <c r="W42" s="20">
        <v>1</v>
      </c>
      <c r="X42" s="20" t="s">
        <v>379</v>
      </c>
      <c r="Y42" s="20" t="s">
        <v>292</v>
      </c>
      <c r="Z42" s="20" t="s">
        <v>60</v>
      </c>
      <c r="AA42" s="20" t="s">
        <v>380</v>
      </c>
    </row>
    <row r="43" spans="1:27" x14ac:dyDescent="0.2">
      <c r="A43" s="20" t="s">
        <v>221</v>
      </c>
      <c r="B43" s="20" t="s">
        <v>328</v>
      </c>
      <c r="C43" s="20" t="s">
        <v>24</v>
      </c>
      <c r="D43" s="20" t="s">
        <v>27</v>
      </c>
      <c r="E43" s="20" t="s">
        <v>354</v>
      </c>
      <c r="F43" s="20" t="s">
        <v>24</v>
      </c>
      <c r="G43" s="20">
        <v>4</v>
      </c>
      <c r="H43" s="20">
        <v>3</v>
      </c>
      <c r="I43" s="13">
        <v>0.63601404151404162</v>
      </c>
      <c r="J43" s="20" t="s">
        <v>249</v>
      </c>
      <c r="K43" s="18">
        <v>0.44</v>
      </c>
      <c r="L43" s="20" t="s">
        <v>249</v>
      </c>
      <c r="M43" s="20" t="s">
        <v>407</v>
      </c>
      <c r="N43" s="20" t="s">
        <v>24</v>
      </c>
      <c r="O43" s="20">
        <v>2</v>
      </c>
      <c r="P43" s="20">
        <v>4</v>
      </c>
      <c r="Q43" s="13">
        <v>0.55265687829531895</v>
      </c>
      <c r="R43" s="20" t="s">
        <v>249</v>
      </c>
      <c r="S43" s="20">
        <v>-0.63</v>
      </c>
      <c r="T43" s="20" t="s">
        <v>249</v>
      </c>
      <c r="U43" s="20" t="s">
        <v>27</v>
      </c>
      <c r="V43" s="20">
        <v>3</v>
      </c>
      <c r="W43" s="20">
        <v>6</v>
      </c>
      <c r="X43" s="20" t="s">
        <v>379</v>
      </c>
      <c r="Y43" s="20" t="s">
        <v>292</v>
      </c>
      <c r="Z43" s="20" t="s">
        <v>60</v>
      </c>
      <c r="AA43" s="20" t="s">
        <v>380</v>
      </c>
    </row>
    <row r="44" spans="1:27" x14ac:dyDescent="0.2">
      <c r="A44" s="20" t="s">
        <v>221</v>
      </c>
      <c r="B44" s="20" t="s">
        <v>328</v>
      </c>
      <c r="C44" s="20" t="s">
        <v>32</v>
      </c>
      <c r="D44" s="20" t="s">
        <v>14</v>
      </c>
      <c r="E44" s="20" t="s">
        <v>355</v>
      </c>
      <c r="F44" s="20" t="s">
        <v>14</v>
      </c>
      <c r="G44" s="20">
        <v>3</v>
      </c>
      <c r="H44" s="20">
        <v>4</v>
      </c>
      <c r="I44" s="13">
        <v>0.53547883597883605</v>
      </c>
      <c r="J44" s="20" t="s">
        <v>249</v>
      </c>
      <c r="K44" s="18">
        <v>0.40500000000000003</v>
      </c>
      <c r="L44" s="20" t="s">
        <v>249</v>
      </c>
      <c r="M44" s="20" t="s">
        <v>408</v>
      </c>
      <c r="N44" s="20" t="s">
        <v>14</v>
      </c>
      <c r="O44" s="20">
        <v>2</v>
      </c>
      <c r="P44" s="20">
        <v>4</v>
      </c>
      <c r="Q44" s="13">
        <v>0.62760419841259008</v>
      </c>
      <c r="R44" s="20" t="s">
        <v>249</v>
      </c>
      <c r="S44" s="20">
        <v>0.56000000000000005</v>
      </c>
      <c r="T44" s="20" t="s">
        <v>249</v>
      </c>
      <c r="U44" s="20" t="s">
        <v>32</v>
      </c>
      <c r="V44" s="20">
        <v>3</v>
      </c>
      <c r="W44" s="20">
        <v>2</v>
      </c>
      <c r="X44" s="20" t="s">
        <v>379</v>
      </c>
      <c r="Y44" s="20" t="s">
        <v>292</v>
      </c>
      <c r="Z44" s="20" t="s">
        <v>60</v>
      </c>
      <c r="AA44" s="20" t="s">
        <v>380</v>
      </c>
    </row>
    <row r="45" spans="1:27" x14ac:dyDescent="0.2">
      <c r="A45" s="20" t="s">
        <v>221</v>
      </c>
      <c r="B45" s="20" t="s">
        <v>328</v>
      </c>
      <c r="C45" s="20" t="s">
        <v>36</v>
      </c>
      <c r="D45" s="20" t="s">
        <v>33</v>
      </c>
      <c r="E45" s="20" t="s">
        <v>356</v>
      </c>
      <c r="F45" s="20" t="s">
        <v>33</v>
      </c>
      <c r="G45" s="20">
        <v>4</v>
      </c>
      <c r="H45" s="20">
        <v>5</v>
      </c>
      <c r="I45" s="13">
        <v>0.57873187202660858</v>
      </c>
      <c r="J45" s="20" t="s">
        <v>248</v>
      </c>
      <c r="K45" s="18">
        <v>0.627</v>
      </c>
      <c r="L45" s="20" t="s">
        <v>249</v>
      </c>
      <c r="M45" s="20" t="s">
        <v>409</v>
      </c>
      <c r="N45" s="20" t="s">
        <v>33</v>
      </c>
      <c r="O45" s="20">
        <v>2</v>
      </c>
      <c r="P45" s="20">
        <v>3</v>
      </c>
      <c r="Q45" s="13">
        <v>0.5625647207386173</v>
      </c>
      <c r="R45" s="20" t="s">
        <v>248</v>
      </c>
      <c r="S45" s="20">
        <v>0.16</v>
      </c>
      <c r="T45" s="20" t="s">
        <v>249</v>
      </c>
      <c r="U45" s="20" t="s">
        <v>36</v>
      </c>
      <c r="V45" s="20">
        <v>3</v>
      </c>
      <c r="W45" s="20">
        <v>2</v>
      </c>
      <c r="X45" s="20" t="s">
        <v>379</v>
      </c>
      <c r="Y45" s="20" t="s">
        <v>292</v>
      </c>
      <c r="Z45" s="20" t="s">
        <v>60</v>
      </c>
      <c r="AA45" s="20" t="s">
        <v>380</v>
      </c>
    </row>
    <row r="46" spans="1:27" x14ac:dyDescent="0.2">
      <c r="A46" s="20" t="s">
        <v>221</v>
      </c>
      <c r="B46" s="20" t="s">
        <v>326</v>
      </c>
      <c r="C46" s="20" t="s">
        <v>15</v>
      </c>
      <c r="D46" s="20" t="s">
        <v>55</v>
      </c>
      <c r="E46" s="20" t="s">
        <v>357</v>
      </c>
      <c r="F46" s="20" t="s">
        <v>55</v>
      </c>
      <c r="G46" s="20">
        <v>3</v>
      </c>
      <c r="H46" s="20">
        <v>4</v>
      </c>
      <c r="I46" s="13">
        <v>0.6337840563691628</v>
      </c>
      <c r="J46" s="20" t="s">
        <v>249</v>
      </c>
      <c r="K46" s="18">
        <v>0.313</v>
      </c>
      <c r="L46" s="20" t="s">
        <v>248</v>
      </c>
      <c r="M46" s="20" t="s">
        <v>362</v>
      </c>
      <c r="N46" s="20" t="s">
        <v>55</v>
      </c>
      <c r="O46" s="20">
        <v>2</v>
      </c>
      <c r="P46" s="20">
        <v>3</v>
      </c>
      <c r="Q46" s="13">
        <v>0.51017063196028578</v>
      </c>
      <c r="R46" s="20" t="s">
        <v>248</v>
      </c>
      <c r="S46" s="20">
        <v>0.25</v>
      </c>
      <c r="T46" s="20" t="s">
        <v>248</v>
      </c>
      <c r="U46" s="20" t="s">
        <v>55</v>
      </c>
      <c r="V46" s="20">
        <v>2</v>
      </c>
      <c r="W46" s="20">
        <v>3</v>
      </c>
      <c r="X46" s="20" t="s">
        <v>379</v>
      </c>
      <c r="Y46" s="20" t="s">
        <v>292</v>
      </c>
      <c r="Z46" s="20" t="s">
        <v>60</v>
      </c>
      <c r="AA46" s="20" t="s">
        <v>380</v>
      </c>
    </row>
    <row r="47" spans="1:27" x14ac:dyDescent="0.2">
      <c r="A47" s="20" t="s">
        <v>221</v>
      </c>
      <c r="B47" s="20" t="s">
        <v>328</v>
      </c>
      <c r="C47" s="20" t="s">
        <v>37</v>
      </c>
      <c r="D47" s="20" t="s">
        <v>22</v>
      </c>
      <c r="E47" s="20" t="s">
        <v>358</v>
      </c>
      <c r="F47" s="20" t="s">
        <v>22</v>
      </c>
      <c r="G47" s="20">
        <v>3</v>
      </c>
      <c r="H47" s="20">
        <v>4</v>
      </c>
      <c r="I47" s="13">
        <v>0.64363278171788785</v>
      </c>
      <c r="J47" s="20" t="s">
        <v>248</v>
      </c>
      <c r="K47" s="18">
        <v>0.54700000000000004</v>
      </c>
      <c r="L47" s="20" t="s">
        <v>249</v>
      </c>
      <c r="M47" s="20" t="s">
        <v>410</v>
      </c>
      <c r="N47" s="20" t="s">
        <v>22</v>
      </c>
      <c r="O47" s="20">
        <v>2</v>
      </c>
      <c r="P47" s="20">
        <v>3</v>
      </c>
      <c r="Q47" s="13">
        <v>0.5417979763641656</v>
      </c>
      <c r="R47" s="20" t="s">
        <v>249</v>
      </c>
      <c r="S47" s="20">
        <v>0.32</v>
      </c>
      <c r="T47" s="20" t="s">
        <v>249</v>
      </c>
      <c r="U47" s="20" t="s">
        <v>37</v>
      </c>
      <c r="V47" s="20">
        <v>5</v>
      </c>
      <c r="W47" s="20">
        <v>3</v>
      </c>
      <c r="X47" s="20" t="s">
        <v>379</v>
      </c>
      <c r="Y47" s="20" t="s">
        <v>292</v>
      </c>
      <c r="Z47" s="20" t="s">
        <v>60</v>
      </c>
      <c r="AA47" s="20" t="s">
        <v>380</v>
      </c>
    </row>
    <row r="48" spans="1:27" x14ac:dyDescent="0.2">
      <c r="A48" s="20" t="s">
        <v>222</v>
      </c>
      <c r="B48" s="20" t="s">
        <v>347</v>
      </c>
      <c r="C48" s="20" t="s">
        <v>25</v>
      </c>
      <c r="D48" s="20" t="s">
        <v>23</v>
      </c>
      <c r="E48" s="20" t="s">
        <v>363</v>
      </c>
      <c r="F48" s="20" t="s">
        <v>25</v>
      </c>
      <c r="G48" s="20">
        <v>4</v>
      </c>
      <c r="H48" s="20">
        <v>3</v>
      </c>
      <c r="I48" s="13">
        <v>0.746</v>
      </c>
      <c r="J48" s="20" t="s">
        <v>249</v>
      </c>
      <c r="K48" s="18">
        <v>0.33900000000000002</v>
      </c>
      <c r="L48" s="20" t="s">
        <v>249</v>
      </c>
      <c r="M48" s="20" t="s">
        <v>411</v>
      </c>
      <c r="N48" s="20" t="s">
        <v>25</v>
      </c>
      <c r="O48" s="20">
        <v>4</v>
      </c>
      <c r="P48" s="20">
        <v>2</v>
      </c>
      <c r="Q48" s="13">
        <v>0.70099999999999996</v>
      </c>
      <c r="R48" s="20" t="s">
        <v>249</v>
      </c>
      <c r="S48" s="20">
        <v>-1.1599999999999999</v>
      </c>
      <c r="T48" s="20" t="s">
        <v>249</v>
      </c>
      <c r="U48" s="20" t="s">
        <v>23</v>
      </c>
      <c r="V48" s="20">
        <v>1</v>
      </c>
      <c r="W48" s="20">
        <v>4</v>
      </c>
      <c r="X48" s="20" t="s">
        <v>379</v>
      </c>
      <c r="Y48" s="20" t="s">
        <v>292</v>
      </c>
      <c r="Z48" s="20" t="s">
        <v>359</v>
      </c>
      <c r="AA48" s="20" t="s">
        <v>380</v>
      </c>
    </row>
    <row r="49" spans="1:27" x14ac:dyDescent="0.2">
      <c r="A49" s="20" t="s">
        <v>222</v>
      </c>
      <c r="B49" s="20" t="s">
        <v>328</v>
      </c>
      <c r="C49" s="20" t="s">
        <v>12</v>
      </c>
      <c r="D49" s="20" t="s">
        <v>10</v>
      </c>
      <c r="E49" s="20" t="s">
        <v>364</v>
      </c>
      <c r="F49" s="20" t="s">
        <v>12</v>
      </c>
      <c r="G49" s="20">
        <v>5</v>
      </c>
      <c r="H49" s="20">
        <v>4</v>
      </c>
      <c r="I49" s="13">
        <v>0.65200000000000002</v>
      </c>
      <c r="J49" s="20" t="s">
        <v>248</v>
      </c>
      <c r="K49" s="18">
        <v>0.53400000000000003</v>
      </c>
      <c r="L49" s="20" t="s">
        <v>248</v>
      </c>
      <c r="M49" s="20" t="s">
        <v>361</v>
      </c>
      <c r="N49" s="20" t="s">
        <v>12</v>
      </c>
      <c r="O49" s="20">
        <v>4</v>
      </c>
      <c r="P49" s="20">
        <v>2</v>
      </c>
      <c r="Q49" s="13">
        <v>0.73299999999999998</v>
      </c>
      <c r="R49" s="20" t="s">
        <v>249</v>
      </c>
      <c r="S49" s="20">
        <v>-1.5</v>
      </c>
      <c r="T49" s="20" t="s">
        <v>248</v>
      </c>
      <c r="U49" s="20" t="s">
        <v>12</v>
      </c>
      <c r="V49" s="20">
        <v>1</v>
      </c>
      <c r="W49" s="20">
        <v>0</v>
      </c>
      <c r="X49" s="20" t="s">
        <v>379</v>
      </c>
      <c r="Y49" s="20" t="s">
        <v>292</v>
      </c>
      <c r="Z49" s="20" t="s">
        <v>359</v>
      </c>
      <c r="AA49" s="20" t="s">
        <v>380</v>
      </c>
    </row>
    <row r="50" spans="1:27" x14ac:dyDescent="0.2">
      <c r="A50" s="20" t="s">
        <v>222</v>
      </c>
      <c r="B50" s="20" t="s">
        <v>365</v>
      </c>
      <c r="C50" s="20" t="s">
        <v>32</v>
      </c>
      <c r="D50" s="20" t="s">
        <v>30</v>
      </c>
      <c r="E50" s="20" t="s">
        <v>366</v>
      </c>
      <c r="F50" s="20" t="s">
        <v>32</v>
      </c>
      <c r="G50" s="20">
        <v>5</v>
      </c>
      <c r="H50" s="20">
        <v>4</v>
      </c>
      <c r="I50" s="13">
        <v>0.57899999999999996</v>
      </c>
      <c r="J50" s="20" t="s">
        <v>249</v>
      </c>
      <c r="K50" s="18">
        <v>0.48799999999999999</v>
      </c>
      <c r="L50" s="20" t="s">
        <v>249</v>
      </c>
      <c r="M50" s="20" t="s">
        <v>412</v>
      </c>
      <c r="N50" s="20" t="s">
        <v>30</v>
      </c>
      <c r="O50" s="20">
        <v>2</v>
      </c>
      <c r="P50" s="20">
        <v>4</v>
      </c>
      <c r="Q50" s="13">
        <v>0.61299999999999999</v>
      </c>
      <c r="R50" s="20" t="s">
        <v>249</v>
      </c>
      <c r="S50" s="20">
        <v>0.56999999999999995</v>
      </c>
      <c r="T50" s="20" t="s">
        <v>248</v>
      </c>
      <c r="U50" s="20" t="s">
        <v>30</v>
      </c>
      <c r="V50" s="20">
        <v>0</v>
      </c>
      <c r="W50" s="20">
        <v>1</v>
      </c>
      <c r="X50" s="20" t="s">
        <v>379</v>
      </c>
      <c r="Y50" s="20" t="s">
        <v>292</v>
      </c>
      <c r="Z50" s="20" t="s">
        <v>359</v>
      </c>
      <c r="AA50" s="20" t="s">
        <v>380</v>
      </c>
    </row>
    <row r="51" spans="1:27" x14ac:dyDescent="0.2">
      <c r="A51" s="20" t="s">
        <v>222</v>
      </c>
      <c r="B51" s="20" t="s">
        <v>324</v>
      </c>
      <c r="C51" s="20" t="s">
        <v>21</v>
      </c>
      <c r="D51" s="20" t="s">
        <v>33</v>
      </c>
      <c r="E51" s="20" t="s">
        <v>367</v>
      </c>
      <c r="F51" s="20" t="s">
        <v>33</v>
      </c>
      <c r="G51" s="20">
        <v>3</v>
      </c>
      <c r="H51" s="20">
        <v>4</v>
      </c>
      <c r="I51" s="13">
        <v>0.51900000000000002</v>
      </c>
      <c r="J51" s="20" t="s">
        <v>249</v>
      </c>
      <c r="K51" s="18">
        <v>0.27900000000000003</v>
      </c>
      <c r="L51" s="20" t="s">
        <v>248</v>
      </c>
      <c r="M51" s="20" t="s">
        <v>309</v>
      </c>
      <c r="N51" s="20" t="s">
        <v>21</v>
      </c>
      <c r="O51" s="20">
        <v>3</v>
      </c>
      <c r="P51" s="20">
        <v>2</v>
      </c>
      <c r="Q51" s="13">
        <v>0.49399999999999999</v>
      </c>
      <c r="R51" s="20" t="s">
        <v>248</v>
      </c>
      <c r="S51" s="20">
        <v>-0.26</v>
      </c>
      <c r="T51" s="20" t="s">
        <v>249</v>
      </c>
      <c r="U51" s="20" t="s">
        <v>33</v>
      </c>
      <c r="V51" s="20">
        <v>1</v>
      </c>
      <c r="W51" s="20">
        <v>3</v>
      </c>
      <c r="X51" s="20" t="s">
        <v>379</v>
      </c>
      <c r="Y51" s="20" t="s">
        <v>292</v>
      </c>
      <c r="Z51" s="20" t="s">
        <v>359</v>
      </c>
      <c r="AA51" s="20" t="s">
        <v>380</v>
      </c>
    </row>
    <row r="52" spans="1:27" x14ac:dyDescent="0.2">
      <c r="A52" s="20" t="s">
        <v>222</v>
      </c>
      <c r="B52" s="20" t="s">
        <v>326</v>
      </c>
      <c r="C52" s="20" t="s">
        <v>16</v>
      </c>
      <c r="D52" s="20" t="s">
        <v>38</v>
      </c>
      <c r="E52" s="20" t="s">
        <v>368</v>
      </c>
      <c r="F52" s="20" t="s">
        <v>16</v>
      </c>
      <c r="G52" s="20">
        <v>4</v>
      </c>
      <c r="H52" s="20">
        <v>2</v>
      </c>
      <c r="I52" s="13">
        <v>0.53600000000000003</v>
      </c>
      <c r="J52" s="20" t="s">
        <v>249</v>
      </c>
      <c r="K52" s="18">
        <v>0.182</v>
      </c>
      <c r="L52" s="20" t="s">
        <v>248</v>
      </c>
      <c r="M52" s="20" t="s">
        <v>372</v>
      </c>
      <c r="N52" s="20" t="s">
        <v>38</v>
      </c>
      <c r="O52" s="20">
        <v>2</v>
      </c>
      <c r="P52" s="20">
        <v>3</v>
      </c>
      <c r="Q52" s="13">
        <v>0.59</v>
      </c>
      <c r="R52" s="20" t="s">
        <v>249</v>
      </c>
      <c r="S52" s="20">
        <v>0.39</v>
      </c>
      <c r="T52" s="20" t="s">
        <v>249</v>
      </c>
      <c r="U52" s="20" t="s">
        <v>16</v>
      </c>
      <c r="V52" s="20">
        <v>5</v>
      </c>
      <c r="W52" s="20">
        <v>2</v>
      </c>
      <c r="X52" s="20" t="s">
        <v>379</v>
      </c>
      <c r="Y52" s="20" t="s">
        <v>292</v>
      </c>
      <c r="Z52" s="20" t="s">
        <v>359</v>
      </c>
      <c r="AA52" s="20" t="s">
        <v>380</v>
      </c>
    </row>
    <row r="53" spans="1:27" x14ac:dyDescent="0.2">
      <c r="A53" s="20" t="s">
        <v>222</v>
      </c>
      <c r="B53" s="20" t="s">
        <v>369</v>
      </c>
      <c r="C53" s="20" t="s">
        <v>34</v>
      </c>
      <c r="D53" s="20" t="s">
        <v>40</v>
      </c>
      <c r="E53" s="20" t="s">
        <v>370</v>
      </c>
      <c r="F53" s="20" t="s">
        <v>40</v>
      </c>
      <c r="G53" s="20">
        <v>3</v>
      </c>
      <c r="H53" s="20">
        <v>4</v>
      </c>
      <c r="I53" s="13">
        <v>0.78</v>
      </c>
      <c r="J53" s="20" t="s">
        <v>249</v>
      </c>
      <c r="K53" s="18">
        <v>0.24199999999999999</v>
      </c>
      <c r="L53" s="20" t="s">
        <v>249</v>
      </c>
      <c r="M53" s="20" t="s">
        <v>413</v>
      </c>
      <c r="N53" s="20" t="s">
        <v>40</v>
      </c>
      <c r="O53" s="20">
        <v>2</v>
      </c>
      <c r="P53" s="20">
        <v>4</v>
      </c>
      <c r="Q53" s="13">
        <v>0.63400000000000001</v>
      </c>
      <c r="R53" s="20" t="s">
        <v>249</v>
      </c>
      <c r="S53" s="20">
        <v>0.53</v>
      </c>
      <c r="T53" s="20" t="s">
        <v>249</v>
      </c>
      <c r="U53" s="20" t="s">
        <v>34</v>
      </c>
      <c r="V53" s="20">
        <v>3</v>
      </c>
      <c r="W53" s="20">
        <v>0</v>
      </c>
      <c r="X53" s="20" t="s">
        <v>379</v>
      </c>
      <c r="Y53" s="20" t="s">
        <v>292</v>
      </c>
      <c r="Z53" s="20" t="s">
        <v>359</v>
      </c>
      <c r="AA53" s="20" t="s">
        <v>380</v>
      </c>
    </row>
    <row r="54" spans="1:27" x14ac:dyDescent="0.2">
      <c r="A54" s="20" t="s">
        <v>223</v>
      </c>
      <c r="B54" s="20" t="s">
        <v>326</v>
      </c>
      <c r="C54" s="20" t="s">
        <v>36</v>
      </c>
      <c r="D54" s="20" t="s">
        <v>13</v>
      </c>
      <c r="E54" s="20" t="s">
        <v>373</v>
      </c>
      <c r="F54" s="20" t="s">
        <v>36</v>
      </c>
      <c r="G54" s="20">
        <v>5</v>
      </c>
      <c r="H54" s="20">
        <v>4</v>
      </c>
      <c r="I54" s="13">
        <v>0.60899999999999999</v>
      </c>
      <c r="J54" s="20" t="s">
        <v>249</v>
      </c>
      <c r="K54" s="18">
        <v>0.40400000000000003</v>
      </c>
      <c r="L54" s="20" t="s">
        <v>249</v>
      </c>
      <c r="M54" s="20" t="s">
        <v>414</v>
      </c>
      <c r="N54" s="20" t="s">
        <v>13</v>
      </c>
      <c r="O54" s="20">
        <v>2</v>
      </c>
      <c r="P54" s="20">
        <v>3</v>
      </c>
      <c r="Q54" s="13">
        <v>0.53200000000000003</v>
      </c>
      <c r="R54" s="20" t="s">
        <v>248</v>
      </c>
      <c r="S54" s="20">
        <v>0.09</v>
      </c>
      <c r="T54" s="20" t="s">
        <v>249</v>
      </c>
      <c r="U54" s="20" t="s">
        <v>60</v>
      </c>
      <c r="V54" s="20"/>
      <c r="W54" s="20"/>
      <c r="X54" s="20" t="s">
        <v>379</v>
      </c>
      <c r="Y54" s="20" t="s">
        <v>292</v>
      </c>
      <c r="Z54" s="20" t="s">
        <v>371</v>
      </c>
      <c r="AA54" s="20" t="s">
        <v>380</v>
      </c>
    </row>
    <row r="55" spans="1:27" x14ac:dyDescent="0.2">
      <c r="A55" s="20" t="s">
        <v>223</v>
      </c>
      <c r="B55" s="20" t="s">
        <v>328</v>
      </c>
      <c r="C55" s="20" t="s">
        <v>26</v>
      </c>
      <c r="D55" s="20" t="s">
        <v>24</v>
      </c>
      <c r="E55" s="20" t="s">
        <v>374</v>
      </c>
      <c r="F55" s="20" t="s">
        <v>24</v>
      </c>
      <c r="G55" s="20">
        <v>3</v>
      </c>
      <c r="H55" s="20">
        <v>4</v>
      </c>
      <c r="I55" s="13">
        <v>0.77800000000000002</v>
      </c>
      <c r="J55" s="20" t="s">
        <v>249</v>
      </c>
      <c r="K55" s="18">
        <v>0.39800000000000002</v>
      </c>
      <c r="L55" s="20" t="s">
        <v>249</v>
      </c>
      <c r="M55" s="20" t="s">
        <v>415</v>
      </c>
      <c r="N55" s="20" t="s">
        <v>24</v>
      </c>
      <c r="O55" s="20">
        <v>2</v>
      </c>
      <c r="P55" s="20">
        <v>4</v>
      </c>
      <c r="Q55" s="13">
        <v>0.71599999999999997</v>
      </c>
      <c r="R55" s="20" t="s">
        <v>249</v>
      </c>
      <c r="S55" s="20">
        <v>0.78</v>
      </c>
      <c r="T55" s="20" t="s">
        <v>249</v>
      </c>
      <c r="U55" s="20" t="s">
        <v>60</v>
      </c>
      <c r="V55" s="20"/>
      <c r="W55" s="20"/>
      <c r="X55" s="20" t="s">
        <v>379</v>
      </c>
      <c r="Y55" s="20" t="s">
        <v>292</v>
      </c>
      <c r="Z55" s="20" t="s">
        <v>371</v>
      </c>
      <c r="AA55" s="20" t="s">
        <v>380</v>
      </c>
    </row>
    <row r="56" spans="1:27" x14ac:dyDescent="0.2">
      <c r="A56" s="20" t="s">
        <v>223</v>
      </c>
      <c r="B56" s="20" t="s">
        <v>324</v>
      </c>
      <c r="C56" s="20" t="s">
        <v>11</v>
      </c>
      <c r="D56" s="20" t="s">
        <v>29</v>
      </c>
      <c r="E56" s="20" t="s">
        <v>375</v>
      </c>
      <c r="F56" s="20" t="s">
        <v>11</v>
      </c>
      <c r="G56" s="20">
        <v>5</v>
      </c>
      <c r="H56" s="20">
        <v>4</v>
      </c>
      <c r="I56" s="13">
        <v>0.50600000000000001</v>
      </c>
      <c r="J56" s="20" t="s">
        <v>249</v>
      </c>
      <c r="K56" s="18">
        <v>0.22700000000000001</v>
      </c>
      <c r="L56" s="20" t="s">
        <v>249</v>
      </c>
      <c r="M56" s="20" t="s">
        <v>416</v>
      </c>
      <c r="N56" s="20" t="s">
        <v>11</v>
      </c>
      <c r="O56" s="20">
        <v>4</v>
      </c>
      <c r="P56" s="20">
        <v>2</v>
      </c>
      <c r="Q56" s="13">
        <v>0.59099999999999997</v>
      </c>
      <c r="R56" s="20" t="s">
        <v>249</v>
      </c>
      <c r="S56" s="20">
        <v>-0.98</v>
      </c>
      <c r="T56" s="20" t="s">
        <v>249</v>
      </c>
      <c r="U56" s="20" t="s">
        <v>60</v>
      </c>
      <c r="V56" s="20"/>
      <c r="W56" s="20"/>
      <c r="X56" s="20" t="s">
        <v>379</v>
      </c>
      <c r="Y56" s="20" t="s">
        <v>292</v>
      </c>
      <c r="Z56" s="20" t="s">
        <v>371</v>
      </c>
      <c r="AA56" s="20" t="s">
        <v>380</v>
      </c>
    </row>
    <row r="57" spans="1:27" x14ac:dyDescent="0.2">
      <c r="A57" s="20" t="s">
        <v>223</v>
      </c>
      <c r="B57" s="20" t="s">
        <v>328</v>
      </c>
      <c r="C57" s="20" t="s">
        <v>35</v>
      </c>
      <c r="D57" s="20" t="s">
        <v>15</v>
      </c>
      <c r="E57" s="20" t="s">
        <v>376</v>
      </c>
      <c r="F57" s="20" t="s">
        <v>15</v>
      </c>
      <c r="G57" s="20">
        <v>3</v>
      </c>
      <c r="H57" s="20">
        <v>4</v>
      </c>
      <c r="I57" s="13">
        <v>0.63800000000000001</v>
      </c>
      <c r="J57" s="20" t="s">
        <v>249</v>
      </c>
      <c r="K57" s="18">
        <v>0.35499999999999998</v>
      </c>
      <c r="L57" s="20" t="s">
        <v>249</v>
      </c>
      <c r="M57" s="20" t="s">
        <v>417</v>
      </c>
      <c r="N57" s="20" t="s">
        <v>15</v>
      </c>
      <c r="O57" s="20">
        <v>2</v>
      </c>
      <c r="P57" s="20">
        <v>4</v>
      </c>
      <c r="Q57" s="13">
        <v>0.7</v>
      </c>
      <c r="R57" s="20" t="s">
        <v>249</v>
      </c>
      <c r="S57" s="20">
        <v>1.2</v>
      </c>
      <c r="T57" s="20" t="s">
        <v>249</v>
      </c>
      <c r="U57" s="20" t="s">
        <v>60</v>
      </c>
      <c r="V57" s="20"/>
      <c r="W57" s="20"/>
      <c r="X57" s="20" t="s">
        <v>379</v>
      </c>
      <c r="Y57" s="20" t="s">
        <v>292</v>
      </c>
      <c r="Z57" s="20" t="s">
        <v>371</v>
      </c>
      <c r="AA57" s="20" t="s">
        <v>380</v>
      </c>
    </row>
    <row r="58" spans="1:27" x14ac:dyDescent="0.2">
      <c r="A58" s="20" t="s">
        <v>223</v>
      </c>
      <c r="B58" s="20" t="s">
        <v>328</v>
      </c>
      <c r="C58" s="20" t="s">
        <v>27</v>
      </c>
      <c r="D58" s="20" t="s">
        <v>37</v>
      </c>
      <c r="E58" s="20" t="s">
        <v>377</v>
      </c>
      <c r="F58" s="20" t="s">
        <v>37</v>
      </c>
      <c r="G58" s="20">
        <v>2</v>
      </c>
      <c r="H58" s="20">
        <v>3</v>
      </c>
      <c r="I58" s="13">
        <v>0.71899999999999997</v>
      </c>
      <c r="J58" s="20" t="s">
        <v>248</v>
      </c>
      <c r="K58" s="18">
        <v>0.501</v>
      </c>
      <c r="L58" s="20" t="s">
        <v>249</v>
      </c>
      <c r="M58" s="20" t="s">
        <v>418</v>
      </c>
      <c r="N58" s="20" t="s">
        <v>37</v>
      </c>
      <c r="O58" s="20">
        <v>2</v>
      </c>
      <c r="P58" s="20">
        <v>4</v>
      </c>
      <c r="Q58" s="13">
        <v>0.627</v>
      </c>
      <c r="R58" s="20" t="s">
        <v>249</v>
      </c>
      <c r="S58" s="20">
        <v>0.63</v>
      </c>
      <c r="T58" s="20" t="s">
        <v>249</v>
      </c>
      <c r="U58" s="20" t="s">
        <v>60</v>
      </c>
      <c r="V58" s="20"/>
      <c r="W58" s="20"/>
      <c r="X58" s="20" t="s">
        <v>379</v>
      </c>
      <c r="Y58" s="20" t="s">
        <v>292</v>
      </c>
      <c r="Z58" s="20" t="s">
        <v>371</v>
      </c>
      <c r="AA58" s="20" t="s">
        <v>380</v>
      </c>
    </row>
    <row r="59" spans="1:27" x14ac:dyDescent="0.2">
      <c r="A59" s="20" t="s">
        <v>223</v>
      </c>
      <c r="B59" s="20" t="s">
        <v>326</v>
      </c>
      <c r="C59" s="20" t="s">
        <v>20</v>
      </c>
      <c r="D59" s="20" t="s">
        <v>55</v>
      </c>
      <c r="E59" s="20" t="s">
        <v>337</v>
      </c>
      <c r="F59" s="20" t="s">
        <v>55</v>
      </c>
      <c r="G59" s="20">
        <v>3</v>
      </c>
      <c r="H59" s="20">
        <v>4</v>
      </c>
      <c r="I59" s="13">
        <v>0.754</v>
      </c>
      <c r="J59" s="20" t="s">
        <v>249</v>
      </c>
      <c r="K59" s="18">
        <v>0.438</v>
      </c>
      <c r="L59" s="20" t="s">
        <v>249</v>
      </c>
      <c r="M59" s="20" t="s">
        <v>419</v>
      </c>
      <c r="N59" s="20" t="s">
        <v>20</v>
      </c>
      <c r="O59" s="20">
        <v>3</v>
      </c>
      <c r="P59" s="20">
        <v>2</v>
      </c>
      <c r="Q59" s="13">
        <v>0.46800000000000003</v>
      </c>
      <c r="R59" s="20" t="s">
        <v>248</v>
      </c>
      <c r="S59" s="20">
        <v>-0.28999999999999998</v>
      </c>
      <c r="T59" s="20" t="s">
        <v>249</v>
      </c>
      <c r="U59" s="20" t="s">
        <v>60</v>
      </c>
      <c r="V59" s="20"/>
      <c r="W59" s="20"/>
      <c r="X59" s="20" t="s">
        <v>379</v>
      </c>
      <c r="Y59" s="20" t="s">
        <v>292</v>
      </c>
      <c r="Z59" s="20" t="s">
        <v>371</v>
      </c>
      <c r="AA59" s="20" t="s">
        <v>380</v>
      </c>
    </row>
    <row r="60" spans="1:27" x14ac:dyDescent="0.2">
      <c r="A60" s="20" t="s">
        <v>223</v>
      </c>
      <c r="B60" s="20" t="s">
        <v>328</v>
      </c>
      <c r="C60" s="20" t="s">
        <v>28</v>
      </c>
      <c r="D60" s="20" t="s">
        <v>22</v>
      </c>
      <c r="E60" s="20" t="s">
        <v>378</v>
      </c>
      <c r="F60" s="20" t="s">
        <v>22</v>
      </c>
      <c r="G60" s="20">
        <v>3</v>
      </c>
      <c r="H60" s="20">
        <v>4</v>
      </c>
      <c r="I60" s="13">
        <v>0.59399999999999997</v>
      </c>
      <c r="J60" s="20" t="s">
        <v>249</v>
      </c>
      <c r="K60" s="18">
        <v>0.48699999999999999</v>
      </c>
      <c r="L60" s="20" t="s">
        <v>249</v>
      </c>
      <c r="M60" s="20" t="s">
        <v>420</v>
      </c>
      <c r="N60" s="20" t="s">
        <v>22</v>
      </c>
      <c r="O60" s="20">
        <v>2</v>
      </c>
      <c r="P60" s="20">
        <v>4</v>
      </c>
      <c r="Q60" s="13">
        <v>0.64500000000000002</v>
      </c>
      <c r="R60" s="20" t="s">
        <v>249</v>
      </c>
      <c r="S60" s="20">
        <v>0.8</v>
      </c>
      <c r="T60" s="20" t="s">
        <v>249</v>
      </c>
      <c r="U60" s="20" t="s">
        <v>60</v>
      </c>
      <c r="V60" s="20"/>
      <c r="W60" s="20"/>
      <c r="X60" s="20" t="s">
        <v>379</v>
      </c>
      <c r="Y60" s="20" t="s">
        <v>292</v>
      </c>
      <c r="Z60" s="20" t="s">
        <v>371</v>
      </c>
      <c r="AA60" s="20" t="s">
        <v>380</v>
      </c>
    </row>
    <row r="61" spans="1:27" x14ac:dyDescent="0.2">
      <c r="A61" s="20" t="s">
        <v>225</v>
      </c>
      <c r="B61" s="20" t="s">
        <v>322</v>
      </c>
      <c r="C61" s="20" t="s">
        <v>38</v>
      </c>
      <c r="D61" s="20" t="s">
        <v>31</v>
      </c>
      <c r="E61" s="20" t="s">
        <v>422</v>
      </c>
      <c r="F61" s="20" t="s">
        <v>31</v>
      </c>
      <c r="G61" s="20">
        <v>3</v>
      </c>
      <c r="H61" s="20">
        <v>5</v>
      </c>
      <c r="I61" s="13">
        <v>0.73499999999999999</v>
      </c>
      <c r="J61" s="20" t="s">
        <v>249</v>
      </c>
      <c r="K61" s="18">
        <v>0.44500000000000001</v>
      </c>
      <c r="L61" s="20" t="s">
        <v>60</v>
      </c>
      <c r="M61" s="20" t="s">
        <v>60</v>
      </c>
      <c r="N61" s="20" t="s">
        <v>31</v>
      </c>
      <c r="O61" s="20">
        <v>2</v>
      </c>
      <c r="P61" s="20">
        <v>5</v>
      </c>
      <c r="Q61" s="13">
        <v>0.84299999999999997</v>
      </c>
      <c r="R61" s="20" t="s">
        <v>249</v>
      </c>
      <c r="S61" s="20">
        <v>1.64</v>
      </c>
      <c r="T61" s="20" t="s">
        <v>60</v>
      </c>
      <c r="U61" s="20" t="s">
        <v>60</v>
      </c>
      <c r="V61" s="20"/>
      <c r="W61" s="20"/>
      <c r="X61" s="20" t="s">
        <v>60</v>
      </c>
      <c r="Y61" s="20" t="s">
        <v>421</v>
      </c>
      <c r="Z61" s="20" t="s">
        <v>439</v>
      </c>
      <c r="AA61" s="20" t="s">
        <v>60</v>
      </c>
    </row>
    <row r="62" spans="1:27" x14ac:dyDescent="0.2">
      <c r="A62" s="20" t="s">
        <v>225</v>
      </c>
      <c r="B62" s="20" t="s">
        <v>328</v>
      </c>
      <c r="C62" s="20" t="s">
        <v>15</v>
      </c>
      <c r="D62" s="20" t="s">
        <v>25</v>
      </c>
      <c r="E62" s="20" t="s">
        <v>423</v>
      </c>
      <c r="F62" s="20" t="s">
        <v>15</v>
      </c>
      <c r="G62" s="20">
        <v>5</v>
      </c>
      <c r="H62" s="20">
        <v>4</v>
      </c>
      <c r="I62" s="13">
        <v>0.54400000000000004</v>
      </c>
      <c r="J62" s="20" t="s">
        <v>249</v>
      </c>
      <c r="K62" s="18">
        <v>0.38300000000000001</v>
      </c>
      <c r="L62" s="20" t="s">
        <v>60</v>
      </c>
      <c r="M62" s="20" t="s">
        <v>60</v>
      </c>
      <c r="N62" s="20" t="s">
        <v>25</v>
      </c>
      <c r="O62" s="20">
        <v>2</v>
      </c>
      <c r="P62" s="20">
        <v>4</v>
      </c>
      <c r="Q62" s="13">
        <v>0.66</v>
      </c>
      <c r="R62" s="20" t="s">
        <v>249</v>
      </c>
      <c r="S62" s="20">
        <v>1.0900000000000001</v>
      </c>
      <c r="T62" s="20" t="s">
        <v>60</v>
      </c>
      <c r="U62" s="20" t="s">
        <v>60</v>
      </c>
      <c r="V62" s="20"/>
      <c r="W62" s="20"/>
      <c r="X62" s="20" t="s">
        <v>60</v>
      </c>
      <c r="Y62" s="20" t="s">
        <v>421</v>
      </c>
      <c r="Z62" s="20" t="s">
        <v>439</v>
      </c>
      <c r="AA62" s="20" t="s">
        <v>60</v>
      </c>
    </row>
    <row r="63" spans="1:27" x14ac:dyDescent="0.2">
      <c r="A63" s="20" t="s">
        <v>225</v>
      </c>
      <c r="B63" s="20" t="s">
        <v>328</v>
      </c>
      <c r="C63" s="20" t="s">
        <v>19</v>
      </c>
      <c r="D63" s="20" t="s">
        <v>28</v>
      </c>
      <c r="E63" s="20" t="s">
        <v>424</v>
      </c>
      <c r="F63" s="20" t="s">
        <v>28</v>
      </c>
      <c r="G63" s="20">
        <v>4</v>
      </c>
      <c r="H63" s="20">
        <v>5</v>
      </c>
      <c r="I63" s="13">
        <v>0.81299999999999994</v>
      </c>
      <c r="J63" s="20" t="s">
        <v>249</v>
      </c>
      <c r="K63" s="18">
        <v>0.442</v>
      </c>
      <c r="L63" s="20" t="s">
        <v>60</v>
      </c>
      <c r="M63" s="20" t="s">
        <v>60</v>
      </c>
      <c r="N63" s="20" t="s">
        <v>28</v>
      </c>
      <c r="O63" s="20">
        <v>2</v>
      </c>
      <c r="P63" s="20">
        <v>3</v>
      </c>
      <c r="Q63" s="13">
        <v>0.60199999999999998</v>
      </c>
      <c r="R63" s="20" t="s">
        <v>249</v>
      </c>
      <c r="S63" s="20">
        <v>0.4</v>
      </c>
      <c r="T63" s="20" t="s">
        <v>60</v>
      </c>
      <c r="U63" s="20" t="s">
        <v>60</v>
      </c>
      <c r="V63" s="20"/>
      <c r="W63" s="20"/>
      <c r="X63" s="20" t="s">
        <v>60</v>
      </c>
      <c r="Y63" s="20" t="s">
        <v>421</v>
      </c>
      <c r="Z63" s="20" t="s">
        <v>439</v>
      </c>
      <c r="AA63" s="20" t="s">
        <v>60</v>
      </c>
    </row>
    <row r="64" spans="1:27" x14ac:dyDescent="0.2">
      <c r="A64" s="20" t="s">
        <v>225</v>
      </c>
      <c r="B64" s="20" t="s">
        <v>425</v>
      </c>
      <c r="C64" s="20" t="s">
        <v>34</v>
      </c>
      <c r="D64" s="20" t="s">
        <v>10</v>
      </c>
      <c r="E64" s="20" t="s">
        <v>426</v>
      </c>
      <c r="F64" s="20" t="s">
        <v>34</v>
      </c>
      <c r="G64" s="20">
        <v>4</v>
      </c>
      <c r="H64" s="20">
        <v>3</v>
      </c>
      <c r="I64" s="13">
        <v>0.57699999999999996</v>
      </c>
      <c r="J64" s="20" t="s">
        <v>249</v>
      </c>
      <c r="K64" s="18">
        <v>0.313</v>
      </c>
      <c r="L64" s="20" t="s">
        <v>60</v>
      </c>
      <c r="M64" s="20" t="s">
        <v>60</v>
      </c>
      <c r="N64" s="20" t="s">
        <v>10</v>
      </c>
      <c r="O64" s="20">
        <v>2</v>
      </c>
      <c r="P64" s="20">
        <v>3</v>
      </c>
      <c r="Q64" s="13">
        <v>0.54800000000000004</v>
      </c>
      <c r="R64" s="20" t="s">
        <v>248</v>
      </c>
      <c r="S64" s="20">
        <v>0.2</v>
      </c>
      <c r="T64" s="20" t="s">
        <v>60</v>
      </c>
      <c r="U64" s="20" t="s">
        <v>60</v>
      </c>
      <c r="V64" s="20"/>
      <c r="W64" s="20"/>
      <c r="X64" s="20" t="s">
        <v>60</v>
      </c>
      <c r="Y64" s="20" t="s">
        <v>421</v>
      </c>
      <c r="Z64" s="20" t="s">
        <v>439</v>
      </c>
      <c r="AA64" s="20" t="s">
        <v>60</v>
      </c>
    </row>
    <row r="65" spans="1:27" x14ac:dyDescent="0.2">
      <c r="A65" s="20" t="s">
        <v>225</v>
      </c>
      <c r="B65" s="20" t="s">
        <v>326</v>
      </c>
      <c r="C65" s="20" t="s">
        <v>33</v>
      </c>
      <c r="D65" s="20" t="s">
        <v>12</v>
      </c>
      <c r="E65" s="20" t="s">
        <v>427</v>
      </c>
      <c r="F65" s="20" t="s">
        <v>12</v>
      </c>
      <c r="G65" s="20">
        <v>2</v>
      </c>
      <c r="H65" s="20">
        <v>4</v>
      </c>
      <c r="I65" s="13">
        <v>0.84299999999999997</v>
      </c>
      <c r="J65" s="20" t="s">
        <v>249</v>
      </c>
      <c r="K65" s="18">
        <v>0.34399999999999997</v>
      </c>
      <c r="L65" s="20" t="s">
        <v>60</v>
      </c>
      <c r="M65" s="20" t="s">
        <v>60</v>
      </c>
      <c r="N65" s="20" t="s">
        <v>12</v>
      </c>
      <c r="O65" s="20">
        <v>2</v>
      </c>
      <c r="P65" s="20">
        <v>5</v>
      </c>
      <c r="Q65" s="13">
        <v>0.90800000000000003</v>
      </c>
      <c r="R65" s="20" t="s">
        <v>249</v>
      </c>
      <c r="S65" s="20">
        <v>1.97</v>
      </c>
      <c r="T65" s="20" t="s">
        <v>60</v>
      </c>
      <c r="U65" s="20" t="s">
        <v>60</v>
      </c>
      <c r="V65" s="20"/>
      <c r="W65" s="20"/>
      <c r="X65" s="20" t="s">
        <v>60</v>
      </c>
      <c r="Y65" s="20" t="s">
        <v>421</v>
      </c>
      <c r="Z65" s="20" t="s">
        <v>439</v>
      </c>
      <c r="AA65" s="20" t="s">
        <v>60</v>
      </c>
    </row>
    <row r="66" spans="1:27" x14ac:dyDescent="0.2">
      <c r="A66" s="20" t="s">
        <v>225</v>
      </c>
      <c r="B66" s="20" t="s">
        <v>328</v>
      </c>
      <c r="C66" s="20" t="s">
        <v>29</v>
      </c>
      <c r="D66" s="20" t="s">
        <v>26</v>
      </c>
      <c r="E66" s="20" t="s">
        <v>428</v>
      </c>
      <c r="F66" s="20" t="s">
        <v>26</v>
      </c>
      <c r="G66" s="20">
        <v>3</v>
      </c>
      <c r="H66" s="20">
        <v>4</v>
      </c>
      <c r="I66" s="13">
        <v>0.89500000000000002</v>
      </c>
      <c r="J66" s="20" t="s">
        <v>249</v>
      </c>
      <c r="K66" s="18">
        <v>0.44</v>
      </c>
      <c r="L66" s="20" t="s">
        <v>60</v>
      </c>
      <c r="M66" s="20" t="s">
        <v>60</v>
      </c>
      <c r="N66" s="20" t="s">
        <v>26</v>
      </c>
      <c r="O66" s="20">
        <v>2</v>
      </c>
      <c r="P66" s="20">
        <v>4</v>
      </c>
      <c r="Q66" s="13">
        <v>0.73499999999999999</v>
      </c>
      <c r="R66" s="20" t="s">
        <v>249</v>
      </c>
      <c r="S66" s="20">
        <v>1.17</v>
      </c>
      <c r="T66" s="20" t="s">
        <v>60</v>
      </c>
      <c r="U66" s="20" t="s">
        <v>60</v>
      </c>
      <c r="V66" s="20"/>
      <c r="W66" s="20"/>
      <c r="X66" s="20" t="s">
        <v>60</v>
      </c>
      <c r="Y66" s="20" t="s">
        <v>421</v>
      </c>
      <c r="Z66" s="20" t="s">
        <v>439</v>
      </c>
      <c r="AA66" s="20" t="s">
        <v>60</v>
      </c>
    </row>
    <row r="67" spans="1:27" x14ac:dyDescent="0.2">
      <c r="A67" s="20" t="s">
        <v>225</v>
      </c>
      <c r="B67" s="20" t="s">
        <v>328</v>
      </c>
      <c r="C67" s="20" t="s">
        <v>27</v>
      </c>
      <c r="D67" s="20" t="s">
        <v>11</v>
      </c>
      <c r="E67" s="20" t="s">
        <v>429</v>
      </c>
      <c r="F67" s="20" t="s">
        <v>11</v>
      </c>
      <c r="G67" s="20">
        <v>3</v>
      </c>
      <c r="H67" s="20">
        <v>4</v>
      </c>
      <c r="I67" s="13">
        <v>0.78400000000000003</v>
      </c>
      <c r="J67" s="20" t="s">
        <v>248</v>
      </c>
      <c r="K67" s="18">
        <v>0.67900000000000005</v>
      </c>
      <c r="L67" s="20" t="s">
        <v>60</v>
      </c>
      <c r="M67" s="20" t="s">
        <v>60</v>
      </c>
      <c r="N67" s="20" t="s">
        <v>11</v>
      </c>
      <c r="O67" s="20">
        <v>2</v>
      </c>
      <c r="P67" s="20">
        <v>3</v>
      </c>
      <c r="Q67" s="13">
        <v>0.66</v>
      </c>
      <c r="R67" s="20" t="s">
        <v>249</v>
      </c>
      <c r="S67" s="20">
        <v>0.49</v>
      </c>
      <c r="T67" s="20" t="s">
        <v>60</v>
      </c>
      <c r="U67" s="20" t="s">
        <v>60</v>
      </c>
      <c r="V67" s="20"/>
      <c r="W67" s="20"/>
      <c r="X67" s="20" t="s">
        <v>60</v>
      </c>
      <c r="Y67" s="20" t="s">
        <v>421</v>
      </c>
      <c r="Z67" s="20" t="s">
        <v>439</v>
      </c>
      <c r="AA67" s="20" t="s">
        <v>60</v>
      </c>
    </row>
    <row r="68" spans="1:27" x14ac:dyDescent="0.2">
      <c r="A68" s="20" t="s">
        <v>225</v>
      </c>
      <c r="B68" s="20" t="s">
        <v>328</v>
      </c>
      <c r="C68" s="20" t="s">
        <v>35</v>
      </c>
      <c r="D68" s="20" t="s">
        <v>24</v>
      </c>
      <c r="E68" s="20" t="s">
        <v>430</v>
      </c>
      <c r="F68" s="20" t="s">
        <v>24</v>
      </c>
      <c r="G68" s="20">
        <v>3</v>
      </c>
      <c r="H68" s="20">
        <v>4</v>
      </c>
      <c r="I68" s="13">
        <v>0.872</v>
      </c>
      <c r="J68" s="20" t="s">
        <v>249</v>
      </c>
      <c r="K68" s="18">
        <v>0.25900000000000001</v>
      </c>
      <c r="L68" s="20" t="s">
        <v>60</v>
      </c>
      <c r="M68" s="20" t="s">
        <v>60</v>
      </c>
      <c r="N68" s="20" t="s">
        <v>24</v>
      </c>
      <c r="O68" s="20">
        <v>2</v>
      </c>
      <c r="P68" s="20">
        <v>5</v>
      </c>
      <c r="Q68" s="13">
        <v>0.90100000000000002</v>
      </c>
      <c r="R68" s="20" t="s">
        <v>249</v>
      </c>
      <c r="S68" s="20">
        <v>1.74</v>
      </c>
      <c r="T68" s="20" t="s">
        <v>60</v>
      </c>
      <c r="U68" s="20" t="s">
        <v>60</v>
      </c>
      <c r="V68" s="20"/>
      <c r="W68" s="20"/>
      <c r="X68" s="20" t="s">
        <v>60</v>
      </c>
      <c r="Y68" s="20" t="s">
        <v>421</v>
      </c>
      <c r="Z68" s="20" t="s">
        <v>439</v>
      </c>
      <c r="AA68" s="20" t="s">
        <v>60</v>
      </c>
    </row>
    <row r="69" spans="1:27" x14ac:dyDescent="0.2">
      <c r="A69" s="20" t="s">
        <v>225</v>
      </c>
      <c r="B69" s="20" t="s">
        <v>328</v>
      </c>
      <c r="C69" s="20" t="s">
        <v>21</v>
      </c>
      <c r="D69" s="20" t="s">
        <v>30</v>
      </c>
      <c r="E69" s="20" t="s">
        <v>431</v>
      </c>
      <c r="F69" s="20" t="s">
        <v>30</v>
      </c>
      <c r="G69" s="20">
        <v>2</v>
      </c>
      <c r="H69" s="20">
        <v>5</v>
      </c>
      <c r="I69" s="13">
        <v>0.85799999999999998</v>
      </c>
      <c r="J69" s="20" t="s">
        <v>249</v>
      </c>
      <c r="K69" s="18">
        <v>0.38900000000000001</v>
      </c>
      <c r="L69" s="20" t="s">
        <v>60</v>
      </c>
      <c r="M69" s="20" t="s">
        <v>60</v>
      </c>
      <c r="N69" s="20" t="s">
        <v>30</v>
      </c>
      <c r="O69" s="20">
        <v>2</v>
      </c>
      <c r="P69" s="20">
        <v>3</v>
      </c>
      <c r="Q69" s="13">
        <v>0.57999999999999996</v>
      </c>
      <c r="R69" s="20" t="s">
        <v>248</v>
      </c>
      <c r="S69" s="20">
        <v>0.28999999999999998</v>
      </c>
      <c r="T69" s="20" t="s">
        <v>60</v>
      </c>
      <c r="U69" s="20" t="s">
        <v>60</v>
      </c>
      <c r="V69" s="20"/>
      <c r="W69" s="20"/>
      <c r="X69" s="20" t="s">
        <v>60</v>
      </c>
      <c r="Y69" s="20" t="s">
        <v>421</v>
      </c>
      <c r="Z69" s="20" t="s">
        <v>439</v>
      </c>
      <c r="AA69" s="20" t="s">
        <v>60</v>
      </c>
    </row>
    <row r="70" spans="1:27" x14ac:dyDescent="0.2">
      <c r="A70" s="20" t="s">
        <v>225</v>
      </c>
      <c r="B70" s="20" t="s">
        <v>328</v>
      </c>
      <c r="C70" s="20" t="s">
        <v>23</v>
      </c>
      <c r="D70" s="20" t="s">
        <v>14</v>
      </c>
      <c r="E70" s="20" t="s">
        <v>432</v>
      </c>
      <c r="F70" s="20" t="s">
        <v>14</v>
      </c>
      <c r="G70" s="20">
        <v>3</v>
      </c>
      <c r="H70" s="20">
        <v>4</v>
      </c>
      <c r="I70" s="13">
        <v>0.76300000000000001</v>
      </c>
      <c r="J70" s="20" t="s">
        <v>249</v>
      </c>
      <c r="K70" s="18">
        <v>0.495</v>
      </c>
      <c r="L70" s="20" t="s">
        <v>60</v>
      </c>
      <c r="M70" s="20" t="s">
        <v>60</v>
      </c>
      <c r="N70" s="20" t="s">
        <v>14</v>
      </c>
      <c r="O70" s="20">
        <v>2</v>
      </c>
      <c r="P70" s="20">
        <v>3</v>
      </c>
      <c r="Q70" s="13">
        <v>0.60099999999999998</v>
      </c>
      <c r="R70" s="20" t="s">
        <v>249</v>
      </c>
      <c r="S70" s="20">
        <v>0.44</v>
      </c>
      <c r="T70" s="20" t="s">
        <v>60</v>
      </c>
      <c r="U70" s="20" t="s">
        <v>60</v>
      </c>
      <c r="V70" s="20"/>
      <c r="W70" s="20"/>
      <c r="X70" s="20" t="s">
        <v>60</v>
      </c>
      <c r="Y70" s="20" t="s">
        <v>421</v>
      </c>
      <c r="Z70" s="20" t="s">
        <v>439</v>
      </c>
      <c r="AA70" s="20" t="s">
        <v>60</v>
      </c>
    </row>
    <row r="71" spans="1:27" x14ac:dyDescent="0.2">
      <c r="A71" s="20" t="s">
        <v>225</v>
      </c>
      <c r="B71" s="20" t="s">
        <v>322</v>
      </c>
      <c r="C71" s="20" t="s">
        <v>39</v>
      </c>
      <c r="D71" s="20" t="s">
        <v>32</v>
      </c>
      <c r="E71" s="20" t="s">
        <v>433</v>
      </c>
      <c r="F71" s="20" t="s">
        <v>32</v>
      </c>
      <c r="G71" s="20">
        <v>4</v>
      </c>
      <c r="H71" s="20">
        <v>5</v>
      </c>
      <c r="I71" s="13">
        <v>0.60299999999999998</v>
      </c>
      <c r="J71" s="20" t="s">
        <v>249</v>
      </c>
      <c r="K71" s="18">
        <v>0.44900000000000001</v>
      </c>
      <c r="L71" s="20" t="s">
        <v>60</v>
      </c>
      <c r="M71" s="20" t="s">
        <v>60</v>
      </c>
      <c r="N71" s="20" t="s">
        <v>39</v>
      </c>
      <c r="O71" s="20">
        <v>3</v>
      </c>
      <c r="P71" s="20">
        <v>2</v>
      </c>
      <c r="Q71" s="13">
        <v>0.56799999999999995</v>
      </c>
      <c r="R71" s="20" t="s">
        <v>249</v>
      </c>
      <c r="S71" s="20">
        <v>-0.3</v>
      </c>
      <c r="T71" s="20" t="s">
        <v>60</v>
      </c>
      <c r="U71" s="20" t="s">
        <v>60</v>
      </c>
      <c r="V71" s="20"/>
      <c r="W71" s="20"/>
      <c r="X71" s="20" t="s">
        <v>60</v>
      </c>
      <c r="Y71" s="20" t="s">
        <v>421</v>
      </c>
      <c r="Z71" s="20" t="s">
        <v>439</v>
      </c>
      <c r="AA71" s="20" t="s">
        <v>60</v>
      </c>
    </row>
    <row r="72" spans="1:27" x14ac:dyDescent="0.2">
      <c r="A72" s="20" t="s">
        <v>225</v>
      </c>
      <c r="B72" s="20" t="s">
        <v>328</v>
      </c>
      <c r="C72" s="20" t="s">
        <v>16</v>
      </c>
      <c r="D72" s="20" t="s">
        <v>37</v>
      </c>
      <c r="E72" s="20" t="s">
        <v>434</v>
      </c>
      <c r="F72" s="20" t="s">
        <v>37</v>
      </c>
      <c r="G72" s="20">
        <v>2</v>
      </c>
      <c r="H72" s="20">
        <v>3</v>
      </c>
      <c r="I72" s="13">
        <v>0.86699999999999999</v>
      </c>
      <c r="J72" s="20" t="s">
        <v>248</v>
      </c>
      <c r="K72" s="18">
        <v>0.72199999999999998</v>
      </c>
      <c r="L72" s="20" t="s">
        <v>60</v>
      </c>
      <c r="M72" s="20" t="s">
        <v>60</v>
      </c>
      <c r="N72" s="20" t="s">
        <v>37</v>
      </c>
      <c r="O72" s="20">
        <v>2</v>
      </c>
      <c r="P72" s="20">
        <v>4</v>
      </c>
      <c r="Q72" s="13">
        <v>0.76200000000000001</v>
      </c>
      <c r="R72" s="20" t="s">
        <v>249</v>
      </c>
      <c r="S72" s="20">
        <v>1.46</v>
      </c>
      <c r="T72" s="20" t="s">
        <v>60</v>
      </c>
      <c r="U72" s="20" t="s">
        <v>60</v>
      </c>
      <c r="V72" s="20"/>
      <c r="W72" s="20"/>
      <c r="X72" s="20" t="s">
        <v>60</v>
      </c>
      <c r="Y72" s="20" t="s">
        <v>421</v>
      </c>
      <c r="Z72" s="20" t="s">
        <v>439</v>
      </c>
      <c r="AA72" s="20" t="s">
        <v>60</v>
      </c>
    </row>
    <row r="73" spans="1:27" x14ac:dyDescent="0.2">
      <c r="A73" s="20" t="s">
        <v>225</v>
      </c>
      <c r="B73" s="20" t="s">
        <v>435</v>
      </c>
      <c r="C73" s="20" t="s">
        <v>18</v>
      </c>
      <c r="D73" s="20" t="s">
        <v>55</v>
      </c>
      <c r="E73" s="20" t="s">
        <v>436</v>
      </c>
      <c r="F73" s="20" t="s">
        <v>55</v>
      </c>
      <c r="G73" s="20">
        <v>3</v>
      </c>
      <c r="H73" s="20">
        <v>4</v>
      </c>
      <c r="I73" s="13">
        <v>0.81100000000000005</v>
      </c>
      <c r="J73" s="20" t="s">
        <v>249</v>
      </c>
      <c r="K73" s="18">
        <v>0.45600000000000002</v>
      </c>
      <c r="L73" s="20" t="s">
        <v>60</v>
      </c>
      <c r="M73" s="20" t="s">
        <v>60</v>
      </c>
      <c r="N73" s="20" t="s">
        <v>55</v>
      </c>
      <c r="O73" s="20">
        <v>2</v>
      </c>
      <c r="P73" s="20">
        <v>4</v>
      </c>
      <c r="Q73" s="13">
        <v>0.66600000000000004</v>
      </c>
      <c r="R73" s="20" t="s">
        <v>249</v>
      </c>
      <c r="S73" s="20">
        <v>0.78</v>
      </c>
      <c r="T73" s="20" t="s">
        <v>60</v>
      </c>
      <c r="U73" s="20" t="s">
        <v>60</v>
      </c>
      <c r="V73" s="20"/>
      <c r="W73" s="20"/>
      <c r="X73" s="20" t="s">
        <v>60</v>
      </c>
      <c r="Y73" s="20" t="s">
        <v>421</v>
      </c>
      <c r="Z73" s="20" t="s">
        <v>439</v>
      </c>
      <c r="AA73" s="20" t="s">
        <v>60</v>
      </c>
    </row>
    <row r="74" spans="1:27" x14ac:dyDescent="0.2">
      <c r="A74" s="20" t="s">
        <v>225</v>
      </c>
      <c r="B74" s="20" t="s">
        <v>322</v>
      </c>
      <c r="C74" s="20" t="s">
        <v>36</v>
      </c>
      <c r="D74" s="20" t="s">
        <v>20</v>
      </c>
      <c r="E74" s="20" t="s">
        <v>437</v>
      </c>
      <c r="F74" s="20" t="s">
        <v>36</v>
      </c>
      <c r="G74" s="20">
        <v>4</v>
      </c>
      <c r="H74" s="20">
        <v>2</v>
      </c>
      <c r="I74" s="13">
        <v>0.64300000000000002</v>
      </c>
      <c r="J74" s="20" t="s">
        <v>249</v>
      </c>
      <c r="K74" s="18">
        <v>0.42599999999999999</v>
      </c>
      <c r="L74" s="20" t="s">
        <v>60</v>
      </c>
      <c r="M74" s="20" t="s">
        <v>60</v>
      </c>
      <c r="N74" s="20" t="s">
        <v>20</v>
      </c>
      <c r="O74" s="20">
        <v>2</v>
      </c>
      <c r="P74" s="20">
        <v>3</v>
      </c>
      <c r="Q74" s="13">
        <v>0.60499999999999998</v>
      </c>
      <c r="R74" s="20" t="s">
        <v>249</v>
      </c>
      <c r="S74" s="20">
        <v>0.47</v>
      </c>
      <c r="T74" s="20" t="s">
        <v>60</v>
      </c>
      <c r="U74" s="20" t="s">
        <v>60</v>
      </c>
      <c r="V74" s="20"/>
      <c r="W74" s="20"/>
      <c r="X74" s="20" t="s">
        <v>60</v>
      </c>
      <c r="Y74" s="20" t="s">
        <v>421</v>
      </c>
      <c r="Z74" s="20" t="s">
        <v>439</v>
      </c>
      <c r="AA74" s="20" t="s">
        <v>60</v>
      </c>
    </row>
    <row r="75" spans="1:27" x14ac:dyDescent="0.2">
      <c r="A75" s="20" t="s">
        <v>225</v>
      </c>
      <c r="B75" s="20" t="s">
        <v>328</v>
      </c>
      <c r="C75" s="20" t="s">
        <v>40</v>
      </c>
      <c r="D75" s="20" t="s">
        <v>22</v>
      </c>
      <c r="E75" s="20" t="s">
        <v>438</v>
      </c>
      <c r="F75" s="20" t="s">
        <v>22</v>
      </c>
      <c r="G75" s="20">
        <v>3</v>
      </c>
      <c r="H75" s="20">
        <v>4</v>
      </c>
      <c r="I75" s="13">
        <v>0.56299999999999994</v>
      </c>
      <c r="J75" s="20" t="s">
        <v>248</v>
      </c>
      <c r="K75" s="18">
        <v>0.53500000000000003</v>
      </c>
      <c r="L75" s="20" t="s">
        <v>60</v>
      </c>
      <c r="M75" s="20" t="s">
        <v>60</v>
      </c>
      <c r="N75" s="20" t="s">
        <v>22</v>
      </c>
      <c r="O75" s="20">
        <v>2</v>
      </c>
      <c r="P75" s="20">
        <v>3</v>
      </c>
      <c r="Q75" s="13">
        <v>0.53600000000000003</v>
      </c>
      <c r="R75" s="20" t="s">
        <v>249</v>
      </c>
      <c r="S75" s="20">
        <v>0.45</v>
      </c>
      <c r="T75" s="20" t="s">
        <v>60</v>
      </c>
      <c r="U75" s="20" t="s">
        <v>60</v>
      </c>
      <c r="V75" s="20"/>
      <c r="W75" s="20"/>
      <c r="X75" s="20" t="s">
        <v>60</v>
      </c>
      <c r="Y75" s="20" t="s">
        <v>421</v>
      </c>
      <c r="Z75" s="20" t="s">
        <v>439</v>
      </c>
      <c r="AA75" s="20" t="s">
        <v>60</v>
      </c>
    </row>
    <row r="76" spans="1:27" x14ac:dyDescent="0.2">
      <c r="A76" s="20" t="s">
        <v>226</v>
      </c>
      <c r="B76" s="20" t="s">
        <v>369</v>
      </c>
      <c r="C76" s="20" t="s">
        <v>13</v>
      </c>
      <c r="D76" s="20" t="s">
        <v>31</v>
      </c>
      <c r="E76" s="20" t="s">
        <v>440</v>
      </c>
      <c r="F76" s="20" t="s">
        <v>31</v>
      </c>
      <c r="G76" s="20">
        <v>3</v>
      </c>
      <c r="H76" s="20">
        <v>4</v>
      </c>
      <c r="I76" s="13">
        <v>0.748</v>
      </c>
      <c r="J76" s="20" t="s">
        <v>249</v>
      </c>
      <c r="K76" s="18">
        <v>0.36399999999999999</v>
      </c>
      <c r="L76" s="20" t="s">
        <v>248</v>
      </c>
      <c r="M76" s="20" t="s">
        <v>291</v>
      </c>
      <c r="N76" s="20" t="s">
        <v>31</v>
      </c>
      <c r="O76" s="20">
        <v>2</v>
      </c>
      <c r="P76" s="20">
        <v>4</v>
      </c>
      <c r="Q76" s="13">
        <v>0.61399999999999999</v>
      </c>
      <c r="R76" s="20" t="s">
        <v>249</v>
      </c>
      <c r="S76" s="20">
        <v>0.66</v>
      </c>
      <c r="T76" s="20" t="s">
        <v>248</v>
      </c>
      <c r="U76" s="20" t="s">
        <v>31</v>
      </c>
      <c r="V76" s="20"/>
      <c r="W76" s="20"/>
      <c r="X76" s="20" t="s">
        <v>60</v>
      </c>
      <c r="Y76" s="20" t="s">
        <v>292</v>
      </c>
      <c r="Z76" s="20" t="s">
        <v>441</v>
      </c>
      <c r="AA76" s="20" t="s">
        <v>457</v>
      </c>
    </row>
    <row r="77" spans="1:27" x14ac:dyDescent="0.2">
      <c r="A77" s="20" t="s">
        <v>226</v>
      </c>
      <c r="B77" s="20" t="s">
        <v>347</v>
      </c>
      <c r="C77" s="20" t="s">
        <v>15</v>
      </c>
      <c r="D77" s="20" t="s">
        <v>21</v>
      </c>
      <c r="E77" s="20" t="s">
        <v>442</v>
      </c>
      <c r="F77" s="20" t="s">
        <v>21</v>
      </c>
      <c r="G77" s="20">
        <v>2</v>
      </c>
      <c r="H77" s="20">
        <v>5</v>
      </c>
      <c r="I77" s="13">
        <v>0.66300000000000003</v>
      </c>
      <c r="J77" s="20" t="s">
        <v>249</v>
      </c>
      <c r="K77" s="18">
        <v>0.41599999999999998</v>
      </c>
      <c r="L77" s="20" t="s">
        <v>249</v>
      </c>
      <c r="M77" s="20" t="s">
        <v>458</v>
      </c>
      <c r="N77" s="20" t="s">
        <v>21</v>
      </c>
      <c r="O77" s="20">
        <v>2</v>
      </c>
      <c r="P77" s="20">
        <v>3</v>
      </c>
      <c r="Q77" s="13">
        <v>0.55900000000000005</v>
      </c>
      <c r="R77" s="20" t="s">
        <v>249</v>
      </c>
      <c r="S77" s="20">
        <v>0.46</v>
      </c>
      <c r="T77" s="20" t="s">
        <v>249</v>
      </c>
      <c r="U77" s="20" t="s">
        <v>15</v>
      </c>
      <c r="V77" s="20"/>
      <c r="W77" s="20"/>
      <c r="X77" s="20" t="s">
        <v>60</v>
      </c>
      <c r="Y77" s="20" t="s">
        <v>292</v>
      </c>
      <c r="Z77" s="20" t="s">
        <v>441</v>
      </c>
      <c r="AA77" s="20" t="s">
        <v>457</v>
      </c>
    </row>
    <row r="78" spans="1:27" x14ac:dyDescent="0.2">
      <c r="A78" s="20" t="s">
        <v>226</v>
      </c>
      <c r="B78" s="20" t="s">
        <v>369</v>
      </c>
      <c r="C78" s="20" t="s">
        <v>24</v>
      </c>
      <c r="D78" s="20" t="s">
        <v>23</v>
      </c>
      <c r="E78" s="20" t="s">
        <v>443</v>
      </c>
      <c r="F78" s="20" t="s">
        <v>24</v>
      </c>
      <c r="G78" s="20">
        <v>4</v>
      </c>
      <c r="H78" s="20">
        <v>3</v>
      </c>
      <c r="I78" s="13">
        <v>0.60199999999999998</v>
      </c>
      <c r="J78" s="20" t="s">
        <v>249</v>
      </c>
      <c r="K78" s="18">
        <v>0.48499999999999999</v>
      </c>
      <c r="L78" s="20" t="s">
        <v>248</v>
      </c>
      <c r="M78" s="20" t="s">
        <v>459</v>
      </c>
      <c r="N78" s="20" t="s">
        <v>24</v>
      </c>
      <c r="O78" s="20">
        <v>3</v>
      </c>
      <c r="P78" s="20">
        <v>2</v>
      </c>
      <c r="Q78" s="13">
        <v>0.501</v>
      </c>
      <c r="R78" s="20" t="s">
        <v>249</v>
      </c>
      <c r="S78" s="20">
        <v>-0.43</v>
      </c>
      <c r="T78" s="20" t="s">
        <v>248</v>
      </c>
      <c r="U78" s="20" t="s">
        <v>24</v>
      </c>
      <c r="V78" s="20"/>
      <c r="W78" s="20"/>
      <c r="X78" s="20" t="s">
        <v>60</v>
      </c>
      <c r="Y78" s="20" t="s">
        <v>292</v>
      </c>
      <c r="Z78" s="20" t="s">
        <v>441</v>
      </c>
      <c r="AA78" s="20" t="s">
        <v>457</v>
      </c>
    </row>
    <row r="79" spans="1:27" x14ac:dyDescent="0.2">
      <c r="A79" s="20" t="s">
        <v>226</v>
      </c>
      <c r="B79" s="20" t="s">
        <v>365</v>
      </c>
      <c r="C79" s="20" t="s">
        <v>40</v>
      </c>
      <c r="D79" s="20" t="s">
        <v>25</v>
      </c>
      <c r="E79" s="20" t="s">
        <v>444</v>
      </c>
      <c r="F79" s="20" t="s">
        <v>25</v>
      </c>
      <c r="G79" s="20">
        <v>3</v>
      </c>
      <c r="H79" s="20">
        <v>4</v>
      </c>
      <c r="I79" s="13">
        <v>0.64400000000000002</v>
      </c>
      <c r="J79" s="20" t="s">
        <v>248</v>
      </c>
      <c r="K79" s="18">
        <v>0.52600000000000002</v>
      </c>
      <c r="L79" s="20" t="s">
        <v>248</v>
      </c>
      <c r="M79" s="20" t="s">
        <v>460</v>
      </c>
      <c r="N79" s="20" t="s">
        <v>25</v>
      </c>
      <c r="O79" s="20">
        <v>2</v>
      </c>
      <c r="P79" s="20">
        <v>3</v>
      </c>
      <c r="Q79" s="13">
        <v>0.58699999999999997</v>
      </c>
      <c r="R79" s="20" t="s">
        <v>249</v>
      </c>
      <c r="S79" s="20">
        <v>0.5</v>
      </c>
      <c r="T79" s="20" t="s">
        <v>248</v>
      </c>
      <c r="U79" s="20" t="s">
        <v>25</v>
      </c>
      <c r="V79" s="20"/>
      <c r="W79" s="20"/>
      <c r="X79" s="20" t="s">
        <v>60</v>
      </c>
      <c r="Y79" s="20" t="s">
        <v>292</v>
      </c>
      <c r="Z79" s="20" t="s">
        <v>441</v>
      </c>
      <c r="AA79" s="20" t="s">
        <v>457</v>
      </c>
    </row>
    <row r="80" spans="1:27" x14ac:dyDescent="0.2">
      <c r="A80" s="20" t="s">
        <v>226</v>
      </c>
      <c r="B80" s="20" t="s">
        <v>328</v>
      </c>
      <c r="C80" s="20" t="s">
        <v>14</v>
      </c>
      <c r="D80" s="20" t="s">
        <v>28</v>
      </c>
      <c r="E80" s="20" t="s">
        <v>445</v>
      </c>
      <c r="F80" s="20" t="s">
        <v>14</v>
      </c>
      <c r="G80" s="20">
        <v>4</v>
      </c>
      <c r="H80" s="20">
        <v>3</v>
      </c>
      <c r="I80" s="13">
        <v>0.55700000000000005</v>
      </c>
      <c r="J80" s="20" t="s">
        <v>248</v>
      </c>
      <c r="K80" s="18">
        <v>0.51500000000000001</v>
      </c>
      <c r="L80" s="20" t="s">
        <v>248</v>
      </c>
      <c r="M80" s="20" t="s">
        <v>461</v>
      </c>
      <c r="N80" s="20" t="s">
        <v>14</v>
      </c>
      <c r="O80" s="20">
        <v>4</v>
      </c>
      <c r="P80" s="20">
        <v>2</v>
      </c>
      <c r="Q80" s="13">
        <v>0.52700000000000002</v>
      </c>
      <c r="R80" s="20" t="s">
        <v>249</v>
      </c>
      <c r="S80" s="20">
        <v>-0.53</v>
      </c>
      <c r="T80" s="20" t="s">
        <v>248</v>
      </c>
      <c r="U80" s="20" t="s">
        <v>14</v>
      </c>
      <c r="V80" s="20"/>
      <c r="W80" s="20"/>
      <c r="X80" s="20" t="s">
        <v>60</v>
      </c>
      <c r="Y80" s="20" t="s">
        <v>292</v>
      </c>
      <c r="Z80" s="20" t="s">
        <v>441</v>
      </c>
      <c r="AA80" s="20" t="s">
        <v>457</v>
      </c>
    </row>
    <row r="81" spans="1:27" x14ac:dyDescent="0.2">
      <c r="A81" s="20" t="s">
        <v>226</v>
      </c>
      <c r="B81" s="20" t="s">
        <v>324</v>
      </c>
      <c r="C81" s="20" t="s">
        <v>29</v>
      </c>
      <c r="D81" s="20" t="s">
        <v>10</v>
      </c>
      <c r="E81" s="20" t="s">
        <v>446</v>
      </c>
      <c r="F81" s="20" t="s">
        <v>10</v>
      </c>
      <c r="G81" s="20">
        <v>2</v>
      </c>
      <c r="H81" s="20">
        <v>4</v>
      </c>
      <c r="I81" s="13">
        <v>0.82499999999999996</v>
      </c>
      <c r="J81" s="20" t="s">
        <v>249</v>
      </c>
      <c r="K81" s="18">
        <v>0.28999999999999998</v>
      </c>
      <c r="L81" s="20" t="s">
        <v>249</v>
      </c>
      <c r="M81" s="20" t="s">
        <v>462</v>
      </c>
      <c r="N81" s="20" t="s">
        <v>10</v>
      </c>
      <c r="O81" s="20">
        <v>2</v>
      </c>
      <c r="P81" s="20">
        <v>4</v>
      </c>
      <c r="Q81" s="13">
        <v>0.71199999999999997</v>
      </c>
      <c r="R81" s="20" t="s">
        <v>249</v>
      </c>
      <c r="S81" s="20">
        <v>1.36</v>
      </c>
      <c r="T81" s="20" t="s">
        <v>249</v>
      </c>
      <c r="U81" s="20" t="s">
        <v>29</v>
      </c>
      <c r="V81" s="20"/>
      <c r="W81" s="20"/>
      <c r="X81" s="20" t="s">
        <v>60</v>
      </c>
      <c r="Y81" s="20" t="s">
        <v>292</v>
      </c>
      <c r="Z81" s="20" t="s">
        <v>441</v>
      </c>
      <c r="AA81" s="20" t="s">
        <v>457</v>
      </c>
    </row>
    <row r="82" spans="1:27" x14ac:dyDescent="0.2">
      <c r="A82" s="20" t="s">
        <v>226</v>
      </c>
      <c r="B82" s="20" t="s">
        <v>324</v>
      </c>
      <c r="C82" s="20" t="s">
        <v>55</v>
      </c>
      <c r="D82" s="20" t="s">
        <v>39</v>
      </c>
      <c r="E82" s="20" t="s">
        <v>447</v>
      </c>
      <c r="F82" s="20" t="s">
        <v>39</v>
      </c>
      <c r="G82" s="20">
        <v>3</v>
      </c>
      <c r="H82" s="20">
        <v>4</v>
      </c>
      <c r="I82" s="13">
        <v>0.85899999999999999</v>
      </c>
      <c r="J82" s="20" t="s">
        <v>249</v>
      </c>
      <c r="K82" s="18">
        <v>0.42599999999999999</v>
      </c>
      <c r="L82" s="20" t="s">
        <v>248</v>
      </c>
      <c r="M82" s="20" t="s">
        <v>400</v>
      </c>
      <c r="N82" s="20" t="s">
        <v>39</v>
      </c>
      <c r="O82" s="20">
        <v>2</v>
      </c>
      <c r="P82" s="20">
        <v>4</v>
      </c>
      <c r="Q82" s="13">
        <v>0.61</v>
      </c>
      <c r="R82" s="20" t="s">
        <v>249</v>
      </c>
      <c r="S82" s="20">
        <v>0.54</v>
      </c>
      <c r="T82" s="20" t="s">
        <v>248</v>
      </c>
      <c r="U82" s="20" t="s">
        <v>39</v>
      </c>
      <c r="V82" s="20"/>
      <c r="W82" s="20"/>
      <c r="X82" s="20" t="s">
        <v>60</v>
      </c>
      <c r="Y82" s="20" t="s">
        <v>292</v>
      </c>
      <c r="Z82" s="20" t="s">
        <v>441</v>
      </c>
      <c r="AA82" s="20" t="s">
        <v>457</v>
      </c>
    </row>
    <row r="83" spans="1:27" x14ac:dyDescent="0.2">
      <c r="A83" s="20" t="s">
        <v>226</v>
      </c>
      <c r="B83" s="20" t="s">
        <v>448</v>
      </c>
      <c r="C83" s="20" t="s">
        <v>37</v>
      </c>
      <c r="D83" s="20" t="s">
        <v>26</v>
      </c>
      <c r="E83" s="20" t="s">
        <v>449</v>
      </c>
      <c r="F83" s="20" t="s">
        <v>37</v>
      </c>
      <c r="G83" s="20">
        <v>4</v>
      </c>
      <c r="H83" s="20">
        <v>3</v>
      </c>
      <c r="I83" s="13">
        <v>0.68200000000000005</v>
      </c>
      <c r="J83" s="20" t="s">
        <v>249</v>
      </c>
      <c r="K83" s="18">
        <v>0.311</v>
      </c>
      <c r="L83" s="20" t="s">
        <v>248</v>
      </c>
      <c r="M83" s="20" t="s">
        <v>397</v>
      </c>
      <c r="N83" s="20" t="s">
        <v>37</v>
      </c>
      <c r="O83" s="20">
        <v>4</v>
      </c>
      <c r="P83" s="20">
        <v>2</v>
      </c>
      <c r="Q83" s="13">
        <v>0.64600000000000002</v>
      </c>
      <c r="R83" s="20" t="s">
        <v>249</v>
      </c>
      <c r="S83" s="20">
        <v>-1.06</v>
      </c>
      <c r="T83" s="20" t="s">
        <v>248</v>
      </c>
      <c r="U83" s="20" t="s">
        <v>37</v>
      </c>
      <c r="V83" s="20"/>
      <c r="W83" s="20"/>
      <c r="X83" s="20" t="s">
        <v>60</v>
      </c>
      <c r="Y83" s="20" t="s">
        <v>292</v>
      </c>
      <c r="Z83" s="20" t="s">
        <v>441</v>
      </c>
      <c r="AA83" s="20" t="s">
        <v>457</v>
      </c>
    </row>
    <row r="84" spans="1:27" x14ac:dyDescent="0.2">
      <c r="A84" s="20" t="s">
        <v>226</v>
      </c>
      <c r="B84" s="20" t="s">
        <v>369</v>
      </c>
      <c r="C84" s="20" t="s">
        <v>16</v>
      </c>
      <c r="D84" s="20" t="s">
        <v>11</v>
      </c>
      <c r="E84" s="20" t="s">
        <v>450</v>
      </c>
      <c r="F84" s="20" t="s">
        <v>11</v>
      </c>
      <c r="G84" s="20">
        <v>3</v>
      </c>
      <c r="H84" s="20">
        <v>4</v>
      </c>
      <c r="I84" s="13">
        <v>0.83899999999999997</v>
      </c>
      <c r="J84" s="20" t="s">
        <v>249</v>
      </c>
      <c r="K84" s="18">
        <v>0.47299999999999998</v>
      </c>
      <c r="L84" s="20" t="s">
        <v>249</v>
      </c>
      <c r="M84" s="20" t="s">
        <v>463</v>
      </c>
      <c r="N84" s="20" t="s">
        <v>11</v>
      </c>
      <c r="O84" s="20">
        <v>2</v>
      </c>
      <c r="P84" s="20">
        <v>4</v>
      </c>
      <c r="Q84" s="13">
        <v>0.7</v>
      </c>
      <c r="R84" s="20" t="s">
        <v>249</v>
      </c>
      <c r="S84" s="20">
        <v>1.01</v>
      </c>
      <c r="T84" s="20" t="s">
        <v>249</v>
      </c>
      <c r="U84" s="20" t="s">
        <v>16</v>
      </c>
      <c r="V84" s="20"/>
      <c r="W84" s="20"/>
      <c r="X84" s="20" t="s">
        <v>60</v>
      </c>
      <c r="Y84" s="20" t="s">
        <v>292</v>
      </c>
      <c r="Z84" s="20" t="s">
        <v>441</v>
      </c>
      <c r="AA84" s="20" t="s">
        <v>457</v>
      </c>
    </row>
    <row r="85" spans="1:27" x14ac:dyDescent="0.2">
      <c r="A85" s="20" t="s">
        <v>226</v>
      </c>
      <c r="B85" s="20" t="s">
        <v>352</v>
      </c>
      <c r="C85" s="20" t="s">
        <v>12</v>
      </c>
      <c r="D85" s="20" t="s">
        <v>34</v>
      </c>
      <c r="E85" s="20" t="s">
        <v>451</v>
      </c>
      <c r="F85" s="20" t="s">
        <v>12</v>
      </c>
      <c r="G85" s="20">
        <v>5</v>
      </c>
      <c r="H85" s="20">
        <v>4</v>
      </c>
      <c r="I85" s="13">
        <v>0.72299999999999998</v>
      </c>
      <c r="J85" s="20" t="s">
        <v>249</v>
      </c>
      <c r="K85" s="18">
        <v>0.371</v>
      </c>
      <c r="L85" s="20" t="s">
        <v>249</v>
      </c>
      <c r="M85" s="20" t="s">
        <v>464</v>
      </c>
      <c r="N85" s="20" t="s">
        <v>12</v>
      </c>
      <c r="O85" s="20">
        <v>5</v>
      </c>
      <c r="P85" s="20">
        <v>2</v>
      </c>
      <c r="Q85" s="13">
        <v>0.75900000000000001</v>
      </c>
      <c r="R85" s="20" t="s">
        <v>249</v>
      </c>
      <c r="S85" s="20">
        <v>-1.63</v>
      </c>
      <c r="T85" s="20" t="s">
        <v>249</v>
      </c>
      <c r="U85" s="20" t="s">
        <v>34</v>
      </c>
      <c r="V85" s="20"/>
      <c r="W85" s="20"/>
      <c r="X85" s="20" t="s">
        <v>60</v>
      </c>
      <c r="Y85" s="20" t="s">
        <v>292</v>
      </c>
      <c r="Z85" s="20" t="s">
        <v>441</v>
      </c>
      <c r="AA85" s="20" t="s">
        <v>457</v>
      </c>
    </row>
    <row r="86" spans="1:27" x14ac:dyDescent="0.2">
      <c r="A86" s="20" t="s">
        <v>226</v>
      </c>
      <c r="B86" s="20" t="s">
        <v>369</v>
      </c>
      <c r="C86" s="20" t="s">
        <v>27</v>
      </c>
      <c r="D86" s="20" t="s">
        <v>30</v>
      </c>
      <c r="E86" s="20" t="s">
        <v>452</v>
      </c>
      <c r="F86" s="20" t="s">
        <v>27</v>
      </c>
      <c r="G86" s="20">
        <v>4</v>
      </c>
      <c r="H86" s="20">
        <v>3</v>
      </c>
      <c r="I86" s="13">
        <v>0.53200000000000003</v>
      </c>
      <c r="J86" s="20" t="s">
        <v>249</v>
      </c>
      <c r="K86" s="18">
        <v>0.42499999999999999</v>
      </c>
      <c r="L86" s="20" t="s">
        <v>248</v>
      </c>
      <c r="M86" s="20" t="s">
        <v>395</v>
      </c>
      <c r="N86" s="20" t="s">
        <v>30</v>
      </c>
      <c r="O86" s="20">
        <v>2</v>
      </c>
      <c r="P86" s="20">
        <v>3</v>
      </c>
      <c r="Q86" s="13">
        <v>0.59199999999999997</v>
      </c>
      <c r="R86" s="20" t="s">
        <v>249</v>
      </c>
      <c r="S86" s="20">
        <v>0.41</v>
      </c>
      <c r="T86" s="20" t="s">
        <v>249</v>
      </c>
      <c r="U86" s="20" t="s">
        <v>27</v>
      </c>
      <c r="V86" s="20"/>
      <c r="W86" s="20"/>
      <c r="X86" s="20" t="s">
        <v>60</v>
      </c>
      <c r="Y86" s="20" t="s">
        <v>292</v>
      </c>
      <c r="Z86" s="20" t="s">
        <v>441</v>
      </c>
      <c r="AA86" s="20" t="s">
        <v>457</v>
      </c>
    </row>
    <row r="87" spans="1:27" x14ac:dyDescent="0.2">
      <c r="A87" s="20" t="s">
        <v>226</v>
      </c>
      <c r="B87" s="20" t="s">
        <v>369</v>
      </c>
      <c r="C87" s="20" t="s">
        <v>38</v>
      </c>
      <c r="D87" s="20" t="s">
        <v>33</v>
      </c>
      <c r="E87" s="20" t="s">
        <v>453</v>
      </c>
      <c r="F87" s="20" t="s">
        <v>33</v>
      </c>
      <c r="G87" s="20">
        <v>3</v>
      </c>
      <c r="H87" s="20">
        <v>4</v>
      </c>
      <c r="I87" s="13">
        <v>0.54800000000000004</v>
      </c>
      <c r="J87" s="20" t="s">
        <v>249</v>
      </c>
      <c r="K87" s="18">
        <v>0.36899999999999999</v>
      </c>
      <c r="L87" s="20" t="s">
        <v>248</v>
      </c>
      <c r="M87" s="20" t="s">
        <v>309</v>
      </c>
      <c r="N87" s="20" t="s">
        <v>33</v>
      </c>
      <c r="O87" s="20">
        <v>2</v>
      </c>
      <c r="P87" s="20">
        <v>4</v>
      </c>
      <c r="Q87" s="13">
        <v>0.57399999999999995</v>
      </c>
      <c r="R87" s="20" t="s">
        <v>249</v>
      </c>
      <c r="S87" s="20">
        <v>0.57999999999999996</v>
      </c>
      <c r="T87" s="20" t="s">
        <v>248</v>
      </c>
      <c r="U87" s="20" t="s">
        <v>33</v>
      </c>
      <c r="V87" s="20"/>
      <c r="W87" s="20"/>
      <c r="X87" s="20" t="s">
        <v>60</v>
      </c>
      <c r="Y87" s="20" t="s">
        <v>292</v>
      </c>
      <c r="Z87" s="20" t="s">
        <v>441</v>
      </c>
      <c r="AA87" s="20" t="s">
        <v>457</v>
      </c>
    </row>
    <row r="88" spans="1:27" x14ac:dyDescent="0.2">
      <c r="A88" s="20" t="s">
        <v>226</v>
      </c>
      <c r="B88" s="20" t="s">
        <v>369</v>
      </c>
      <c r="C88" s="20" t="s">
        <v>36</v>
      </c>
      <c r="D88" s="20" t="s">
        <v>35</v>
      </c>
      <c r="E88" s="20" t="s">
        <v>454</v>
      </c>
      <c r="F88" s="20" t="s">
        <v>36</v>
      </c>
      <c r="G88" s="20">
        <v>5</v>
      </c>
      <c r="H88" s="20">
        <v>4</v>
      </c>
      <c r="I88" s="13">
        <v>0.80500000000000005</v>
      </c>
      <c r="J88" s="20" t="s">
        <v>249</v>
      </c>
      <c r="K88" s="18">
        <v>0.46300000000000002</v>
      </c>
      <c r="L88" s="20" t="s">
        <v>249</v>
      </c>
      <c r="M88" s="20" t="s">
        <v>465</v>
      </c>
      <c r="N88" s="20" t="s">
        <v>36</v>
      </c>
      <c r="O88" s="20">
        <v>4</v>
      </c>
      <c r="P88" s="20">
        <v>2</v>
      </c>
      <c r="Q88" s="13">
        <v>0.626</v>
      </c>
      <c r="R88" s="20" t="s">
        <v>249</v>
      </c>
      <c r="S88" s="20">
        <v>-1.1499999999999999</v>
      </c>
      <c r="T88" s="20" t="s">
        <v>249</v>
      </c>
      <c r="U88" s="20" t="s">
        <v>35</v>
      </c>
      <c r="V88" s="20"/>
      <c r="W88" s="20"/>
      <c r="X88" s="20" t="s">
        <v>60</v>
      </c>
      <c r="Y88" s="20" t="s">
        <v>292</v>
      </c>
      <c r="Z88" s="20" t="s">
        <v>441</v>
      </c>
      <c r="AA88" s="20" t="s">
        <v>457</v>
      </c>
    </row>
    <row r="89" spans="1:27" x14ac:dyDescent="0.2">
      <c r="A89" s="20" t="s">
        <v>226</v>
      </c>
      <c r="B89" s="20" t="s">
        <v>369</v>
      </c>
      <c r="C89" s="20" t="s">
        <v>18</v>
      </c>
      <c r="D89" s="20" t="s">
        <v>20</v>
      </c>
      <c r="E89" s="20" t="s">
        <v>455</v>
      </c>
      <c r="F89" s="20" t="s">
        <v>18</v>
      </c>
      <c r="G89" s="20">
        <v>4</v>
      </c>
      <c r="H89" s="20">
        <v>3</v>
      </c>
      <c r="I89" s="13">
        <v>0.70499999999999996</v>
      </c>
      <c r="J89" s="20" t="s">
        <v>249</v>
      </c>
      <c r="K89" s="18">
        <v>0.44800000000000001</v>
      </c>
      <c r="L89" s="20" t="s">
        <v>248</v>
      </c>
      <c r="M89" s="20" t="s">
        <v>360</v>
      </c>
      <c r="N89" s="20" t="s">
        <v>20</v>
      </c>
      <c r="O89" s="20">
        <v>2</v>
      </c>
      <c r="P89" s="20">
        <v>4</v>
      </c>
      <c r="Q89" s="13">
        <v>0.55400000000000005</v>
      </c>
      <c r="R89" s="20" t="s">
        <v>249</v>
      </c>
      <c r="S89" s="20">
        <v>0.63</v>
      </c>
      <c r="T89" s="20" t="s">
        <v>249</v>
      </c>
      <c r="U89" s="20" t="s">
        <v>18</v>
      </c>
      <c r="V89" s="20"/>
      <c r="W89" s="20"/>
      <c r="X89" s="20" t="s">
        <v>60</v>
      </c>
      <c r="Y89" s="20" t="s">
        <v>292</v>
      </c>
      <c r="Z89" s="20" t="s">
        <v>441</v>
      </c>
      <c r="AA89" s="20" t="s">
        <v>457</v>
      </c>
    </row>
    <row r="90" spans="1:27" x14ac:dyDescent="0.2">
      <c r="A90" s="20" t="s">
        <v>226</v>
      </c>
      <c r="B90" s="20" t="s">
        <v>365</v>
      </c>
      <c r="C90" s="20" t="s">
        <v>19</v>
      </c>
      <c r="D90" s="20" t="s">
        <v>22</v>
      </c>
      <c r="E90" s="20" t="s">
        <v>456</v>
      </c>
      <c r="F90" s="20" t="s">
        <v>22</v>
      </c>
      <c r="G90" s="20">
        <v>3</v>
      </c>
      <c r="H90" s="20">
        <v>4</v>
      </c>
      <c r="I90" s="13">
        <v>0.80500000000000005</v>
      </c>
      <c r="J90" s="20" t="s">
        <v>249</v>
      </c>
      <c r="K90" s="18">
        <v>0.29899999999999999</v>
      </c>
      <c r="L90" s="20" t="s">
        <v>248</v>
      </c>
      <c r="M90" s="20" t="s">
        <v>321</v>
      </c>
      <c r="N90" s="20" t="s">
        <v>22</v>
      </c>
      <c r="O90" s="20">
        <v>2</v>
      </c>
      <c r="P90" s="20">
        <v>4</v>
      </c>
      <c r="Q90" s="13">
        <v>0.71199999999999997</v>
      </c>
      <c r="R90" s="20" t="s">
        <v>249</v>
      </c>
      <c r="S90" s="20">
        <v>1.25</v>
      </c>
      <c r="T90" s="20" t="s">
        <v>248</v>
      </c>
      <c r="U90" s="20" t="s">
        <v>22</v>
      </c>
      <c r="V90" s="20"/>
      <c r="W90" s="20"/>
      <c r="X90" s="20" t="s">
        <v>60</v>
      </c>
      <c r="Y90" s="20" t="s">
        <v>292</v>
      </c>
      <c r="Z90" s="20" t="s">
        <v>441</v>
      </c>
      <c r="AA90" s="20" t="s">
        <v>457</v>
      </c>
    </row>
    <row r="91" spans="1:27" x14ac:dyDescent="0.2">
      <c r="A91" s="20" t="s">
        <v>227</v>
      </c>
      <c r="B91" s="20" t="s">
        <v>328</v>
      </c>
      <c r="C91" s="20" t="s">
        <v>26</v>
      </c>
      <c r="D91" s="20" t="s">
        <v>21</v>
      </c>
      <c r="E91" s="20" t="s">
        <v>466</v>
      </c>
      <c r="F91" s="20" t="s">
        <v>21</v>
      </c>
      <c r="G91" s="20">
        <v>3</v>
      </c>
      <c r="H91" s="20">
        <v>4</v>
      </c>
      <c r="I91" s="13">
        <v>0.64900000000000002</v>
      </c>
      <c r="J91" s="20" t="s">
        <v>249</v>
      </c>
      <c r="K91" s="18">
        <v>0.433</v>
      </c>
      <c r="L91" s="20" t="s">
        <v>248</v>
      </c>
      <c r="M91" s="20" t="s">
        <v>479</v>
      </c>
      <c r="N91" s="20" t="s">
        <v>21</v>
      </c>
      <c r="O91" s="20">
        <v>2</v>
      </c>
      <c r="P91" s="20">
        <v>4</v>
      </c>
      <c r="Q91" s="13">
        <v>0.63800000000000001</v>
      </c>
      <c r="R91" s="20" t="s">
        <v>249</v>
      </c>
      <c r="S91" s="20">
        <v>0.74</v>
      </c>
      <c r="T91" s="20" t="s">
        <v>248</v>
      </c>
      <c r="U91" s="20" t="s">
        <v>21</v>
      </c>
      <c r="V91" s="20"/>
      <c r="W91" s="20"/>
      <c r="X91" s="20" t="s">
        <v>60</v>
      </c>
      <c r="Y91" s="20" t="s">
        <v>292</v>
      </c>
      <c r="Z91" s="20" t="s">
        <v>457</v>
      </c>
      <c r="AA91" s="20" t="s">
        <v>480</v>
      </c>
    </row>
    <row r="92" spans="1:27" x14ac:dyDescent="0.2">
      <c r="A92" s="20" t="s">
        <v>227</v>
      </c>
      <c r="B92" s="20" t="s">
        <v>467</v>
      </c>
      <c r="C92" s="20" t="s">
        <v>18</v>
      </c>
      <c r="D92" s="20" t="s">
        <v>12</v>
      </c>
      <c r="E92" s="20" t="s">
        <v>468</v>
      </c>
      <c r="F92" s="20" t="s">
        <v>12</v>
      </c>
      <c r="G92" s="20">
        <v>2</v>
      </c>
      <c r="H92" s="20">
        <v>3</v>
      </c>
      <c r="I92" s="13">
        <v>0.88</v>
      </c>
      <c r="J92" s="20" t="s">
        <v>248</v>
      </c>
      <c r="K92" s="18">
        <v>0.54900000000000004</v>
      </c>
      <c r="L92" s="20" t="s">
        <v>248</v>
      </c>
      <c r="M92" s="20" t="s">
        <v>361</v>
      </c>
      <c r="N92" s="20" t="s">
        <v>12</v>
      </c>
      <c r="O92" s="20">
        <v>1</v>
      </c>
      <c r="P92" s="20">
        <v>5</v>
      </c>
      <c r="Q92" s="13">
        <v>0.80500000000000005</v>
      </c>
      <c r="R92" s="20" t="s">
        <v>249</v>
      </c>
      <c r="S92" s="20">
        <v>2.08</v>
      </c>
      <c r="T92" s="20" t="s">
        <v>248</v>
      </c>
      <c r="U92" s="20" t="s">
        <v>12</v>
      </c>
      <c r="V92" s="20"/>
      <c r="W92" s="20"/>
      <c r="X92" s="20" t="s">
        <v>60</v>
      </c>
      <c r="Y92" s="20" t="s">
        <v>292</v>
      </c>
      <c r="Z92" s="20" t="s">
        <v>457</v>
      </c>
      <c r="AA92" s="20" t="s">
        <v>480</v>
      </c>
    </row>
    <row r="93" spans="1:27" x14ac:dyDescent="0.2">
      <c r="A93" s="20" t="s">
        <v>227</v>
      </c>
      <c r="B93" s="20" t="s">
        <v>322</v>
      </c>
      <c r="C93" s="20" t="s">
        <v>38</v>
      </c>
      <c r="D93" s="20" t="s">
        <v>13</v>
      </c>
      <c r="E93" s="20" t="s">
        <v>469</v>
      </c>
      <c r="F93" s="20" t="s">
        <v>38</v>
      </c>
      <c r="G93" s="20">
        <v>4</v>
      </c>
      <c r="H93" s="20">
        <v>2</v>
      </c>
      <c r="I93" s="13">
        <v>0.51700000000000002</v>
      </c>
      <c r="J93" s="20" t="s">
        <v>249</v>
      </c>
      <c r="K93" s="18">
        <v>0.27600000000000002</v>
      </c>
      <c r="L93" s="20" t="s">
        <v>249</v>
      </c>
      <c r="M93" s="20" t="s">
        <v>481</v>
      </c>
      <c r="N93" s="20" t="s">
        <v>13</v>
      </c>
      <c r="O93" s="20">
        <v>2</v>
      </c>
      <c r="P93" s="20">
        <v>4</v>
      </c>
      <c r="Q93" s="13">
        <v>0.60199999999999998</v>
      </c>
      <c r="R93" s="20" t="s">
        <v>249</v>
      </c>
      <c r="S93" s="20">
        <v>0.71</v>
      </c>
      <c r="T93" s="20" t="s">
        <v>248</v>
      </c>
      <c r="U93" s="20" t="s">
        <v>13</v>
      </c>
      <c r="V93" s="20"/>
      <c r="W93" s="20"/>
      <c r="X93" s="20" t="s">
        <v>60</v>
      </c>
      <c r="Y93" s="20" t="s">
        <v>292</v>
      </c>
      <c r="Z93" s="20" t="s">
        <v>457</v>
      </c>
      <c r="AA93" s="20" t="s">
        <v>480</v>
      </c>
    </row>
    <row r="94" spans="1:27" x14ac:dyDescent="0.2">
      <c r="A94" s="20" t="s">
        <v>227</v>
      </c>
      <c r="B94" s="20" t="s">
        <v>324</v>
      </c>
      <c r="C94" s="20" t="s">
        <v>23</v>
      </c>
      <c r="D94" s="20" t="s">
        <v>34</v>
      </c>
      <c r="E94" s="20" t="s">
        <v>470</v>
      </c>
      <c r="F94" s="20" t="s">
        <v>34</v>
      </c>
      <c r="G94" s="20">
        <v>3</v>
      </c>
      <c r="H94" s="20">
        <v>4</v>
      </c>
      <c r="I94" s="13">
        <v>0.70699999999999996</v>
      </c>
      <c r="J94" s="20" t="s">
        <v>249</v>
      </c>
      <c r="K94" s="18">
        <v>0.40600000000000003</v>
      </c>
      <c r="L94" s="20" t="s">
        <v>249</v>
      </c>
      <c r="M94" s="20" t="s">
        <v>482</v>
      </c>
      <c r="N94" s="20" t="s">
        <v>34</v>
      </c>
      <c r="O94" s="20">
        <v>2</v>
      </c>
      <c r="P94" s="20">
        <v>4</v>
      </c>
      <c r="Q94" s="13">
        <v>0.65100000000000002</v>
      </c>
      <c r="R94" s="20" t="s">
        <v>249</v>
      </c>
      <c r="S94" s="20">
        <v>0.83</v>
      </c>
      <c r="T94" s="20" t="s">
        <v>249</v>
      </c>
      <c r="U94" s="20" t="s">
        <v>23</v>
      </c>
      <c r="V94" s="20"/>
      <c r="W94" s="20"/>
      <c r="X94" s="20" t="s">
        <v>60</v>
      </c>
      <c r="Y94" s="20" t="s">
        <v>292</v>
      </c>
      <c r="Z94" s="20" t="s">
        <v>457</v>
      </c>
      <c r="AA94" s="20" t="s">
        <v>480</v>
      </c>
    </row>
    <row r="95" spans="1:27" x14ac:dyDescent="0.2">
      <c r="A95" s="20" t="s">
        <v>227</v>
      </c>
      <c r="B95" s="20" t="s">
        <v>328</v>
      </c>
      <c r="C95" s="20" t="s">
        <v>27</v>
      </c>
      <c r="D95" s="20" t="s">
        <v>24</v>
      </c>
      <c r="E95" s="20" t="s">
        <v>471</v>
      </c>
      <c r="F95" s="20" t="s">
        <v>24</v>
      </c>
      <c r="G95" s="20">
        <v>3</v>
      </c>
      <c r="H95" s="20">
        <v>4</v>
      </c>
      <c r="I95" s="13">
        <v>0.64200000000000002</v>
      </c>
      <c r="J95" s="20" t="s">
        <v>249</v>
      </c>
      <c r="K95" s="18">
        <v>0.35899999999999999</v>
      </c>
      <c r="L95" s="20" t="s">
        <v>249</v>
      </c>
      <c r="M95" s="20" t="s">
        <v>483</v>
      </c>
      <c r="N95" s="20" t="s">
        <v>24</v>
      </c>
      <c r="O95" s="20">
        <v>2</v>
      </c>
      <c r="P95" s="20">
        <v>4</v>
      </c>
      <c r="Q95" s="13">
        <v>0.70699999999999996</v>
      </c>
      <c r="R95" s="20" t="s">
        <v>249</v>
      </c>
      <c r="S95" s="20">
        <v>0.55000000000000004</v>
      </c>
      <c r="T95" s="20" t="s">
        <v>249</v>
      </c>
      <c r="U95" s="20" t="s">
        <v>27</v>
      </c>
      <c r="V95" s="20"/>
      <c r="W95" s="20"/>
      <c r="X95" s="20" t="s">
        <v>60</v>
      </c>
      <c r="Y95" s="20" t="s">
        <v>292</v>
      </c>
      <c r="Z95" s="20" t="s">
        <v>457</v>
      </c>
      <c r="AA95" s="20" t="s">
        <v>480</v>
      </c>
    </row>
    <row r="96" spans="1:27" x14ac:dyDescent="0.2">
      <c r="A96" s="20" t="s">
        <v>227</v>
      </c>
      <c r="B96" s="20" t="s">
        <v>328</v>
      </c>
      <c r="C96" s="20" t="s">
        <v>40</v>
      </c>
      <c r="D96" s="20" t="s">
        <v>29</v>
      </c>
      <c r="E96" s="20" t="s">
        <v>472</v>
      </c>
      <c r="F96" s="20" t="s">
        <v>40</v>
      </c>
      <c r="G96" s="20">
        <v>4</v>
      </c>
      <c r="H96" s="20">
        <v>3</v>
      </c>
      <c r="I96" s="13">
        <v>0.70499999999999996</v>
      </c>
      <c r="J96" s="20" t="s">
        <v>248</v>
      </c>
      <c r="K96" s="18">
        <v>0.53300000000000003</v>
      </c>
      <c r="L96" s="20" t="s">
        <v>248</v>
      </c>
      <c r="M96" s="20" t="s">
        <v>315</v>
      </c>
      <c r="N96" s="20" t="s">
        <v>40</v>
      </c>
      <c r="O96" s="20">
        <v>4</v>
      </c>
      <c r="P96" s="20">
        <v>2</v>
      </c>
      <c r="Q96" s="13">
        <v>0.6</v>
      </c>
      <c r="R96" s="20" t="s">
        <v>249</v>
      </c>
      <c r="S96" s="20">
        <v>-1.02</v>
      </c>
      <c r="T96" s="20" t="s">
        <v>248</v>
      </c>
      <c r="U96" s="20" t="s">
        <v>40</v>
      </c>
      <c r="V96" s="20"/>
      <c r="W96" s="20"/>
      <c r="X96" s="20" t="s">
        <v>60</v>
      </c>
      <c r="Y96" s="20" t="s">
        <v>292</v>
      </c>
      <c r="Z96" s="20" t="s">
        <v>457</v>
      </c>
      <c r="AA96" s="20" t="s">
        <v>480</v>
      </c>
    </row>
    <row r="97" spans="1:27" x14ac:dyDescent="0.2">
      <c r="A97" s="20" t="s">
        <v>227</v>
      </c>
      <c r="B97" s="20" t="s">
        <v>473</v>
      </c>
      <c r="C97" s="20" t="s">
        <v>37</v>
      </c>
      <c r="D97" s="20" t="s">
        <v>15</v>
      </c>
      <c r="E97" s="20" t="s">
        <v>474</v>
      </c>
      <c r="F97" s="20" t="s">
        <v>37</v>
      </c>
      <c r="G97" s="20">
        <v>4</v>
      </c>
      <c r="H97" s="20">
        <v>2</v>
      </c>
      <c r="I97" s="13">
        <v>0.63800000000000001</v>
      </c>
      <c r="J97" s="20" t="s">
        <v>249</v>
      </c>
      <c r="K97" s="18">
        <v>0.39400000000000002</v>
      </c>
      <c r="L97" s="20" t="s">
        <v>248</v>
      </c>
      <c r="M97" s="20" t="s">
        <v>397</v>
      </c>
      <c r="N97" s="20" t="s">
        <v>37</v>
      </c>
      <c r="O97" s="20">
        <v>4</v>
      </c>
      <c r="P97" s="20">
        <v>2</v>
      </c>
      <c r="Q97" s="13">
        <v>0.60399999999999998</v>
      </c>
      <c r="R97" s="20" t="s">
        <v>249</v>
      </c>
      <c r="S97" s="20">
        <v>-0.54</v>
      </c>
      <c r="T97" s="20" t="s">
        <v>248</v>
      </c>
      <c r="U97" s="20" t="s">
        <v>37</v>
      </c>
      <c r="V97" s="20"/>
      <c r="W97" s="20"/>
      <c r="X97" s="20" t="s">
        <v>60</v>
      </c>
      <c r="Y97" s="20" t="s">
        <v>292</v>
      </c>
      <c r="Z97" s="20" t="s">
        <v>457</v>
      </c>
      <c r="AA97" s="20" t="s">
        <v>480</v>
      </c>
    </row>
    <row r="98" spans="1:27" x14ac:dyDescent="0.2">
      <c r="A98" s="20" t="s">
        <v>227</v>
      </c>
      <c r="B98" s="20" t="s">
        <v>328</v>
      </c>
      <c r="C98" s="20" t="s">
        <v>19</v>
      </c>
      <c r="D98" s="20" t="s">
        <v>14</v>
      </c>
      <c r="E98" s="20" t="s">
        <v>475</v>
      </c>
      <c r="F98" s="20" t="s">
        <v>14</v>
      </c>
      <c r="G98" s="20">
        <v>4</v>
      </c>
      <c r="H98" s="20">
        <v>5</v>
      </c>
      <c r="I98" s="13">
        <v>0.72599999999999998</v>
      </c>
      <c r="J98" s="20" t="s">
        <v>249</v>
      </c>
      <c r="K98" s="18">
        <v>0.32500000000000001</v>
      </c>
      <c r="L98" s="20" t="s">
        <v>249</v>
      </c>
      <c r="M98" s="20" t="s">
        <v>484</v>
      </c>
      <c r="N98" s="20" t="s">
        <v>14</v>
      </c>
      <c r="O98" s="20">
        <v>2</v>
      </c>
      <c r="P98" s="20">
        <v>4</v>
      </c>
      <c r="Q98" s="13">
        <v>0.64800000000000002</v>
      </c>
      <c r="R98" s="20" t="s">
        <v>249</v>
      </c>
      <c r="S98" s="20">
        <v>0.91</v>
      </c>
      <c r="T98" s="20" t="s">
        <v>249</v>
      </c>
      <c r="U98" s="20" t="s">
        <v>19</v>
      </c>
      <c r="V98" s="20"/>
      <c r="W98" s="20"/>
      <c r="X98" s="20" t="s">
        <v>60</v>
      </c>
      <c r="Y98" s="20" t="s">
        <v>292</v>
      </c>
      <c r="Z98" s="20" t="s">
        <v>457</v>
      </c>
      <c r="AA98" s="20" t="s">
        <v>480</v>
      </c>
    </row>
    <row r="99" spans="1:27" x14ac:dyDescent="0.2">
      <c r="A99" s="20" t="s">
        <v>227</v>
      </c>
      <c r="B99" s="20" t="s">
        <v>369</v>
      </c>
      <c r="C99" s="20" t="s">
        <v>17</v>
      </c>
      <c r="D99" s="20" t="s">
        <v>32</v>
      </c>
      <c r="E99" s="20" t="s">
        <v>476</v>
      </c>
      <c r="F99" s="20" t="s">
        <v>32</v>
      </c>
      <c r="G99" s="20">
        <v>4</v>
      </c>
      <c r="H99" s="20">
        <v>5</v>
      </c>
      <c r="I99" s="13">
        <v>0.71599999999999997</v>
      </c>
      <c r="J99" s="20" t="s">
        <v>249</v>
      </c>
      <c r="K99" s="18">
        <v>0.308</v>
      </c>
      <c r="L99" s="20" t="s">
        <v>249</v>
      </c>
      <c r="M99" s="20" t="s">
        <v>485</v>
      </c>
      <c r="N99" s="20" t="s">
        <v>32</v>
      </c>
      <c r="O99" s="20">
        <v>2</v>
      </c>
      <c r="P99" s="20">
        <v>4</v>
      </c>
      <c r="Q99" s="13">
        <v>0.61199999999999999</v>
      </c>
      <c r="R99" s="20" t="s">
        <v>249</v>
      </c>
      <c r="S99" s="20">
        <v>0.59</v>
      </c>
      <c r="T99" s="20" t="s">
        <v>249</v>
      </c>
      <c r="U99" s="20" t="s">
        <v>17</v>
      </c>
      <c r="V99" s="20"/>
      <c r="W99" s="20"/>
      <c r="X99" s="20" t="s">
        <v>60</v>
      </c>
      <c r="Y99" s="20" t="s">
        <v>292</v>
      </c>
      <c r="Z99" s="20" t="s">
        <v>457</v>
      </c>
      <c r="AA99" s="20" t="s">
        <v>480</v>
      </c>
    </row>
    <row r="100" spans="1:27" x14ac:dyDescent="0.2">
      <c r="A100" s="20" t="s">
        <v>227</v>
      </c>
      <c r="B100" s="20" t="s">
        <v>324</v>
      </c>
      <c r="C100" s="20" t="s">
        <v>55</v>
      </c>
      <c r="D100" s="20" t="s">
        <v>35</v>
      </c>
      <c r="E100" s="20" t="s">
        <v>477</v>
      </c>
      <c r="F100" s="20" t="s">
        <v>55</v>
      </c>
      <c r="G100" s="20">
        <v>6</v>
      </c>
      <c r="H100" s="20">
        <v>5</v>
      </c>
      <c r="I100" s="13">
        <v>0.52800000000000002</v>
      </c>
      <c r="J100" s="20" t="s">
        <v>249</v>
      </c>
      <c r="K100" s="18">
        <v>0.34599999999999997</v>
      </c>
      <c r="L100" s="20" t="s">
        <v>249</v>
      </c>
      <c r="M100" s="20" t="s">
        <v>486</v>
      </c>
      <c r="N100" s="20" t="s">
        <v>55</v>
      </c>
      <c r="O100" s="20">
        <v>4</v>
      </c>
      <c r="P100" s="20">
        <v>2</v>
      </c>
      <c r="Q100" s="13">
        <v>0.58799999999999997</v>
      </c>
      <c r="R100" s="20" t="s">
        <v>249</v>
      </c>
      <c r="S100" s="20">
        <v>-1.1000000000000001</v>
      </c>
      <c r="T100" s="20" t="s">
        <v>249</v>
      </c>
      <c r="U100" s="20" t="s">
        <v>35</v>
      </c>
      <c r="V100" s="20"/>
      <c r="W100" s="20"/>
      <c r="X100" s="20" t="s">
        <v>60</v>
      </c>
      <c r="Y100" s="20" t="s">
        <v>292</v>
      </c>
      <c r="Z100" s="20" t="s">
        <v>457</v>
      </c>
      <c r="AA100" s="20" t="s">
        <v>480</v>
      </c>
    </row>
    <row r="101" spans="1:27" x14ac:dyDescent="0.2">
      <c r="A101" s="20" t="s">
        <v>227</v>
      </c>
      <c r="B101" s="20" t="s">
        <v>322</v>
      </c>
      <c r="C101" s="20" t="s">
        <v>33</v>
      </c>
      <c r="D101" s="20" t="s">
        <v>20</v>
      </c>
      <c r="E101" s="20" t="s">
        <v>478</v>
      </c>
      <c r="F101" s="20" t="s">
        <v>33</v>
      </c>
      <c r="G101" s="20">
        <v>4</v>
      </c>
      <c r="H101" s="20">
        <v>3</v>
      </c>
      <c r="I101" s="13">
        <v>0.54700000000000004</v>
      </c>
      <c r="J101" s="20" t="s">
        <v>249</v>
      </c>
      <c r="K101" s="18">
        <v>0.35399999999999998</v>
      </c>
      <c r="L101" s="20" t="s">
        <v>249</v>
      </c>
      <c r="M101" s="20" t="s">
        <v>487</v>
      </c>
      <c r="N101" s="20" t="s">
        <v>20</v>
      </c>
      <c r="O101" s="20">
        <v>2</v>
      </c>
      <c r="P101" s="20">
        <v>3</v>
      </c>
      <c r="Q101" s="13">
        <v>0.57799999999999996</v>
      </c>
      <c r="R101" s="20" t="s">
        <v>249</v>
      </c>
      <c r="S101" s="20">
        <v>0.32</v>
      </c>
      <c r="T101" s="20" t="s">
        <v>248</v>
      </c>
      <c r="U101" s="20" t="s">
        <v>20</v>
      </c>
      <c r="V101" s="20"/>
      <c r="W101" s="20"/>
      <c r="X101" s="20" t="s">
        <v>60</v>
      </c>
      <c r="Y101" s="20" t="s">
        <v>292</v>
      </c>
      <c r="Z101" s="20" t="s">
        <v>457</v>
      </c>
      <c r="AA101" s="20" t="s">
        <v>480</v>
      </c>
    </row>
    <row r="102" spans="1:27" x14ac:dyDescent="0.2">
      <c r="A102" s="20" t="s">
        <v>228</v>
      </c>
      <c r="B102" s="20" t="s">
        <v>365</v>
      </c>
      <c r="C102" s="20" t="s">
        <v>16</v>
      </c>
      <c r="D102" s="20" t="s">
        <v>25</v>
      </c>
      <c r="E102" s="20" t="s">
        <v>488</v>
      </c>
      <c r="F102" s="20" t="s">
        <v>25</v>
      </c>
      <c r="G102" s="20">
        <v>2</v>
      </c>
      <c r="H102" s="20">
        <v>4</v>
      </c>
      <c r="I102" s="13">
        <v>0.77100000000000002</v>
      </c>
      <c r="J102" s="20" t="s">
        <v>249</v>
      </c>
      <c r="K102" s="18">
        <v>0.29799999999999999</v>
      </c>
      <c r="L102" s="20" t="s">
        <v>248</v>
      </c>
      <c r="M102" s="20" t="s">
        <v>460</v>
      </c>
      <c r="N102" s="20" t="s">
        <v>25</v>
      </c>
      <c r="O102" s="20">
        <v>2</v>
      </c>
      <c r="P102" s="20">
        <v>5</v>
      </c>
      <c r="Q102" s="13">
        <v>0.76700000000000002</v>
      </c>
      <c r="R102" s="20" t="s">
        <v>249</v>
      </c>
      <c r="S102" s="20">
        <v>1.57</v>
      </c>
      <c r="T102" s="20" t="s">
        <v>248</v>
      </c>
      <c r="U102" s="20" t="s">
        <v>25</v>
      </c>
      <c r="V102" s="20"/>
      <c r="W102" s="20"/>
      <c r="X102" s="20" t="s">
        <v>60</v>
      </c>
      <c r="Y102" s="20" t="s">
        <v>292</v>
      </c>
      <c r="Z102" s="20" t="s">
        <v>480</v>
      </c>
      <c r="AA102" s="20" t="s">
        <v>493</v>
      </c>
    </row>
    <row r="103" spans="1:27" x14ac:dyDescent="0.2">
      <c r="A103" s="20" t="s">
        <v>228</v>
      </c>
      <c r="B103" s="20" t="s">
        <v>352</v>
      </c>
      <c r="C103" s="20" t="s">
        <v>31</v>
      </c>
      <c r="D103" s="20" t="s">
        <v>10</v>
      </c>
      <c r="E103" s="20" t="s">
        <v>489</v>
      </c>
      <c r="F103" s="20" t="s">
        <v>31</v>
      </c>
      <c r="G103" s="20">
        <v>5</v>
      </c>
      <c r="H103" s="20">
        <v>4</v>
      </c>
      <c r="I103" s="13">
        <v>0.78800000000000003</v>
      </c>
      <c r="J103" s="20" t="s">
        <v>249</v>
      </c>
      <c r="K103" s="18">
        <v>0.20899999999999999</v>
      </c>
      <c r="L103" s="20" t="s">
        <v>249</v>
      </c>
      <c r="M103" s="20" t="s">
        <v>494</v>
      </c>
      <c r="N103" s="20" t="s">
        <v>31</v>
      </c>
      <c r="O103" s="20">
        <v>3</v>
      </c>
      <c r="P103" s="20">
        <v>2</v>
      </c>
      <c r="Q103" s="13">
        <v>0.53200000000000003</v>
      </c>
      <c r="R103" s="20" t="s">
        <v>249</v>
      </c>
      <c r="S103" s="20">
        <v>-0.43</v>
      </c>
      <c r="T103" s="20" t="s">
        <v>249</v>
      </c>
      <c r="U103" s="20" t="s">
        <v>10</v>
      </c>
      <c r="V103" s="20"/>
      <c r="W103" s="20"/>
      <c r="X103" s="20" t="s">
        <v>60</v>
      </c>
      <c r="Y103" s="20" t="s">
        <v>292</v>
      </c>
      <c r="Z103" s="20" t="s">
        <v>480</v>
      </c>
      <c r="AA103" s="20" t="s">
        <v>493</v>
      </c>
    </row>
    <row r="104" spans="1:27" x14ac:dyDescent="0.2">
      <c r="A104" s="20" t="s">
        <v>228</v>
      </c>
      <c r="B104" s="20" t="s">
        <v>490</v>
      </c>
      <c r="C104" s="20" t="s">
        <v>36</v>
      </c>
      <c r="D104" s="20" t="s">
        <v>39</v>
      </c>
      <c r="E104" s="20" t="s">
        <v>491</v>
      </c>
      <c r="F104" s="20" t="s">
        <v>39</v>
      </c>
      <c r="G104" s="20">
        <v>3</v>
      </c>
      <c r="H104" s="20">
        <v>4</v>
      </c>
      <c r="I104" s="13">
        <v>0.73099999999999998</v>
      </c>
      <c r="J104" s="20" t="s">
        <v>249</v>
      </c>
      <c r="K104" s="18">
        <v>0.307</v>
      </c>
      <c r="L104" s="20" t="s">
        <v>248</v>
      </c>
      <c r="M104" s="20" t="s">
        <v>400</v>
      </c>
      <c r="N104" s="20" t="s">
        <v>39</v>
      </c>
      <c r="O104" s="20">
        <v>2</v>
      </c>
      <c r="P104" s="20">
        <v>4</v>
      </c>
      <c r="Q104" s="13">
        <v>0.63900000000000001</v>
      </c>
      <c r="R104" s="20" t="s">
        <v>249</v>
      </c>
      <c r="S104" s="20">
        <v>0.68</v>
      </c>
      <c r="T104" s="20" t="s">
        <v>248</v>
      </c>
      <c r="U104" s="20" t="s">
        <v>39</v>
      </c>
      <c r="V104" s="20"/>
      <c r="W104" s="20"/>
      <c r="X104" s="20" t="s">
        <v>60</v>
      </c>
      <c r="Y104" s="20" t="s">
        <v>292</v>
      </c>
      <c r="Z104" s="20" t="s">
        <v>480</v>
      </c>
      <c r="AA104" s="20" t="s">
        <v>493</v>
      </c>
    </row>
    <row r="105" spans="1:27" x14ac:dyDescent="0.2">
      <c r="A105" s="20" t="s">
        <v>228</v>
      </c>
      <c r="B105" s="20" t="s">
        <v>347</v>
      </c>
      <c r="C105" s="20" t="s">
        <v>22</v>
      </c>
      <c r="D105" s="20" t="s">
        <v>30</v>
      </c>
      <c r="E105" s="20" t="s">
        <v>492</v>
      </c>
      <c r="F105" s="20" t="s">
        <v>22</v>
      </c>
      <c r="G105" s="20">
        <v>4</v>
      </c>
      <c r="H105" s="20">
        <v>3</v>
      </c>
      <c r="I105" s="13">
        <v>0.78800000000000003</v>
      </c>
      <c r="J105" s="20" t="s">
        <v>248</v>
      </c>
      <c r="K105" s="18">
        <v>0.61799999999999999</v>
      </c>
      <c r="L105" s="20" t="s">
        <v>248</v>
      </c>
      <c r="M105" s="20" t="s">
        <v>321</v>
      </c>
      <c r="N105" s="20" t="s">
        <v>22</v>
      </c>
      <c r="O105" s="20">
        <v>3</v>
      </c>
      <c r="P105" s="20">
        <v>2</v>
      </c>
      <c r="Q105" s="13">
        <v>0.53200000000000003</v>
      </c>
      <c r="R105" s="20" t="s">
        <v>249</v>
      </c>
      <c r="S105" s="20">
        <v>-0.43</v>
      </c>
      <c r="T105" s="20" t="s">
        <v>248</v>
      </c>
      <c r="U105" s="20" t="s">
        <v>22</v>
      </c>
      <c r="V105" s="20"/>
      <c r="W105" s="20"/>
      <c r="X105" s="20" t="s">
        <v>60</v>
      </c>
      <c r="Y105" s="20" t="s">
        <v>292</v>
      </c>
      <c r="Z105" s="20" t="s">
        <v>480</v>
      </c>
      <c r="AA105" s="20" t="s">
        <v>493</v>
      </c>
    </row>
    <row r="106" spans="1:27" x14ac:dyDescent="0.2">
      <c r="A106" s="20" t="s">
        <v>229</v>
      </c>
      <c r="B106" s="20" t="s">
        <v>334</v>
      </c>
      <c r="C106" s="20" t="s">
        <v>40</v>
      </c>
      <c r="D106" s="20" t="s">
        <v>23</v>
      </c>
      <c r="E106" s="20" t="s">
        <v>495</v>
      </c>
      <c r="F106" s="20" t="s">
        <v>23</v>
      </c>
      <c r="G106" s="20">
        <v>3</v>
      </c>
      <c r="H106" s="20">
        <v>4</v>
      </c>
      <c r="I106" s="13">
        <v>0.61</v>
      </c>
      <c r="J106" s="20" t="s">
        <v>249</v>
      </c>
      <c r="K106" s="18">
        <v>0.40400000000000003</v>
      </c>
      <c r="L106" s="20" t="s">
        <v>248</v>
      </c>
      <c r="M106" s="20" t="s">
        <v>296</v>
      </c>
      <c r="N106" s="20" t="s">
        <v>40</v>
      </c>
      <c r="O106" s="20">
        <v>3</v>
      </c>
      <c r="P106" s="20">
        <v>2</v>
      </c>
      <c r="Q106" s="13">
        <v>0.55300000000000005</v>
      </c>
      <c r="R106" s="20" t="s">
        <v>249</v>
      </c>
      <c r="S106" s="20">
        <v>-0.44</v>
      </c>
      <c r="T106" s="20" t="s">
        <v>249</v>
      </c>
      <c r="U106" s="20" t="s">
        <v>23</v>
      </c>
      <c r="V106" s="20"/>
      <c r="W106" s="20"/>
      <c r="X106" s="20" t="s">
        <v>60</v>
      </c>
      <c r="Y106" s="20" t="s">
        <v>292</v>
      </c>
      <c r="Z106" s="20" t="s">
        <v>496</v>
      </c>
      <c r="AA106" s="20" t="s">
        <v>500</v>
      </c>
    </row>
    <row r="107" spans="1:27" x14ac:dyDescent="0.2">
      <c r="A107" s="20" t="s">
        <v>229</v>
      </c>
      <c r="B107" s="20" t="s">
        <v>328</v>
      </c>
      <c r="C107" s="20" t="s">
        <v>28</v>
      </c>
      <c r="D107" s="20" t="s">
        <v>24</v>
      </c>
      <c r="E107" s="20" t="s">
        <v>497</v>
      </c>
      <c r="F107" s="20" t="s">
        <v>24</v>
      </c>
      <c r="G107" s="20">
        <v>4</v>
      </c>
      <c r="H107" s="20">
        <v>5</v>
      </c>
      <c r="I107" s="13">
        <v>0.79800000000000004</v>
      </c>
      <c r="J107" s="20" t="s">
        <v>249</v>
      </c>
      <c r="K107" s="18">
        <v>0.28899999999999998</v>
      </c>
      <c r="L107" s="20" t="s">
        <v>249</v>
      </c>
      <c r="M107" s="20" t="s">
        <v>501</v>
      </c>
      <c r="N107" s="20" t="s">
        <v>24</v>
      </c>
      <c r="O107" s="20">
        <v>2</v>
      </c>
      <c r="P107" s="20">
        <v>4</v>
      </c>
      <c r="Q107" s="13">
        <v>0.74399999999999999</v>
      </c>
      <c r="R107" s="20" t="s">
        <v>249</v>
      </c>
      <c r="S107" s="20">
        <v>0.86</v>
      </c>
      <c r="T107" s="20" t="s">
        <v>249</v>
      </c>
      <c r="U107" s="20" t="s">
        <v>28</v>
      </c>
      <c r="V107" s="20"/>
      <c r="W107" s="20"/>
      <c r="X107" s="20" t="s">
        <v>60</v>
      </c>
      <c r="Y107" s="20" t="s">
        <v>292</v>
      </c>
      <c r="Z107" s="20" t="s">
        <v>496</v>
      </c>
      <c r="AA107" s="20" t="s">
        <v>500</v>
      </c>
    </row>
    <row r="108" spans="1:27" x14ac:dyDescent="0.2">
      <c r="A108" s="20" t="s">
        <v>229</v>
      </c>
      <c r="B108" s="20" t="s">
        <v>328</v>
      </c>
      <c r="C108" s="20" t="s">
        <v>14</v>
      </c>
      <c r="D108" s="20" t="s">
        <v>27</v>
      </c>
      <c r="E108" s="20" t="s">
        <v>498</v>
      </c>
      <c r="F108" s="20" t="s">
        <v>27</v>
      </c>
      <c r="G108" s="20">
        <v>2</v>
      </c>
      <c r="H108" s="20">
        <v>3</v>
      </c>
      <c r="I108" s="13">
        <v>0.52700000000000002</v>
      </c>
      <c r="J108" s="20" t="s">
        <v>248</v>
      </c>
      <c r="K108" s="18">
        <v>0.59</v>
      </c>
      <c r="L108" s="20" t="s">
        <v>248</v>
      </c>
      <c r="M108" s="20" t="s">
        <v>395</v>
      </c>
      <c r="N108" s="20" t="s">
        <v>27</v>
      </c>
      <c r="O108" s="20">
        <v>2</v>
      </c>
      <c r="P108" s="20">
        <v>3</v>
      </c>
      <c r="Q108" s="13">
        <v>0.57099999999999995</v>
      </c>
      <c r="R108" s="20" t="s">
        <v>248</v>
      </c>
      <c r="S108" s="20">
        <v>0.16</v>
      </c>
      <c r="T108" s="20" t="s">
        <v>248</v>
      </c>
      <c r="U108" s="20" t="s">
        <v>27</v>
      </c>
      <c r="V108" s="20"/>
      <c r="W108" s="20"/>
      <c r="X108" s="20" t="s">
        <v>60</v>
      </c>
      <c r="Y108" s="20" t="s">
        <v>292</v>
      </c>
      <c r="Z108" s="20" t="s">
        <v>496</v>
      </c>
      <c r="AA108" s="20" t="s">
        <v>500</v>
      </c>
    </row>
    <row r="109" spans="1:27" x14ac:dyDescent="0.2">
      <c r="A109" s="20" t="s">
        <v>229</v>
      </c>
      <c r="B109" s="20" t="s">
        <v>322</v>
      </c>
      <c r="C109" s="20" t="s">
        <v>55</v>
      </c>
      <c r="D109" s="20" t="s">
        <v>33</v>
      </c>
      <c r="E109" s="20" t="s">
        <v>308</v>
      </c>
      <c r="F109" s="20" t="s">
        <v>33</v>
      </c>
      <c r="G109" s="20">
        <v>2</v>
      </c>
      <c r="H109" s="20">
        <v>3</v>
      </c>
      <c r="I109" s="13">
        <v>0.78100000000000003</v>
      </c>
      <c r="J109" s="20" t="s">
        <v>248</v>
      </c>
      <c r="K109" s="18">
        <v>0.61499999999999999</v>
      </c>
      <c r="L109" s="20" t="s">
        <v>249</v>
      </c>
      <c r="M109" s="20" t="s">
        <v>502</v>
      </c>
      <c r="N109" s="20" t="s">
        <v>55</v>
      </c>
      <c r="O109" s="20">
        <v>3</v>
      </c>
      <c r="P109" s="20">
        <v>2</v>
      </c>
      <c r="Q109" s="13">
        <v>0.48399999999999999</v>
      </c>
      <c r="R109" s="20" t="s">
        <v>248</v>
      </c>
      <c r="S109" s="20">
        <v>-0.2</v>
      </c>
      <c r="T109" s="20" t="s">
        <v>248</v>
      </c>
      <c r="U109" s="20" t="s">
        <v>55</v>
      </c>
      <c r="V109" s="20"/>
      <c r="W109" s="20"/>
      <c r="X109" s="20" t="s">
        <v>60</v>
      </c>
      <c r="Y109" s="20" t="s">
        <v>292</v>
      </c>
      <c r="Z109" s="20" t="s">
        <v>496</v>
      </c>
      <c r="AA109" s="20" t="s">
        <v>500</v>
      </c>
    </row>
    <row r="110" spans="1:27" x14ac:dyDescent="0.2">
      <c r="A110" s="20" t="s">
        <v>229</v>
      </c>
      <c r="B110" s="20" t="s">
        <v>324</v>
      </c>
      <c r="C110" s="20" t="s">
        <v>31</v>
      </c>
      <c r="D110" s="20" t="s">
        <v>35</v>
      </c>
      <c r="E110" s="20" t="s">
        <v>499</v>
      </c>
      <c r="F110" s="20" t="s">
        <v>31</v>
      </c>
      <c r="G110" s="20">
        <v>4</v>
      </c>
      <c r="H110" s="20">
        <v>3</v>
      </c>
      <c r="I110" s="13">
        <v>0.66100000000000003</v>
      </c>
      <c r="J110" s="20" t="s">
        <v>249</v>
      </c>
      <c r="K110" s="18">
        <v>0.309</v>
      </c>
      <c r="L110" s="20" t="s">
        <v>248</v>
      </c>
      <c r="M110" s="20" t="s">
        <v>291</v>
      </c>
      <c r="N110" s="20" t="s">
        <v>31</v>
      </c>
      <c r="O110" s="20">
        <v>4</v>
      </c>
      <c r="P110" s="20">
        <v>2</v>
      </c>
      <c r="Q110" s="13">
        <v>0.63</v>
      </c>
      <c r="R110" s="20" t="s">
        <v>249</v>
      </c>
      <c r="S110" s="20">
        <v>-1.4</v>
      </c>
      <c r="T110" s="20" t="s">
        <v>248</v>
      </c>
      <c r="U110" s="20" t="s">
        <v>31</v>
      </c>
      <c r="V110" s="20"/>
      <c r="W110" s="20"/>
      <c r="X110" s="20" t="s">
        <v>60</v>
      </c>
      <c r="Y110" s="20" t="s">
        <v>292</v>
      </c>
      <c r="Z110" s="20" t="s">
        <v>496</v>
      </c>
      <c r="AA110" s="20" t="s">
        <v>500</v>
      </c>
    </row>
    <row r="111" spans="1:27" x14ac:dyDescent="0.2">
      <c r="A111" s="20" t="s">
        <v>230</v>
      </c>
      <c r="B111" s="20" t="s">
        <v>326</v>
      </c>
      <c r="C111" s="20" t="s">
        <v>38</v>
      </c>
      <c r="D111" s="20" t="s">
        <v>12</v>
      </c>
      <c r="E111" s="20" t="s">
        <v>503</v>
      </c>
      <c r="F111" s="20" t="s">
        <v>12</v>
      </c>
      <c r="G111" s="20">
        <v>3</v>
      </c>
      <c r="H111" s="20">
        <v>4</v>
      </c>
      <c r="I111" s="13">
        <v>0.74</v>
      </c>
      <c r="J111" s="20" t="s">
        <v>249</v>
      </c>
      <c r="K111" s="18">
        <v>0.157</v>
      </c>
      <c r="L111" s="20" t="s">
        <v>60</v>
      </c>
      <c r="M111" s="20" t="s">
        <v>60</v>
      </c>
      <c r="N111" s="20" t="s">
        <v>12</v>
      </c>
      <c r="O111" s="20">
        <v>1</v>
      </c>
      <c r="P111" s="20">
        <v>6</v>
      </c>
      <c r="Q111" s="13">
        <v>0.94799999999999995</v>
      </c>
      <c r="R111" s="20" t="s">
        <v>249</v>
      </c>
      <c r="S111" s="20">
        <v>2.63</v>
      </c>
      <c r="T111" s="20" t="s">
        <v>60</v>
      </c>
      <c r="U111" s="20" t="s">
        <v>60</v>
      </c>
      <c r="V111" s="20"/>
      <c r="W111" s="20"/>
      <c r="X111" s="20" t="s">
        <v>60</v>
      </c>
      <c r="Y111" s="20" t="s">
        <v>421</v>
      </c>
      <c r="Z111" s="20" t="s">
        <v>500</v>
      </c>
      <c r="AA111" s="20" t="s">
        <v>60</v>
      </c>
    </row>
    <row r="112" spans="1:27" x14ac:dyDescent="0.2">
      <c r="A112" s="20" t="s">
        <v>230</v>
      </c>
      <c r="B112" s="20" t="s">
        <v>328</v>
      </c>
      <c r="C112" s="20" t="s">
        <v>21</v>
      </c>
      <c r="D112" s="20" t="s">
        <v>26</v>
      </c>
      <c r="E112" s="20" t="s">
        <v>504</v>
      </c>
      <c r="F112" s="20" t="s">
        <v>21</v>
      </c>
      <c r="G112" s="20">
        <v>4</v>
      </c>
      <c r="H112" s="20">
        <v>3</v>
      </c>
      <c r="I112" s="13">
        <v>0.51300000000000001</v>
      </c>
      <c r="J112" s="20" t="s">
        <v>249</v>
      </c>
      <c r="K112" s="18">
        <v>0.315</v>
      </c>
      <c r="L112" s="20" t="s">
        <v>60</v>
      </c>
      <c r="M112" s="20" t="s">
        <v>60</v>
      </c>
      <c r="N112" s="20" t="s">
        <v>21</v>
      </c>
      <c r="O112" s="20">
        <v>4</v>
      </c>
      <c r="P112" s="20">
        <v>2</v>
      </c>
      <c r="Q112" s="13">
        <v>0.53200000000000003</v>
      </c>
      <c r="R112" s="20" t="s">
        <v>249</v>
      </c>
      <c r="S112" s="20">
        <v>-0.61</v>
      </c>
      <c r="T112" s="20" t="s">
        <v>60</v>
      </c>
      <c r="U112" s="20" t="s">
        <v>60</v>
      </c>
      <c r="V112" s="20"/>
      <c r="W112" s="20"/>
      <c r="X112" s="20" t="s">
        <v>60</v>
      </c>
      <c r="Y112" s="20" t="s">
        <v>421</v>
      </c>
      <c r="Z112" s="20" t="s">
        <v>500</v>
      </c>
      <c r="AA112" s="20" t="s">
        <v>60</v>
      </c>
    </row>
    <row r="113" spans="1:27" x14ac:dyDescent="0.2">
      <c r="A113" s="20" t="s">
        <v>230</v>
      </c>
      <c r="B113" s="20" t="s">
        <v>326</v>
      </c>
      <c r="C113" s="20" t="s">
        <v>34</v>
      </c>
      <c r="D113" s="20" t="s">
        <v>17</v>
      </c>
      <c r="E113" s="20" t="s">
        <v>505</v>
      </c>
      <c r="F113" s="20" t="s">
        <v>17</v>
      </c>
      <c r="G113" s="20">
        <v>4</v>
      </c>
      <c r="H113" s="20">
        <v>5</v>
      </c>
      <c r="I113" s="13">
        <v>0.625</v>
      </c>
      <c r="J113" s="20" t="s">
        <v>249</v>
      </c>
      <c r="K113" s="18">
        <v>0.33</v>
      </c>
      <c r="L113" s="20" t="s">
        <v>60</v>
      </c>
      <c r="M113" s="20" t="s">
        <v>60</v>
      </c>
      <c r="N113" s="20" t="s">
        <v>34</v>
      </c>
      <c r="O113" s="20">
        <v>4</v>
      </c>
      <c r="P113" s="20">
        <v>2</v>
      </c>
      <c r="Q113" s="13">
        <v>0.57899999999999996</v>
      </c>
      <c r="R113" s="20" t="s">
        <v>249</v>
      </c>
      <c r="S113" s="20">
        <v>-0.71</v>
      </c>
      <c r="T113" s="20" t="s">
        <v>60</v>
      </c>
      <c r="U113" s="20" t="s">
        <v>60</v>
      </c>
      <c r="V113" s="20"/>
      <c r="W113" s="20"/>
      <c r="X113" s="20" t="s">
        <v>60</v>
      </c>
      <c r="Y113" s="20" t="s">
        <v>421</v>
      </c>
      <c r="Z113" s="20" t="s">
        <v>500</v>
      </c>
      <c r="AA113" s="20" t="s">
        <v>60</v>
      </c>
    </row>
    <row r="114" spans="1:27" x14ac:dyDescent="0.2">
      <c r="A114" s="20" t="s">
        <v>230</v>
      </c>
      <c r="B114" s="20" t="s">
        <v>334</v>
      </c>
      <c r="C114" s="20" t="s">
        <v>19</v>
      </c>
      <c r="D114" s="20" t="s">
        <v>11</v>
      </c>
      <c r="E114" s="20" t="s">
        <v>506</v>
      </c>
      <c r="F114" s="20" t="s">
        <v>11</v>
      </c>
      <c r="G114" s="20">
        <v>3</v>
      </c>
      <c r="H114" s="20">
        <v>4</v>
      </c>
      <c r="I114" s="13">
        <v>0.72799999999999998</v>
      </c>
      <c r="J114" s="20" t="s">
        <v>248</v>
      </c>
      <c r="K114" s="18">
        <v>0.71799999999999997</v>
      </c>
      <c r="L114" s="20" t="s">
        <v>60</v>
      </c>
      <c r="M114" s="20" t="s">
        <v>60</v>
      </c>
      <c r="N114" s="20" t="s">
        <v>11</v>
      </c>
      <c r="O114" s="20">
        <v>2</v>
      </c>
      <c r="P114" s="20">
        <v>3</v>
      </c>
      <c r="Q114" s="13">
        <v>0.58799999999999997</v>
      </c>
      <c r="R114" s="20" t="s">
        <v>248</v>
      </c>
      <c r="S114" s="20">
        <v>0.28999999999999998</v>
      </c>
      <c r="T114" s="20" t="s">
        <v>60</v>
      </c>
      <c r="U114" s="20" t="s">
        <v>60</v>
      </c>
      <c r="V114" s="20"/>
      <c r="W114" s="20"/>
      <c r="X114" s="20" t="s">
        <v>60</v>
      </c>
      <c r="Y114" s="20" t="s">
        <v>421</v>
      </c>
      <c r="Z114" s="20" t="s">
        <v>500</v>
      </c>
      <c r="AA114" s="20" t="s">
        <v>60</v>
      </c>
    </row>
    <row r="115" spans="1:27" x14ac:dyDescent="0.2">
      <c r="A115" s="20" t="s">
        <v>230</v>
      </c>
      <c r="B115" s="20" t="s">
        <v>340</v>
      </c>
      <c r="C115" s="20" t="s">
        <v>22</v>
      </c>
      <c r="D115" s="20" t="s">
        <v>13</v>
      </c>
      <c r="E115" s="20" t="s">
        <v>507</v>
      </c>
      <c r="F115" s="20" t="s">
        <v>22</v>
      </c>
      <c r="G115" s="20">
        <v>6</v>
      </c>
      <c r="H115" s="20">
        <v>5</v>
      </c>
      <c r="I115" s="13">
        <v>0.76700000000000002</v>
      </c>
      <c r="J115" s="20" t="s">
        <v>249</v>
      </c>
      <c r="K115" s="18">
        <v>0.29699999999999999</v>
      </c>
      <c r="L115" s="20" t="s">
        <v>60</v>
      </c>
      <c r="M115" s="20" t="s">
        <v>60</v>
      </c>
      <c r="N115" s="20" t="s">
        <v>22</v>
      </c>
      <c r="O115" s="20">
        <v>4</v>
      </c>
      <c r="P115" s="20">
        <v>2</v>
      </c>
      <c r="Q115" s="13">
        <v>0.58799999999999997</v>
      </c>
      <c r="R115" s="20" t="s">
        <v>249</v>
      </c>
      <c r="S115" s="20">
        <v>-0.73</v>
      </c>
      <c r="T115" s="20" t="s">
        <v>60</v>
      </c>
      <c r="U115" s="20" t="s">
        <v>60</v>
      </c>
      <c r="V115" s="20"/>
      <c r="W115" s="20"/>
      <c r="X115" s="20" t="s">
        <v>60</v>
      </c>
      <c r="Y115" s="20" t="s">
        <v>421</v>
      </c>
      <c r="Z115" s="20" t="s">
        <v>500</v>
      </c>
      <c r="AA115" s="20" t="s">
        <v>60</v>
      </c>
    </row>
    <row r="116" spans="1:27" x14ac:dyDescent="0.2">
      <c r="A116" s="20" t="s">
        <v>230</v>
      </c>
      <c r="B116" s="20" t="s">
        <v>328</v>
      </c>
      <c r="C116" s="20" t="s">
        <v>36</v>
      </c>
      <c r="D116" s="20" t="s">
        <v>18</v>
      </c>
      <c r="E116" s="20" t="s">
        <v>508</v>
      </c>
      <c r="F116" s="20" t="s">
        <v>36</v>
      </c>
      <c r="G116" s="20">
        <v>4</v>
      </c>
      <c r="H116" s="20">
        <v>3</v>
      </c>
      <c r="I116" s="13">
        <v>0.67800000000000005</v>
      </c>
      <c r="J116" s="20" t="s">
        <v>248</v>
      </c>
      <c r="K116" s="18">
        <v>0.65100000000000002</v>
      </c>
      <c r="L116" s="20" t="s">
        <v>60</v>
      </c>
      <c r="M116" s="20" t="s">
        <v>60</v>
      </c>
      <c r="N116" s="20" t="s">
        <v>36</v>
      </c>
      <c r="O116" s="20">
        <v>3</v>
      </c>
      <c r="P116" s="20">
        <v>2</v>
      </c>
      <c r="Q116" s="13">
        <v>0.46100000000000002</v>
      </c>
      <c r="R116" s="20" t="s">
        <v>248</v>
      </c>
      <c r="S116" s="20">
        <v>-0.01</v>
      </c>
      <c r="T116" s="20" t="s">
        <v>60</v>
      </c>
      <c r="U116" s="20" t="s">
        <v>60</v>
      </c>
      <c r="V116" s="20"/>
      <c r="W116" s="20"/>
      <c r="X116" s="20" t="s">
        <v>60</v>
      </c>
      <c r="Y116" s="20" t="s">
        <v>421</v>
      </c>
      <c r="Z116" s="20" t="s">
        <v>500</v>
      </c>
      <c r="AA116" s="20" t="s">
        <v>60</v>
      </c>
    </row>
    <row r="117" spans="1:27" x14ac:dyDescent="0.2">
      <c r="A117" s="20" t="s">
        <v>230</v>
      </c>
      <c r="B117" s="20" t="s">
        <v>324</v>
      </c>
      <c r="C117" s="20" t="s">
        <v>16</v>
      </c>
      <c r="D117" s="20" t="s">
        <v>29</v>
      </c>
      <c r="E117" s="20" t="s">
        <v>509</v>
      </c>
      <c r="F117" s="20" t="s">
        <v>16</v>
      </c>
      <c r="G117" s="20">
        <v>4</v>
      </c>
      <c r="H117" s="20">
        <v>3</v>
      </c>
      <c r="I117" s="13">
        <v>0.73</v>
      </c>
      <c r="J117" s="20" t="s">
        <v>248</v>
      </c>
      <c r="K117" s="18">
        <v>0.72099999999999997</v>
      </c>
      <c r="L117" s="20" t="s">
        <v>60</v>
      </c>
      <c r="M117" s="20" t="s">
        <v>60</v>
      </c>
      <c r="N117" s="20" t="s">
        <v>16</v>
      </c>
      <c r="O117" s="20">
        <v>3</v>
      </c>
      <c r="P117" s="20">
        <v>2</v>
      </c>
      <c r="Q117" s="13">
        <v>0.49099999999999999</v>
      </c>
      <c r="R117" s="20" t="s">
        <v>248</v>
      </c>
      <c r="S117" s="20">
        <v>-0.27</v>
      </c>
      <c r="T117" s="20" t="s">
        <v>60</v>
      </c>
      <c r="U117" s="20" t="s">
        <v>60</v>
      </c>
      <c r="V117" s="20"/>
      <c r="W117" s="20"/>
      <c r="X117" s="20" t="s">
        <v>60</v>
      </c>
      <c r="Y117" s="20" t="s">
        <v>421</v>
      </c>
      <c r="Z117" s="20" t="s">
        <v>500</v>
      </c>
      <c r="AA117" s="20" t="s">
        <v>60</v>
      </c>
    </row>
    <row r="118" spans="1:27" x14ac:dyDescent="0.2">
      <c r="A118" s="20" t="s">
        <v>230</v>
      </c>
      <c r="B118" s="20" t="s">
        <v>328</v>
      </c>
      <c r="C118" s="20" t="s">
        <v>37</v>
      </c>
      <c r="D118" s="20" t="s">
        <v>30</v>
      </c>
      <c r="E118" s="20" t="s">
        <v>510</v>
      </c>
      <c r="F118" s="20" t="s">
        <v>37</v>
      </c>
      <c r="G118" s="20">
        <v>5</v>
      </c>
      <c r="H118" s="20">
        <v>4</v>
      </c>
      <c r="I118" s="13">
        <v>0.87</v>
      </c>
      <c r="J118" s="20" t="s">
        <v>249</v>
      </c>
      <c r="K118" s="18">
        <v>0.26100000000000001</v>
      </c>
      <c r="L118" s="20" t="s">
        <v>60</v>
      </c>
      <c r="M118" s="20" t="s">
        <v>60</v>
      </c>
      <c r="N118" s="20" t="s">
        <v>37</v>
      </c>
      <c r="O118" s="20">
        <v>4</v>
      </c>
      <c r="P118" s="20">
        <v>2</v>
      </c>
      <c r="Q118" s="13">
        <v>0.63400000000000001</v>
      </c>
      <c r="R118" s="20" t="s">
        <v>249</v>
      </c>
      <c r="S118" s="20">
        <v>-0.7</v>
      </c>
      <c r="T118" s="20" t="s">
        <v>60</v>
      </c>
      <c r="U118" s="20" t="s">
        <v>60</v>
      </c>
      <c r="V118" s="20"/>
      <c r="W118" s="20"/>
      <c r="X118" s="20" t="s">
        <v>60</v>
      </c>
      <c r="Y118" s="20" t="s">
        <v>421</v>
      </c>
      <c r="Z118" s="20" t="s">
        <v>500</v>
      </c>
      <c r="AA118" s="20" t="s">
        <v>60</v>
      </c>
    </row>
    <row r="119" spans="1:27" x14ac:dyDescent="0.2">
      <c r="A119" s="20" t="s">
        <v>230</v>
      </c>
      <c r="B119" s="20" t="s">
        <v>328</v>
      </c>
      <c r="C119" s="20" t="s">
        <v>39</v>
      </c>
      <c r="D119" s="20" t="s">
        <v>15</v>
      </c>
      <c r="E119" s="20" t="s">
        <v>511</v>
      </c>
      <c r="F119" s="20" t="s">
        <v>39</v>
      </c>
      <c r="G119" s="20">
        <v>5</v>
      </c>
      <c r="H119" s="20">
        <v>3</v>
      </c>
      <c r="I119" s="13">
        <v>0.69599999999999995</v>
      </c>
      <c r="J119" s="20" t="s">
        <v>249</v>
      </c>
      <c r="K119" s="18">
        <v>0.22800000000000001</v>
      </c>
      <c r="L119" s="20" t="s">
        <v>60</v>
      </c>
      <c r="M119" s="20" t="s">
        <v>60</v>
      </c>
      <c r="N119" s="20" t="s">
        <v>39</v>
      </c>
      <c r="O119" s="20">
        <v>4</v>
      </c>
      <c r="P119" s="20">
        <v>2</v>
      </c>
      <c r="Q119" s="13">
        <v>0.63800000000000001</v>
      </c>
      <c r="R119" s="20" t="s">
        <v>249</v>
      </c>
      <c r="S119" s="20">
        <v>-0.65</v>
      </c>
      <c r="T119" s="20" t="s">
        <v>60</v>
      </c>
      <c r="U119" s="20" t="s">
        <v>60</v>
      </c>
      <c r="V119" s="20"/>
      <c r="W119" s="20"/>
      <c r="X119" s="20" t="s">
        <v>60</v>
      </c>
      <c r="Y119" s="20" t="s">
        <v>421</v>
      </c>
      <c r="Z119" s="20" t="s">
        <v>500</v>
      </c>
      <c r="AA119" s="20" t="s">
        <v>60</v>
      </c>
    </row>
    <row r="120" spans="1:27" x14ac:dyDescent="0.2">
      <c r="A120" s="20" t="s">
        <v>230</v>
      </c>
      <c r="B120" s="20" t="s">
        <v>322</v>
      </c>
      <c r="C120" s="20" t="s">
        <v>10</v>
      </c>
      <c r="D120" s="20" t="s">
        <v>20</v>
      </c>
      <c r="E120" s="20" t="s">
        <v>512</v>
      </c>
      <c r="F120" s="20" t="s">
        <v>10</v>
      </c>
      <c r="G120" s="20">
        <v>5</v>
      </c>
      <c r="H120" s="20">
        <v>4</v>
      </c>
      <c r="I120" s="13">
        <v>0.61099999999999999</v>
      </c>
      <c r="J120" s="20" t="s">
        <v>249</v>
      </c>
      <c r="K120" s="18">
        <v>0.47</v>
      </c>
      <c r="L120" s="20" t="s">
        <v>60</v>
      </c>
      <c r="M120" s="20" t="s">
        <v>60</v>
      </c>
      <c r="N120" s="20" t="s">
        <v>10</v>
      </c>
      <c r="O120" s="20">
        <v>3</v>
      </c>
      <c r="P120" s="20">
        <v>2</v>
      </c>
      <c r="Q120" s="13">
        <v>0.46200000000000002</v>
      </c>
      <c r="R120" s="20" t="s">
        <v>248</v>
      </c>
      <c r="S120" s="20">
        <v>-0.02</v>
      </c>
      <c r="T120" s="20" t="s">
        <v>60</v>
      </c>
      <c r="U120" s="20" t="s">
        <v>60</v>
      </c>
      <c r="V120" s="20"/>
      <c r="W120" s="20"/>
      <c r="X120" s="20" t="s">
        <v>60</v>
      </c>
      <c r="Y120" s="20" t="s">
        <v>421</v>
      </c>
      <c r="Z120" s="20" t="s">
        <v>500</v>
      </c>
      <c r="AA120" s="20" t="s">
        <v>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2025-12-02T22:58:21Z</dcterms:modified>
</cp:coreProperties>
</file>